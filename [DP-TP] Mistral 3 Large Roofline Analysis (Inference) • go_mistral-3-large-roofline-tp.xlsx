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155.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31.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160.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59.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54.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info &amp; Targets" sheetId="1" r:id="rId5"/>
    <sheet state="visible" name="Roofline Analysis" sheetId="2" r:id="rId6"/>
    <sheet state="visible" name="6_14_checkpoint" sheetId="3" r:id="rId7"/>
    <sheet state="visible" name="simulator" sheetId="4" r:id="rId8"/>
    <sheet state="visible" name="Config and Summary" sheetId="5" r:id="rId9"/>
    <sheet state="visible" name="Decode First Token" sheetId="6" r:id="rId10"/>
    <sheet state="visible" name="Decode Last Token" sheetId="7" r:id="rId11"/>
    <sheet state="visible" name="Prefill" sheetId="8" r:id="rId12"/>
    <sheet state="visible" name="moved to gomistral-ironwood-wor" sheetId="9" r:id="rId13"/>
    <sheet state="hidden" name="DB" sheetId="10" r:id="rId14"/>
    <sheet state="hidden" name="NCCL Benchmark" sheetId="11" r:id="rId15"/>
    <sheet state="hidden" name="Weight Absorb Analysis" sheetId="12" r:id="rId16"/>
    <sheet state="hidden" name="Token Time Linear Interpolation" sheetId="13" r:id="rId17"/>
    <sheet state="hidden" name="decodeDP=16F=2D=8" sheetId="14" r:id="rId18"/>
    <sheet state="hidden" name="decodeDP=16E=16" sheetId="15" r:id="rId19"/>
    <sheet state="hidden" name="decodeDP=16F=8D=2" sheetId="16" r:id="rId20"/>
    <sheet state="hidden" name="decodeDP=16F=8D=2v2" sheetId="17" r:id="rId21"/>
    <sheet state="hidden" name="decodeDP=16EP=16Row4" sheetId="18" r:id="rId22"/>
    <sheet state="hidden" name="decodeDP=16EP=16Row5" sheetId="19" r:id="rId23"/>
    <sheet state="hidden" name="decodeDP=16F=8D=2Row5 V2" sheetId="20" r:id="rId24"/>
    <sheet state="hidden" name="decodeDP=16EP=8D=2Row5 V3" sheetId="21" r:id="rId25"/>
    <sheet state="hidden" name="decodeEP=16B=8Row5 V4" sheetId="22" r:id="rId26"/>
  </sheets>
  <definedNames>
    <definedName hidden="1" localSheetId="10" name="_xlnm._FilterDatabase">'NCCL Benchmark'!$A$1:$J$2334</definedName>
    <definedName name="CALCULATE_FLOPS">LAMBDA(lhs_shape, rhs_shape, contracting_dims, batch_or_expert_dims, mxu_dtype, 2 *
PRODUCT(lhs_shape) *
PRODUCT(rhs_shape)/
PRODUCT(contracting_dims) / 
PRODUCT(contracting_dims) *
MAX(PRODUCT(contracting_dims),
   VLOOKUP("Min MXU Contracting Dim", INDIRECT("$F$16:$H$32"), 3, False)) /
PRODUCT(batch_or_expert_dims))</definedName>
    <definedName name="COLLECTIVE_TIME_GPU">LAMBDA(t_chip, t_op, t_num, t_size, LET(
  chip_col, 'NCCL Benchmark'!$A:$A,
  op_col, 'NCCL Benchmark'!$B:$B,
  num_chips_col, 'NCCL Benchmark'!$D:$D,
  size_col, 'NCCL Benchmark'!$C:$C,
  time_col, 'NCCL Benchmark'!$E:$E,
  filtered_data, FILTER({size_col, time_col}, (chip_col=t_chip) * (op_col=t_op) * (num_chips_col=t_num)),
  sizes, INDEX(filtered_data, 0, 1),
  times, INDEX(filtered_data, 0, 2),
  idx, MATCH(t_size, sizes, 1),
  pt_x1, INDEX(sizes, idx),
  pt_x2, INDEX(sizes, idx + 1),
  pt_y1, INDEX(times, idx),
  pt_y2, INDEX(times, idx + 1),
   IFERROR(pt_y1 + (t_size - pt_x1) * (pt_y2 - pt_y1) / (pt_x2 - pt_x1), "Out of Range")
))</definedName>
    <definedName name="ALL_GATHER_CHIP2CHIP_TIME_MS2">LAMBDA(global_data_traffic_size_in_mib, num_links, IF(global_data_traffic_size_in_mib=0,0,
global_data_traffic_size_in_mib / num_links
* 1024^2
/(2*
HW_SPEC("Chip-to-Chip ICI Bandwidth (uni, GB/s)")
*1024^3)*1000
))</definedName>
    <definedName name="ALL2ALL_CORE2CORE_TIME_MS">LAMBDA(global_data_traffic_in_mib, global_data_traffic_in_mib * 1024^2
/(2 * HW_SPEC("Core-to-Core ICI Bandwidth (uni, GB/s)")
*1024^3)*1000)</definedName>
    <definedName name="ALL2ALL_CHIP2CHIP_TIME_MS">LAMBDA(data_size_in_mib, bisection_links, data_size_in_mib * 1024^2 
/4
/
(bisection_links *
    HW_SPEC("Chip-to-Chip ICI Bandwidth (uni, GB/s)")
*1000^3)
*1000)</definedName>
    <definedName name="EXTRACT_ACTIVATION_DTYPE">LAMBDA(wxay, LET(bits, REGEXEXTRACT(wXaY, "a(\d+)"), SWITCH(bits, "4", "fp4", "8", "fp8", "16", "bf16", bits)))</definedName>
    <definedName name="REDUCE_SCATTER_CHIP2CHIP_TIME_MS">LAMBDA(global_data_traffic_size_in_mib, global_data_traffic_size_in_mib * 1024^2
/ PARAMS("num_links_in_topo")
/ 
(2 * HW_SPEC("Chip-to-Chip ICI Bandwidth (uni, GB/s)") * 1024^3) 
* 1000)</definedName>
    <definedName name="REDUCE_SCATTER_CORE2CORE_TIME_MS">LAMBDA(global_data_traffic_in_mib, IF(global_data_traffic_in_mib=0, 0,
global_data_traffic_in_mib * 1024^2
/(2 * HW_SPEC("Core-to-Core ICI Bandwidth (uni, GB/s)")
*1024^3)*1000
))</definedName>
    <definedName name="ALL_REDUCE_CORE2CORE_TIME_MS">LAMBDA(data_size_in_mib, 2 * 
data_size_in_mib * 1024^2
/ (
2 * HW_SPEC("Core-to-Core ICI Bandwidth (uni, GB/s)")
*1024^3)*1000)</definedName>
    <definedName name="ALL_REDUCE_CHIP2CHIP_TIME_MS">LAMBDA(global_data_traffic_size_in_mib, num_links, IF(global_data_traffic_size_in_mib =0, 0,
2 * global_data_traffic_size_in_mib * 1024^2
/ num_links
/ 
(2 * HW_SPEC("Chip-to-Chip ICI Bandwidth (uni, GB/s)") * 1024^3) 
* 1000
))</definedName>
    <definedName name="EXTRACT_WEIGHT_DTYPE">LAMBDA(wxay, LET(bits, REGEXEXTRACT(wXaY, "w(\d+)"), SWITCH(bits, "4", "fp4", "8", "fp8", "16", "bf16", bits)))</definedName>
    <definedName name="ALL2ALL_CHIP2CHIP_TIME_MS2">LAMBDA(data_size_in_mib, num_links, data_size_in_mib * 1024^2 
/num_links
/
(2*
    HW_SPEC("Chip-to-Chip ICI Bandwidth (uni, GB/s)")
*1024^3)
*1000)</definedName>
    <definedName name="ALL_GATHER_CHIP2CHIP_TIME_MS">LAMBDA(global_data_traffic_size_in_mib, global_data_traffic_size_in_mib / PARAMS("num_links_in_topo")
* 1024^2
/(2*
HW_SPEC("Chip-to-Chip ICI Bandwidth (uni, GB/s)")
*1024^3)*1000)</definedName>
    <definedName name="PAD_128">LAMBDA(val, CEILING(val, 128))</definedName>
    <definedName name="HBM_TIME_MS">LAMBDA(tensor_size_in_mib, tensor_size_in_mib * 1024^2 / (
VLOOKUP("Per-Core HBM-BW (GB/s)",
INDIRECT("$F$16:$H$29"), 3, False)
 * 1024^3) * 1000)</definedName>
    <definedName name="PARAMS">LAMBDA(param_name, IF(ISNUMBER(param_name),
param_name,
vlookup(param_name,INDIRECT("$B$2:$C$43")
,2,FALSE)
))</definedName>
    <definedName name="ALL_GATHER_CORE2CORE_TIME_MS">LAMBDA(global_data_traffic_in_mib, global_data_traffic_in_mib * 1024^2
/(2 * HW_SPEC("Core-to-Core ICI Bandwidth (uni, GB/s)")
*1024^3)*1000)</definedName>
    <definedName name="REDUCE_SCATTER_CHIP2CHIP_TIME_MS2">LAMBDA(global_data_traffic_size_in_mib, num_links, IF(global_data_traffic_size_in_mib =0, 0,
global_data_traffic_size_in_mib * 1024^2
/ num_links
/ 
(2 * HW_SPEC("Chip-to-Chip ICI Bandwidth (uni, GB/s)") * 1024^3) 
* 1000
))</definedName>
    <definedName name="HW_SPEC">LAMBDA(spec_name, VLOOKUP(spec_name,INDIRECT("$F$16:$H$31"),3, False))</definedName>
    <definedName name="SHARDING">LAMBDA(param_name, IF(ISBLANK(param_name),1,
vlookup(param_name, INDIRECT("$F$2:$G$10"),2,FALSE)
))</definedName>
    <definedName name="SIZEOF_IN_MIB">LAMBDA(param_name, dtype, PRODUCT(
param_name)
*
vlookup(dtype,INDIRECT("$Q$2:$R$49")
,2,FALSE)
/ 1024^2)</definedName>
    <definedName name="COMPUTE_TIME_MS">LAMBDA(flops, mxu_dtype, flops / (VLOOKUP("Per-Core TFLOPS (" &amp; mxu_dtype &amp; ")",INDIRECT("$F$17:$H$43"),3,FALSE)  * 1000000000000) * 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4">
      <text>
        <t xml:space="preserve">code: https://screenshot.googleplex.com/NuBXTRfrwtwwnYG</t>
      </text>
    </comment>
    <comment authorId="0" ref="C20">
      <text>
        <t xml:space="preserve">500 tokens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0">
      <text>
        <t xml:space="preserve">500 tokens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This should be &gt;= Seq Length Q</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tc={64cd3aef-0894-4ef4-bd3b-10fd083c5cc7}</author>
    <author>tc={651de108-90bf-4ba5-861f-e296444f225f}</author>
  </authors>
  <commentList>
    <comment authorId="0" xr:uid="{64cd3aef-0894-4ef4-bd3b-10fd083c5cc7}" ref="B3">
      <text>
        <t xml:space="preserve">[Threaded comment]
 Your version of Excel allows you to read this threaded comment; however, any edits to it will get removed if the file is opened in a newer version of Excel. Learn more: https://go.microsoft.com/fwlink/?linkid=870924
Comment:
	hidden
</t>
      </text>
    </comment>
    <comment authorId="1" xr:uid="{651de108-90bf-4ba5-861f-e296444f225f}" ref="B4">
      <text>
        <t xml:space="preserve">[Threaded comment]
 Your version of Excel allows you to read this threaded comment; however, any edits to it will get removed if the file is opened in a newer version of Excel. Learn more: https://go.microsoft.com/fwlink/?linkid=870924
Comment:
	intermeadiate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tc={957a4af5-f114-472a-972b-66d69f70282a}</author>
  </authors>
  <commentList>
    <comment authorId="0" xr:uid="{957a4af5-f114-472a-972b-66d69f70282a}" ref="A10">
      <text>
        <t xml:space="preserve">[Threaded comment]
 Your version of Excel allows you to read this threaded comment; however, any edits to it will get removed if the file is opened in a newer version of Excel. Learn more: https://go.microsoft.com/fwlink/?linkid=870924
Comment:
	prefill MLA is faster but I canot repro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Derated based on default P-state of P3</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AG, this is the payload size per shard after AG</t>
      </text>
    </comment>
  </commentList>
</comments>
</file>

<file path=xl/sharedStrings.xml><?xml version="1.0" encoding="utf-8"?>
<sst xmlns="http://schemas.openxmlformats.org/spreadsheetml/2006/main" count="22310" uniqueCount="726">
  <si>
    <t>https://huggingface.co/mistralai/Mistral-Large-3-675B-Instruct-2512/blob/main/params.json</t>
  </si>
  <si>
    <t>GB200 Target (2k/.5k)</t>
  </si>
  <si>
    <t>Concurrency</t>
  </si>
  <si>
    <t>Request Throughput (req/min)</t>
  </si>
  <si>
    <t>Output tok/s</t>
  </si>
  <si>
    <t>Total tok/s</t>
  </si>
  <si>
    <t>Output tok/s/chip</t>
  </si>
  <si>
    <t>Total tok/s/chip</t>
  </si>
  <si>
    <t>Mean TPOT (ms)</t>
  </si>
  <si>
    <t>Mean ITL (ms</t>
  </si>
  <si>
    <t>Gen Time (s) (500 tokens)</t>
  </si>
  <si>
    <t>GB200 Target (20k/.5k)</t>
  </si>
  <si>
    <t>P50 Speed (tok/s)</t>
  </si>
  <si>
    <t>Tokens/s/chip</t>
  </si>
  <si>
    <t>Inter-Token Latency (ms)</t>
  </si>
  <si>
    <t>Gen Time (500 tokens)</t>
  </si>
  <si>
    <t>Throughput (req/min)</t>
  </si>
  <si>
    <t>ITL (ms)</t>
  </si>
  <si>
    <t>Decode</t>
  </si>
  <si>
    <t>Layers</t>
  </si>
  <si>
    <t>Component</t>
  </si>
  <si>
    <t>Theoretical 
Roofline (ms)</t>
  </si>
  <si>
    <t>B200</t>
  </si>
  <si>
    <r>
      <rPr>
        <rFont val="Montserrat"/>
        <b/>
        <color rgb="FFFFFFFF"/>
        <sz val="11.0"/>
        <u/>
      </rPr>
      <t>Baseline</t>
    </r>
    <r>
      <rPr>
        <rFont val="Montserrat"/>
        <b/>
        <color rgb="FFFFFFFF"/>
        <sz val="11.0"/>
      </rPr>
      <t xml:space="preserve"> (ms)
(as of 5/20)</t>
    </r>
  </si>
  <si>
    <t>Roofline
(% of E2E)</t>
  </si>
  <si>
    <t>Baseline
(% of E2E)</t>
  </si>
  <si>
    <t>% Theoretical Roofline</t>
  </si>
  <si>
    <t>% B200</t>
  </si>
  <si>
    <t>Debug &amp; Optimization 
Opportunities</t>
  </si>
  <si>
    <t>MLA</t>
  </si>
  <si>
    <t>Q Down Proj +
 KV Down Proj</t>
  </si>
  <si>
    <r>
      <rPr>
        <rFont val="Roboto"/>
        <color rgb="FF191B1F"/>
        <sz val="10.0"/>
      </rPr>
      <t xml:space="preserve">• Quantization
• Why are weights in bf16?
• Fuse </t>
    </r>
    <r>
      <rPr>
        <rFont val="Roboto"/>
        <color rgb="FF1155CC"/>
        <sz val="10.0"/>
        <u/>
      </rPr>
      <t>layernorm</t>
    </r>
  </si>
  <si>
    <t>Q Up Proj</t>
  </si>
  <si>
    <t>• Fuse act quant into the 
fusion</t>
  </si>
  <si>
    <t>Q Proj to K (K weight absoption)</t>
  </si>
  <si>
    <t>• Remove reshape</t>
  </si>
  <si>
    <t>QK (nope) + 
QK (rope) + AV</t>
  </si>
  <si>
    <t>• Quantize Q pending quality verification
• Try batched RPA
• Kernel Tuning
• Remove transpose/pad</t>
  </si>
  <si>
    <t>V Up Proj (Weight Absorption)</t>
  </si>
  <si>
    <t>• Matmul is meoery bound.
 Can we use FP4?</t>
  </si>
  <si>
    <t>O Proj</t>
  </si>
  <si>
    <t>MoE (Routed)</t>
  </si>
  <si>
    <t>Token Routing</t>
  </si>
  <si>
    <t>Token Permute</t>
  </si>
  <si>
    <t>Dispatch</t>
  </si>
  <si>
    <t>• FP8 AG</t>
  </si>
  <si>
    <t>Gating x 2 + Act</t>
  </si>
  <si>
    <t>• Look into percale traces</t>
  </si>
  <si>
    <t>Linear</t>
  </si>
  <si>
    <t>• down proj gmm contract 
dim is small, so each 
shard only has 256 along 
contract dim. This limits 
gmm efficieny
• 2D EP + TP</t>
  </si>
  <si>
    <t>Reverse Sort &amp; 
Unpermte</t>
  </si>
  <si>
    <t>Reduce</t>
  </si>
  <si>
    <t>Collect</t>
  </si>
  <si>
    <t>• AR is too slow
• Use hirachial RS
• quantization? be careful 
about the quality</t>
  </si>
  <si>
    <t>MoE (Shared)</t>
  </si>
  <si>
    <t xml:space="preserve">Input </t>
  </si>
  <si>
    <t>Output</t>
  </si>
  <si>
    <t>Total</t>
  </si>
  <si>
    <t>Mean ITL (ms)</t>
  </si>
  <si>
    <t>Throughput 
(tok/s/chip)</t>
  </si>
  <si>
    <t>Prefill</t>
  </si>
  <si>
    <r>
      <rPr>
        <rFont val="Montserrat"/>
        <b/>
        <color rgb="FFFFFFFF"/>
        <sz val="11.0"/>
        <u/>
      </rPr>
      <t>Baseline</t>
    </r>
    <r>
      <rPr>
        <rFont val="Montserrat"/>
        <b/>
        <color rgb="FFFFFFFF"/>
        <sz val="11.0"/>
      </rPr>
      <t xml:space="preserve"> (ms)
(as of 5/20)</t>
    </r>
  </si>
  <si>
    <t>Optimization 
Opportunities</t>
  </si>
  <si>
    <r>
      <rPr>
        <rFont val="Roboto"/>
        <color rgb="FF191B1F"/>
        <sz val="10.0"/>
      </rPr>
      <t xml:space="preserve">• Quantization
• Why are weights in bf16?
• Fuse </t>
    </r>
    <r>
      <rPr>
        <rFont val="Roboto"/>
        <color rgb="FF1155CC"/>
        <sz val="10.0"/>
        <u/>
      </rPr>
      <t>layernorm</t>
    </r>
  </si>
  <si>
    <t>• Fuse act quant into the 
fusion
• Eliminate the sparse core 
formatting</t>
  </si>
  <si>
    <t>• Remove reshape
• Remove copies</t>
  </si>
  <si>
    <t>• Overlap with shared expert</t>
  </si>
  <si>
    <t>• Look into existing SC
 kernel usage on TP</t>
  </si>
  <si>
    <t>• Fuse the abs_max and clamp
• remove concatenate</t>
  </si>
  <si>
    <r>
      <rPr>
        <rFont val="Montserrat"/>
        <b/>
        <color rgb="FFFFFFFF"/>
        <sz val="11.0"/>
        <u/>
      </rPr>
      <t>Baseline</t>
    </r>
    <r>
      <rPr>
        <rFont val="Montserrat"/>
        <b/>
        <color rgb="FFFFFFFF"/>
        <sz val="11.0"/>
      </rPr>
      <t xml:space="preserve"> (ms)
(as of 5/20)</t>
    </r>
  </si>
  <si>
    <r>
      <rPr>
        <rFont val="Roboto"/>
        <color rgb="FF191B1F"/>
        <sz val="10.0"/>
      </rPr>
      <t xml:space="preserve">• Quantization
• Why are weights in bf16?
• Fuse </t>
    </r>
    <r>
      <rPr>
        <rFont val="Roboto"/>
        <color rgb="FF1155CC"/>
        <sz val="10.0"/>
        <u/>
      </rPr>
      <t>layernorm</t>
    </r>
  </si>
  <si>
    <r>
      <rPr>
        <rFont val="Montserrat"/>
        <b/>
        <color rgb="FFFFFFFF"/>
        <sz val="11.0"/>
        <u/>
      </rPr>
      <t>Baseline</t>
    </r>
    <r>
      <rPr>
        <rFont val="Montserrat"/>
        <b/>
        <color rgb="FFFFFFFF"/>
        <sz val="11.0"/>
      </rPr>
      <t xml:space="preserve"> (ms)
(as of 5/20)</t>
    </r>
  </si>
  <si>
    <r>
      <rPr>
        <rFont val="Roboto"/>
        <color rgb="FF191B1F"/>
        <sz val="10.0"/>
      </rPr>
      <t xml:space="preserve">• Quantization
• Why are weights in bf16?
• Fuse </t>
    </r>
    <r>
      <rPr>
        <rFont val="Roboto"/>
        <color rgb="FF1155CC"/>
        <sz val="10.0"/>
        <u/>
      </rPr>
      <t>layernorm</t>
    </r>
  </si>
  <si>
    <t>layers</t>
  </si>
  <si>
    <t>step time from 
xprof (ms)</t>
  </si>
  <si>
    <t>e2e latency</t>
  </si>
  <si>
    <t># of Tokens</t>
  </si>
  <si>
    <t>Throughput 
(tokens/s/chip)</t>
  </si>
  <si>
    <t>QPS/chip</t>
  </si>
  <si>
    <t>prefill</t>
  </si>
  <si>
    <t>decode</t>
  </si>
  <si>
    <t>output</t>
  </si>
  <si>
    <t>Preset Selection:</t>
  </si>
  <si>
    <t>[2k/.5k] GB200 4-chip DP8/TP8 Aggregated MOE-a8a8 B=128</t>
  </si>
  <si>
    <t>[2k/.5k] GF 2x2 DP8/EP8 Aggregated MOE-a8w8 B=32</t>
  </si>
  <si>
    <t>[2k/.5k] GF 2x2x2 DP16/TP16 Aggregated MOE-a8a8 B=128</t>
  </si>
  <si>
    <t>[2k/.5k] GF 4x4 DP32/EP32 Aggregated MOE-a8w8</t>
  </si>
  <si>
    <t>[20k/.5k] GF 2x2 DP8/EP8 Aggregated MOE-a8w8 B=32</t>
  </si>
  <si>
    <t xml:space="preserve">[20k/.5k] GF 2x2x2 DP8/EP8 Aggregated MOE-a8w8 B=128        </t>
  </si>
  <si>
    <t>[20k/.5k] GF 4x4 DP8/EP8 Aggregated MOE-a8w8 B=32</t>
  </si>
  <si>
    <t>Device Assumptions</t>
  </si>
  <si>
    <t>Chip Name</t>
  </si>
  <si>
    <t>GhostFish (P3) Derated</t>
  </si>
  <si>
    <t>GB200 Derated</t>
  </si>
  <si>
    <t>Use Measured NCCL Lookup Table</t>
  </si>
  <si>
    <t>Sharding (Axis Name, # of Devices)</t>
  </si>
  <si>
    <t>model</t>
  </si>
  <si>
    <t>data</t>
  </si>
  <si>
    <t>seq</t>
  </si>
  <si>
    <t>attn_model</t>
  </si>
  <si>
    <t>Serving Configuration and Strategy</t>
  </si>
  <si>
    <t>Sequence Length (Q)</t>
  </si>
  <si>
    <t>T</t>
  </si>
  <si>
    <t>Batch Size (power of 2)</t>
  </si>
  <si>
    <t>B</t>
  </si>
  <si>
    <t>Sequence Length (KV)</t>
  </si>
  <si>
    <t>S</t>
  </si>
  <si>
    <t>Sequence Length (KV) - First Token Decode</t>
  </si>
  <si>
    <t>S_first</t>
  </si>
  <si>
    <t>N/A</t>
  </si>
  <si>
    <t>Scheduler Latency Overhead</t>
  </si>
  <si>
    <t>Roofline Discount Rate</t>
  </si>
  <si>
    <t>Flash Attention Enabled</t>
  </si>
  <si>
    <t>flash_attn</t>
  </si>
  <si>
    <t>Enforce Perfect Expert Routing</t>
  </si>
  <si>
    <t>enforce_perfect_expert_routing</t>
  </si>
  <si>
    <t>MOE Token Dispatch Strategy</t>
  </si>
  <si>
    <t>Strategy C: Hirarachical All-Gather</t>
  </si>
  <si>
    <t>MOE Token Collect Strategy</t>
  </si>
  <si>
    <t>Option C: Hierachical RS</t>
  </si>
  <si>
    <t>MOE Collective Overlap Strategy</t>
  </si>
  <si>
    <t>OptionA. No Overlapping</t>
  </si>
  <si>
    <t>Numerics</t>
  </si>
  <si>
    <t>KV Cache dtype</t>
  </si>
  <si>
    <t>kv_dtype</t>
  </si>
  <si>
    <t>fp8</t>
  </si>
  <si>
    <t>Attention Projections Numeric</t>
  </si>
  <si>
    <t>attn_proj_dtype</t>
  </si>
  <si>
    <t>w8a8</t>
  </si>
  <si>
    <t>Attention Output Projection Numerics</t>
  </si>
  <si>
    <t>attn_oproj_dtype</t>
  </si>
  <si>
    <t>Attention "K" numeric from KV</t>
  </si>
  <si>
    <t>attn_kv_k_dtype</t>
  </si>
  <si>
    <t>bf16</t>
  </si>
  <si>
    <t>Attention "A" numeric from AV</t>
  </si>
  <si>
    <t>attn_av_a_dtype</t>
  </si>
  <si>
    <t>Expert Dispatch Numeric</t>
  </si>
  <si>
    <t>expert_dispatch_dtype</t>
  </si>
  <si>
    <t>MoE Numeric</t>
  </si>
  <si>
    <t>moe_dtype</t>
  </si>
  <si>
    <t>Expert Collect Numeric</t>
  </si>
  <si>
    <t>expert_collect_dtype</t>
  </si>
  <si>
    <t>Results</t>
  </si>
  <si>
    <t>Decode - First Token</t>
  </si>
  <si>
    <t>Decode - Last Token</t>
  </si>
  <si>
    <t>Memory Occupancy OK</t>
  </si>
  <si>
    <t>E2E Latency (s)</t>
  </si>
  <si>
    <t>Throughput (tokens/s)</t>
  </si>
  <si>
    <t>Discounted Throughput (tokens/s)</t>
  </si>
  <si>
    <t>Throughput (tokens/s/chip)</t>
  </si>
  <si>
    <t>Combined Results</t>
  </si>
  <si>
    <t>Input Seq Length</t>
  </si>
  <si>
    <t>Output Seq Length</t>
  </si>
  <si>
    <t>Decode # Chips</t>
  </si>
  <si>
    <t>Decode Latency - All Tokens (s)</t>
  </si>
  <si>
    <t>Assume simple linear growth in per token latency from first to last token</t>
  </si>
  <si>
    <t>Decode Wt Avg Throughput (tokens/s/chip)</t>
  </si>
  <si>
    <t>total tokens / latency all tokens / # chips</t>
  </si>
  <si>
    <t>Prefill QPS/chip</t>
  </si>
  <si>
    <t>Decode QPS/chip</t>
  </si>
  <si>
    <t>Combined QPS/chip</t>
  </si>
  <si>
    <t>Rate matching prefill and decode: combinedQpsPerChip=1 / ( 1 / prefillQpsPerChip + 1/decodeQpsPerChip)</t>
  </si>
  <si>
    <t>Prefill:Decode Ratio</t>
  </si>
  <si>
    <t>&lt;1 means decode matters more, &gt;1 means prefill matters more</t>
  </si>
  <si>
    <t>Combined tokens/s/chip</t>
  </si>
  <si>
    <t>Output tokens/s/chip</t>
  </si>
  <si>
    <t>max-num-batched-tokens (per device for dp)</t>
  </si>
  <si>
    <t>max-num-seqs (per device for dp)</t>
  </si>
  <si>
    <t>Contact: donghyun@, gpolovets@, miliu@. Feedback/Bug reports are welcome!</t>
  </si>
  <si>
    <t>Description</t>
  </si>
  <si>
    <t>Symbol</t>
  </si>
  <si>
    <t>Value</t>
  </si>
  <si>
    <t>Sharding (Axis Name)</t>
  </si>
  <si>
    <t># of Devices</t>
  </si>
  <si>
    <t>Notes</t>
  </si>
  <si>
    <t>Size In Bytes</t>
  </si>
  <si>
    <t>MXU dtype</t>
  </si>
  <si>
    <t>Embedding Dimension</t>
  </si>
  <si>
    <t>D</t>
  </si>
  <si>
    <t>[ ↓ Configurable Values]</t>
  </si>
  <si>
    <t>fp4</t>
  </si>
  <si>
    <t>Hidden Dimension</t>
  </si>
  <si>
    <t>F</t>
  </si>
  <si>
    <t># of experts</t>
  </si>
  <si>
    <t>E</t>
  </si>
  <si>
    <t>Also used for expert sharding for MoE</t>
  </si>
  <si>
    <t># of Layers</t>
  </si>
  <si>
    <t>L</t>
  </si>
  <si>
    <t># of Dense Layers</t>
  </si>
  <si>
    <t>DL</t>
  </si>
  <si>
    <t>Used if attention is replicated</t>
  </si>
  <si>
    <t># of experts to be activated per token</t>
  </si>
  <si>
    <t>top_k</t>
  </si>
  <si>
    <t>[ ↓ Derived Values]</t>
  </si>
  <si>
    <t>The dimension of the compressed latent vector for Query</t>
  </si>
  <si>
    <t>c_q</t>
  </si>
  <si>
    <t>data,model</t>
  </si>
  <si>
    <t>The dimension of the compressed latent vector for KV</t>
  </si>
  <si>
    <t>c_kv</t>
  </si>
  <si>
    <t>Total # of devices</t>
  </si>
  <si>
    <t>The dimension of Non-RoPE part of the query head</t>
  </si>
  <si>
    <t>h_nope</t>
  </si>
  <si>
    <t>Total # of chips</t>
  </si>
  <si>
    <t>The dimension of the RoPE part of the query head</t>
  </si>
  <si>
    <t>h_rope</t>
  </si>
  <si>
    <t>bf16,bf16</t>
  </si>
  <si>
    <t>The number of Attention Heads (Query)</t>
  </si>
  <si>
    <t>n_q</t>
  </si>
  <si>
    <t>[ ↓ Derived parameters]</t>
  </si>
  <si>
    <t>h_nope+h_rope</t>
  </si>
  <si>
    <t>c_kv+h_rope</t>
  </si>
  <si>
    <t># of Duplicated tokens (top_k times)</t>
  </si>
  <si>
    <t>kT</t>
  </si>
  <si>
    <t>Hardware Spec</t>
  </si>
  <si>
    <t>num_devices</t>
  </si>
  <si>
    <t># of Chips</t>
  </si>
  <si>
    <t>num_chips</t>
  </si>
  <si>
    <t>Per-Chip HBM-BW (GB/s)</t>
  </si>
  <si>
    <t>[TPU] Assumed Topology</t>
  </si>
  <si>
    <t>topo</t>
  </si>
  <si>
    <t>Per-Chip TFLOPS (fp4)</t>
  </si>
  <si>
    <t>[TPU] Total # of Bidir Links</t>
  </si>
  <si>
    <t>num_links_in_topo</t>
  </si>
  <si>
    <t>Per-Chip TFLOPS (fp8)</t>
  </si>
  <si>
    <t>Per-Chip TFLOPS (fp16)</t>
  </si>
  <si>
    <t>[ ↓ Configurable parameters]</t>
  </si>
  <si>
    <t>Per-Chip HBM Capacity (GiB)</t>
  </si>
  <si>
    <t>Regime</t>
  </si>
  <si>
    <t>R</t>
  </si>
  <si>
    <t>Per-Core HBM-BW (GB/s)</t>
  </si>
  <si>
    <t>Per-Core TFLOPS (fp4)</t>
  </si>
  <si>
    <t>Per-Core TFLOPS (fp8)</t>
  </si>
  <si>
    <t>Use the first token KV length</t>
  </si>
  <si>
    <t>Per-Core TFLOPS (bf16)</t>
  </si>
  <si>
    <t>Per-Core HBM Capacity (GiB)</t>
  </si>
  <si>
    <t>Core-to-Core ICI Bandwidth (uni, GB/s)</t>
  </si>
  <si>
    <t>Chip-to-Chip ICI Bandwidth (uni, GB/s)</t>
  </si>
  <si>
    <t>Chip-to-Chip ICI Latency (ms)</t>
  </si>
  <si>
    <t>[ ↓ Configurable Numeric]</t>
  </si>
  <si>
    <t>Min MXU Contracting Dim</t>
  </si>
  <si>
    <t>use_nccl_lookup</t>
  </si>
  <si>
    <t>💡Top Line Metrics</t>
  </si>
  <si>
    <t>Metric Name</t>
  </si>
  <si>
    <t># Devices</t>
  </si>
  <si>
    <t>⚡Roofline Summary</t>
  </si>
  <si>
    <t>Category</t>
  </si>
  <si>
    <t>Op Name</t>
  </si>
  <si>
    <t>Memory Time
(ms)</t>
  </si>
  <si>
    <t>Compute Time
(ms)</t>
  </si>
  <si>
    <t>ICI Latency Time 
(ms)</t>
  </si>
  <si>
    <t>ICI BW Time
(ms)</t>
  </si>
  <si>
    <t>Roofline Time
(ms)</t>
  </si>
  <si>
    <t>Boundness</t>
  </si>
  <si>
    <t>% Sum</t>
  </si>
  <si>
    <t>ICI
Overlap?</t>
  </si>
  <si>
    <t>Q Down Proj</t>
  </si>
  <si>
    <t>KV Down Proj</t>
  </si>
  <si>
    <t>AllGather KV</t>
  </si>
  <si>
    <t>FlashAttention</t>
  </si>
  <si>
    <t>VanillaAttention</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</si>
  <si>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</si>
  <si>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</si>
  <si>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</si>
  <si>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AllGather</t>
  </si>
  <si>
    <t>MoE</t>
  </si>
  <si>
    <t>Overlapping Strategy</t>
  </si>
  <si>
    <t>OptionB. Overlapping Expert Collectives</t>
  </si>
  <si>
    <t>TOTAL</t>
  </si>
  <si>
    <t>Selected Strategy</t>
  </si>
  <si>
    <t>💾 Memory Occupancy</t>
  </si>
  <si>
    <t xml:space="preserve"> 🔍 Detailed Op Analysis 1 - MLA (Multi-head Latent Attention)</t>
  </si>
  <si>
    <t>Key</t>
  </si>
  <si>
    <t>Operation</t>
  </si>
  <si>
    <t>Details</t>
  </si>
  <si>
    <t>Dimensions</t>
  </si>
  <si>
    <t>dtype</t>
  </si>
  <si>
    <t>Size(MiB)</t>
  </si>
  <si>
    <t>VMEM 
Prefetched
/Pinned</t>
  </si>
  <si>
    <t>Attention Weights, Global (GiB)</t>
  </si>
  <si>
    <t>0. Activation Before Attention Layer</t>
  </si>
  <si>
    <t>Activation Tensor</t>
  </si>
  <si>
    <t>Dimension Name</t>
  </si>
  <si>
    <t>(</t>
  </si>
  <si>
    <t>)</t>
  </si>
  <si>
    <t>MoE Weights, Global (GiB)</t>
  </si>
  <si>
    <t>Global Shape</t>
  </si>
  <si>
    <t>Other Weights, Global (GiB)</t>
  </si>
  <si>
    <t>Sharding</t>
  </si>
  <si>
    <t>KV Cache Size, Global (GiB)</t>
  </si>
  <si>
    <t>Local Shape (per-core)</t>
  </si>
  <si>
    <t>Intermediate Activation Tensors, Global (GiB)</t>
  </si>
  <si>
    <t>1. Q Down Proj</t>
  </si>
  <si>
    <t>LHS</t>
  </si>
  <si>
    <t>TOTAL (Global)</t>
  </si>
  <si>
    <t>Attention Weights, Local (GiB)</t>
  </si>
  <si>
    <t>MoE Weights, Local (GiB)</t>
  </si>
  <si>
    <t>RHS</t>
  </si>
  <si>
    <t>KV Cache Size, Local (GiB)</t>
  </si>
  <si>
    <t>Intermediate Activation Tensors, Local (GiB)</t>
  </si>
  <si>
    <t>TOTAL (Local)</t>
  </si>
  <si>
    <t>Pre-operation Collectives</t>
  </si>
  <si>
    <t>Transferring Tensor</t>
  </si>
  <si>
    <t>Source Sharding</t>
  </si>
  <si>
    <t>Source Local Shape (per-core)</t>
  </si>
  <si>
    <t>Target Sharding</t>
  </si>
  <si>
    <t>Strategy A: All-Gather Tokens with no chiplet involved</t>
  </si>
  <si>
    <t># of devices involved</t>
  </si>
  <si>
    <t>Per-device: Data transferred from a device (MiB)</t>
  </si>
  <si>
    <t>Global Traffic Size (MiB)</t>
  </si>
  <si>
    <t># of Links involved</t>
  </si>
  <si>
    <t># of Chiplets sharing links</t>
  </si>
  <si>
    <t>Transfer Time</t>
  </si>
  <si>
    <t>Strategy B: Hierarchical All-Gather</t>
  </si>
  <si>
    <t xml:space="preserve">AllGather 1 (Chip-to-Chip)
</t>
  </si>
  <si>
    <t>AllGather 2 (Core-to-Core)</t>
  </si>
  <si>
    <t>AllGather 2
Last Phase Transfer Time</t>
  </si>
  <si>
    <t>Transfer Time TOTAL</t>
  </si>
  <si>
    <t>Strategy C: All Gather Die-to-Die (for CM)</t>
  </si>
  <si>
    <t xml:space="preserve"> [B // model, T, D // data] -&gt; [B // model, T, D]</t>
  </si>
  <si>
    <t>Target Mesh name</t>
  </si>
  <si>
    <t>AG (Core-to-Core)</t>
  </si>
  <si>
    <t># of devices involved (Must be 2)</t>
  </si>
  <si>
    <t>Strategy</t>
  </si>
  <si>
    <t>No Collectives</t>
  </si>
  <si>
    <t>ICI Time (Bandwidth)</t>
  </si>
  <si>
    <t>Average # of hops</t>
  </si>
  <si>
    <t>ICI Time (Latency)</t>
  </si>
  <si>
    <t>Compute</t>
  </si>
  <si>
    <t>MXU Dtype</t>
  </si>
  <si>
    <t>Local FLOPS
(2TDc_q)</t>
  </si>
  <si>
    <t>Compute Time</t>
  </si>
  <si>
    <t>Memory</t>
  </si>
  <si>
    <t>Local HBM Transfer</t>
  </si>
  <si>
    <t>Memory Time</t>
  </si>
  <si>
    <t>2. Q Up Proj
(NOPE+ROPE)</t>
  </si>
  <si>
    <t>Collective</t>
  </si>
  <si>
    <t>Strategy 1: Reduce Scatter D2D (for CM)</t>
  </si>
  <si>
    <t xml:space="preserve"> [B, T, n_q, h_nope+h_rope] {partialsum-data} -&gt; [B // data, T, D]</t>
  </si>
  <si>
    <t>Target Mesh Name</t>
  </si>
  <si>
    <t xml:space="preserve">RS: Core-to-Core </t>
  </si>
  <si>
    <t>ICI Time</t>
  </si>
  <si>
    <t>Local FLOPS</t>
  </si>
  <si>
    <t>3. Q Proj to K (K weight absorption)</t>
  </si>
  <si>
    <t>4. KV Down Proj</t>
  </si>
  <si>
    <t>4-1. All Gather KV</t>
  </si>
  <si>
    <t>Collectives</t>
  </si>
  <si>
    <t>AllGather 2
Last Phase Transfer Time
(exposed)</t>
  </si>
  <si>
    <t>5. QK (nope)</t>
  </si>
  <si>
    <t>TODO: All gather for S (prefill)</t>
  </si>
  <si>
    <t>6. QK (rope)</t>
  </si>
  <si>
    <t>7. AV</t>
  </si>
  <si>
    <t>8. V Up Proj (Weight Absorption)</t>
  </si>
  <si>
    <t>8-1. All Gather</t>
  </si>
  <si>
    <t>Strategy 1: All-gather Die-to-Die (for CM)</t>
  </si>
  <si>
    <t>[B // data,model, T, n_q, h_nope] -&gt; [B // model, T, n_q, h_nope] -&gt; [B // model, T, n_q, h_nope // data]</t>
  </si>
  <si>
    <t>9. O Proj</t>
  </si>
  <si>
    <t>Strategy 1: All-Gather Die-to-Die (for CM)</t>
  </si>
  <si>
    <t xml:space="preserve"> [B, T, n_q, h_nope // data] -&gt; [B, T, n_q, h_nope]</t>
  </si>
  <si>
    <t># of devices involved (Should be 2)</t>
  </si>
  <si>
    <t>Note: n_q and h_nope can be reshaped into 1 dim to avoid padding</t>
  </si>
  <si>
    <t xml:space="preserve"> 🔍 Detailed Op Analysis 2 - MoE</t>
  </si>
  <si>
    <t>Size(bytes)</t>
  </si>
  <si>
    <t>1. Dispatch</t>
  </si>
  <si>
    <t>Strategy A: All-To-All</t>
  </si>
  <si>
    <t xml:space="preserve">  [B*kT // EP, D] (sequence-sharded) -&gt; [B*kT // EP, D] (expert-sharded)</t>
  </si>
  <si>
    <t># Bisection Links (bidir)</t>
  </si>
  <si>
    <t>NCCL Interpolated A2A Time</t>
  </si>
  <si>
    <t>A2A Transfer Time</t>
  </si>
  <si>
    <t>Strategy B: All-Gather Tokens with no chiplet involved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</si>
  <si>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</si>
  <si>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NCCL Interpolated AG Time</t>
  </si>
  <si>
    <t>Same with Strategy B, but with chiplet ICI involved</t>
  </si>
  <si>
    <t>AllGather 1 
(Chip-to-Chip)</t>
  </si>
  <si>
    <t>AllGather 2
(Core-to-Core)</t>
  </si>
  <si>
    <t>Last Phase Transfer Time</t>
  </si>
  <si>
    <t>Dispatch Strategy</t>
  </si>
  <si>
    <t># Hops</t>
  </si>
  <si>
    <t>2. Gating x 2 + Activation</t>
  </si>
  <si>
    <t>Post-Op Collectives</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</si>
  <si>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</si>
  <si>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</si>
  <si>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Reduce Scatter</t>
  </si>
  <si>
    <t xml:space="preserve">  [2, B, kT, F // TP] {partial_sum on mesh} -&gt; [2, B, kT, F // TP // mesh]</t>
  </si>
  <si>
    <t>Per-device: Data Traffic from one device</t>
  </si>
  <si>
    <t>Global Data Traffic (MiB)</t>
  </si>
  <si>
    <t>Option 1 (Chip2Chip)</t>
  </si>
  <si>
    <t># of chiplets sharing links</t>
  </si>
  <si>
    <t>Option 2 (Core2Core)</t>
  </si>
  <si>
    <t>Activation Applied</t>
  </si>
  <si>
    <t xml:space="preserve">  [2, B, kT, F // TP // mesh] -&gt; [B, kT, F // TP // mesh]</t>
  </si>
  <si>
    <t>Local tensor size 
after activation 
(x 0.5)</t>
  </si>
  <si>
    <t xml:space="preserve">  [B, kT, F // TP // mesh]  -&gt; [B, kT, F // TP]</t>
  </si>
  <si>
    <t>Per-device: Data traffic from a device (MiB)</t>
  </si>
  <si>
    <t>Collective Strategy</t>
  </si>
  <si>
    <t>No Collective needed</t>
  </si>
  <si>
    <t>RS Transfer Time</t>
  </si>
  <si>
    <t>AG Transfer Time</t>
  </si>
  <si>
    <t>Tile Size</t>
  </si>
  <si>
    <t>Per-Tile FLOPS</t>
  </si>
  <si>
    <t># of Tiles (Base)</t>
  </si>
  <si>
    <t># of Experts Per Shard</t>
  </si>
  <si>
    <t># of Tiles 
(Worst case adjustment)
: For every expert,
The last tile has 
only 1 token to compute,
causing huge padding)</t>
  </si>
  <si>
    <t>&lt;- "-1" term is to compensate "CEILING" term of "# of Tiles" calculation</t>
  </si>
  <si>
    <t>Local FLOPS
(4kTDF)</t>
  </si>
  <si>
    <t>3. Linear
(Output)
GMM</t>
  </si>
  <si>
    <r>
      <rPr>
        <rFont val="Arial"/>
        <color theme="1"/>
      </rPr>
      <t xml:space="preserve">partial_sum </t>
    </r>
    <r>
      <rPr>
        <rFont val="Arial"/>
        <i/>
        <color theme="1"/>
      </rPr>
      <t xml:space="preserve">mesh
</t>
    </r>
    <r>
      <rPr>
        <rFont val="Arial"/>
        <color theme="1"/>
      </rPr>
      <t>(contracting dim)</t>
    </r>
  </si>
  <si>
    <t>Option A: AllReduce</t>
  </si>
  <si>
    <r>
      <rPr>
        <rFont val="Arial"/>
        <b/>
        <color theme="1"/>
      </rPr>
      <t xml:space="preserve">  [B, kT, D] {partial_sum on </t>
    </r>
    <r>
      <rPr>
        <rFont val="Arial"/>
        <b/>
        <i/>
        <color theme="1"/>
      </rPr>
      <t>mesh</t>
    </r>
    <r>
      <rPr>
        <rFont val="Arial"/>
        <b/>
        <color theme="1"/>
      </rPr>
      <t>} -&gt; [B, kT, D]   // Sharding notation omitted</t>
    </r>
  </si>
  <si>
    <t>Option B: Do not resolve partial sum yet</t>
  </si>
  <si>
    <t xml:space="preserve">  [B, kT, D] {partial_sum on mesh} -&gt; NO CHANGE   // Sharding notation omitted
  This is resolved as a part of expert token collection.</t>
  </si>
  <si>
    <t># of Tiles 
(Worst case adjustment)
: For every expert,
The last tile has 
only 1 token to compute,
causing huge padding.</t>
  </si>
  <si>
    <t>4. Collect</t>
  </si>
  <si>
    <t>Option A: Transposed All-To-All</t>
  </si>
  <si>
    <t>All-to-all 1 (Chip-to-Chip)</t>
  </si>
  <si>
    <t># of chips involved</t>
  </si>
  <si>
    <t>All-to-all 2 (Die-to-Die)</t>
  </si>
  <si>
    <t>Per-Device: Data Traffic from one device (MiB)</t>
  </si>
  <si>
    <t>Option B: Reduce-Scatter</t>
  </si>
  <si>
    <t xml:space="preserve"> 
1. Context: [B, kT, D] {partial-sum: TP}, expert-sorted
    After the previous op (Linear einsum), the activation has the shape of [B, kT, D] with partial sum on `TP` mesh.
2. Sort: [B, kT, D] {partial-sum: TP}, expert-sorted ===&gt; [B, kT, D] {partial-sum: TP}, seq-sorted
    WIthout resolving partial sum, revere-sort the tokens into sequence order.
3. Local Reduction:  [B * kT, D]{partial-sum: TP}, seq-sorted ===&gt; [B * T, D] {partial-sum: TP}, seq-sorted
    Locally, deduplicate/reduce tokens by reshuffling. k-times duplicated tokens will be reduced into one token. 
    The aggregation will be locally done using its own partial data.
4. Reduce Scatter. [B * T, D] {partial-sum: TP}  ===&gt; [B * T // TP, D]
    We apply reduction across shards, keeping the results sharded.</t>
  </si>
  <si>
    <t>Partial-sum Mesh (Set if EP enabled)</t>
  </si>
  <si>
    <t># of chiplets sharing the same links</t>
  </si>
  <si>
    <t>&lt;- Assumption: There's no intra-chip links involved for this RS. If so, choose option C.</t>
  </si>
  <si>
    <t>NCCL Interpolated RS Time</t>
  </si>
  <si>
    <t>Reduce-Scatter Transfer Time (Assuming bandwidth-bound)</t>
  </si>
  <si>
    <r>
      <rPr>
        <rFont val="Arial"/>
        <color theme="1"/>
      </rPr>
      <t xml:space="preserve"> 
1. Context: [B, kT, D] {partial-sum: TP}, expert-sorted
    After the previous op (Linear einsum), the activation has the shape of [B, kT, D] with partial sum on `TP` mesh.
2. Sort: [B, kT, D] {partial-sum: TP}, expert-sorted ===&gt; [B, kT, D] {partial-sum: TP}, seq-sorted
    WIthout resolving partial sum, revere-sort the tokens into sequence order.
3. Local Reduction:  [B * kT, D]{partial-sum: TP}, seq-sorted ===&gt; [B * T, D] {partial-sum: TP}, seq-sorted
    Locally, deduplicate/reduce tokens by reshuffling. k-times duplicated tokens will be reduced into one token. 
    The aggregation will be locally done using its own partial data.
4. Reduce Scatter. [B * T, D] {partial-sum: TP}  ===&gt; [B * T // TP, D]
    We apply reduction across shards, keeping the results sharded.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</si>
  <si>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ReduceScatter 1 
(Chip-to-Chip)</t>
  </si>
  <si>
    <t>Per-device: Data Traffic from one device (MiB)</t>
  </si>
  <si>
    <t xml:space="preserve">ReduceScatter 2 (Core-to-Core)
</t>
  </si>
  <si>
    <t>Last Phase Transfer Time (Exposed)</t>
  </si>
  <si>
    <t>Transfer Time TOTAL
(Overlapping RS1 + RS2 except the last phase)</t>
  </si>
  <si>
    <t>5. Shared
Expert (Input + Gate)</t>
  </si>
  <si>
    <t>6. Shared
Expert (Output)</t>
  </si>
  <si>
    <r>
      <rPr>
        <rFont val="Arial"/>
        <color theme="1"/>
      </rPr>
      <t xml:space="preserve">[B, T, D] -&gt; [B * T / EP, D] (sequence-sharded on B * 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</si>
  <si>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</si>
  <si>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</si>
  <si>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</si>
  <si>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128, 512, 7168</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</si>
  <si>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</si>
  <si>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</si>
  <si>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</si>
  <si>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</si>
  <si>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</si>
  <si>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color theme="1"/>
      </rPr>
      <t xml:space="preserve"> 
1. Context: [B, kT, D] {partial-sum: TP}, expert-sorted
    After the previous op (Linear einsum), the activation has the shape of [B, kT, D] with partial sum on `TP` mesh.
2. Sort: [B, kT, D] {partial-sum: TP}, expert-sorted ===&gt; [B, kT, D] {partial-sum: TP}, seq-sorted
    WIthout resolving partial sum, revere-sort the tokens into sequence order.
3. Local Reduction:  [B * kT, D]{partial-sum: TP}, seq-sorted ===&gt; [B * T, D] {partial-sum: TP}, seq-sorted
    Locally, deduplicate/reduce tokens by reshuffling. k-times duplicated tokens will be reduced into one token. 
    The aggregation will be locally done using its own partial data.
4. Reduce Scatter. [B * T, D] {partial-sum: TP}  ===&gt; [B * T // TP, D]
    We apply reduction across shards, keeping the results sharded.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</si>
  <si>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5. Shared
Expert (Input + Gate) DP</t>
  </si>
  <si>
    <r>
      <rPr>
        <rFont val="Arial"/>
        <color theme="1"/>
      </rPr>
      <t xml:space="preserve">[B, T, D] -&gt; [B * T / EP, D] (sequence-sharded on B * 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</si>
  <si>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Expert Hidden Dimension</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</si>
  <si>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</si>
  <si>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</si>
  <si>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</si>
  <si>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</si>
  <si>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</si>
  <si>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</si>
  <si>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</si>
  <si>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</si>
  <si>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color theme="1"/>
      </rPr>
      <t xml:space="preserve"> 
1. Context: [B, kT, D] {partial-sum: TP}, expert-sorted
    After the previous op (Linear einsum), the activation has the shape of [B, kT, D] with partial sum on `TP` mesh.
2. Sort: [B, kT, D] {partial-sum: TP}, expert-sorted ===&gt; [B, kT, D] {partial-sum: TP}, seq-sorted
    WIthout resolving partial sum, revere-sort the tokens into sequence order.
3. Local Reduction:  [B * kT, D]{partial-sum: TP}, seq-sorted ===&gt; [B * T, D] {partial-sum: TP}, seq-sorted
    Locally, deduplicate/reduce tokens by reshuffling. k-times duplicated tokens will be reduced into one token. 
    The aggregation will be locally done using its own partial data.
4. Reduce Scatter. [B * T, D] {partial-sum: TP}  ===&gt; [B * T // TP, D]
    We apply reduction across shards, keeping the results sharded.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</si>
  <si>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t xml:space="preserve">TP </t>
    </r>
    <r>
      <rPr>
        <color rgb="FF1155CC"/>
        <u/>
      </rPr>
      <t>https://screenshot.googleplex.com/5FzDZ4kQXAopcwk</t>
    </r>
  </si>
  <si>
    <t>6. Shared
Expert (Output) DP</t>
  </si>
  <si>
    <r>
      <rPr>
        <rFont val="Arial"/>
        <color theme="1"/>
      </rPr>
      <t xml:space="preserve">[B, T, D] -&gt; [B * T / EP, D] (sequence-sharded on B * 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</si>
  <si>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Date</t>
  </si>
  <si>
    <t>bs</t>
  </si>
  <si>
    <t>server</t>
  </si>
  <si>
    <t>note</t>
  </si>
  <si>
    <t>metric output at 128 concurrency</t>
  </si>
  <si>
    <t>log</t>
  </si>
  <si>
    <t>tok/s/chip</t>
  </si>
  <si>
    <t xml:space="preserve">Mean ITL (ms):  </t>
  </si>
  <si>
    <t>prefill time (ms)</t>
  </si>
  <si>
    <t>decode time (ms)</t>
  </si>
  <si>
    <t>bucket</t>
  </si>
  <si>
    <t>decode only
 xprof</t>
  </si>
  <si>
    <t>prefill only xprof</t>
  </si>
  <si>
    <t>plot</t>
  </si>
  <si>
    <t>fp AG, compiliation sizeTP</t>
  </si>
  <si>
    <t>--model /mnt/data/hf/hub/models--mistralai--Mistral-Large-3-675B-Instruct-2512/snapshots/5bb3d32a0a147594527f38cb136a8390eaa82222     --max-model-len 32768     --max-num-batched-tokens 2048     --max-num-seqs 8     --no-enable-prefix-caching     --tensor-parallel-size 16     --kv-cache-dtype "fp8"     --no-async-scheduling     --gpu-memory-utilization 0.90   --additional_config='{"compilation_sizes": [128], "sharding": {"sharding_strategy": {"enable_dp_attention": true}}}'     --trust-remote-code     --port 8000     2&gt;&amp;1 | tee /workspace/tpu_inference/server_run.log</t>
  </si>
  <si>
    <r>
      <rPr>
        <rFont val="Arial"/>
        <color rgb="FF1155CC"/>
        <u/>
      </rPr>
      <t>2026_05_29_05_42_08/</t>
    </r>
  </si>
  <si>
    <t>http://xprof.corp.google.com/trace_viewer/amandaliang-15542864136305965940</t>
  </si>
  <si>
    <t>http://xprof.corp.google.com/trace_viewer/amandaliang-2433963231091211163</t>
  </si>
  <si>
    <t>fp AG, compiliation sizeTPTPcap w2 block size</t>
  </si>
  <si>
    <t>Successful requests:                     1024
Failed requests:                         0
Maximum request concurrency:             128
Benchmark duration (s):                  332.34
Total input tokens:                      2097154
Total generated tokens:                  524288
Request throughput (req/s):              3.08
Output token throughput (tok/s):         1577.54
Peak output token throughput (tok/s):    2816.00
Peak concurrent requests:                160.00
Total token throughput (tok/s):          7887.72
---------------Time to First Token----------------
Mean TTFT (ms):                          4457.28
Median TTFT (ms):                        3890.57
P99 TTFT (ms):                           11773.39
-----Time per Output Token (excl. 1st token)------
Mean TPOT (ms):                          68.72
Median TPOT (ms):                        67.07
P99 TPOT (ms):                           76.58
---------------Inter-token Latency----------------
Mean ITL (ms):                           68.72
Median ITL (ms):                         47.20
P99 ITL (ms):                            1289.25
==================================================</t>
  </si>
  <si>
    <r>
      <rPr>
        <rFont val="Arial"/>
        <color rgb="FF1155CC"/>
        <u/>
      </rPr>
      <t>2026_05_30_23_07_12/</t>
    </r>
  </si>
  <si>
    <t>http://xprof.corp.google.com/trace_viewer/amandaliang-10442911076544866585</t>
  </si>
  <si>
    <t>http://xprof.corp.google.com/trace_viewer/amandaliang-2010731920219961902</t>
  </si>
  <si>
    <r>
      <rPr>
        <color rgb="FF1155CC"/>
        <u/>
      </rPr>
      <t>2026_05_31_18_26_41/</t>
    </r>
  </si>
  <si>
    <t>http://xprof.corp.google.com/trace_viewer/amandaliang-10769352853172664673</t>
  </si>
  <si>
    <t>http://xprof.corp.google.com/trace_viewer/amandaliang-13858822037780685389</t>
  </si>
  <si>
    <t>indeed it is
 slower than dense gather &amp; reduce</t>
  </si>
  <si>
    <r>
      <rPr>
        <color rgb="FF1155CC"/>
        <u/>
      </rPr>
      <t>2026_05_31_23_31_44/</t>
    </r>
  </si>
  <si>
    <t>https://xprof.corp.google.com/trace_viewer/amandaliang-6082202138384786625</t>
  </si>
  <si>
    <t>https://xprof.corp.google.com/trace_viewer/amandaliang-17487622945553212185?use_trace_viewer_v2=false&amp;show_hats_survey=true&amp;view_start=2947.278&amp;view_end=3025.829</t>
  </si>
  <si>
    <t>Successful requests:                     1024
Failed requests:                         0
Maximum request concurrency:             128
Benchmark duration (s):                  330.29
Total input tokens:                      2097154
Total generated tokens:                  524288
Request throughput (req/s):              3.10
Output token throughput (tok/s):         1587.35
Peak output token throughput (tok/s):    2688.00
Peak concurrent requests:                144.00
Total token throughput (tok/s):          7936.77
---------------Time to First Token----------------
Mean TTFT (ms):                          4169.59
Median TTFT (ms):                        3591.18
P99 TTFT (ms):                           10905.41
-----Time per Output Token (excl. 1st token)------
Mean TPOT (ms):                          68.77
Median TPOT (ms):                        67.21
P99 TPOT (ms):                           76.17
---------------Inter-token Latency----------------
Mean ITL (ms):                           68.77
Median ITL (ms):                         48.72
P99 ITL (ms):                            1195.96
==================================================</t>
  </si>
  <si>
    <r>
      <rPr>
        <color rgb="FF1155CC"/>
        <u/>
      </rPr>
      <t>2026_06_02_02_57_54/</t>
    </r>
  </si>
  <si>
    <t>http://xprof.corp.google.com/trace_viewer/amandaliang-6916777519404750625</t>
  </si>
  <si>
    <t>http://xprof.corp.google.com/trace_viewer/amandaliang-4757591059961737963</t>
  </si>
  <si>
    <t>use 2560 as the max model len</t>
  </si>
  <si>
    <t>Successful requests:                     1022
Failed requests:                         2
Maximum request concurrency:             128
Benchmark duration (s):                  291.06
Total input tokens:                      2093056
Total generated tokens:                  523264
Request throughput (req/s):              3.51
Output token throughput (tok/s):         1797.77
Peak output token throughput (tok/s):    2816.00
Peak concurrent requests:                160.00
Total token throughput (tok/s):          8988.87
---------------Time to First Token----------------
Mean TTFT (ms):                          3863.75
Median TTFT (ms):                        3396.87
P99 TTFT (ms):                           12403.74
-----Time per Output Token (excl. 1st token)------
Mean TPOT (ms):                          63.46
Median TPOT (ms):                        65.00
P99 TPOT (ms):                           67.59
---------------Inter-token Latency----------------
Mean ITL (ms):                           63.46
Median ITL (ms):                         47.90
P99 ITL (ms):                            1130.89</t>
  </si>
  <si>
    <t>/mnt/disks/persist/server_run_2026_06_04_19_10_38.log</t>
  </si>
  <si>
    <t>gs://mlperf-exp-europe-w/amandaliang/mistral/max-num-batched-tokens-2048/2026_06_05_02_10_31/</t>
  </si>
  <si>
    <r>
      <rPr>
        <color rgb="FF1155CC"/>
        <u/>
      </rPr>
      <t>http://xprof.corp.google.com/trace_viewer/amandaliang-11267132432707450113</t>
    </r>
  </si>
  <si>
    <r>
      <rPr>
        <color rgb="FF1155CC"/>
        <u/>
      </rPr>
      <t>http://xprof.corp.google.com/trace_viewer/amandaliang-14196367305023388449</t>
    </r>
  </si>
  <si>
    <t>half the bs just l
inearly reduces the step time. The bottlenecks is still the same.
also B*T=1024, which might not be what we want. we want it to be 2048</t>
  </si>
  <si>
    <t>Successful requests:                     1021
Failed requests:                         3
Maximum request concurrency:             128
Benchmark duration (s):                  277.68
Total input tokens:                      2091008
Total generated tokens:                  522752
Request throughput (req/s):              3.68
Output token throughput (tok/s):         1882.56
Peak output token throughput (tok/s):    2741.00
Peak concurrent requests:                144.00
Total token throughput (tok/s):          9412.81
---------------Time to First Token----------------
Mean TTFT (ms):                          2795.31
Median TTFT (ms):                        2347.74
P99 TTFT (ms):                           10080.84
-----Time per Output Token (excl. 1st token)------
Mean TPOT (ms):                          62.42
Median TPOT (ms):                        63.25
P99 TPOT (ms):                           64.60
---------------Inter-token Latency----------------
Mean ITL (ms):                           62.42
Median ITL (ms):                         48.34
P99 ITL (ms):                            594.69
==================================================</t>
  </si>
  <si>
    <t>mlperf-exp-europe-w/amandaliang/mistral/max-num-batched-tokens-1024</t>
  </si>
  <si>
    <t>https://xprof.corp.google.com/trace_viewer/amandaliang-3352838730305239785?view_start=169.289&amp;view_end=176.499</t>
  </si>
  <si>
    <t>https://xprof.corp.google.com/trace_viewer/amandaliang-8867064484723102296?view_start=2860.938&amp;view_end=2891.973</t>
  </si>
  <si>
    <t>remove</t>
  </si>
  <si>
    <t>Successful requests:                     1021
Failed requests:                         3
Maximum request concurrency:             128
Benchmark duration (s):                  292.46
Total input tokens:                      2091008
Total generated tokens:                  522752
Request throughput (req/s):              3.49
Output token throughput (tok/s):         1787.40
Peak output token throughput (tok/s):    2756.00
Peak concurrent requests:                160.00
Total token throughput (tok/s):          8937.01
---------------Time to First Token----------------
Mean TTFT (ms):                          3905.99
Median TTFT (ms):                        3397.30
P99 TTFT (ms):                           12452.03
-----Time per Output Token (excl. 1st token)------
Mean TPOT (ms):                          63.74
Median TPOT (ms):                        64.98
P99 TPOT (ms):                           67.57
---------------Inter-token Latency----------------
Mean ITL (ms):                           63.74
Median ITL (ms):                         47.99
P99 ITL (ms):                            1131.43
==================================================</t>
  </si>
  <si>
    <t>https://xprof.corp.google.com/trace_viewer/amandaliang-13750897293792486430?view_start=-291.331&amp;view_end=2234.789</t>
  </si>
  <si>
    <t>https://xprof.corp.google.com/trace_viewer/amandaliang-14789691241941704881?view_start=-2095.118&amp;view_end=16097.053</t>
  </si>
  <si>
    <t xml:space="preserve">
Successful requests:                     1021
Failed requests:                         3
Maximum request concurrency:             128
Benchmark duration (s):                  289.31
Total input tokens:                      2091008
Total generated tokens:                  522752
Request throughput (req/s):              3.53
Output token throughput (tok/s):         1806.88
Peak output token throughput (tok/s):    2729.00
Peak concurrent requests:                160.00
Total token throughput (tok/s):          9034.40
---------------Time to First Token----------------
Mean TTFT (ms):                          3623.96
Median TTFT (ms):                        3398.07
P99 TTFT (ms):                           10328.11
-----Time per Output Token (excl. 1st token)------
Mean TPOT (ms):                          63.74
Median TPOT (ms):                        63.60
P99 TPOT (ms):                           70.71
---------------Inter-token Latency----------------
Mean ITL (ms):                           63.74
Median ITL (ms):                         48.30
P99 ITL (ms):                            1131.70
==================================================D15</t>
  </si>
  <si>
    <t>https://xprof.corp.google.com/trace_viewer/amandaliang-2093135465846270286?view_start=218.971&amp;view_end=219.064</t>
  </si>
  <si>
    <t>https://xprof.corp.google.com/trace_viewer/amandaliang-12497654618983940452?view_start=3533.724&amp;view_end=3540.563</t>
  </si>
  <si>
    <t>https://github.com/vllm-project/tpu-inference/commit/5e7ebf1f4488cd7aafa4a21baf82c4aaabaaba06</t>
  </si>
  <si>
    <r>
      <rPr>
        <color rgb="FF1155CC"/>
        <u/>
      </rPr>
      <t>http://xprof.corp.google.com/trace_viewer/amandaliang-2903148620948916095</t>
    </r>
  </si>
  <si>
    <r>
      <rPr>
        <color rgb="FF1155CC"/>
        <u/>
      </rPr>
      <t>http://xprof.corp.google.com/trace_viewer/amandaliang-9123546916633042004</t>
    </r>
  </si>
  <si>
    <t>1 to 128</t>
  </si>
  <si>
    <t>MOE_ALL_GATHER_ACTIVATION_DTYPE=fp8 \
VLLM_TPU_PATCH_MM_EMBEDDINGS=1 \
TPU_MULTIHOST_BACKEND=ray \
JAX_PLATFORMS=\"\" \
GMM_VMEM_LIMIT_FRAC=0.85 \
VLLM_DISABLE_SHARED_EXPERTS_STREAM=0 \
MOE_REQUANTIZE_BLOCK_SIZE=512 \
NEW_MODEL_DESIGN=1 \
MODEL_IMPL_TYPE=vllm \
HF_HOME=\"/mnt/disks/persist/hf\" \
TPU_BACKEND_TYPE=jax \
ONEHOT_MOE_PERMUTE_THRESHOLD=2000 \
ATTN_BUCKETIZED_NUM_REQS=true \
ATTN_CUSTOM_NUM_REQS_BUCKETS=\"2,4,8\" \
vllm serve \
    --model /mnt/disks/persist/hf/hub/models--mistralai--Mistral-Large-3-675B-Instruct-2512/snapshots/5bb3d32a0a147594527f38cb136a8390eaa82222 \
    --max-model-len 3072 \
    --max-num-batched-tokens 2048 \
    --max-num-seqs 16 \
    --no-enable-prefix-caching \
    --tensor-parallel-size 16 \
    --kv-cache-dtype \"fp8\" \
    --async-scheduling \
    --gpu-memory-utilization 0.90 \
    --additional-config='\''{\"compilation_sizes\": [128], \"sharding\": {\"sharding_strategy\": {\"enable_dp_attention\": true}}}'\'' \
    --trust-remote-code \
    --port 8000 \
    2&gt;&amp;1 | tee ${LOG_DIR}/${LOG_FILE}</t>
  </si>
  <si>
    <t>at 1 to 32, we are slightly better than EP</t>
  </si>
  <si>
    <t>https://ff420afe7652a30f10779d2acd4f8d7a3093f7d96638fb7f001c110-apidata.googleusercontent.com/download/storage/v1/b/mlperf-exp-europe-w/o/amandaliang%2Fmistral%2F20260612_162805%2Fbenchmark_plot.png?jk=ARss-vZTR7W4-1mL-GrDSwGuzm62q5Qqd3jxiDtXR6aFdg4HwCBvw0YaFpKMMKR-FAc_NDCN4sYZr7OqdNJb_Vr5fSfAuWkajPT5O67DNKoavueyI_tl72618FfbrcBnhgjE0wX60FhhtC93Zig5VV8tsXqw9mGmhXuG5aHVGJtUq9R4lvGS5_OMHMUe1n6O5rlIUB2t9a_Cc2LZ2iSdK6UL9Odk3S8osOHw7NU6gzqoyAGEd7wtfTZxQJ2SVHw7nb_9hIlGjk7VDoUW2bp8asr5X5izh_W7bjEBg_GjRVpv3TXTbAdueFWoarxK5tgRjxLg8Sd7LSwEn9LUSmVUx7d5EHKkBTX9LOgYbvTlXTZZijhIHwhr5BiMntOvH4_4d4bgQEmj5BujrXuQy7e7OmLq2IW0IJ-1obLOGUOLC6tjEEsWFb3QgqXZvrnoCQ6un6O8ScGO9TIXGBsqhNn8jIwt9-bCHd9uRxOL3QnptPK0gsDn26Elri9Juj03Deq20Prjo4xNgtuC5cWIIqUEi-IEzHTE-GnhN2RCacObyQf4_g4k7FYVQ5apLoiVra5QGChD7Ig9qZB1fA_fsaCMDd2CgUTpGtoO6ZAYzym-ImdeFBqM_zIfgm0ZMlry92I2Uzkb_jatMlBUORaLzNSQjFyY0gCz9Uslnzhfse5ooleyd6Bce6nLKQq7uKV1ujQy76tnr_gnpacwP-xp9I-5XbYQw_2bULfCQGyGRwT1FgZWlCZGNUUjs97MmvfDRMpiDelkaVRCKfx51DHfZXFEzHcdjahr_pP8Yx6qCFl_nT6kWeCPkmljiIt43aJYxV8Yy8uhp7eKMjbViLOxWVrW1bquZXExl8HpVn79NTaDOZ6tICr4qhpLs6x4QnsachXdfVGwwiTQqXR3RFqSzqfQTQF9i2JOdo3O0GRe4BgN2e5Y__KfL-GSphb7GQVkKNaEYih6pguw_fmNIt-W5cUXX__fPoIR9__dtbRktplbe3tKeCrCB3BM4BfqBwAjT3K0KAty-ZnNIA79EFmfzo1uUfV4uZ802Cmgl5eQ3km3LDddwjvbsswp3O7AJZSg5BAyibeKSn7iRfO-lsC4qUc4ZvoIM9WZ_musVHtXkt_PBxwJwUIGN2lfZ9sQSMY-RBH9yTrf7OBqhJCbVl-72LzxI7QabtO1OoyvDxmZ3Ouh5K4dEQcRR2HI8RKd2ANBh05TJQrejEoJeE4m5-Fv1Zb8N2Qv2w&amp;isca=1</t>
  </si>
  <si>
    <t>MOE_ALL_GATHER_ACTIVATION_DTYPE=fp8 \
VLLM_TPU_PATCH_MM_EMBEDDINGS=1 \
TPU_MULTIHOST_BACKEND=ray \
JAX_PLATFORMS=\"\" \
GMM_VMEM_LIMIT_FRAC=0.85 \
VLLM_DISABLE_SHARED_EXPERTS_STREAM=0 \
MOE_REQUANTIZE_BLOCK_SIZE=512 \
NEW_MODEL_DESIGN=1 \
MODEL_IMPL_TYPE=vllm \
HF_HOME=\"/mnt/disks/persist/hf\" \
TPU_BACKEND_TYPE=jax \
ONEHOT_MOE_PERMUTE_THRESHOLD=2000 \
ATTN_BUCKETIZED_NUM_REQS=true \
ATTN_CUSTOM_NUM_REQS_BUCKETS=\"2,4,8\" \
vllm serve \
    --model /mnt/disks/persist/hf/hub/models--mistralai--Mistral-Large-3-675B-Instruct-2512/snapshots/5bb3d32a0a147594527f38cb136a8390eaa82222 \
    --max-model-len 3072 \
    --max-num-batched-tokens 2048 \
    --max-num-seqs 8 \
    --no-enable-prefix-caching \
    --tensor-parallel-size 16 \
    --kv-cache-dtype \"fp8\" \
    --async-scheduling \
    --gpu-memory-utilization 0.90 \
    --additional-config='\''{\"compilation_sizes\": [128], \"sharding\": {\"sharding_strategy\": {\"enable_dp_attention\": true}}}'\'' \
    --trust-remote-code \
    --port 8000 \
    2&gt;&amp;1 | tee ${LOG_DIR}/${LOG_FILE}</t>
  </si>
  <si>
    <t>https://xprof.corp.google.com/trace_viewer/amandaliang-1773162805974960402?view_start=-273.384&amp;view_end=2097.309</t>
  </si>
  <si>
    <t>https://xprof.corp.google.com/trace_viewer/amandaliang-9262844359412781252</t>
  </si>
  <si>
    <t>MOE_ALL_GATHER_ACTIVATION_DTYPE=fp8 \
VLLM_TPU_PATCH_MM_EMBEDDINGS=1 \
TPU_MULTIHOST_BACKEND=ray \
JAX_PLATFORMS=\"\" \
VLLM_DISABLE_SHARED_EXPERTS_STREAM=0 \
MOE_REQUANTIZE_BLOCK_SIZE=512 \
NEW_MODEL_DESIGN=1 \
MODEL_IMPL_TYPE=vllm \
HF_HOME=\"/mnt/disks/persist/hf\" \
TPU_BACKEND_TYPE=jax \
ONEHOT_MOE_PERMUTE_THRESHOLD=2000 \
vllm serve \
    --model /mnt/disks/persist/hf/hub/models--mistralai--Mistral-Large-3-675B-Instruct-2512/snapshots/5bb3d32a0a147594527f38cb136a8390eaa82222 \
    --max-model-len 3072 \
    --max-num-batched-tokens 2048 \
    --max-num-seqs 8 \
    --no-enable-prefix-caching \
    --tensor-parallel-size 16 \
    --kv-cache-dtype \"fp8\" \
    --async-scheduling \
    --gpu-memory-utilization 0.90 \
    --additional-config='\''{\"compilation_sizes\": [128], \"sharding\": {\"sharding_strategy\": {\"enable_dp_attention\": true}}}'\'' \
    --trust-remote-code \
    --port 8000 \
    2&gt;&amp;1 | tee ${LOG_DIR}/${LOG_FILE}</t>
  </si>
  <si>
    <t>GhostFish (P3)</t>
  </si>
  <si>
    <t>GB200</t>
  </si>
  <si>
    <t>GB200 / GFC Derated</t>
  </si>
  <si>
    <t># of TensorCore per Chip</t>
  </si>
  <si>
    <t>HBM BW Derate</t>
  </si>
  <si>
    <t>TFLOPS Derate</t>
  </si>
  <si>
    <t>Core-to-Core Interconnect Derate</t>
  </si>
  <si>
    <t>Chip-to-Chip Interconnect Derate</t>
  </si>
  <si>
    <t>GFC Topology and Bandwidth Table</t>
  </si>
  <si>
    <t># Chips</t>
  </si>
  <si>
    <t>Detailed Topology (m=mesh, t=torus)</t>
  </si>
  <si>
    <t># of Bisection Links (bidirectional)</t>
  </si>
  <si>
    <t>Total # Unidirectional Links</t>
  </si>
  <si>
    <t>Simplified Topology</t>
  </si>
  <si>
    <t>Total # Bidirectional Links</t>
  </si>
  <si>
    <t>Max # Hops</t>
  </si>
  <si>
    <t>2m</t>
  </si>
  <si>
    <t>2m,2m</t>
  </si>
  <si>
    <t>2x2</t>
  </si>
  <si>
    <t>2m,2m,2m</t>
  </si>
  <si>
    <t>2x2x2</t>
  </si>
  <si>
    <t>4t,4t</t>
  </si>
  <si>
    <t>4x4</t>
  </si>
  <si>
    <t>4t,4t,2m</t>
  </si>
  <si>
    <t>4x4x2</t>
  </si>
  <si>
    <t>chip</t>
  </si>
  <si>
    <t>operation</t>
  </si>
  <si>
    <t>size</t>
  </si>
  <si>
    <t>time</t>
  </si>
  <si>
    <t>algbw</t>
  </si>
  <si>
    <t>busbw</t>
  </si>
  <si>
    <t>datetime</t>
  </si>
  <si>
    <t>AG/RS/A2A theoretical time GB200 (us)</t>
  </si>
  <si>
    <t>% of theoretical</t>
  </si>
  <si>
    <t>all_gather</t>
  </si>
  <si>
    <t>all_reduce</t>
  </si>
  <si>
    <t>all_to_all</t>
  </si>
  <si>
    <t>reduce_scatter</t>
  </si>
  <si>
    <t>ALL_GATHER</t>
  </si>
  <si>
    <t>ALL_REDUCE</t>
  </si>
  <si>
    <t>ALL_TO_ALL</t>
  </si>
  <si>
    <t>REDUCE_SCATTER</t>
  </si>
  <si>
    <t>Tensor</t>
  </si>
  <si>
    <t>dtype bytes</t>
  </si>
  <si>
    <t>Size (MiB)</t>
  </si>
  <si>
    <t>Wo</t>
  </si>
  <si>
    <t>Wuv</t>
  </si>
  <si>
    <t>Wuv*Wo (contract on h_nope)</t>
  </si>
  <si>
    <t>Activation Saved 
(if not already in VMEM)</t>
  </si>
  <si>
    <t>Wuk</t>
  </si>
  <si>
    <t>Wuq</t>
  </si>
  <si>
    <t>Wuq*Wuk' (contract on h_nope)</t>
  </si>
  <si>
    <t>Config:</t>
  </si>
  <si>
    <t>[1K/8K] GF 2x2 DP8/EP8 Aggregated MOE-a8w4</t>
  </si>
  <si>
    <t>Check modled roofline time vs linearly interpolated roofline time based on first / last token</t>
  </si>
  <si>
    <t xml:space="preserve">Seems close enough: </t>
  </si>
  <si>
    <t>KV len</t>
  </si>
  <si>
    <t>Time all layers (s) - Roofline</t>
  </si>
  <si>
    <t xml:space="preserve">Time all layers if linearly interpolated (s) </t>
  </si>
  <si>
    <t>delta</t>
  </si>
  <si>
    <t>Measured (all layers)</t>
  </si>
  <si>
    <t>% roofline</t>
  </si>
  <si>
    <t>TODO LIST</t>
  </si>
  <si>
    <t>Derate Factor</t>
  </si>
  <si>
    <t>GhostFish</t>
  </si>
  <si>
    <t>Assumed Topology</t>
  </si>
  <si>
    <t># of Links in the current topology</t>
  </si>
  <si>
    <t>kvcache_dtype</t>
  </si>
  <si>
    <t>Maximum Batchsize Calculation</t>
  </si>
  <si>
    <t>Reference Value (GB200)</t>
  </si>
  <si>
    <t>Model Weights Dtype</t>
  </si>
  <si>
    <t>KV Cache Dtype</t>
  </si>
  <si>
    <t>Shared Expert Strategy</t>
  </si>
  <si>
    <t>Strategy A: All-Gather Tokens</t>
  </si>
  <si>
    <t># of Model Params</t>
  </si>
  <si>
    <t># of Attention Params</t>
  </si>
  <si>
    <t># of Non Attention Params</t>
  </si>
  <si>
    <t># Attention Memory (GiB)</t>
  </si>
  <si>
    <t># Model Memory (GiB)</t>
  </si>
  <si>
    <t># Per Device Model
Memory (GiB)</t>
  </si>
  <si>
    <t>Usable fraction</t>
  </si>
  <si>
    <t>Maximum Global 
Batch Size</t>
  </si>
  <si>
    <t>% Roofline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</si>
  <si>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</si>
  <si>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</si>
  <si>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</si>
  <si>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Size of Data Being Transferred</t>
  </si>
  <si>
    <t>A2A Transfer Time (Assuming bandwidth-bound)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</si>
  <si>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</si>
  <si>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1</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</si>
  <si>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</si>
  <si>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</si>
  <si>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</si>
  <si>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</si>
  <si>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(Global) Size of Data Being Transferred</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</si>
  <si>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</si>
  <si>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</si>
  <si>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</si>
  <si>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</si>
  <si>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</si>
  <si>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</si>
  <si>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</si>
  <si>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</si>
  <si>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</si>
  <si>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</si>
  <si>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Option C: No Collectives</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</si>
  <si>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</si>
  <si>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</si>
  <si>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</si>
  <si>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</si>
  <si>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</si>
  <si>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</si>
  <si>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</si>
  <si>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</si>
  <si>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</si>
  <si>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</si>
  <si>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</si>
  <si>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</si>
  <si>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</si>
  <si>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</si>
  <si>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</si>
  <si>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</si>
  <si>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</si>
  <si>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</si>
  <si>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</si>
  <si>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</si>
  <si>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</si>
  <si>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</si>
  <si>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w16a16</t>
  </si>
  <si>
    <t>w4a8</t>
  </si>
  <si>
    <t>% to the reference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</si>
  <si>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</si>
  <si>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</si>
  <si>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</si>
  <si>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</si>
  <si>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</si>
  <si>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</si>
  <si>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</si>
  <si>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</si>
  <si>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Src/Dst Pair with 1 hop</t>
  </si>
  <si>
    <t>Src/Dst Pair with 2 hop</t>
  </si>
  <si>
    <t>Src/Dst Pair with 3 hop</t>
  </si>
  <si>
    <t># of Links Involved</t>
  </si>
  <si>
    <t>A2A Transfer Time (Assuming bandwidth-bound)
TODO: Core-to-Core A2A is not included in this latency</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</si>
  <si>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</si>
  <si>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</si>
  <si>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</si>
  <si>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</si>
  <si>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</si>
  <si>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</si>
  <si>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</si>
  <si>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</si>
  <si>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</si>
  <si>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</si>
  <si>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</si>
  <si>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</si>
  <si>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ICI 
Overlap?</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</si>
  <si>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</si>
  <si>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</si>
  <si>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</si>
  <si>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Strategy C: All Gather (for CM)</t>
  </si>
  <si>
    <t>Reduce Scatter (for CM)</t>
  </si>
  <si>
    <t xml:space="preserve"> [B // model, T, n_q, h_nope+h_rope] {partialsum-data} -&gt; [B // data,model, T, D]</t>
  </si>
  <si>
    <t>&lt;- AG isn't beneficial because ICI cost is too big even for die-to-die interconnect. (AG-ing 64MB)</t>
  </si>
  <si>
    <t>All Gather (for CM)</t>
  </si>
  <si>
    <t xml:space="preserve"> [B // model, T, n_q, h_nope // data] -&gt; [B // model, T, n_q, h_nope]</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</si>
  <si>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</si>
  <si>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2x2x2 chips (x2 chiplets)</t>
  </si>
  <si>
    <t>D=2 / F=8</t>
  </si>
  <si>
    <t>D=2 / EP=8</t>
  </si>
  <si>
    <t>Pre-Op Collectives</t>
  </si>
  <si>
    <t xml:space="preserve"> [B // model, kT, D // data] -&gt; [B, kT, D // data]</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</si>
  <si>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</si>
  <si>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</si>
  <si>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&lt;- This is materialized after RS in Stage 4</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</si>
  <si>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</si>
  <si>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</si>
  <si>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</si>
  <si>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</si>
  <si>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</si>
  <si>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</si>
  <si>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</si>
  <si>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</si>
  <si>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</si>
  <si>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</si>
  <si>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 xml:space="preserve">  [2, B // EP, kT, F] {partial_sum on mesh} -&gt; [2, B, kT, F // TP // mesh]</t>
  </si>
  <si>
    <t xml:space="preserve">  [2, B // EP, kT, F // mesh] -&gt; [B, kT, F // mesh]</t>
  </si>
  <si>
    <t xml:space="preserve">  [B // EP, kT, F // mesh]  -&gt; [B // EP, kT, F]</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</si>
  <si>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</si>
  <si>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</si>
  <si>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</si>
  <si>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</si>
  <si>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</si>
  <si>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</si>
  <si>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</si>
  <si>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POST-OP Collective</t>
  </si>
  <si>
    <t>All-gather on Output tensor: [B // data,model, T, n_q, h_nope] -&gt; [B // model, T, n_q, h_nope] -&gt; [B // model, T, n_q, h_nope // data]</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</si>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</sst>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0.0000"/>
    <numFmt numFmtId="165" formatCode="0.0%"/>
    <numFmt numFmtId="166" formatCode="0.0000"/>
    <numFmt numFmtId="167" formatCode="0.00000"/>
    <numFmt numFmtId="168" formatCode="[&lt;1000000000]0.00,,&quot; MB&quot;;[&lt;1000000000000]0.000,,,&quot; GB&quot;;0.000,,,,&quot; TB&quot;"/>
    <numFmt numFmtId="169" formatCode="[&lt;1000000000]0.0,,&quot; MB&quot;;[&lt;1000000000000]0.00,,,&quot; GB&quot;;0.00,,,,&quot; TB&quot;"/>
    <numFmt numFmtId="170" formatCode="0.0"/>
    <numFmt numFmtId="171" formatCode="[&lt;1000]0.0000&quot; ms&quot;;[&lt;1000000]0.0000,&quot; s&quot;"/>
    <numFmt numFmtId="172" formatCode="[&lt;999950]0.0,&quot;K&quot;;[&lt;999950000]0.0,,&quot;M&quot;;0.0,,,&quot;B&quot;"/>
    <numFmt numFmtId="173" formatCode="0.000"/>
    <numFmt numFmtId="174" formatCode="#,##0.00 &quot;MiB&quot;"/>
    <numFmt numFmtId="175" formatCode="[&lt;1000]0.000&quot; ms&quot;;[&lt;1000000]0.000,&quot; s&quot;"/>
    <numFmt numFmtId="176" formatCode="[&lt;1000]0.00000&quot; ms&quot;;[&lt;1000000]0.00000,&quot; s&quot;"/>
    <numFmt numFmtId="177" formatCode="[&lt;1000]0.000000&quot; ms&quot;;[&lt;1000000]0.000000,&quot; s&quot;"/>
    <numFmt numFmtId="178" formatCode="m/d/yyyy"/>
    <numFmt numFmtId="179" formatCode="yyyy-mm-dd h:mm:ss"/>
    <numFmt numFmtId="180" formatCode="yyyy-mm-dd"/>
  </numFmts>
  <fonts count="49">
    <font>
      <sz val="10.0"/>
      <color rgb="FF000000"/>
      <name val="Arial"/>
      <scheme val="minor"/>
    </font>
    <font>
      <u/>
      <color rgb="FF0000FF"/>
    </font>
    <font>
      <color theme="1"/>
      <name val="Arial"/>
    </font>
    <font>
      <b/>
      <color theme="1"/>
      <name val="Arial"/>
      <scheme val="minor"/>
    </font>
    <font>
      <color theme="1"/>
      <name val="Arial"/>
      <scheme val="minor"/>
    </font>
    <font>
      <b/>
      <color rgb="FF000000"/>
      <name val="Roboto"/>
    </font>
    <font>
      <b/>
      <color theme="1"/>
      <name val="&quot;Google Sans Text&quot;"/>
    </font>
    <font>
      <color theme="1"/>
      <name val="&quot;Google Sans Text&quot;"/>
    </font>
    <font>
      <color rgb="FF000000"/>
      <name val="Roboto"/>
    </font>
    <font>
      <color rgb="FFFFFFFF"/>
      <name val="Arial"/>
      <scheme val="minor"/>
    </font>
    <font>
      <color rgb="FFFFFFFF"/>
      <name val="Arial"/>
    </font>
    <font>
      <b/>
      <color rgb="FFFFFFFF"/>
      <name val="&quot;Google Sans Text&quot;"/>
    </font>
    <font>
      <b/>
      <color rgb="FFFFFFFF"/>
      <name val="Arial"/>
      <scheme val="minor"/>
    </font>
    <font>
      <color rgb="FFFFFFFF"/>
      <name val="&quot;Google Sans Text&quot;"/>
    </font>
    <font>
      <u/>
      <color rgb="FF0000FF"/>
    </font>
    <font>
      <b/>
      <sz val="11.0"/>
      <color rgb="FFFFFFFF"/>
      <name val="Montserrat"/>
    </font>
    <font>
      <b/>
      <u/>
      <sz val="11.0"/>
      <color rgb="FFFFFFFF"/>
      <name val="Montserrat"/>
    </font>
    <font>
      <sz val="10.0"/>
      <color rgb="FF191B1F"/>
      <name val="Roboto"/>
    </font>
    <font>
      <u/>
      <sz val="10.0"/>
      <color rgb="FF0000FF"/>
      <name val="Roboto"/>
    </font>
    <font>
      <u/>
      <sz val="10.0"/>
      <color rgb="FF191B1F"/>
      <name val="Roboto"/>
    </font>
    <font/>
    <font>
      <u/>
      <sz val="10.0"/>
      <color rgb="FF0000FF"/>
      <name val="Roboto"/>
    </font>
    <font>
      <u/>
      <sz val="10.0"/>
      <color rgb="FF0000FF"/>
      <name val="Roboto"/>
    </font>
    <font>
      <u/>
      <color rgb="FF0000FF"/>
    </font>
    <font>
      <sz val="10.0"/>
      <color theme="1"/>
      <name val="Roboto"/>
    </font>
    <font>
      <b/>
      <sz val="13.0"/>
      <color theme="1"/>
      <name val="Arial"/>
      <scheme val="minor"/>
    </font>
    <font>
      <b/>
      <sz val="13.0"/>
      <color theme="1"/>
      <name val="Arial"/>
    </font>
    <font>
      <sz val="13.0"/>
      <color theme="1"/>
      <name val="Arial"/>
      <scheme val="minor"/>
    </font>
    <font>
      <sz val="13.0"/>
      <color theme="1"/>
      <name val="Arial"/>
    </font>
    <font>
      <b/>
      <color theme="1"/>
      <name val="Arial"/>
    </font>
    <font>
      <b/>
      <sz val="10.0"/>
      <color theme="1"/>
      <name val="Arial"/>
      <scheme val="minor"/>
    </font>
    <font>
      <color rgb="FFFF0000"/>
      <name val="Arial"/>
      <scheme val="minor"/>
    </font>
    <font>
      <b/>
      <sz val="16.0"/>
      <color theme="1"/>
      <name val="Arial"/>
      <scheme val="minor"/>
    </font>
    <font>
      <b/>
      <sz val="18.0"/>
      <color theme="1"/>
      <name val="Arial"/>
      <scheme val="minor"/>
    </font>
    <font>
      <u/>
      <color rgb="FF0000FF"/>
      <name val="Arial"/>
    </font>
    <font>
      <strike/>
      <color theme="1"/>
      <name val="Arial"/>
    </font>
    <font>
      <i/>
      <strike/>
      <color rgb="FF0000FF"/>
      <name val="Arial"/>
    </font>
    <font>
      <strike/>
      <color rgb="FFFF0000"/>
      <name val="Arial"/>
    </font>
    <font>
      <u/>
      <color rgb="FF0000FF"/>
    </font>
    <font>
      <i/>
      <color rgb="FF0000FF"/>
      <name val="Arial"/>
    </font>
    <font>
      <i/>
      <color theme="1"/>
      <name val="Arial"/>
    </font>
    <font>
      <u/>
      <color rgb="FF1155CC"/>
      <name val="Arial"/>
    </font>
    <font>
      <strike/>
      <color theme="1"/>
      <name val="Arial"/>
      <scheme val="minor"/>
    </font>
    <font>
      <strike/>
      <color rgb="FF0000FF"/>
    </font>
    <font>
      <u/>
      <color rgb="FF0000FF"/>
    </font>
    <font>
      <u/>
      <color rgb="FF0000FF"/>
    </font>
    <font>
      <u/>
      <color rgb="FF0000FF"/>
    </font>
    <font>
      <b/>
      <u/>
      <sz val="16.0"/>
      <color rgb="FF0000FF"/>
    </font>
    <font>
      <b/>
      <sz val="18.0"/>
      <color theme="1"/>
      <name val="Arial"/>
    </font>
  </fonts>
  <fills count="35">
    <fill>
      <patternFill patternType="none"/>
    </fill>
    <fill>
      <patternFill patternType="lightGray"/>
    </fill>
    <fill>
      <patternFill patternType="solid">
        <fgColor rgb="FF35608D"/>
        <bgColor rgb="FF35608D"/>
      </patternFill>
    </fill>
    <fill>
      <patternFill patternType="solid">
        <fgColor rgb="FFF8F8FF"/>
        <bgColor rgb="FFF8F8FF"/>
      </patternFill>
    </fill>
    <fill>
      <patternFill patternType="solid">
        <fgColor rgb="FFFFFFFF"/>
        <bgColor rgb="FFFFFFFF"/>
      </patternFill>
    </fill>
    <fill>
      <patternFill patternType="solid">
        <fgColor rgb="FFE06666"/>
        <bgColor rgb="FFE06666"/>
      </patternFill>
    </fill>
    <fill>
      <patternFill patternType="solid">
        <fgColor rgb="FFF4CCCC"/>
        <bgColor rgb="FFF4CCCC"/>
      </patternFill>
    </fill>
    <fill>
      <patternFill patternType="solid">
        <fgColor rgb="FFCC4125"/>
        <bgColor rgb="FFCC4125"/>
      </patternFill>
    </fill>
    <fill>
      <patternFill patternType="solid">
        <fgColor rgb="FFFF0000"/>
        <bgColor rgb="FFFF0000"/>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9FC5E8"/>
        <bgColor rgb="FF9FC5E8"/>
      </patternFill>
    </fill>
    <fill>
      <patternFill patternType="solid">
        <fgColor rgb="FF78909C"/>
        <bgColor rgb="FF78909C"/>
      </patternFill>
    </fill>
    <fill>
      <patternFill patternType="solid">
        <fgColor rgb="FFEBEFF1"/>
        <bgColor rgb="FFEBEFF1"/>
      </patternFill>
    </fill>
    <fill>
      <patternFill patternType="solid">
        <fgColor rgb="FF4DD0E1"/>
        <bgColor rgb="FF4DD0E1"/>
      </patternFill>
    </fill>
    <fill>
      <patternFill patternType="solid">
        <fgColor rgb="FFE0F7FA"/>
        <bgColor rgb="FFE0F7FA"/>
      </patternFill>
    </fill>
    <fill>
      <patternFill patternType="solid">
        <fgColor rgb="FFCCA677"/>
        <bgColor rgb="FFCCA677"/>
      </patternFill>
    </fill>
    <fill>
      <patternFill patternType="solid">
        <fgColor rgb="FFF8F2EB"/>
        <bgColor rgb="FFF8F2EB"/>
      </patternFill>
    </fill>
    <fill>
      <patternFill patternType="solid">
        <fgColor rgb="FF63D297"/>
        <bgColor rgb="FF63D297"/>
      </patternFill>
    </fill>
    <fill>
      <patternFill patternType="solid">
        <fgColor rgb="FFD5A6BD"/>
        <bgColor rgb="FFD5A6BD"/>
      </patternFill>
    </fill>
    <fill>
      <patternFill patternType="solid">
        <fgColor rgb="FFEFEFEF"/>
        <bgColor rgb="FFEFEFEF"/>
      </patternFill>
    </fill>
    <fill>
      <patternFill patternType="solid">
        <fgColor rgb="FFFFFF00"/>
        <bgColor rgb="FFFFFF00"/>
      </patternFill>
    </fill>
    <fill>
      <patternFill patternType="solid">
        <fgColor rgb="FFF7CB4D"/>
        <bgColor rgb="FFF7CB4D"/>
      </patternFill>
    </fill>
    <fill>
      <patternFill patternType="solid">
        <fgColor rgb="FFFFFBEE"/>
        <bgColor rgb="FFFFFBEE"/>
      </patternFill>
    </fill>
    <fill>
      <patternFill patternType="solid">
        <fgColor rgb="FFFCE8B2"/>
        <bgColor rgb="FFFCE8B2"/>
      </patternFill>
    </fill>
    <fill>
      <patternFill patternType="solid">
        <fgColor rgb="FFFFF2CC"/>
        <bgColor rgb="FFFFF2CC"/>
      </patternFill>
    </fill>
    <fill>
      <patternFill patternType="solid">
        <fgColor rgb="FFF3F3F3"/>
        <bgColor rgb="FFF3F3F3"/>
      </patternFill>
    </fill>
    <fill>
      <patternFill patternType="solid">
        <fgColor rgb="FFD9D2E9"/>
        <bgColor rgb="FFD9D2E9"/>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
      <patternFill patternType="solid">
        <fgColor rgb="FFC27BA0"/>
        <bgColor rgb="FFC27BA0"/>
      </patternFill>
    </fill>
    <fill>
      <patternFill patternType="solid">
        <fgColor rgb="FFEAD1DC"/>
        <bgColor rgb="FFEAD1DC"/>
      </patternFill>
    </fill>
    <fill>
      <patternFill patternType="solid">
        <fgColor rgb="FFE8E7FC"/>
        <bgColor rgb="FFE8E7FC"/>
      </patternFill>
    </fill>
  </fills>
  <borders count="23">
    <border/>
    <border>
      <left style="thin">
        <color rgb="FF000000"/>
      </left>
      <right style="thin">
        <color rgb="FF000000"/>
      </right>
      <top style="thin">
        <color rgb="FF000000"/>
      </top>
      <bottom style="thin">
        <color rgb="FF000000"/>
      </bottom>
    </border>
    <border>
      <left style="thin">
        <color rgb="FF72777F"/>
      </left>
      <right style="thin">
        <color rgb="FF72777F"/>
      </right>
      <top style="thin">
        <color rgb="FF72777F"/>
      </top>
      <bottom style="thin">
        <color rgb="FF72777F"/>
      </bottom>
    </border>
    <border>
      <left style="thin">
        <color rgb="FF72777F"/>
      </left>
      <right style="thin">
        <color rgb="FF72777F"/>
      </right>
      <top style="thin">
        <color rgb="FF72777F"/>
      </top>
    </border>
    <border>
      <left style="thin">
        <color rgb="FF72777F"/>
      </left>
      <right style="thin">
        <color rgb="FF72777F"/>
      </right>
    </border>
    <border>
      <left style="thin">
        <color rgb="FF72777F"/>
      </left>
      <right style="thin">
        <color rgb="FF72777F"/>
      </right>
      <bottom style="thin">
        <color rgb="FF72777F"/>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434343"/>
      </left>
      <right style="thin">
        <color rgb="FF434343"/>
      </right>
      <bottom style="thin">
        <color rgb="FF434343"/>
      </bottom>
    </border>
    <border>
      <top style="thin">
        <color rgb="FF000000"/>
      </top>
    </border>
  </borders>
  <cellStyleXfs count="1">
    <xf borderId="0" fillId="0" fontId="0" numFmtId="0" applyAlignment="1" applyFont="1"/>
  </cellStyleXfs>
  <cellXfs count="9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horizontal="center" shrinkToFit="0" wrapText="1"/>
    </xf>
    <xf borderId="1" fillId="0" fontId="5" numFmtId="0" xfId="0" applyAlignment="1" applyBorder="1" applyFont="1">
      <alignment horizontal="right" readingOrder="0" vertical="bottom"/>
    </xf>
    <xf borderId="1" fillId="0" fontId="6" numFmtId="0" xfId="0" applyAlignment="1" applyBorder="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7" numFmtId="0" xfId="0" applyAlignment="1" applyBorder="1" applyFont="1">
      <alignment readingOrder="0"/>
    </xf>
    <xf borderId="1" fillId="0" fontId="4" numFmtId="0" xfId="0" applyBorder="1" applyFont="1"/>
    <xf borderId="1" fillId="0" fontId="8" numFmtId="0" xfId="0" applyAlignment="1" applyBorder="1" applyFont="1">
      <alignment horizontal="right" readingOrder="0" vertical="top"/>
    </xf>
    <xf borderId="0" fillId="0" fontId="9" numFmtId="0" xfId="0" applyFont="1"/>
    <xf borderId="0" fillId="0" fontId="10" numFmtId="0" xfId="0" applyAlignment="1" applyFont="1">
      <alignment vertical="bottom"/>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3" numFmtId="2" xfId="0" applyAlignment="1" applyFont="1" applyNumberFormat="1">
      <alignment readingOrder="0"/>
    </xf>
    <xf borderId="0" fillId="0" fontId="10" numFmtId="2" xfId="0" applyAlignment="1" applyFont="1" applyNumberFormat="1">
      <alignment vertical="bottom"/>
    </xf>
    <xf borderId="0" fillId="0" fontId="9" numFmtId="0" xfId="0" applyAlignment="1" applyFont="1">
      <alignment horizontal="center" shrinkToFit="0" wrapText="1"/>
    </xf>
    <xf borderId="0" fillId="0" fontId="12" numFmtId="0" xfId="0" applyAlignment="1" applyFont="1">
      <alignment readingOrder="0" shrinkToFit="0" wrapText="1"/>
    </xf>
    <xf borderId="0" fillId="0" fontId="10" numFmtId="0" xfId="0" applyAlignment="1" applyFont="1">
      <alignment readingOrder="0" vertical="bottom"/>
    </xf>
    <xf borderId="0" fillId="0" fontId="14" numFmtId="0" xfId="0" applyAlignment="1" applyFont="1">
      <alignment readingOrder="0"/>
    </xf>
    <xf borderId="2" fillId="2" fontId="15" numFmtId="0" xfId="0" applyAlignment="1" applyBorder="1" applyFill="1" applyFont="1">
      <alignment vertical="bottom"/>
    </xf>
    <xf borderId="2" fillId="2" fontId="15" numFmtId="0" xfId="0" applyAlignment="1" applyBorder="1" applyFont="1">
      <alignment readingOrder="0" vertical="bottom"/>
    </xf>
    <xf borderId="2" fillId="2" fontId="16" numFmtId="0" xfId="0" applyAlignment="1" applyBorder="1" applyFont="1">
      <alignment readingOrder="0" vertical="bottom"/>
    </xf>
    <xf borderId="3" fillId="3" fontId="17" numFmtId="0" xfId="0" applyAlignment="1" applyBorder="1" applyFill="1" applyFont="1">
      <alignment horizontal="center" readingOrder="0" vertical="center"/>
    </xf>
    <xf borderId="2" fillId="3" fontId="17" numFmtId="0" xfId="0" applyAlignment="1" applyBorder="1" applyFont="1">
      <alignment readingOrder="0"/>
    </xf>
    <xf borderId="2" fillId="3" fontId="17" numFmtId="164" xfId="0" applyBorder="1" applyFont="1" applyNumberFormat="1"/>
    <xf borderId="2" fillId="3" fontId="17" numFmtId="165" xfId="0" applyBorder="1" applyFont="1" applyNumberFormat="1"/>
    <xf borderId="2" fillId="3" fontId="18" numFmtId="164" xfId="0" applyAlignment="1" applyBorder="1" applyFont="1" applyNumberFormat="1">
      <alignment readingOrder="0"/>
    </xf>
    <xf borderId="2" fillId="3" fontId="17" numFmtId="10" xfId="0" applyBorder="1" applyFont="1" applyNumberFormat="1"/>
    <xf borderId="2" fillId="3" fontId="19" numFmtId="164" xfId="0" applyAlignment="1" applyBorder="1" applyFont="1" applyNumberFormat="1">
      <alignment readingOrder="0"/>
    </xf>
    <xf borderId="4" fillId="4" fontId="20" numFmtId="0" xfId="0" applyBorder="1" applyFill="1" applyFont="1"/>
    <xf borderId="2" fillId="4" fontId="17" numFmtId="0" xfId="0" applyAlignment="1" applyBorder="1" applyFont="1">
      <alignment readingOrder="0"/>
    </xf>
    <xf borderId="2" fillId="4" fontId="17" numFmtId="164" xfId="0" applyBorder="1" applyFont="1" applyNumberFormat="1"/>
    <xf borderId="2" fillId="4" fontId="17" numFmtId="165" xfId="0" applyBorder="1" applyFont="1" applyNumberFormat="1"/>
    <xf borderId="2" fillId="4" fontId="21" numFmtId="164" xfId="0" applyAlignment="1" applyBorder="1" applyFont="1" applyNumberFormat="1">
      <alignment readingOrder="0"/>
    </xf>
    <xf borderId="2" fillId="4" fontId="17" numFmtId="10" xfId="0" applyBorder="1" applyFont="1" applyNumberFormat="1"/>
    <xf borderId="2" fillId="4" fontId="17" numFmtId="164" xfId="0" applyAlignment="1" applyBorder="1" applyFont="1" applyNumberFormat="1">
      <alignment readingOrder="0"/>
    </xf>
    <xf borderId="4" fillId="3" fontId="20" numFmtId="0" xfId="0" applyBorder="1" applyFont="1"/>
    <xf borderId="2" fillId="3" fontId="17" numFmtId="164" xfId="0" applyAlignment="1" applyBorder="1" applyFont="1" applyNumberFormat="1">
      <alignment readingOrder="0"/>
    </xf>
    <xf borderId="3" fillId="4" fontId="17" numFmtId="164" xfId="0" applyAlignment="1" applyBorder="1" applyFont="1" applyNumberFormat="1">
      <alignment readingOrder="0"/>
    </xf>
    <xf borderId="3" fillId="4" fontId="17" numFmtId="165" xfId="0" applyBorder="1" applyFont="1" applyNumberFormat="1"/>
    <xf borderId="3" fillId="4" fontId="22" numFmtId="164" xfId="0" applyAlignment="1" applyBorder="1" applyFont="1" applyNumberFormat="1">
      <alignment readingOrder="0"/>
    </xf>
    <xf borderId="3" fillId="5" fontId="17" numFmtId="165" xfId="0" applyBorder="1" applyFill="1" applyFont="1" applyNumberFormat="1"/>
    <xf borderId="2" fillId="5" fontId="17" numFmtId="165" xfId="0" applyBorder="1" applyFont="1" applyNumberFormat="1"/>
    <xf borderId="2" fillId="5" fontId="17" numFmtId="10" xfId="0" applyBorder="1" applyFont="1" applyNumberFormat="1"/>
    <xf borderId="5" fillId="4" fontId="20" numFmtId="0" xfId="0" applyBorder="1" applyFont="1"/>
    <xf borderId="2" fillId="4" fontId="17" numFmtId="164" xfId="0" applyAlignment="1" applyBorder="1" applyFont="1" applyNumberFormat="1">
      <alignment readingOrder="0"/>
    </xf>
    <xf borderId="2" fillId="6" fontId="17" numFmtId="165" xfId="0" applyBorder="1" applyFill="1" applyFont="1" applyNumberFormat="1"/>
    <xf borderId="2" fillId="6" fontId="17" numFmtId="10" xfId="0" applyBorder="1" applyFont="1" applyNumberFormat="1"/>
    <xf borderId="2" fillId="2" fontId="15" numFmtId="0" xfId="0" applyAlignment="1" applyBorder="1" applyFont="1">
      <alignment horizontal="center" readingOrder="0" vertical="bottom"/>
    </xf>
    <xf borderId="2" fillId="2" fontId="15" numFmtId="0" xfId="0" applyAlignment="1" applyBorder="1" applyFont="1">
      <alignment horizontal="center" shrinkToFit="0" wrapText="1"/>
    </xf>
    <xf borderId="2" fillId="2" fontId="15" numFmtId="164" xfId="0" applyAlignment="1" applyBorder="1" applyFont="1" applyNumberFormat="1">
      <alignment vertical="bottom"/>
    </xf>
    <xf borderId="2" fillId="2" fontId="15" numFmtId="165" xfId="0" applyBorder="1" applyFont="1" applyNumberFormat="1"/>
    <xf borderId="2" fillId="2" fontId="15" numFmtId="10" xfId="0" applyBorder="1" applyFont="1" applyNumberFormat="1"/>
    <xf borderId="0" fillId="2" fontId="15" numFmtId="0" xfId="0" applyAlignment="1" applyFont="1">
      <alignment horizontal="center" readingOrder="0" vertical="bottom"/>
    </xf>
    <xf borderId="0" fillId="2" fontId="15" numFmtId="0" xfId="0" applyAlignment="1" applyFont="1">
      <alignment horizontal="center" shrinkToFit="0" wrapText="1"/>
    </xf>
    <xf borderId="0" fillId="2" fontId="15" numFmtId="1" xfId="0" applyAlignment="1" applyFont="1" applyNumberFormat="1">
      <alignment vertical="bottom"/>
    </xf>
    <xf borderId="0" fillId="2" fontId="15" numFmtId="0" xfId="0" applyAlignment="1" applyFont="1">
      <alignment readingOrder="0" vertical="bottom"/>
    </xf>
    <xf borderId="0" fillId="2" fontId="15" numFmtId="165" xfId="0" applyFont="1" applyNumberFormat="1"/>
    <xf borderId="0" fillId="2" fontId="15" numFmtId="164" xfId="0" applyAlignment="1" applyFont="1" applyNumberFormat="1">
      <alignment vertical="bottom"/>
    </xf>
    <xf borderId="0" fillId="2" fontId="15" numFmtId="1" xfId="0" applyAlignment="1" applyFont="1" applyNumberFormat="1">
      <alignment readingOrder="0" vertical="bottom"/>
    </xf>
    <xf borderId="0" fillId="4" fontId="23" numFmtId="0" xfId="0" applyAlignment="1" applyFont="1">
      <alignment readingOrder="0"/>
    </xf>
    <xf borderId="0" fillId="0" fontId="4" numFmtId="0" xfId="0" applyFont="1"/>
    <xf borderId="0" fillId="0" fontId="4" numFmtId="164" xfId="0" applyFont="1" applyNumberFormat="1"/>
    <xf borderId="2" fillId="7" fontId="17" numFmtId="165" xfId="0" applyBorder="1" applyFill="1" applyFont="1" applyNumberFormat="1"/>
    <xf borderId="2" fillId="7" fontId="17" numFmtId="10" xfId="0" applyBorder="1" applyFont="1" applyNumberFormat="1"/>
    <xf borderId="2" fillId="4" fontId="24" numFmtId="164" xfId="0" applyAlignment="1" applyBorder="1" applyFont="1" applyNumberFormat="1">
      <alignment readingOrder="0"/>
    </xf>
    <xf borderId="2" fillId="8" fontId="17" numFmtId="165" xfId="0" applyBorder="1" applyFill="1" applyFont="1" applyNumberFormat="1"/>
    <xf borderId="2" fillId="8" fontId="17" numFmtId="10" xfId="0" applyBorder="1" applyFont="1" applyNumberFormat="1"/>
    <xf borderId="0" fillId="0" fontId="4" numFmtId="0" xfId="0" applyAlignment="1" applyFont="1">
      <alignment readingOrder="0"/>
    </xf>
    <xf borderId="2" fillId="3" fontId="24" numFmtId="164" xfId="0" applyAlignment="1" applyBorder="1" applyFont="1" applyNumberFormat="1">
      <alignment readingOrder="0"/>
    </xf>
    <xf borderId="2" fillId="6" fontId="24" numFmtId="164" xfId="0" applyAlignment="1" applyBorder="1" applyFont="1" applyNumberFormat="1">
      <alignment readingOrder="0"/>
    </xf>
    <xf borderId="2" fillId="6" fontId="24" numFmtId="165" xfId="0" applyBorder="1" applyFont="1" applyNumberFormat="1"/>
    <xf borderId="2" fillId="6" fontId="24" numFmtId="10" xfId="0" applyBorder="1" applyFont="1" applyNumberFormat="1"/>
    <xf borderId="2" fillId="3" fontId="24" numFmtId="165" xfId="0" applyBorder="1" applyFont="1" applyNumberFormat="1"/>
    <xf borderId="2" fillId="3" fontId="24" numFmtId="10" xfId="0" applyBorder="1" applyFont="1" applyNumberFormat="1"/>
    <xf borderId="0" fillId="0" fontId="2" numFmtId="0" xfId="0" applyAlignment="1" applyFont="1">
      <alignment horizontal="right"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horizontal="right" vertical="bottom"/>
    </xf>
    <xf borderId="1" fillId="0" fontId="2" numFmtId="0" xfId="0" applyAlignment="1" applyBorder="1" applyFont="1">
      <alignment horizontal="right" shrinkToFit="0" vertical="bottom" wrapText="1"/>
    </xf>
    <xf borderId="1" fillId="0" fontId="2" numFmtId="2" xfId="0" applyAlignment="1" applyBorder="1" applyFont="1" applyNumberFormat="1">
      <alignment horizontal="right" vertical="bottom"/>
    </xf>
    <xf borderId="0" fillId="0" fontId="25" numFmtId="0" xfId="0" applyAlignment="1" applyFont="1">
      <alignment horizontal="right" readingOrder="0" shrinkToFit="0" vertical="center" wrapText="1"/>
    </xf>
    <xf borderId="0" fillId="0" fontId="25" numFmtId="0" xfId="0" applyAlignment="1" applyFont="1">
      <alignment horizontal="center" readingOrder="0" shrinkToFit="0" wrapText="1"/>
    </xf>
    <xf borderId="0" fillId="9" fontId="26" numFmtId="0" xfId="0" applyAlignment="1" applyFill="1" applyFont="1">
      <alignment horizontal="center" readingOrder="0" shrinkToFit="0" vertical="bottom" wrapText="1"/>
    </xf>
    <xf borderId="0" fillId="10" fontId="25" numFmtId="0" xfId="0" applyAlignment="1" applyFill="1" applyFont="1">
      <alignment horizontal="center" readingOrder="0" shrinkToFit="0" wrapText="1"/>
    </xf>
    <xf borderId="0" fillId="11" fontId="25" numFmtId="0" xfId="0" applyAlignment="1" applyFill="1" applyFont="1">
      <alignment horizontal="center" readingOrder="0" shrinkToFit="0" wrapText="1"/>
    </xf>
    <xf borderId="0" fillId="12" fontId="25" numFmtId="0" xfId="0" applyAlignment="1" applyFill="1" applyFont="1">
      <alignment horizontal="center" readingOrder="0" shrinkToFit="0" wrapText="1"/>
    </xf>
    <xf borderId="0" fillId="0" fontId="27" numFmtId="0" xfId="0" applyAlignment="1" applyFont="1">
      <alignment horizontal="center" readingOrder="0" shrinkToFit="0" wrapText="1"/>
    </xf>
    <xf borderId="0" fillId="9" fontId="28" numFmtId="0" xfId="0" applyAlignment="1" applyFont="1">
      <alignment horizontal="center" shrinkToFit="0" vertical="bottom" wrapText="1"/>
    </xf>
    <xf borderId="0" fillId="10" fontId="27" numFmtId="0" xfId="0" applyAlignment="1" applyFont="1">
      <alignment horizontal="center" readingOrder="0" shrinkToFit="0" wrapText="1"/>
    </xf>
    <xf borderId="0" fillId="11" fontId="27" numFmtId="0" xfId="0" applyAlignment="1" applyFont="1">
      <alignment horizontal="center" readingOrder="0" shrinkToFit="0" wrapText="1"/>
    </xf>
    <xf borderId="0" fillId="12" fontId="27"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shrinkToFit="0" wrapText="1"/>
    </xf>
    <xf borderId="0" fillId="0" fontId="4" numFmtId="0" xfId="0" applyAlignment="1" applyFont="1">
      <alignment horizontal="center" shrinkToFit="0" wrapText="1"/>
    </xf>
    <xf borderId="0" fillId="13" fontId="2" numFmtId="0" xfId="0" applyAlignment="1" applyFill="1" applyFont="1">
      <alignment vertical="bottom"/>
    </xf>
    <xf borderId="0" fillId="0" fontId="4" numFmtId="0" xfId="0" applyAlignment="1" applyFont="1">
      <alignment horizontal="left" readingOrder="0" shrinkToFit="0" wrapText="1"/>
    </xf>
    <xf borderId="0" fillId="0" fontId="4" numFmtId="0" xfId="0" applyAlignment="1" applyFont="1">
      <alignment horizontal="left" shrinkToFit="0" wrapText="1"/>
    </xf>
    <xf borderId="0" fillId="0" fontId="4" numFmtId="0" xfId="0" applyAlignment="1" applyFont="1">
      <alignment horizontal="center" readingOrder="0" shrinkToFit="0" wrapText="1"/>
    </xf>
    <xf borderId="0" fillId="0" fontId="4" numFmtId="0" xfId="0" applyAlignment="1" applyFont="1">
      <alignment horizontal="center" readingOrder="0" shrinkToFit="0" wrapText="1"/>
    </xf>
    <xf borderId="0" fillId="0" fontId="4" numFmtId="0" xfId="0" applyAlignment="1" applyFont="1">
      <alignment readingOrder="0" shrinkToFit="0" wrapText="1"/>
    </xf>
    <xf borderId="0" fillId="4" fontId="2" numFmtId="0" xfId="0" applyAlignment="1" applyFont="1">
      <alignment horizontal="center" shrinkToFit="0" vertical="bottom" wrapText="1"/>
    </xf>
    <xf borderId="0" fillId="0" fontId="4" numFmtId="0" xfId="0" applyAlignment="1" applyFont="1">
      <alignment horizontal="left" readingOrder="0" shrinkToFit="0" wrapText="1"/>
    </xf>
    <xf borderId="0" fillId="14" fontId="2" numFmtId="0" xfId="0" applyAlignment="1" applyFill="1" applyFont="1">
      <alignment horizontal="center" shrinkToFit="0" wrapText="1"/>
    </xf>
    <xf borderId="0" fillId="14" fontId="2" numFmtId="0" xfId="0" applyAlignment="1" applyFont="1">
      <alignment horizontal="center" readingOrder="0" shrinkToFit="0" wrapText="1"/>
    </xf>
    <xf borderId="0" fillId="0" fontId="2" numFmtId="0" xfId="0" applyAlignment="1" applyFont="1">
      <alignment horizontal="center" readingOrder="0" shrinkToFit="0" vertical="center" wrapText="1"/>
    </xf>
    <xf borderId="0" fillId="0" fontId="3" numFmtId="0" xfId="0" applyAlignment="1" applyFont="1">
      <alignment horizontal="left" readingOrder="0" shrinkToFit="0" wrapText="1"/>
    </xf>
    <xf borderId="0" fillId="0" fontId="4" numFmtId="0" xfId="0" applyAlignment="1" applyFont="1">
      <alignment horizontal="left" shrinkToFit="0" wrapText="1"/>
    </xf>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15" fontId="3" numFmtId="0" xfId="0" applyAlignment="1" applyFill="1" applyFont="1">
      <alignment horizontal="left" readingOrder="0" shrinkToFit="0" wrapText="1"/>
    </xf>
    <xf borderId="0" fillId="15" fontId="4" numFmtId="0" xfId="0" applyAlignment="1" applyFont="1">
      <alignment horizontal="center" readingOrder="0" shrinkToFit="0" wrapText="1"/>
    </xf>
    <xf borderId="0" fillId="15" fontId="4" numFmtId="0" xfId="0" applyAlignment="1" applyFont="1">
      <alignment shrinkToFit="0" wrapText="1"/>
    </xf>
    <xf borderId="0" fillId="15" fontId="2" numFmtId="0" xfId="0" applyAlignment="1" applyFont="1">
      <alignment vertical="bottom"/>
    </xf>
    <xf borderId="0" fillId="15" fontId="4" numFmtId="0" xfId="0" applyAlignment="1" applyFont="1">
      <alignment horizontal="center" shrinkToFit="0" wrapText="1"/>
    </xf>
    <xf borderId="0" fillId="4" fontId="4" numFmtId="0" xfId="0" applyAlignment="1" applyFont="1">
      <alignment horizontal="left" readingOrder="0" shrinkToFit="0" wrapText="1"/>
    </xf>
    <xf borderId="0" fillId="4" fontId="4" numFmtId="0" xfId="0" applyAlignment="1" applyFont="1">
      <alignment horizontal="left" shrinkToFit="0" wrapText="1"/>
    </xf>
    <xf borderId="0" fillId="4" fontId="4" numFmtId="0" xfId="0" applyAlignment="1" applyFont="1">
      <alignment horizontal="center" readingOrder="0" shrinkToFit="0" wrapText="1"/>
    </xf>
    <xf borderId="0" fillId="4" fontId="4" numFmtId="0" xfId="0" applyAlignment="1" applyFont="1">
      <alignment shrinkToFit="0" wrapText="1"/>
    </xf>
    <xf borderId="0" fillId="4" fontId="2" numFmtId="0" xfId="0" applyAlignment="1" applyFont="1">
      <alignment horizontal="center" shrinkToFit="0" vertical="bottom" wrapText="1"/>
    </xf>
    <xf borderId="0" fillId="16" fontId="4" numFmtId="0" xfId="0" applyAlignment="1" applyFill="1" applyFont="1">
      <alignment horizontal="left" readingOrder="0" shrinkToFit="0" wrapText="1"/>
    </xf>
    <xf borderId="0" fillId="16" fontId="4" numFmtId="0" xfId="0" applyAlignment="1" applyFont="1">
      <alignment horizontal="left" shrinkToFit="0" wrapText="1"/>
    </xf>
    <xf borderId="0" fillId="16" fontId="4" numFmtId="0" xfId="0" applyAlignment="1" applyFont="1">
      <alignment horizontal="center" readingOrder="0" shrinkToFit="0" wrapText="1"/>
    </xf>
    <xf borderId="0" fillId="16" fontId="4" numFmtId="0" xfId="0" applyAlignment="1" applyFont="1">
      <alignment shrinkToFit="0" wrapText="1"/>
    </xf>
    <xf borderId="0" fillId="16" fontId="2" numFmtId="0" xfId="0" applyAlignment="1" applyFont="1">
      <alignment horizontal="center" readingOrder="0" shrinkToFit="0" vertical="bottom" wrapText="1"/>
    </xf>
    <xf borderId="0" fillId="16" fontId="2" numFmtId="0" xfId="0" applyAlignment="1" applyFont="1">
      <alignment horizontal="center" shrinkToFit="0" vertical="bottom" wrapText="1"/>
    </xf>
    <xf borderId="0" fillId="17" fontId="3" numFmtId="0" xfId="0" applyAlignment="1" applyFill="1" applyFont="1">
      <alignment shrinkToFit="0" wrapText="1"/>
    </xf>
    <xf borderId="0" fillId="17" fontId="4" numFmtId="0" xfId="0" applyAlignment="1" applyFont="1">
      <alignment horizontal="center" readingOrder="0" shrinkToFit="0" wrapText="1"/>
    </xf>
    <xf borderId="0" fillId="17" fontId="4" numFmtId="0" xfId="0" applyAlignment="1" applyFont="1">
      <alignment shrinkToFit="0" wrapText="1"/>
    </xf>
    <xf borderId="0" fillId="17" fontId="2" numFmtId="0" xfId="0" applyAlignment="1" applyFont="1">
      <alignment vertical="bottom"/>
    </xf>
    <xf borderId="0" fillId="17" fontId="4" numFmtId="0" xfId="0" applyAlignment="1" applyFont="1">
      <alignment horizontal="center" shrinkToFit="0" wrapText="1"/>
    </xf>
    <xf borderId="0" fillId="4" fontId="4" numFmtId="0" xfId="0" applyAlignment="1" applyFont="1">
      <alignment readingOrder="0" shrinkToFit="0" vertical="center" wrapText="1"/>
    </xf>
    <xf borderId="0" fillId="4" fontId="2" numFmtId="0" xfId="0" applyAlignment="1" applyFont="1">
      <alignment horizontal="center" readingOrder="0" shrinkToFit="0" wrapText="1"/>
    </xf>
    <xf borderId="0" fillId="4" fontId="4" numFmtId="0" xfId="0" applyAlignment="1" applyFont="1">
      <alignment horizontal="center" readingOrder="0" shrinkToFit="0" vertical="center" wrapText="1"/>
    </xf>
    <xf borderId="0" fillId="4" fontId="2" numFmtId="0" xfId="0" applyAlignment="1" applyFont="1">
      <alignment horizontal="center" shrinkToFit="0" wrapText="1"/>
    </xf>
    <xf borderId="0" fillId="18" fontId="4" numFmtId="0" xfId="0" applyAlignment="1" applyFill="1" applyFont="1">
      <alignment readingOrder="0" shrinkToFit="0" vertical="center" wrapText="1"/>
    </xf>
    <xf borderId="0" fillId="18" fontId="4" numFmtId="0" xfId="0" applyAlignment="1" applyFont="1">
      <alignment horizontal="center" readingOrder="0" shrinkToFit="0" wrapText="1"/>
    </xf>
    <xf borderId="0" fillId="18" fontId="4" numFmtId="0" xfId="0" applyAlignment="1" applyFont="1">
      <alignment shrinkToFit="0" wrapText="1"/>
    </xf>
    <xf borderId="0" fillId="18" fontId="2" numFmtId="0" xfId="0" applyAlignment="1" applyFont="1">
      <alignment horizontal="center" readingOrder="0" shrinkToFit="0" wrapText="1"/>
    </xf>
    <xf borderId="0" fillId="18" fontId="4" numFmtId="0" xfId="0" applyAlignment="1" applyFont="1">
      <alignment horizontal="center" readingOrder="0" shrinkToFit="0" vertical="center" wrapText="1"/>
    </xf>
    <xf borderId="0" fillId="18" fontId="2" numFmtId="0" xfId="0" applyAlignment="1" applyFont="1">
      <alignment horizontal="center" shrinkToFit="0" wrapText="1"/>
    </xf>
    <xf borderId="0" fillId="4" fontId="4" numFmtId="0" xfId="0" applyAlignment="1" applyFont="1">
      <alignment shrinkToFit="0" vertical="center" wrapText="1"/>
    </xf>
    <xf borderId="0" fillId="18" fontId="4" numFmtId="0" xfId="0" applyAlignment="1" applyFont="1">
      <alignment shrinkToFit="0" vertical="center" wrapText="1"/>
    </xf>
    <xf borderId="0" fillId="18" fontId="2" numFmtId="0" xfId="0" applyAlignment="1" applyFont="1">
      <alignment horizontal="center" shrinkToFit="0" vertical="bottom" wrapText="1"/>
    </xf>
    <xf borderId="0" fillId="4" fontId="2" numFmtId="0" xfId="0" applyAlignment="1" applyFont="1">
      <alignment horizontal="center" readingOrder="0" shrinkToFit="0" vertical="center" wrapText="1"/>
    </xf>
    <xf borderId="0" fillId="18" fontId="4" numFmtId="0" xfId="0" applyAlignment="1" applyFont="1">
      <alignment readingOrder="0" shrinkToFit="0" wrapText="1"/>
    </xf>
    <xf borderId="0" fillId="18" fontId="2" numFmtId="0" xfId="0" applyAlignment="1" applyFont="1">
      <alignment horizontal="center" readingOrder="0" shrinkToFit="0" vertical="center" wrapText="1"/>
    </xf>
    <xf borderId="0" fillId="4" fontId="4" numFmtId="0" xfId="0" applyAlignment="1" applyFont="1">
      <alignment readingOrder="0" shrinkToFit="0" wrapText="1"/>
    </xf>
    <xf borderId="0" fillId="4" fontId="2" numFmtId="0" xfId="0" applyAlignment="1" applyFont="1">
      <alignment horizontal="center" shrinkToFit="0" vertical="bottom" wrapText="1"/>
    </xf>
    <xf borderId="0" fillId="4" fontId="2" numFmtId="0" xfId="0" applyAlignment="1" applyFont="1">
      <alignment horizontal="center" readingOrder="0" shrinkToFit="0" vertical="bottom" wrapText="1"/>
    </xf>
    <xf borderId="0" fillId="18" fontId="2" numFmtId="0" xfId="0" applyAlignment="1" applyFont="1">
      <alignment horizontal="center" readingOrder="0" shrinkToFit="0" vertical="bottom" wrapText="1"/>
    </xf>
    <xf borderId="0" fillId="4" fontId="2" numFmtId="0" xfId="0" applyAlignment="1" applyFont="1">
      <alignment shrinkToFit="0" vertical="bottom" wrapText="1"/>
    </xf>
    <xf borderId="0" fillId="0" fontId="3" numFmtId="0" xfId="0" applyAlignment="1" applyFont="1">
      <alignment readingOrder="0" shrinkToFit="0" vertical="center" wrapText="1"/>
    </xf>
    <xf borderId="0" fillId="0" fontId="4" numFmtId="3" xfId="0" applyAlignment="1" applyFont="1" applyNumberFormat="1">
      <alignment readingOrder="0" shrinkToFit="0" vertical="center" wrapText="1"/>
    </xf>
    <xf borderId="0" fillId="0" fontId="2" numFmtId="0" xfId="0" applyFont="1"/>
    <xf borderId="0" fillId="0" fontId="4" numFmtId="0" xfId="0" applyAlignment="1" applyFont="1">
      <alignment horizontal="center" readingOrder="0" shrinkToFit="0" vertical="center" wrapText="1"/>
    </xf>
    <xf borderId="0" fillId="0" fontId="2" numFmtId="0" xfId="0" applyAlignment="1" applyFont="1">
      <alignment vertical="bottom"/>
    </xf>
    <xf borderId="0" fillId="0" fontId="3" numFmtId="0" xfId="0" applyAlignment="1" applyFont="1">
      <alignment shrinkToFit="0" wrapText="1"/>
    </xf>
    <xf borderId="0" fillId="19" fontId="2" numFmtId="0" xfId="0" applyAlignment="1" applyFill="1" applyFont="1">
      <alignment vertical="bottom"/>
    </xf>
    <xf borderId="0" fillId="0" fontId="4" numFmtId="0" xfId="0" applyAlignment="1" applyFont="1">
      <alignment readingOrder="0" shrinkToFit="0" vertical="center" wrapText="1"/>
    </xf>
    <xf borderId="0" fillId="0" fontId="2" numFmtId="0" xfId="0" applyAlignment="1" applyFont="1">
      <alignment horizontal="center" shrinkToFit="0" wrapText="1"/>
    </xf>
    <xf borderId="0" fillId="0" fontId="2" numFmtId="0" xfId="0" applyAlignment="1" applyFont="1">
      <alignment horizontal="center" shrinkToFit="0" vertical="bottom" wrapText="1"/>
    </xf>
    <xf borderId="0" fillId="0" fontId="4" numFmtId="3" xfId="0" applyAlignment="1" applyFont="1" applyNumberFormat="1">
      <alignment readingOrder="0" shrinkToFit="0" vertical="center" wrapText="1"/>
    </xf>
    <xf borderId="0" fillId="0" fontId="4" numFmtId="3" xfId="0" applyAlignment="1" applyFont="1" applyNumberFormat="1">
      <alignment horizontal="center" readingOrder="0" shrinkToFit="0" wrapText="1"/>
    </xf>
    <xf borderId="0" fillId="0" fontId="4" numFmtId="3" xfId="0" applyAlignment="1" applyFont="1" applyNumberFormat="1">
      <alignment horizontal="center" readingOrder="0" shrinkToFit="0" wrapText="1"/>
    </xf>
    <xf borderId="0" fillId="0" fontId="2" numFmtId="3" xfId="0" applyAlignment="1" applyFont="1" applyNumberFormat="1">
      <alignment horizontal="center" shrinkToFit="0" wrapText="1"/>
    </xf>
    <xf borderId="0" fillId="0" fontId="2" numFmtId="3" xfId="0" applyAlignment="1" applyFont="1" applyNumberFormat="1">
      <alignment horizontal="center" readingOrder="0" shrinkToFit="0" vertical="center" wrapText="1"/>
    </xf>
    <xf borderId="0" fillId="0" fontId="2" numFmtId="3" xfId="0" applyAlignment="1" applyFont="1" applyNumberFormat="1">
      <alignment horizontal="center" shrinkToFit="0" vertical="bottom" wrapText="1"/>
    </xf>
    <xf borderId="0" fillId="0" fontId="2" numFmtId="0" xfId="0" applyAlignment="1" applyFont="1">
      <alignment horizontal="center" readingOrder="0" shrinkToFit="0" wrapText="1"/>
    </xf>
    <xf borderId="0" fillId="0" fontId="2" numFmtId="3" xfId="0" applyAlignment="1" applyFont="1" applyNumberFormat="1">
      <alignment horizontal="center" readingOrder="0" shrinkToFit="0" wrapText="1"/>
    </xf>
    <xf borderId="0" fillId="0" fontId="2" numFmtId="3" xfId="0" applyAlignment="1" applyFont="1" applyNumberFormat="1">
      <alignment horizontal="center" readingOrder="0" shrinkToFit="0" vertical="bottom" wrapText="1"/>
    </xf>
    <xf borderId="0" fillId="20" fontId="3" numFmtId="0" xfId="0" applyAlignment="1" applyFill="1" applyFont="1">
      <alignment readingOrder="0" shrinkToFit="0" wrapText="1"/>
    </xf>
    <xf borderId="0" fillId="20" fontId="4" numFmtId="0" xfId="0" applyAlignment="1" applyFont="1">
      <alignment shrinkToFit="0" wrapText="1"/>
    </xf>
    <xf borderId="0" fillId="20" fontId="4" numFmtId="0" xfId="0" applyFont="1"/>
    <xf borderId="0" fillId="20" fontId="4" numFmtId="0" xfId="0" applyAlignment="1" applyFont="1">
      <alignment horizontal="center" shrinkToFit="0" wrapText="1"/>
    </xf>
    <xf borderId="0" fillId="20" fontId="2" numFmtId="0" xfId="0" applyAlignment="1" applyFont="1">
      <alignment vertical="bottom"/>
    </xf>
    <xf borderId="0" fillId="0" fontId="4" numFmtId="0" xfId="0" applyAlignment="1" applyFont="1">
      <alignment readingOrder="0"/>
    </xf>
    <xf borderId="1" fillId="0" fontId="4" numFmtId="0" xfId="0" applyBorder="1" applyFont="1"/>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4" numFmtId="0" xfId="0" applyAlignment="1" applyBorder="1" applyFont="1">
      <alignment readingOrder="0"/>
    </xf>
    <xf borderId="1" fillId="0" fontId="4" numFmtId="0" xfId="0" applyAlignment="1" applyBorder="1" applyFont="1">
      <alignment horizontal="center" shrinkToFit="0" wrapText="1"/>
    </xf>
    <xf borderId="1" fillId="0" fontId="4" numFmtId="0" xfId="0" applyAlignment="1" applyBorder="1" applyFont="1">
      <alignment readingOrder="0" shrinkToFit="0" wrapText="1"/>
    </xf>
    <xf borderId="1" fillId="0" fontId="4" numFmtId="166" xfId="0" applyAlignment="1" applyBorder="1" applyFont="1" applyNumberFormat="1">
      <alignment horizontal="center" shrinkToFit="0" wrapText="1"/>
    </xf>
    <xf borderId="1" fillId="0" fontId="4" numFmtId="1" xfId="0" applyAlignment="1" applyBorder="1" applyFont="1" applyNumberFormat="1">
      <alignment horizontal="center" shrinkToFit="0" wrapText="1"/>
    </xf>
    <xf borderId="1" fillId="0" fontId="4" numFmtId="1" xfId="0" applyAlignment="1" applyBorder="1" applyFont="1" applyNumberFormat="1">
      <alignment horizontal="center"/>
    </xf>
    <xf borderId="1" fillId="0" fontId="3" numFmtId="0" xfId="0" applyAlignment="1" applyBorder="1" applyFont="1">
      <alignment readingOrder="0" shrinkToFit="0" wrapText="1"/>
    </xf>
    <xf borderId="0" fillId="0" fontId="4" numFmtId="1" xfId="0" applyAlignment="1" applyFont="1" applyNumberFormat="1">
      <alignment horizontal="left" shrinkToFit="0" wrapText="1"/>
    </xf>
    <xf borderId="1" fillId="0" fontId="4" numFmtId="2" xfId="0" applyBorder="1" applyFont="1" applyNumberFormat="1"/>
    <xf borderId="1" fillId="0" fontId="3" numFmtId="1" xfId="0" applyBorder="1" applyFont="1" applyNumberFormat="1"/>
    <xf borderId="1" fillId="0" fontId="4" numFmtId="0" xfId="0" applyAlignment="1" applyBorder="1" applyFont="1">
      <alignment shrinkToFit="0" wrapText="1"/>
    </xf>
    <xf borderId="1" fillId="0" fontId="4" numFmtId="167" xfId="0" applyAlignment="1" applyBorder="1" applyFont="1" applyNumberFormat="1">
      <alignment shrinkToFit="0" wrapText="1"/>
    </xf>
    <xf borderId="1" fillId="0" fontId="4" numFmtId="2" xfId="0" applyAlignment="1" applyBorder="1" applyFont="1" applyNumberFormat="1">
      <alignment shrinkToFit="0" wrapText="1"/>
    </xf>
    <xf borderId="0" fillId="0" fontId="4" numFmtId="0" xfId="0" applyAlignment="1" applyFont="1">
      <alignment horizontal="left" readingOrder="0" shrinkToFit="0" wrapText="0"/>
    </xf>
    <xf borderId="1" fillId="0" fontId="3" numFmtId="0" xfId="0" applyAlignment="1" applyBorder="1" applyFont="1">
      <alignment readingOrder="0"/>
    </xf>
    <xf borderId="1" fillId="0" fontId="3" numFmtId="1" xfId="0" applyAlignment="1" applyBorder="1" applyFont="1" applyNumberFormat="1">
      <alignment shrinkToFit="0" wrapText="1"/>
    </xf>
    <xf borderId="0" fillId="0" fontId="4" numFmtId="1" xfId="0" applyAlignment="1" applyFont="1" applyNumberFormat="1">
      <alignment horizontal="center" shrinkToFit="0" wrapText="1"/>
    </xf>
    <xf borderId="0" fillId="0" fontId="4" numFmtId="1" xfId="0" applyAlignment="1" applyFont="1" applyNumberFormat="1">
      <alignment shrinkToFit="0" wrapText="1"/>
    </xf>
    <xf borderId="0" fillId="0" fontId="29" numFmtId="0" xfId="0" applyAlignment="1" applyFont="1">
      <alignment vertical="bottom"/>
    </xf>
    <xf borderId="0" fillId="0" fontId="4" numFmtId="165" xfId="0" applyAlignment="1" applyFont="1" applyNumberFormat="1">
      <alignment shrinkToFit="0" wrapText="1"/>
    </xf>
    <xf borderId="0" fillId="0" fontId="2" numFmtId="164" xfId="0" applyAlignment="1" applyFont="1" applyNumberFormat="1">
      <alignment readingOrder="0" vertical="bottom"/>
    </xf>
    <xf borderId="2" fillId="0" fontId="17" numFmtId="10" xfId="0" applyBorder="1" applyFont="1" applyNumberFormat="1"/>
    <xf borderId="0" fillId="0" fontId="2" numFmtId="0" xfId="0" applyAlignment="1" applyFont="1">
      <alignment readingOrder="0" vertical="bottom"/>
    </xf>
    <xf borderId="0" fillId="21" fontId="30" numFmtId="0" xfId="0" applyAlignment="1" applyFill="1" applyFont="1">
      <alignment horizontal="left" readingOrder="0" shrinkToFit="0" vertical="center" wrapText="0"/>
    </xf>
    <xf borderId="0" fillId="21" fontId="3" numFmtId="0" xfId="0" applyAlignment="1" applyFont="1">
      <alignment horizontal="center" readingOrder="0" vertical="center"/>
    </xf>
    <xf borderId="0" fillId="21" fontId="3" numFmtId="0" xfId="0" applyAlignment="1" applyFont="1">
      <alignment horizontal="center" readingOrder="0"/>
    </xf>
    <xf borderId="0" fillId="21" fontId="4" numFmtId="0" xfId="0" applyAlignment="1" applyFont="1">
      <alignment horizontal="center"/>
    </xf>
    <xf borderId="0" fillId="21" fontId="3" numFmtId="0" xfId="0" applyAlignment="1" applyFont="1">
      <alignment horizontal="center" readingOrder="0"/>
    </xf>
    <xf borderId="0" fillId="21" fontId="3" numFmtId="0" xfId="0" applyAlignment="1" applyFont="1">
      <alignment horizontal="center" readingOrder="0" shrinkToFit="0" wrapText="1"/>
    </xf>
    <xf borderId="0" fillId="21" fontId="4" numFmtId="168" xfId="0" applyAlignment="1" applyFont="1" applyNumberFormat="1">
      <alignment horizontal="center"/>
    </xf>
    <xf borderId="0" fillId="21" fontId="4" numFmtId="0" xfId="0" applyAlignment="1" applyFont="1">
      <alignment horizontal="center" readingOrder="0"/>
    </xf>
    <xf borderId="6" fillId="9" fontId="3" numFmtId="0" xfId="0" applyAlignment="1" applyBorder="1" applyFont="1">
      <alignment horizontal="center" readingOrder="0" vertical="center"/>
    </xf>
    <xf borderId="0" fillId="9" fontId="3" numFmtId="0" xfId="0" applyAlignment="1" applyFont="1">
      <alignment horizontal="center" readingOrder="0" vertical="center"/>
    </xf>
    <xf borderId="0" fillId="0" fontId="4" numFmtId="0" xfId="0" applyAlignment="1" applyFont="1">
      <alignment horizontal="center"/>
    </xf>
    <xf borderId="6" fillId="0" fontId="3" numFmtId="0" xfId="0" applyAlignment="1" applyBorder="1" applyFont="1">
      <alignment horizontal="center" readingOrder="0"/>
    </xf>
    <xf borderId="6" fillId="0" fontId="3" numFmtId="0" xfId="0" applyAlignment="1" applyBorder="1" applyFont="1">
      <alignment horizontal="center" readingOrder="0" shrinkToFit="0" wrapText="1"/>
    </xf>
    <xf borderId="0" fillId="0" fontId="4" numFmtId="168" xfId="0" applyAlignment="1" applyFont="1" applyNumberFormat="1">
      <alignment horizontal="center"/>
    </xf>
    <xf borderId="0" fillId="0" fontId="4" numFmtId="0" xfId="0" applyAlignment="1" applyFont="1">
      <alignment horizontal="center" readingOrder="0"/>
    </xf>
    <xf borderId="6" fillId="0" fontId="4" numFmtId="0" xfId="0" applyAlignment="1" applyBorder="1" applyFont="1">
      <alignment readingOrder="0" vertical="center"/>
    </xf>
    <xf borderId="0" fillId="0" fontId="4" numFmtId="0" xfId="0" applyAlignment="1" applyFont="1">
      <alignment readingOrder="0" vertical="center"/>
    </xf>
    <xf borderId="6" fillId="0" fontId="4" numFmtId="0" xfId="0" applyAlignment="1" applyBorder="1" applyFont="1">
      <alignment readingOrder="0"/>
    </xf>
    <xf borderId="6" fillId="0" fontId="4" numFmtId="0" xfId="0" applyAlignment="1" applyBorder="1" applyFont="1">
      <alignment readingOrder="0" shrinkToFit="0" wrapText="1"/>
    </xf>
    <xf borderId="0" fillId="0" fontId="4" numFmtId="168" xfId="0" applyFont="1" applyNumberFormat="1"/>
    <xf borderId="0" fillId="0" fontId="4" numFmtId="169" xfId="0" applyFont="1" applyNumberFormat="1"/>
    <xf borderId="6" fillId="0" fontId="31" numFmtId="0" xfId="0" applyAlignment="1" applyBorder="1" applyFont="1">
      <alignment readingOrder="0" vertical="center"/>
    </xf>
    <xf borderId="6" fillId="0" fontId="4" numFmtId="0" xfId="0" applyAlignment="1" applyBorder="1" applyFont="1">
      <alignment horizontal="center" readingOrder="0"/>
    </xf>
    <xf borderId="0" fillId="0" fontId="4" numFmtId="0" xfId="0" applyAlignment="1" applyFont="1">
      <alignment readingOrder="0" vertical="center"/>
    </xf>
    <xf borderId="6" fillId="0" fontId="4" numFmtId="0" xfId="0" applyAlignment="1" applyBorder="1" applyFont="1">
      <alignment readingOrder="0" shrinkToFit="0" vertical="center" wrapText="1"/>
    </xf>
    <xf borderId="6" fillId="0" fontId="4" numFmtId="3" xfId="0" applyAlignment="1" applyBorder="1" applyFont="1" applyNumberFormat="1">
      <alignment readingOrder="0" vertical="center"/>
    </xf>
    <xf borderId="7" fillId="0" fontId="4" numFmtId="0" xfId="0" applyAlignment="1" applyBorder="1" applyFont="1">
      <alignment horizontal="center" readingOrder="0"/>
    </xf>
    <xf borderId="7" fillId="0" fontId="4" numFmtId="0" xfId="0" applyAlignment="1" applyBorder="1" applyFont="1">
      <alignment readingOrder="0"/>
    </xf>
    <xf borderId="7" fillId="0" fontId="4" numFmtId="0" xfId="0" applyAlignment="1" applyBorder="1" applyFont="1">
      <alignment readingOrder="0" shrinkToFit="0" wrapText="1"/>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Alignment="1" applyBorder="1" applyFont="1">
      <alignment readingOrder="0" shrinkToFit="0" wrapText="1"/>
    </xf>
    <xf borderId="0" fillId="0" fontId="32" numFmtId="0" xfId="0" applyAlignment="1" applyFont="1">
      <alignment readingOrder="0"/>
    </xf>
    <xf borderId="7" fillId="17" fontId="3" numFmtId="0" xfId="0" applyAlignment="1" applyBorder="1" applyFont="1">
      <alignment readingOrder="0" vertical="center"/>
    </xf>
    <xf borderId="0" fillId="17" fontId="4" numFmtId="0" xfId="0" applyAlignment="1" applyFont="1">
      <alignment vertical="center"/>
    </xf>
    <xf borderId="0" fillId="17" fontId="4" numFmtId="0" xfId="0" applyAlignment="1" applyFont="1">
      <alignment vertical="center"/>
    </xf>
    <xf borderId="1" fillId="0" fontId="4" numFmtId="3" xfId="0" applyAlignment="1" applyBorder="1" applyFont="1" applyNumberFormat="1">
      <alignment readingOrder="0" vertical="center"/>
    </xf>
    <xf borderId="1" fillId="0" fontId="4" numFmtId="0" xfId="0" applyAlignment="1" applyBorder="1" applyFont="1">
      <alignment vertical="center"/>
    </xf>
    <xf borderId="0" fillId="0" fontId="4" numFmtId="0" xfId="0" applyAlignment="1" applyFont="1">
      <alignment vertical="center"/>
    </xf>
    <xf borderId="0" fillId="0" fontId="2" numFmtId="0" xfId="0" applyAlignment="1" applyFont="1">
      <alignment horizontal="center" vertical="bottom"/>
    </xf>
    <xf borderId="0" fillId="0" fontId="2" numFmtId="169" xfId="0" applyAlignment="1" applyFont="1" applyNumberFormat="1">
      <alignment horizontal="right" vertical="bottom"/>
    </xf>
    <xf borderId="1" fillId="0" fontId="4" numFmtId="0" xfId="0" applyAlignment="1" applyBorder="1" applyFont="1">
      <alignment readingOrder="0" vertical="center"/>
    </xf>
    <xf borderId="1" fillId="0" fontId="3" numFmtId="0" xfId="0" applyAlignment="1" applyBorder="1" applyFont="1">
      <alignment horizontal="center" readingOrder="0" vertical="center"/>
    </xf>
    <xf borderId="1" fillId="0" fontId="3" numFmtId="3" xfId="0" applyAlignment="1" applyBorder="1" applyFont="1" applyNumberFormat="1">
      <alignment horizontal="center" readingOrder="0" vertical="center"/>
    </xf>
    <xf borderId="1" fillId="0" fontId="4" numFmtId="0" xfId="0" applyAlignment="1" applyBorder="1" applyFont="1">
      <alignment readingOrder="0" vertical="center"/>
    </xf>
    <xf borderId="1" fillId="0" fontId="4" numFmtId="0" xfId="0" applyAlignment="1" applyBorder="1" applyFont="1">
      <alignment vertical="center"/>
    </xf>
    <xf borderId="1" fillId="0" fontId="4" numFmtId="170" xfId="0" applyAlignment="1" applyBorder="1" applyFont="1" applyNumberFormat="1">
      <alignment readingOrder="0"/>
    </xf>
    <xf borderId="1" fillId="4" fontId="2" numFmtId="0" xfId="0" applyAlignment="1" applyBorder="1" applyFont="1">
      <alignment readingOrder="0" vertical="center"/>
    </xf>
    <xf borderId="1" fillId="4" fontId="2" numFmtId="0" xfId="0" applyAlignment="1" applyBorder="1" applyFont="1">
      <alignment vertical="center"/>
    </xf>
    <xf borderId="1" fillId="4" fontId="2" numFmtId="0" xfId="0" applyAlignment="1" applyBorder="1" applyFont="1">
      <alignment horizontal="center" vertical="center"/>
    </xf>
    <xf borderId="0" fillId="4" fontId="2" numFmtId="0" xfId="0" applyAlignment="1" applyFont="1">
      <alignment horizontal="center" vertical="center"/>
    </xf>
    <xf borderId="1" fillId="18" fontId="2" numFmtId="0" xfId="0" applyAlignment="1" applyBorder="1" applyFont="1">
      <alignment readingOrder="0" vertical="center"/>
    </xf>
    <xf borderId="1" fillId="18" fontId="2" numFmtId="0" xfId="0" applyAlignment="1" applyBorder="1" applyFont="1">
      <alignment vertical="center"/>
    </xf>
    <xf borderId="0" fillId="18" fontId="2" numFmtId="0" xfId="0" applyAlignment="1" applyFont="1">
      <alignment horizontal="right" vertical="center"/>
    </xf>
    <xf borderId="1" fillId="17" fontId="3" numFmtId="0" xfId="0" applyAlignment="1" applyBorder="1" applyFont="1">
      <alignment readingOrder="0" vertical="center"/>
    </xf>
    <xf borderId="1" fillId="17" fontId="4" numFmtId="3" xfId="0" applyAlignment="1" applyBorder="1" applyFont="1" applyNumberFormat="1">
      <alignment readingOrder="0" vertical="center"/>
    </xf>
    <xf borderId="1" fillId="17" fontId="4" numFmtId="0" xfId="0" applyAlignment="1" applyBorder="1" applyFont="1">
      <alignment readingOrder="0" vertical="center"/>
    </xf>
    <xf borderId="0" fillId="17" fontId="4" numFmtId="0" xfId="0" applyAlignment="1" applyFont="1">
      <alignment readingOrder="0" vertical="center"/>
    </xf>
    <xf borderId="1" fillId="0" fontId="4" numFmtId="170" xfId="0" applyBorder="1" applyFont="1" applyNumberFormat="1"/>
    <xf borderId="8" fillId="0" fontId="4" numFmtId="0" xfId="0" applyAlignment="1" applyBorder="1" applyFont="1">
      <alignment readingOrder="0" vertical="center"/>
    </xf>
    <xf borderId="0" fillId="0" fontId="4" numFmtId="0" xfId="0" applyAlignment="1" applyFont="1">
      <alignment readingOrder="0" vertical="center"/>
    </xf>
    <xf borderId="1" fillId="22" fontId="4" numFmtId="0" xfId="0" applyAlignment="1" applyBorder="1" applyFill="1" applyFont="1">
      <alignment readingOrder="0" vertical="center"/>
    </xf>
    <xf borderId="0" fillId="22" fontId="4" numFmtId="0" xfId="0" applyAlignment="1" applyFont="1">
      <alignment readingOrder="0" vertical="center"/>
    </xf>
    <xf borderId="1" fillId="0" fontId="4" numFmtId="2" xfId="0" applyAlignment="1" applyBorder="1" applyFont="1" applyNumberFormat="1">
      <alignment readingOrder="0"/>
    </xf>
    <xf borderId="0" fillId="0" fontId="3" numFmtId="0" xfId="0" applyAlignment="1" applyFont="1">
      <alignment horizontal="center" readingOrder="0"/>
    </xf>
    <xf borderId="1" fillId="0" fontId="2" numFmtId="0" xfId="0" applyAlignment="1" applyBorder="1" applyFont="1">
      <alignment horizontal="center" readingOrder="0" vertical="center"/>
    </xf>
    <xf borderId="0" fillId="0" fontId="2" numFmtId="0" xfId="0" applyAlignment="1" applyFont="1">
      <alignment horizontal="center" readingOrder="0" vertical="center"/>
    </xf>
    <xf borderId="1" fillId="0" fontId="4" numFmtId="170" xfId="0" applyBorder="1" applyFont="1" applyNumberFormat="1"/>
    <xf borderId="0" fillId="0" fontId="2" numFmtId="3" xfId="0" applyAlignment="1" applyFont="1" applyNumberFormat="1">
      <alignment horizontal="center" readingOrder="0" vertical="center"/>
    </xf>
    <xf borderId="1" fillId="0" fontId="2" numFmtId="3" xfId="0" applyAlignment="1" applyBorder="1" applyFont="1" applyNumberFormat="1">
      <alignment horizontal="center" readingOrder="0" vertical="center"/>
    </xf>
    <xf borderId="0" fillId="0" fontId="4" numFmtId="3" xfId="0" applyAlignment="1" applyFont="1" applyNumberFormat="1">
      <alignment readingOrder="0"/>
    </xf>
    <xf borderId="0" fillId="0" fontId="2" numFmtId="0" xfId="0" applyAlignment="1" applyFont="1">
      <alignment horizontal="center" readingOrder="0" vertical="bottom"/>
    </xf>
    <xf borderId="0" fillId="0" fontId="4" numFmtId="169" xfId="0" applyFont="1" applyNumberFormat="1"/>
    <xf borderId="0" fillId="0" fontId="33" numFmtId="0" xfId="0" applyAlignment="1" applyFont="1">
      <alignment readingOrder="0"/>
    </xf>
    <xf borderId="1" fillId="0" fontId="3" numFmtId="0" xfId="0" applyAlignment="1" applyBorder="1" applyFont="1">
      <alignment horizontal="center" readingOrder="0" shrinkToFit="0" vertical="center" wrapText="1"/>
    </xf>
    <xf borderId="0" fillId="0" fontId="4" numFmtId="168" xfId="0" applyAlignment="1" applyFont="1" applyNumberFormat="1">
      <alignment shrinkToFit="0" wrapText="1"/>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4" numFmtId="169" xfId="0" applyAlignment="1" applyFont="1" applyNumberFormat="1">
      <alignment shrinkToFit="0" wrapText="1"/>
    </xf>
    <xf borderId="1" fillId="0" fontId="4" numFmtId="0" xfId="0" applyBorder="1" applyFont="1"/>
    <xf borderId="1" fillId="0" fontId="4" numFmtId="166" xfId="0" applyBorder="1" applyFont="1" applyNumberFormat="1"/>
    <xf borderId="1" fillId="23" fontId="3" numFmtId="0" xfId="0" applyAlignment="1" applyBorder="1" applyFill="1" applyFont="1">
      <alignment horizontal="center" readingOrder="0" vertical="center"/>
    </xf>
    <xf borderId="1" fillId="23" fontId="4" numFmtId="0" xfId="0" applyBorder="1" applyFont="1"/>
    <xf borderId="0" fillId="0" fontId="29" numFmtId="0" xfId="0" applyAlignment="1" applyFont="1">
      <alignment horizontal="center" readingOrder="0" vertical="bottom"/>
    </xf>
    <xf borderId="1" fillId="4" fontId="4" numFmtId="0" xfId="0" applyAlignment="1" applyBorder="1" applyFont="1">
      <alignment horizontal="center" readingOrder="0"/>
    </xf>
    <xf borderId="1" fillId="4" fontId="34" numFmtId="0" xfId="0" applyAlignment="1" applyBorder="1" applyFont="1">
      <alignment readingOrder="0" vertical="bottom"/>
    </xf>
    <xf borderId="1" fillId="4" fontId="4" numFmtId="164" xfId="0" applyAlignment="1" applyBorder="1" applyFont="1" applyNumberFormat="1">
      <alignment horizontal="center"/>
    </xf>
    <xf borderId="1" fillId="4" fontId="4" numFmtId="171" xfId="0" applyAlignment="1" applyBorder="1" applyFont="1" applyNumberFormat="1">
      <alignment horizontal="center"/>
    </xf>
    <xf borderId="1" fillId="4" fontId="4" numFmtId="0" xfId="0" applyAlignment="1" applyBorder="1" applyFont="1">
      <alignment horizontal="center"/>
    </xf>
    <xf borderId="1" fillId="4" fontId="4" numFmtId="0" xfId="0" applyBorder="1" applyFont="1"/>
    <xf borderId="1" fillId="4" fontId="4" numFmtId="165" xfId="0" applyBorder="1" applyFont="1" applyNumberFormat="1"/>
    <xf borderId="1" fillId="4" fontId="4" numFmtId="0" xfId="0" applyAlignment="1" applyBorder="1" applyFont="1">
      <alignment readingOrder="0"/>
    </xf>
    <xf borderId="0" fillId="0" fontId="3" numFmtId="0" xfId="0" applyAlignment="1" applyFont="1">
      <alignment readingOrder="0"/>
    </xf>
    <xf borderId="1" fillId="4" fontId="2" numFmtId="0" xfId="0" applyAlignment="1" applyBorder="1" applyFont="1">
      <alignment readingOrder="0" vertical="bottom"/>
    </xf>
    <xf borderId="0" fillId="0" fontId="35" numFmtId="0" xfId="0" applyAlignment="1" applyFont="1">
      <alignment vertical="bottom"/>
    </xf>
    <xf borderId="0" fillId="0" fontId="36" numFmtId="0" xfId="0" applyAlignment="1" applyFont="1">
      <alignment vertical="bottom"/>
    </xf>
    <xf borderId="0" fillId="0" fontId="37" numFmtId="0" xfId="0" applyAlignment="1" applyFont="1">
      <alignment vertical="bottom"/>
    </xf>
    <xf borderId="0" fillId="0" fontId="4" numFmtId="172" xfId="0" applyFont="1" applyNumberFormat="1"/>
    <xf borderId="0" fillId="0" fontId="4" numFmtId="172" xfId="0" applyAlignment="1" applyFont="1" applyNumberFormat="1">
      <alignment readingOrder="0"/>
    </xf>
    <xf borderId="1" fillId="4" fontId="38" numFmtId="0" xfId="0" applyAlignment="1" applyBorder="1" applyFont="1">
      <alignment readingOrder="0"/>
    </xf>
    <xf borderId="0" fillId="0" fontId="39" numFmtId="0" xfId="0" applyAlignment="1" applyFont="1">
      <alignment vertical="bottom"/>
    </xf>
    <xf borderId="9" fillId="24" fontId="3" numFmtId="0" xfId="0" applyAlignment="1" applyBorder="1" applyFill="1" applyFont="1">
      <alignment horizontal="center" readingOrder="0" vertical="center"/>
    </xf>
    <xf borderId="1" fillId="24" fontId="4" numFmtId="0" xfId="0" applyAlignment="1" applyBorder="1" applyFont="1">
      <alignment horizontal="center" vertical="center"/>
    </xf>
    <xf borderId="1" fillId="24" fontId="4" numFmtId="0" xfId="0" applyAlignment="1" applyBorder="1" applyFont="1">
      <alignment horizontal="left" readingOrder="0" shrinkToFit="0" vertical="center" wrapText="1"/>
    </xf>
    <xf borderId="1" fillId="24" fontId="4" numFmtId="164" xfId="0" applyAlignment="1" applyBorder="1" applyFont="1" applyNumberFormat="1">
      <alignment horizontal="center" vertical="center"/>
    </xf>
    <xf borderId="1" fillId="24" fontId="4" numFmtId="0" xfId="0" applyBorder="1" applyFont="1"/>
    <xf borderId="1" fillId="24" fontId="4" numFmtId="165" xfId="0" applyBorder="1" applyFont="1" applyNumberFormat="1"/>
    <xf borderId="10" fillId="4" fontId="20" numFmtId="0" xfId="0" applyBorder="1" applyFont="1"/>
    <xf borderId="1" fillId="24" fontId="4" numFmtId="164" xfId="0" applyAlignment="1" applyBorder="1" applyFont="1" applyNumberFormat="1">
      <alignment horizontal="center" readingOrder="0" vertical="center"/>
    </xf>
    <xf borderId="1" fillId="25" fontId="3" numFmtId="0" xfId="0" applyAlignment="1" applyBorder="1" applyFill="1" applyFont="1">
      <alignment horizontal="center" readingOrder="0" vertical="center"/>
    </xf>
    <xf borderId="1" fillId="25" fontId="4" numFmtId="0" xfId="0" applyAlignment="1" applyBorder="1" applyFont="1">
      <alignment horizontal="center" vertical="center"/>
    </xf>
    <xf borderId="1" fillId="26" fontId="4" numFmtId="0" xfId="0" applyAlignment="1" applyBorder="1" applyFill="1" applyFont="1">
      <alignment horizontal="left" readingOrder="0" shrinkToFit="0" vertical="center" wrapText="1"/>
    </xf>
    <xf borderId="1" fillId="25" fontId="4" numFmtId="164" xfId="0" applyAlignment="1" applyBorder="1" applyFont="1" applyNumberFormat="1">
      <alignment horizontal="center" readingOrder="0" vertical="center"/>
    </xf>
    <xf borderId="1" fillId="25" fontId="4" numFmtId="0" xfId="0" applyBorder="1" applyFont="1"/>
    <xf borderId="0" fillId="0" fontId="33" numFmtId="0" xfId="0" applyAlignment="1" applyFont="1">
      <alignment readingOrder="0" shrinkToFit="0" wrapText="0"/>
    </xf>
    <xf borderId="1" fillId="9" fontId="3" numFmtId="0" xfId="0" applyAlignment="1" applyBorder="1" applyFont="1">
      <alignment horizontal="center" readingOrder="0" shrinkToFit="0" vertical="center" wrapText="1"/>
    </xf>
    <xf borderId="11" fillId="9" fontId="29" numFmtId="0" xfId="0" applyAlignment="1" applyBorder="1" applyFont="1">
      <alignment horizontal="center" readingOrder="0" vertical="center"/>
    </xf>
    <xf borderId="12" fillId="0" fontId="20" numFmtId="0" xfId="0" applyBorder="1" applyFont="1"/>
    <xf borderId="13" fillId="0" fontId="20" numFmtId="0" xfId="0" applyBorder="1" applyFont="1"/>
    <xf borderId="1" fillId="9" fontId="29" numFmtId="0" xfId="0" applyAlignment="1" applyBorder="1" applyFont="1">
      <alignment horizontal="center" readingOrder="0" vertical="center"/>
    </xf>
    <xf borderId="1" fillId="9" fontId="29" numFmtId="168" xfId="0" applyAlignment="1" applyBorder="1" applyFont="1" applyNumberFormat="1">
      <alignment horizontal="center" readingOrder="0" vertical="center"/>
    </xf>
    <xf borderId="1" fillId="9" fontId="3" numFmtId="0" xfId="0" applyAlignment="1" applyBorder="1" applyFont="1">
      <alignment horizontal="center" readingOrder="0" vertical="center"/>
    </xf>
    <xf borderId="1" fillId="0" fontId="4" numFmtId="173" xfId="0" applyAlignment="1" applyBorder="1" applyFont="1" applyNumberFormat="1">
      <alignment horizontal="right"/>
    </xf>
    <xf borderId="1" fillId="0" fontId="4" numFmtId="0" xfId="0" applyAlignment="1" applyBorder="1" applyFont="1">
      <alignment horizontal="right"/>
    </xf>
    <xf borderId="9" fillId="0" fontId="25" numFmtId="0" xfId="0" applyAlignment="1" applyBorder="1" applyFont="1">
      <alignment horizontal="center" readingOrder="0" shrinkToFit="0" vertical="center" wrapText="1"/>
    </xf>
    <xf borderId="14" fillId="0" fontId="29" numFmtId="0" xfId="0" applyAlignment="1" applyBorder="1" applyFont="1">
      <alignment horizontal="center" readingOrder="0" vertical="center"/>
    </xf>
    <xf borderId="15" fillId="0" fontId="20" numFmtId="0" xfId="0" applyBorder="1" applyFont="1"/>
    <xf borderId="1" fillId="4" fontId="2" numFmtId="0" xfId="0" applyAlignment="1" applyBorder="1" applyFont="1">
      <alignment horizontal="center" vertical="center"/>
    </xf>
    <xf borderId="1" fillId="4" fontId="2" numFmtId="0" xfId="0" applyAlignment="1" applyBorder="1" applyFont="1">
      <alignment horizontal="center" readingOrder="0" vertical="center"/>
    </xf>
    <xf borderId="9" fillId="4" fontId="2" numFmtId="0" xfId="0" applyAlignment="1" applyBorder="1" applyFont="1">
      <alignment horizontal="center" readingOrder="0" vertical="center"/>
    </xf>
    <xf borderId="1" fillId="4" fontId="2" numFmtId="168" xfId="0" applyAlignment="1" applyBorder="1" applyFont="1" applyNumberFormat="1">
      <alignment horizontal="center" vertical="center"/>
    </xf>
    <xf borderId="1" fillId="0" fontId="2" numFmtId="173" xfId="0" applyAlignment="1" applyBorder="1" applyFont="1" applyNumberFormat="1">
      <alignment horizontal="right" vertical="bottom"/>
    </xf>
    <xf borderId="16" fillId="0" fontId="20" numFmtId="0" xfId="0" applyBorder="1" applyFont="1"/>
    <xf borderId="17" fillId="0" fontId="20" numFmtId="0" xfId="0" applyBorder="1" applyFont="1"/>
    <xf borderId="18" fillId="0" fontId="20" numFmtId="0" xfId="0" applyBorder="1" applyFont="1"/>
    <xf borderId="1" fillId="27" fontId="2" numFmtId="0" xfId="0" applyAlignment="1" applyBorder="1" applyFill="1" applyFont="1">
      <alignment horizontal="center" readingOrder="0" vertical="center"/>
    </xf>
    <xf borderId="1" fillId="27" fontId="2" numFmtId="0" xfId="0" applyAlignment="1" applyBorder="1" applyFont="1">
      <alignment horizontal="center" vertical="center"/>
    </xf>
    <xf borderId="1" fillId="27" fontId="2" numFmtId="0" xfId="0" applyAlignment="1" applyBorder="1" applyFont="1">
      <alignment horizontal="center" vertical="center"/>
    </xf>
    <xf borderId="16" fillId="27" fontId="20" numFmtId="0" xfId="0" applyBorder="1" applyFont="1"/>
    <xf borderId="1" fillId="27" fontId="2" numFmtId="174" xfId="0" applyAlignment="1" applyBorder="1" applyFont="1" applyNumberFormat="1">
      <alignment horizontal="center" vertical="center"/>
    </xf>
    <xf borderId="1" fillId="4" fontId="2" numFmtId="0" xfId="0" applyAlignment="1" applyBorder="1" applyFont="1">
      <alignment horizontal="center" vertical="center"/>
    </xf>
    <xf borderId="16" fillId="4" fontId="20" numFmtId="0" xfId="0" applyBorder="1" applyFont="1"/>
    <xf borderId="1" fillId="4" fontId="2" numFmtId="174" xfId="0" applyAlignment="1" applyBorder="1" applyFont="1" applyNumberFormat="1">
      <alignment horizontal="center" vertical="center"/>
    </xf>
    <xf borderId="10" fillId="0" fontId="20" numFmtId="0" xfId="0" applyBorder="1" applyFont="1"/>
    <xf borderId="19" fillId="0" fontId="20" numFmtId="0" xfId="0" applyBorder="1" applyFont="1"/>
    <xf borderId="20" fillId="0" fontId="20" numFmtId="0" xfId="0" applyBorder="1" applyFont="1"/>
    <xf borderId="10" fillId="27" fontId="20" numFmtId="0" xfId="0" applyBorder="1" applyFont="1"/>
    <xf borderId="1" fillId="0" fontId="4" numFmtId="173" xfId="0" applyBorder="1" applyFont="1" applyNumberFormat="1"/>
    <xf borderId="14" fillId="0" fontId="29" numFmtId="0" xfId="0" applyAlignment="1" applyBorder="1" applyFont="1">
      <alignment horizontal="center" vertical="center"/>
    </xf>
    <xf borderId="1" fillId="4" fontId="29" numFmtId="0" xfId="0" applyAlignment="1" applyBorder="1" applyFont="1">
      <alignment horizontal="center" vertical="center"/>
    </xf>
    <xf borderId="1" fillId="0" fontId="3" numFmtId="173" xfId="0" applyBorder="1" applyFont="1" applyNumberFormat="1"/>
    <xf borderId="1" fillId="4" fontId="29" numFmtId="0" xfId="0" applyAlignment="1" applyBorder="1" applyFont="1">
      <alignment horizontal="center" vertical="center"/>
    </xf>
    <xf borderId="1" fillId="0" fontId="29" numFmtId="173" xfId="0" applyAlignment="1" applyBorder="1" applyFont="1" applyNumberFormat="1">
      <alignment horizontal="right" vertical="bottom"/>
    </xf>
    <xf borderId="1" fillId="0" fontId="3" numFmtId="0" xfId="0" applyAlignment="1" applyBorder="1" applyFont="1">
      <alignment horizontal="left"/>
    </xf>
    <xf borderId="1" fillId="0" fontId="2" numFmtId="0" xfId="0" applyAlignment="1" applyBorder="1" applyFont="1">
      <alignment horizontal="center" vertical="center"/>
    </xf>
    <xf borderId="1" fillId="0" fontId="2" numFmtId="0" xfId="0" applyAlignment="1" applyBorder="1" applyFont="1">
      <alignment horizontal="center" vertical="center"/>
    </xf>
    <xf borderId="9" fillId="0" fontId="2" numFmtId="0" xfId="0" applyAlignment="1" applyBorder="1" applyFont="1">
      <alignment horizontal="center" readingOrder="0" vertical="center"/>
    </xf>
    <xf borderId="1" fillId="0" fontId="2" numFmtId="174" xfId="0" applyAlignment="1" applyBorder="1" applyFont="1" applyNumberFormat="1">
      <alignment horizontal="center" vertical="center"/>
    </xf>
    <xf borderId="1" fillId="0" fontId="29" numFmtId="0" xfId="0" applyAlignment="1" applyBorder="1" applyFont="1">
      <alignment readingOrder="0" vertical="bottom"/>
    </xf>
    <xf borderId="1" fillId="0" fontId="29" numFmtId="0" xfId="0" applyAlignment="1" applyBorder="1" applyFont="1">
      <alignment horizontal="right" vertical="bottom"/>
    </xf>
    <xf borderId="1" fillId="0" fontId="29" numFmtId="0" xfId="0" applyAlignment="1" applyBorder="1" applyFont="1">
      <alignment horizontal="left" vertical="bottom"/>
    </xf>
    <xf borderId="9" fillId="0" fontId="29"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9" numFmtId="0" xfId="0" applyAlignment="1" applyBorder="1" applyFont="1">
      <alignment horizontal="center" vertical="center"/>
    </xf>
    <xf borderId="1" fillId="0" fontId="2" numFmtId="0" xfId="0" applyAlignment="1" applyBorder="1" applyFont="1">
      <alignment horizontal="center" readingOrder="0" shrinkToFit="0" vertical="center" wrapText="1"/>
    </xf>
    <xf borderId="1" fillId="0" fontId="2" numFmtId="174" xfId="0" applyAlignment="1" applyBorder="1" applyFont="1" applyNumberFormat="1">
      <alignment horizontal="center" vertical="center"/>
    </xf>
    <xf borderId="1" fillId="4" fontId="2" numFmtId="0" xfId="0" applyAlignment="1" applyBorder="1" applyFont="1">
      <alignment horizontal="center" readingOrder="0" shrinkToFit="0" vertical="center" wrapText="1"/>
    </xf>
    <xf borderId="1" fillId="4" fontId="2" numFmtId="174" xfId="0" applyAlignment="1" applyBorder="1" applyFont="1" applyNumberFormat="1">
      <alignment horizontal="center" vertical="center"/>
    </xf>
    <xf borderId="1" fillId="27" fontId="2" numFmtId="0" xfId="0" applyAlignment="1" applyBorder="1" applyFont="1">
      <alignment horizontal="center" readingOrder="0" shrinkToFit="0" vertical="center" wrapText="1"/>
    </xf>
    <xf borderId="1" fillId="27" fontId="4" numFmtId="0" xfId="0" applyBorder="1" applyFont="1"/>
    <xf borderId="1" fillId="28" fontId="29" numFmtId="0" xfId="0" applyAlignment="1" applyBorder="1" applyFill="1" applyFont="1">
      <alignment horizontal="left" readingOrder="0" shrinkToFit="0" wrapText="0"/>
    </xf>
    <xf borderId="1" fillId="28" fontId="2" numFmtId="175" xfId="0" applyAlignment="1" applyBorder="1" applyFont="1" applyNumberFormat="1">
      <alignment horizontal="right" shrinkToFit="0" vertical="bottom" wrapText="1"/>
    </xf>
    <xf borderId="1" fillId="28" fontId="2" numFmtId="0" xfId="0" applyAlignment="1" applyBorder="1" applyFont="1">
      <alignment vertical="bottom"/>
    </xf>
    <xf borderId="1" fillId="28" fontId="2" numFmtId="0" xfId="0" applyAlignment="1" applyBorder="1" applyFont="1">
      <alignment vertical="bottom"/>
    </xf>
    <xf borderId="1" fillId="28" fontId="2" numFmtId="174" xfId="0" applyAlignment="1" applyBorder="1" applyFont="1" applyNumberFormat="1">
      <alignment vertical="bottom"/>
    </xf>
    <xf borderId="1" fillId="0" fontId="2" numFmtId="0" xfId="0" applyAlignment="1" applyBorder="1" applyFont="1">
      <alignment readingOrder="0" shrinkToFit="0" vertical="bottom" wrapText="1"/>
    </xf>
    <xf borderId="1" fillId="27" fontId="2" numFmtId="0" xfId="0" applyAlignment="1" applyBorder="1" applyFont="1">
      <alignment horizontal="right" shrinkToFit="0" vertical="bottom" wrapText="1"/>
    </xf>
    <xf borderId="1" fillId="27" fontId="2" numFmtId="0" xfId="0" applyAlignment="1" applyBorder="1" applyFont="1">
      <alignment vertical="bottom"/>
    </xf>
    <xf borderId="1" fillId="27" fontId="2" numFmtId="0" xfId="0" applyAlignment="1" applyBorder="1" applyFont="1">
      <alignment vertical="bottom"/>
    </xf>
    <xf borderId="1" fillId="27" fontId="2" numFmtId="174" xfId="0" applyAlignment="1" applyBorder="1" applyFont="1" applyNumberFormat="1">
      <alignment vertical="bottom"/>
    </xf>
    <xf borderId="1" fillId="4" fontId="2" numFmtId="174" xfId="0" applyAlignment="1" applyBorder="1" applyFont="1" applyNumberFormat="1">
      <alignment horizontal="right" shrinkToFit="0" vertical="bottom" wrapText="1"/>
    </xf>
    <xf borderId="1" fillId="4" fontId="2" numFmtId="0" xfId="0" applyAlignment="1" applyBorder="1" applyFont="1">
      <alignment vertical="bottom"/>
    </xf>
    <xf borderId="1" fillId="4" fontId="2" numFmtId="0" xfId="0" applyAlignment="1" applyBorder="1" applyFont="1">
      <alignment vertical="bottom"/>
    </xf>
    <xf borderId="1" fillId="4" fontId="2" numFmtId="174" xfId="0" applyAlignment="1" applyBorder="1" applyFont="1" applyNumberFormat="1">
      <alignment vertical="bottom"/>
    </xf>
    <xf borderId="1" fillId="0" fontId="2" numFmtId="0" xfId="0" applyAlignment="1" applyBorder="1" applyFont="1">
      <alignment shrinkToFit="0" vertical="bottom" wrapText="1"/>
    </xf>
    <xf borderId="1" fillId="27" fontId="2" numFmtId="174" xfId="0" applyAlignment="1" applyBorder="1" applyFont="1" applyNumberFormat="1">
      <alignment horizontal="right" shrinkToFit="0" vertical="bottom" wrapText="1"/>
    </xf>
    <xf borderId="1" fillId="0" fontId="2" numFmtId="0" xfId="0" applyAlignment="1" applyBorder="1" applyFont="1">
      <alignment shrinkToFit="0" vertical="bottom" wrapText="1"/>
    </xf>
    <xf borderId="1" fillId="4" fontId="2" numFmtId="0" xfId="0" applyAlignment="1" applyBorder="1" applyFont="1">
      <alignment horizontal="center" shrinkToFit="0" vertical="bottom" wrapText="1"/>
    </xf>
    <xf borderId="1" fillId="27" fontId="4" numFmtId="0" xfId="0" applyAlignment="1" applyBorder="1" applyFont="1">
      <alignment readingOrder="0"/>
    </xf>
    <xf borderId="1" fillId="27" fontId="2" numFmtId="0" xfId="0" applyBorder="1" applyFont="1"/>
    <xf borderId="1" fillId="27" fontId="2" numFmtId="0" xfId="0" applyBorder="1" applyFont="1"/>
    <xf borderId="1" fillId="27" fontId="2" numFmtId="174" xfId="0" applyBorder="1" applyFont="1" applyNumberFormat="1"/>
    <xf borderId="1" fillId="0" fontId="29" numFmtId="0" xfId="0" applyAlignment="1" applyBorder="1" applyFont="1">
      <alignment readingOrder="0" shrinkToFit="0" vertical="bottom" wrapText="1"/>
    </xf>
    <xf borderId="1" fillId="4" fontId="29" numFmtId="175" xfId="0" applyAlignment="1" applyBorder="1" applyFont="1" applyNumberFormat="1">
      <alignment horizontal="right" shrinkToFit="0" vertical="bottom" wrapText="1"/>
    </xf>
    <xf borderId="1" fillId="4" fontId="2" numFmtId="0" xfId="0" applyBorder="1" applyFont="1"/>
    <xf borderId="1" fillId="4" fontId="2" numFmtId="0" xfId="0" applyBorder="1" applyFont="1"/>
    <xf borderId="1" fillId="4" fontId="2" numFmtId="174" xfId="0" applyBorder="1" applyFont="1" applyNumberFormat="1"/>
    <xf borderId="1" fillId="27" fontId="2" numFmtId="169" xfId="0" applyAlignment="1" applyBorder="1" applyFont="1" applyNumberFormat="1">
      <alignment horizontal="right" shrinkToFit="0" vertical="bottom" wrapText="1"/>
    </xf>
    <xf borderId="9" fillId="0" fontId="4" numFmtId="0" xfId="0" applyAlignment="1" applyBorder="1" applyFont="1">
      <alignment readingOrder="0" vertical="center"/>
    </xf>
    <xf borderId="1" fillId="27" fontId="2" numFmtId="0" xfId="0" applyAlignment="1" applyBorder="1" applyFont="1">
      <alignment readingOrder="0" shrinkToFit="0" vertical="bottom" wrapText="1"/>
    </xf>
    <xf borderId="1" fillId="27" fontId="2" numFmtId="0" xfId="0" applyAlignment="1" applyBorder="1" applyFont="1">
      <alignment horizontal="center" shrinkToFit="0" vertical="bottom" wrapText="1"/>
    </xf>
    <xf borderId="1" fillId="0" fontId="2" numFmtId="174" xfId="0" applyAlignment="1" applyBorder="1" applyFont="1" applyNumberFormat="1">
      <alignment horizontal="right" shrinkToFit="0" vertical="bottom" wrapText="1"/>
    </xf>
    <xf borderId="1" fillId="0" fontId="2" numFmtId="0" xfId="0" applyBorder="1" applyFont="1"/>
    <xf borderId="1" fillId="0" fontId="2" numFmtId="0" xfId="0" applyBorder="1" applyFont="1"/>
    <xf borderId="1" fillId="0" fontId="2" numFmtId="174" xfId="0" applyBorder="1" applyFont="1" applyNumberFormat="1"/>
    <xf borderId="1" fillId="0" fontId="2" numFmtId="0" xfId="0" applyAlignment="1" applyBorder="1" applyFont="1">
      <alignment horizontal="center" shrinkToFit="0" vertical="bottom" wrapText="1"/>
    </xf>
    <xf borderId="1" fillId="0" fontId="4" numFmtId="0" xfId="0" applyAlignment="1" applyBorder="1" applyFont="1">
      <alignment horizontal="center" readingOrder="0"/>
    </xf>
    <xf borderId="1" fillId="0" fontId="2" numFmtId="175" xfId="0" applyAlignment="1" applyBorder="1" applyFont="1" applyNumberFormat="1">
      <alignment horizontal="right" shrinkToFit="0" vertical="bottom" wrapText="1"/>
    </xf>
    <xf borderId="1" fillId="0" fontId="2" numFmtId="0" xfId="0" applyAlignment="1" applyBorder="1" applyFont="1">
      <alignment vertical="bottom"/>
    </xf>
    <xf borderId="1" fillId="0" fontId="2" numFmtId="1" xfId="0" applyAlignment="1" applyBorder="1" applyFont="1" applyNumberFormat="1">
      <alignment horizontal="center" shrinkToFit="0" vertical="bottom" wrapText="1"/>
    </xf>
    <xf borderId="0" fillId="0" fontId="2" numFmtId="0" xfId="0" applyAlignment="1" applyFont="1">
      <alignment horizontal="center" readingOrder="0" vertical="center"/>
    </xf>
    <xf borderId="1" fillId="0" fontId="2" numFmtId="171" xfId="0" applyAlignment="1" applyBorder="1" applyFont="1" applyNumberFormat="1">
      <alignment horizontal="right" shrinkToFit="0" vertical="bottom" wrapText="1"/>
    </xf>
    <xf borderId="1" fillId="0" fontId="29" numFmtId="176" xfId="0" applyAlignment="1" applyBorder="1" applyFont="1" applyNumberFormat="1">
      <alignment horizontal="center" readingOrder="0" vertical="center"/>
    </xf>
    <xf borderId="1" fillId="28" fontId="29" numFmtId="0" xfId="0" applyAlignment="1" applyBorder="1" applyFont="1">
      <alignment readingOrder="0" vertical="bottom"/>
    </xf>
    <xf borderId="0" fillId="28" fontId="4" numFmtId="0" xfId="0" applyFont="1"/>
    <xf borderId="1" fillId="28" fontId="29" numFmtId="176" xfId="0" applyBorder="1" applyFont="1" applyNumberFormat="1"/>
    <xf borderId="0" fillId="0" fontId="29" numFmtId="0" xfId="0" applyAlignment="1" applyFont="1">
      <alignment horizontal="center" vertical="bottom"/>
    </xf>
    <xf borderId="1" fillId="27" fontId="2" numFmtId="176" xfId="0" applyAlignment="1" applyBorder="1" applyFont="1" applyNumberFormat="1">
      <alignment horizontal="center" readingOrder="0"/>
    </xf>
    <xf borderId="1" fillId="27" fontId="2" numFmtId="0" xfId="0" applyAlignment="1" applyBorder="1" applyFont="1">
      <alignment vertical="bottom"/>
    </xf>
    <xf borderId="1" fillId="27" fontId="2" numFmtId="175" xfId="0" applyAlignment="1" applyBorder="1" applyFont="1" applyNumberFormat="1">
      <alignment vertical="bottom"/>
    </xf>
    <xf borderId="1" fillId="27" fontId="2" numFmtId="0" xfId="0" applyAlignment="1" applyBorder="1" applyFont="1">
      <alignment vertical="bottom"/>
    </xf>
    <xf borderId="1" fillId="27" fontId="2" numFmtId="174" xfId="0" applyAlignment="1" applyBorder="1" applyFont="1" applyNumberFormat="1">
      <alignment vertical="bottom"/>
    </xf>
    <xf borderId="9" fillId="0" fontId="29" numFmtId="0" xfId="0" applyAlignment="1" applyBorder="1" applyFont="1">
      <alignment horizontal="center"/>
    </xf>
    <xf borderId="1" fillId="4" fontId="2" numFmtId="176" xfId="0" applyAlignment="1" applyBorder="1" applyFont="1" applyNumberFormat="1">
      <alignment readingOrder="0" shrinkToFit="0" vertical="bottom" wrapText="1"/>
    </xf>
    <xf borderId="1" fillId="4" fontId="2" numFmtId="0" xfId="0" applyAlignment="1" applyBorder="1" applyFont="1">
      <alignment vertical="bottom"/>
    </xf>
    <xf borderId="1" fillId="4" fontId="2" numFmtId="1" xfId="0" applyAlignment="1" applyBorder="1" applyFont="1" applyNumberFormat="1">
      <alignment horizontal="center" shrinkToFit="0" vertical="bottom" wrapText="1"/>
    </xf>
    <xf borderId="1" fillId="4" fontId="2" numFmtId="0" xfId="0" applyAlignment="1" applyBorder="1" applyFont="1">
      <alignment vertical="bottom"/>
    </xf>
    <xf borderId="1" fillId="4" fontId="2" numFmtId="174" xfId="0" applyAlignment="1" applyBorder="1" applyFont="1" applyNumberFormat="1">
      <alignment vertical="bottom"/>
    </xf>
    <xf borderId="1" fillId="27" fontId="2" numFmtId="176" xfId="0" applyAlignment="1" applyBorder="1" applyFont="1" applyNumberFormat="1">
      <alignment shrinkToFit="0" vertical="bottom" wrapText="1"/>
    </xf>
    <xf borderId="1" fillId="27" fontId="2" numFmtId="174" xfId="0" applyAlignment="1" applyBorder="1" applyFont="1" applyNumberFormat="1">
      <alignment horizontal="right" shrinkToFit="0" vertical="bottom" wrapText="1"/>
    </xf>
    <xf borderId="1" fillId="4" fontId="2" numFmtId="176" xfId="0" applyAlignment="1" applyBorder="1" applyFont="1" applyNumberFormat="1">
      <alignment shrinkToFit="0" vertical="bottom" wrapText="1"/>
    </xf>
    <xf borderId="1" fillId="4" fontId="2" numFmtId="174" xfId="0" applyAlignment="1" applyBorder="1" applyFont="1" applyNumberFormat="1">
      <alignment horizontal="right" shrinkToFit="0" vertical="bottom" wrapText="1"/>
    </xf>
    <xf borderId="1" fillId="27" fontId="2" numFmtId="171" xfId="0" applyAlignment="1" applyBorder="1" applyFont="1" applyNumberFormat="1">
      <alignment horizontal="right" shrinkToFit="0" vertical="bottom" wrapText="1"/>
    </xf>
    <xf borderId="1" fillId="28" fontId="29" numFmtId="0" xfId="0" applyAlignment="1" applyBorder="1" applyFont="1">
      <alignment horizontal="center" readingOrder="0" shrinkToFit="0" vertical="center" wrapText="0"/>
    </xf>
    <xf borderId="1" fillId="28" fontId="2" numFmtId="175" xfId="0" applyAlignment="1" applyBorder="1" applyFont="1" applyNumberFormat="1">
      <alignment horizontal="center" readingOrder="0" shrinkToFit="0" vertical="center" wrapText="1"/>
    </xf>
    <xf borderId="1" fillId="28" fontId="2" numFmtId="0" xfId="0" applyAlignment="1" applyBorder="1" applyFont="1">
      <alignment vertical="center"/>
    </xf>
    <xf borderId="1" fillId="28" fontId="29" numFmtId="0" xfId="0" applyAlignment="1" applyBorder="1" applyFont="1">
      <alignment horizontal="center" readingOrder="0" vertical="center"/>
    </xf>
    <xf borderId="1" fillId="28" fontId="29" numFmtId="171" xfId="0" applyAlignment="1" applyBorder="1" applyFont="1" applyNumberFormat="1">
      <alignment horizontal="center" readingOrder="0" vertical="center"/>
    </xf>
    <xf borderId="1" fillId="28" fontId="2" numFmtId="0" xfId="0" applyAlignment="1" applyBorder="1" applyFont="1">
      <alignment horizontal="center" vertical="center"/>
    </xf>
    <xf borderId="1" fillId="28" fontId="2" numFmtId="0" xfId="0" applyAlignment="1" applyBorder="1" applyFont="1">
      <alignment horizontal="center" vertical="center"/>
    </xf>
    <xf borderId="1" fillId="28" fontId="2" numFmtId="0" xfId="0" applyAlignment="1" applyBorder="1" applyFont="1">
      <alignment horizontal="center" readingOrder="0" vertical="center"/>
    </xf>
    <xf borderId="1" fillId="28" fontId="2" numFmtId="174" xfId="0" applyAlignment="1" applyBorder="1" applyFont="1" applyNumberFormat="1">
      <alignment horizontal="center" vertical="center"/>
    </xf>
    <xf borderId="1" fillId="0" fontId="29" numFmtId="0" xfId="0" applyAlignment="1" applyBorder="1" applyFont="1">
      <alignment horizontal="center" readingOrder="0" vertical="center"/>
    </xf>
    <xf borderId="1" fillId="0" fontId="29" numFmtId="171" xfId="0" applyAlignment="1" applyBorder="1" applyFont="1" applyNumberForma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2" numFmtId="174" xfId="0" applyAlignment="1" applyBorder="1" applyFont="1" applyNumberFormat="1">
      <alignment horizontal="center" vertical="center"/>
    </xf>
    <xf borderId="9" fillId="0" fontId="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172" xfId="0" applyAlignment="1" applyBorder="1" applyFont="1" applyNumberFormat="1">
      <alignment horizontal="center" vertical="center"/>
    </xf>
    <xf borderId="1" fillId="0" fontId="2" numFmtId="172" xfId="0" applyAlignment="1" applyBorder="1" applyFont="1" applyNumberFormat="1">
      <alignment horizontal="center" readingOrder="0" vertical="center"/>
    </xf>
    <xf borderId="1" fillId="21" fontId="29" numFmtId="0" xfId="0" applyAlignment="1" applyBorder="1" applyFont="1">
      <alignment horizontal="center" readingOrder="0" vertical="center"/>
    </xf>
    <xf borderId="1" fillId="21" fontId="29" numFmtId="176" xfId="0" applyAlignment="1" applyBorder="1" applyFont="1" applyNumberFormat="1">
      <alignment horizontal="center" readingOrder="0" vertical="center"/>
    </xf>
    <xf borderId="1" fillId="21" fontId="2" numFmtId="172" xfId="0" applyAlignment="1" applyBorder="1" applyFont="1" applyNumberFormat="1">
      <alignment horizontal="center" vertical="center"/>
    </xf>
    <xf borderId="1" fillId="21" fontId="2" numFmtId="0" xfId="0" applyAlignment="1" applyBorder="1" applyFont="1">
      <alignment horizontal="center" vertical="center"/>
    </xf>
    <xf borderId="1" fillId="21" fontId="2" numFmtId="0" xfId="0" applyAlignment="1" applyBorder="1" applyFont="1">
      <alignment horizontal="center" vertical="center"/>
    </xf>
    <xf borderId="1" fillId="21" fontId="2" numFmtId="174" xfId="0" applyAlignment="1" applyBorder="1" applyFont="1" applyNumberFormat="1">
      <alignment horizontal="center" vertical="center"/>
    </xf>
    <xf borderId="1" fillId="0" fontId="2" numFmtId="174" xfId="0" applyAlignment="1" applyBorder="1" applyFont="1" applyNumberFormat="1">
      <alignment horizontal="center" vertical="center"/>
    </xf>
    <xf borderId="1" fillId="21" fontId="3" numFmtId="0" xfId="0" applyAlignment="1" applyBorder="1" applyFont="1">
      <alignment horizontal="center" readingOrder="0"/>
    </xf>
    <xf borderId="1" fillId="21" fontId="3" numFmtId="177" xfId="0" applyAlignment="1" applyBorder="1" applyFont="1" applyNumberFormat="1">
      <alignment horizontal="center"/>
    </xf>
    <xf borderId="0" fillId="0" fontId="2" numFmtId="0" xfId="0" applyAlignment="1" applyFont="1">
      <alignment vertical="bottom"/>
    </xf>
    <xf borderId="1" fillId="0" fontId="29" numFmtId="0" xfId="0" applyAlignment="1" applyBorder="1" applyFont="1">
      <alignment horizontal="center" readingOrder="0" vertical="center"/>
    </xf>
    <xf borderId="9" fillId="27" fontId="2" numFmtId="0" xfId="0" applyAlignment="1" applyBorder="1" applyFont="1">
      <alignment horizontal="center" readingOrder="0" vertical="center"/>
    </xf>
    <xf borderId="9" fillId="0" fontId="29" numFmtId="0" xfId="0" applyAlignment="1" applyBorder="1" applyFont="1">
      <alignment horizontal="center" readingOrder="0" vertical="center"/>
    </xf>
    <xf borderId="1" fillId="28" fontId="2" numFmtId="176" xfId="0" applyBorder="1" applyFont="1" applyNumberFormat="1"/>
    <xf borderId="1" fillId="28" fontId="29" numFmtId="176" xfId="0" applyAlignment="1" applyBorder="1" applyFont="1" applyNumberFormat="1">
      <alignment readingOrder="0" vertical="bottom"/>
    </xf>
    <xf borderId="1" fillId="28" fontId="2" numFmtId="175" xfId="0" applyAlignment="1" applyBorder="1" applyFont="1" applyNumberFormat="1">
      <alignment vertical="bottom"/>
    </xf>
    <xf borderId="1" fillId="4" fontId="2" numFmtId="0" xfId="0" applyAlignment="1" applyBorder="1" applyFont="1">
      <alignment horizontal="center" shrinkToFit="0" vertical="bottom" wrapText="1"/>
    </xf>
    <xf borderId="1" fillId="4" fontId="2" numFmtId="172" xfId="0" applyAlignment="1" applyBorder="1" applyFont="1" applyNumberFormat="1">
      <alignment vertical="bottom"/>
    </xf>
    <xf borderId="1" fillId="4" fontId="2" numFmtId="174" xfId="0" applyBorder="1" applyFont="1" applyNumberFormat="1"/>
    <xf borderId="1" fillId="27" fontId="2" numFmtId="0" xfId="0" applyAlignment="1" applyBorder="1" applyFont="1">
      <alignment shrinkToFit="0" vertical="bottom" wrapText="1"/>
    </xf>
    <xf borderId="1" fillId="27" fontId="2" numFmtId="172" xfId="0" applyAlignment="1" applyBorder="1" applyFont="1" applyNumberFormat="1">
      <alignment vertical="bottom"/>
    </xf>
    <xf borderId="1" fillId="27" fontId="2" numFmtId="1" xfId="0" applyAlignment="1" applyBorder="1" applyFont="1" applyNumberFormat="1">
      <alignment horizontal="center" shrinkToFit="0" vertical="bottom" wrapText="1"/>
    </xf>
    <xf borderId="1" fillId="27" fontId="2" numFmtId="174" xfId="0" applyBorder="1" applyFont="1" applyNumberFormat="1"/>
    <xf borderId="1" fillId="4" fontId="2" numFmtId="0" xfId="0" applyAlignment="1" applyBorder="1" applyFont="1">
      <alignment shrinkToFit="0" vertical="bottom" wrapText="1"/>
    </xf>
    <xf borderId="1" fillId="4" fontId="2" numFmtId="171" xfId="0" applyAlignment="1" applyBorder="1" applyFont="1" applyNumberFormat="1">
      <alignment horizontal="right" shrinkToFit="0" vertical="bottom" wrapText="1"/>
    </xf>
    <xf borderId="1" fillId="21" fontId="29" numFmtId="0" xfId="0" applyAlignment="1" applyBorder="1" applyFont="1">
      <alignment horizontal="center"/>
    </xf>
    <xf borderId="1" fillId="27" fontId="29" numFmtId="171" xfId="0" applyAlignment="1" applyBorder="1" applyFont="1" applyNumberFormat="1">
      <alignment horizontal="center"/>
    </xf>
    <xf borderId="1" fillId="27" fontId="2" numFmtId="172" xfId="0" applyBorder="1" applyFont="1" applyNumberFormat="1"/>
    <xf borderId="1" fillId="0" fontId="29" numFmtId="0" xfId="0" applyAlignment="1" applyBorder="1" applyFont="1">
      <alignment horizontal="center" readingOrder="0" shrinkToFit="0" vertical="center" wrapText="0"/>
    </xf>
    <xf borderId="1" fillId="4" fontId="2" numFmtId="175" xfId="0" applyAlignment="1" applyBorder="1" applyFont="1" applyNumberFormat="1">
      <alignment horizontal="center" readingOrder="0" shrinkToFit="0" vertical="center" wrapText="1"/>
    </xf>
    <xf borderId="1" fillId="4" fontId="2" numFmtId="172" xfId="0" applyAlignment="1" applyBorder="1" applyFont="1" applyNumberFormat="1">
      <alignment horizontal="center" vertical="center"/>
    </xf>
    <xf borderId="1" fillId="27" fontId="2" numFmtId="172" xfId="0" applyAlignment="1" applyBorder="1" applyFont="1" applyNumberFormat="1">
      <alignment horizontal="center" vertical="center"/>
    </xf>
    <xf borderId="1" fillId="4" fontId="2" numFmtId="172" xfId="0" applyAlignment="1" applyBorder="1" applyFont="1" applyNumberFormat="1">
      <alignment horizontal="center" readingOrder="0" vertical="center"/>
    </xf>
    <xf borderId="1" fillId="21" fontId="29" numFmtId="171" xfId="0" applyAlignment="1" applyBorder="1" applyFont="1" applyNumberFormat="1">
      <alignment horizontal="center" readingOrder="0" vertical="center"/>
    </xf>
    <xf borderId="1" fillId="21" fontId="3" numFmtId="171" xfId="0" applyAlignment="1" applyBorder="1" applyFont="1" applyNumberFormat="1">
      <alignment horizontal="center"/>
    </xf>
    <xf borderId="1" fillId="27" fontId="2" numFmtId="169" xfId="0" applyAlignment="1" applyBorder="1" applyFont="1" applyNumberFormat="1">
      <alignment horizontal="center" vertical="center"/>
    </xf>
    <xf borderId="1" fillId="27" fontId="4" numFmtId="0" xfId="0" applyAlignment="1" applyBorder="1" applyFont="1">
      <alignment horizontal="center" vertical="center"/>
    </xf>
    <xf borderId="1" fillId="4" fontId="29" numFmtId="0" xfId="0" applyAlignment="1" applyBorder="1" applyFont="1">
      <alignment horizontal="center" readingOrder="0" vertical="center"/>
    </xf>
    <xf borderId="1" fillId="21" fontId="3" numFmtId="176" xfId="0" applyAlignment="1" applyBorder="1" applyFont="1" applyNumberFormat="1">
      <alignment horizontal="center"/>
    </xf>
    <xf borderId="16" fillId="0" fontId="25"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1"/>
    </xf>
    <xf borderId="1" fillId="4" fontId="2" numFmtId="169" xfId="0" applyAlignment="1" applyBorder="1" applyFont="1" applyNumberFormat="1">
      <alignment horizontal="center" shrinkToFit="0" vertical="center" wrapText="1"/>
    </xf>
    <xf borderId="1" fillId="4" fontId="2" numFmtId="0" xfId="0" applyAlignment="1" applyBorder="1" applyFont="1">
      <alignment vertical="center"/>
    </xf>
    <xf borderId="1" fillId="4" fontId="2" numFmtId="174" xfId="0" applyAlignment="1" applyBorder="1" applyFont="1" applyNumberFormat="1">
      <alignment vertical="center"/>
    </xf>
    <xf borderId="9" fillId="4" fontId="2" numFmtId="0" xfId="0" applyAlignment="1" applyBorder="1" applyFont="1">
      <alignment vertical="center"/>
    </xf>
    <xf borderId="1" fillId="27" fontId="2" numFmtId="169" xfId="0" applyAlignment="1" applyBorder="1" applyFont="1" applyNumberFormat="1">
      <alignment horizontal="center" shrinkToFit="0" vertical="center" wrapText="1"/>
    </xf>
    <xf borderId="1" fillId="27" fontId="2" numFmtId="0" xfId="0" applyAlignment="1" applyBorder="1" applyFont="1">
      <alignment vertical="center"/>
    </xf>
    <xf borderId="1" fillId="27" fontId="2" numFmtId="174" xfId="0" applyAlignment="1" applyBorder="1" applyFont="1" applyNumberFormat="1">
      <alignment horizontal="center" vertical="center"/>
    </xf>
    <xf borderId="1" fillId="4" fontId="2" numFmtId="0" xfId="0" applyAlignment="1" applyBorder="1" applyFont="1">
      <alignment vertical="center"/>
    </xf>
    <xf borderId="1" fillId="4" fontId="2" numFmtId="174" xfId="0" applyAlignment="1" applyBorder="1" applyFont="1" applyNumberFormat="1">
      <alignment vertical="center"/>
    </xf>
    <xf borderId="1" fillId="28" fontId="29" numFmtId="0" xfId="0" applyAlignment="1" applyBorder="1" applyFont="1">
      <alignment vertical="center"/>
    </xf>
    <xf borderId="1" fillId="28" fontId="2" numFmtId="175" xfId="0" applyAlignment="1" applyBorder="1" applyFont="1" applyNumberFormat="1">
      <alignment vertical="center"/>
    </xf>
    <xf borderId="1" fillId="28" fontId="2" numFmtId="0" xfId="0" applyAlignment="1" applyBorder="1" applyFont="1">
      <alignment vertical="center"/>
    </xf>
    <xf borderId="1" fillId="28" fontId="2" numFmtId="174" xfId="0" applyAlignment="1" applyBorder="1" applyFont="1" applyNumberFormat="1">
      <alignment vertical="center"/>
    </xf>
    <xf borderId="1" fillId="0" fontId="2" numFmtId="0" xfId="0" applyAlignment="1" applyBorder="1" applyFont="1">
      <alignment shrinkToFit="0" vertical="center" wrapText="1"/>
    </xf>
    <xf borderId="1" fillId="27" fontId="2" numFmtId="0" xfId="0" applyAlignment="1" applyBorder="1" applyFont="1">
      <alignment horizontal="center" shrinkToFit="0" vertical="center" wrapText="1"/>
    </xf>
    <xf borderId="1" fillId="27" fontId="2" numFmtId="0" xfId="0" applyAlignment="1" applyBorder="1" applyFont="1">
      <alignment vertical="center"/>
    </xf>
    <xf borderId="1" fillId="27" fontId="2" numFmtId="174" xfId="0" applyAlignment="1" applyBorder="1" applyFont="1" applyNumberFormat="1">
      <alignment vertical="center"/>
    </xf>
    <xf borderId="1" fillId="4" fontId="2" numFmtId="174" xfId="0" applyAlignment="1" applyBorder="1" applyFont="1" applyNumberFormat="1">
      <alignment horizontal="right" shrinkToFit="0" vertical="center" wrapText="1"/>
    </xf>
    <xf borderId="1" fillId="27" fontId="2" numFmtId="174" xfId="0" applyAlignment="1" applyBorder="1" applyFont="1" applyNumberFormat="1">
      <alignment horizontal="right" shrinkToFit="0" vertical="center" wrapText="1"/>
    </xf>
    <xf borderId="1" fillId="0" fontId="2" numFmtId="0" xfId="0" applyAlignment="1" applyBorder="1" applyFont="1">
      <alignment vertical="center"/>
    </xf>
    <xf borderId="1" fillId="27" fontId="2" numFmtId="169" xfId="0" applyAlignment="1" applyBorder="1" applyFont="1" applyNumberFormat="1">
      <alignment horizontal="right" vertical="center"/>
    </xf>
    <xf borderId="1" fillId="0" fontId="29" numFmtId="0" xfId="0" applyAlignment="1" applyBorder="1" applyFont="1">
      <alignment shrinkToFit="0" vertical="center" wrapText="1"/>
    </xf>
    <xf borderId="1" fillId="4" fontId="29" numFmtId="175" xfId="0" applyAlignment="1" applyBorder="1" applyFont="1" applyNumberFormat="1">
      <alignment horizontal="right" shrinkToFit="0" vertical="center" wrapText="1"/>
    </xf>
    <xf borderId="1" fillId="27" fontId="2" numFmtId="169" xfId="0" applyAlignment="1" applyBorder="1" applyFont="1" applyNumberFormat="1">
      <alignment vertical="center"/>
    </xf>
    <xf borderId="9" fillId="0" fontId="29" numFmtId="0" xfId="0" applyAlignment="1" applyBorder="1" applyFont="1">
      <alignment vertical="center"/>
    </xf>
    <xf borderId="1" fillId="27" fontId="2" numFmtId="169" xfId="0" applyAlignment="1" applyBorder="1" applyFont="1" applyNumberFormat="1">
      <alignment shrinkToFit="0" vertical="center" wrapText="1"/>
    </xf>
    <xf borderId="1" fillId="27" fontId="2" numFmtId="0" xfId="0" applyAlignment="1" applyBorder="1" applyFont="1">
      <alignment horizontal="center" shrinkToFit="0" vertical="center" wrapText="1"/>
    </xf>
    <xf borderId="1" fillId="4" fontId="2" numFmtId="169" xfId="0" applyAlignment="1" applyBorder="1" applyFont="1" applyNumberFormat="1">
      <alignment shrinkToFit="0" vertical="center" wrapText="1"/>
    </xf>
    <xf borderId="1" fillId="4" fontId="2" numFmtId="0" xfId="0" applyAlignment="1" applyBorder="1" applyFont="1">
      <alignment horizontal="center" shrinkToFit="0" vertical="center" wrapText="1"/>
    </xf>
    <xf borderId="1" fillId="4" fontId="2" numFmtId="176" xfId="0" applyAlignment="1" applyBorder="1" applyFont="1" applyNumberFormat="1">
      <alignment horizontal="right" shrinkToFit="0" vertical="center" wrapText="1"/>
    </xf>
    <xf borderId="1" fillId="27" fontId="2" numFmtId="1" xfId="0" applyAlignment="1" applyBorder="1" applyFont="1" applyNumberFormat="1">
      <alignment horizontal="center" shrinkToFit="0" vertical="center" wrapText="1"/>
    </xf>
    <xf borderId="1" fillId="4" fontId="2" numFmtId="171" xfId="0" applyAlignment="1" applyBorder="1" applyFont="1" applyNumberFormat="1">
      <alignment horizontal="right" shrinkToFit="0" vertical="center" wrapText="1"/>
    </xf>
    <xf borderId="1" fillId="27" fontId="2" numFmtId="169" xfId="0" applyAlignment="1" applyBorder="1" applyFont="1" applyNumberFormat="1">
      <alignment readingOrder="0" shrinkToFit="0" vertical="center" wrapText="1"/>
    </xf>
    <xf borderId="1" fillId="27" fontId="2" numFmtId="171" xfId="0" applyAlignment="1" applyBorder="1" applyFont="1" applyNumberFormat="1">
      <alignment horizontal="right" shrinkToFit="0" vertical="center" wrapText="1"/>
    </xf>
    <xf borderId="1" fillId="4" fontId="29" numFmtId="176" xfId="0" applyAlignment="1" applyBorder="1" applyFont="1" applyNumberFormat="1">
      <alignment horizontal="center" vertical="center"/>
    </xf>
    <xf borderId="1" fillId="4" fontId="2" numFmtId="175" xfId="0" applyAlignment="1" applyBorder="1" applyFont="1" applyNumberFormat="1">
      <alignment vertical="center"/>
    </xf>
    <xf borderId="1" fillId="27" fontId="2" numFmtId="176" xfId="0" applyAlignment="1" applyBorder="1" applyFont="1" applyNumberFormat="1">
      <alignment vertical="center"/>
    </xf>
    <xf borderId="1" fillId="27" fontId="2" numFmtId="175" xfId="0" applyAlignment="1" applyBorder="1" applyFont="1" applyNumberFormat="1">
      <alignment vertical="center"/>
    </xf>
    <xf borderId="1" fillId="28" fontId="29" numFmtId="0" xfId="0" applyAlignment="1" applyBorder="1" applyFont="1">
      <alignment horizontal="center" vertical="center"/>
    </xf>
    <xf borderId="1" fillId="28" fontId="29" numFmtId="171" xfId="0" applyAlignment="1" applyBorder="1" applyFont="1" applyNumberFormat="1">
      <alignment horizontal="center" vertical="center"/>
    </xf>
    <xf borderId="1" fillId="28" fontId="2" numFmtId="174" xfId="0" applyAlignment="1" applyBorder="1" applyFont="1" applyNumberFormat="1">
      <alignment vertical="center"/>
    </xf>
    <xf borderId="1" fillId="27" fontId="2" numFmtId="169" xfId="0" applyAlignment="1" applyBorder="1" applyFont="1" applyNumberFormat="1">
      <alignment horizontal="center" readingOrder="0" vertical="center"/>
    </xf>
    <xf borderId="1" fillId="27" fontId="2" numFmtId="0" xfId="0" applyAlignment="1" applyBorder="1" applyFont="1">
      <alignment horizontal="center" readingOrder="0" vertical="center"/>
    </xf>
    <xf borderId="9" fillId="27" fontId="2" numFmtId="0" xfId="0" applyAlignment="1" applyBorder="1" applyFont="1">
      <alignment horizontal="center" vertical="center"/>
    </xf>
    <xf borderId="1" fillId="21" fontId="3" numFmtId="175" xfId="0" applyAlignment="1" applyBorder="1" applyFont="1" applyNumberFormat="1">
      <alignment horizontal="center"/>
    </xf>
    <xf borderId="1" fillId="4" fontId="2" numFmtId="169" xfId="0" applyAlignment="1" applyBorder="1" applyFont="1" applyNumberFormat="1">
      <alignment horizontal="center" vertical="center"/>
    </xf>
    <xf borderId="1" fillId="4" fontId="4" numFmtId="0" xfId="0" applyAlignment="1" applyBorder="1" applyFont="1">
      <alignment horizontal="center" vertical="center"/>
    </xf>
    <xf borderId="1" fillId="27" fontId="2" numFmtId="172" xfId="0" applyAlignment="1" applyBorder="1" applyFont="1" applyNumberFormat="1">
      <alignment horizontal="center" readingOrder="0" vertical="center"/>
    </xf>
    <xf borderId="1" fillId="28" fontId="29" numFmtId="0" xfId="0" applyAlignment="1" applyBorder="1" applyFont="1">
      <alignment readingOrder="0" shrinkToFit="0" vertical="bottom" wrapText="0"/>
    </xf>
    <xf borderId="1" fillId="28" fontId="29" numFmtId="0" xfId="0" applyAlignment="1" applyBorder="1" applyFont="1">
      <alignment horizontal="left" readingOrder="0" vertical="center"/>
    </xf>
    <xf borderId="1" fillId="28" fontId="2" numFmtId="0" xfId="0" applyAlignment="1" applyBorder="1" applyFont="1">
      <alignment horizontal="center" readingOrder="0" vertical="center"/>
    </xf>
    <xf borderId="1" fillId="27" fontId="2" numFmtId="176" xfId="0" applyAlignment="1" applyBorder="1" applyFont="1" applyNumberFormat="1">
      <alignment horizontal="center"/>
    </xf>
    <xf borderId="1" fillId="27" fontId="2" numFmtId="175" xfId="0" applyAlignment="1" applyBorder="1" applyFont="1" applyNumberFormat="1">
      <alignment vertical="bottom"/>
    </xf>
    <xf borderId="1" fillId="27" fontId="29" numFmtId="0" xfId="0" applyAlignment="1" applyBorder="1" applyFont="1">
      <alignment horizontal="center" readingOrder="0" vertical="center"/>
    </xf>
    <xf borderId="1" fillId="4" fontId="2" numFmtId="0" xfId="0" applyAlignment="1" applyBorder="1" applyFont="1">
      <alignment shrinkToFit="0" vertical="bottom" wrapText="1"/>
    </xf>
    <xf borderId="1" fillId="4" fontId="2" numFmtId="1" xfId="0" applyAlignment="1" applyBorder="1" applyFont="1" applyNumberFormat="1">
      <alignment horizontal="center" shrinkToFit="0" vertical="bottom" wrapText="1"/>
    </xf>
    <xf borderId="1" fillId="27" fontId="2" numFmtId="0" xfId="0" applyAlignment="1" applyBorder="1" applyFont="1">
      <alignment shrinkToFit="0" vertical="bottom" wrapText="1"/>
    </xf>
    <xf borderId="1" fillId="27" fontId="2" numFmtId="171" xfId="0" applyAlignment="1" applyBorder="1" applyFont="1" applyNumberFormat="1">
      <alignment horizontal="right" shrinkToFit="0" vertical="bottom" wrapText="1"/>
    </xf>
    <xf borderId="1" fillId="21" fontId="29" numFmtId="171" xfId="0" applyAlignment="1" applyBorder="1" applyFont="1" applyNumberFormat="1">
      <alignment horizontal="center"/>
    </xf>
    <xf borderId="1" fillId="4" fontId="2" numFmtId="172" xfId="0" applyBorder="1" applyFont="1" applyNumberFormat="1"/>
    <xf borderId="16" fillId="4" fontId="2" numFmtId="0" xfId="0" applyAlignment="1" applyBorder="1" applyFont="1">
      <alignment horizontal="center" readingOrder="0" vertical="center"/>
    </xf>
    <xf borderId="1" fillId="0" fontId="29" numFmtId="0" xfId="0" applyAlignment="1" applyBorder="1" applyFont="1">
      <alignment horizontal="center"/>
    </xf>
    <xf borderId="1" fillId="0" fontId="2" numFmtId="175" xfId="0" applyAlignment="1" applyBorder="1" applyFont="1" applyNumberFormat="1">
      <alignment horizontal="center" shrinkToFit="0" wrapText="1"/>
    </xf>
    <xf borderId="1" fillId="27" fontId="3" numFmtId="176" xfId="0" applyAlignment="1" applyBorder="1" applyFont="1" applyNumberFormat="1">
      <alignment horizontal="center"/>
    </xf>
    <xf borderId="16" fillId="21" fontId="2" numFmtId="0" xfId="0" applyAlignment="1" applyBorder="1" applyFont="1">
      <alignment horizontal="center" vertical="center"/>
    </xf>
    <xf borderId="1" fillId="28" fontId="29" numFmtId="0" xfId="0" applyAlignment="1" applyBorder="1" applyFont="1">
      <alignment horizontal="center"/>
    </xf>
    <xf borderId="1" fillId="28" fontId="2" numFmtId="175" xfId="0" applyAlignment="1" applyBorder="1" applyFont="1" applyNumberFormat="1">
      <alignment horizontal="center" readingOrder="0" shrinkToFit="0" wrapText="1"/>
    </xf>
    <xf borderId="1" fillId="28" fontId="3" numFmtId="176" xfId="0" applyAlignment="1" applyBorder="1" applyFont="1" applyNumberFormat="1">
      <alignment horizontal="center"/>
    </xf>
    <xf borderId="16" fillId="28" fontId="2" numFmtId="0" xfId="0" applyAlignment="1" applyBorder="1" applyFont="1">
      <alignment horizontal="center" vertical="center"/>
    </xf>
    <xf borderId="1" fillId="28" fontId="4" numFmtId="0" xfId="0" applyBorder="1" applyFont="1"/>
    <xf borderId="1" fillId="28" fontId="29" numFmtId="171" xfId="0" applyAlignment="1" applyBorder="1" applyFont="1" applyNumberFormat="1">
      <alignment horizontal="center"/>
    </xf>
    <xf borderId="1" fillId="28" fontId="29" numFmtId="176" xfId="0" applyAlignment="1" applyBorder="1" applyFont="1" applyNumberFormat="1">
      <alignment readingOrder="0"/>
    </xf>
    <xf borderId="1" fillId="27" fontId="2" numFmtId="176" xfId="0" applyAlignment="1" applyBorder="1" applyFont="1" applyNumberFormat="1">
      <alignment horizontal="center" readingOrder="0"/>
    </xf>
    <xf borderId="1" fillId="4" fontId="2" numFmtId="0" xfId="0" applyAlignment="1" applyBorder="1" applyFont="1">
      <alignment readingOrder="0" shrinkToFit="0" vertical="bottom" wrapText="1"/>
    </xf>
    <xf borderId="1" fillId="4" fontId="29" numFmtId="171" xfId="0" applyAlignment="1" applyBorder="1" applyFont="1" applyNumberFormat="1">
      <alignment horizontal="center"/>
    </xf>
    <xf borderId="1" fillId="27" fontId="2" numFmtId="168" xfId="0" applyAlignment="1" applyBorder="1" applyFont="1" applyNumberFormat="1">
      <alignment horizontal="center" vertical="center"/>
    </xf>
    <xf borderId="1" fillId="28" fontId="29" numFmtId="0" xfId="0" applyAlignment="1" applyBorder="1" applyFont="1">
      <alignment horizontal="center" vertical="bottom"/>
    </xf>
    <xf borderId="1" fillId="28" fontId="2" numFmtId="175" xfId="0" applyAlignment="1" applyBorder="1" applyFont="1" applyNumberFormat="1">
      <alignment horizontal="center" readingOrder="0" shrinkToFit="0" vertical="bottom" wrapText="1"/>
    </xf>
    <xf borderId="1" fillId="28" fontId="2" numFmtId="172" xfId="0" applyAlignment="1" applyBorder="1" applyFont="1" applyNumberFormat="1">
      <alignment horizontal="center" vertical="center"/>
    </xf>
    <xf borderId="1" fillId="28" fontId="2" numFmtId="168" xfId="0" applyAlignment="1" applyBorder="1" applyFont="1" applyNumberFormat="1">
      <alignment horizontal="center" vertical="center"/>
    </xf>
    <xf borderId="1" fillId="28" fontId="29" numFmtId="171" xfId="0" applyAlignment="1" applyBorder="1" applyFont="1" applyNumberFormat="1">
      <alignment horizontal="center" vertical="bottom"/>
    </xf>
    <xf borderId="1" fillId="27" fontId="29" numFmtId="172" xfId="0" applyAlignment="1" applyBorder="1" applyFont="1" applyNumberFormat="1">
      <alignment horizontal="left" readingOrder="0" vertical="center"/>
    </xf>
    <xf borderId="1" fillId="21" fontId="29" numFmtId="175" xfId="0" applyAlignment="1" applyBorder="1" applyFont="1" applyNumberFormat="1">
      <alignment horizontal="center" readingOrder="0" vertical="center"/>
    </xf>
    <xf borderId="1" fillId="21" fontId="2" numFmtId="168" xfId="0" applyAlignment="1" applyBorder="1" applyFont="1" applyNumberFormat="1">
      <alignment horizontal="center" vertical="center"/>
    </xf>
    <xf borderId="11" fillId="9" fontId="29" numFmtId="0" xfId="0" applyAlignment="1" applyBorder="1" applyFont="1">
      <alignment horizontal="center" readingOrder="0" shrinkToFit="0" vertical="center" wrapText="1"/>
    </xf>
    <xf borderId="13" fillId="4" fontId="20" numFmtId="0" xfId="0" applyBorder="1" applyFont="1"/>
    <xf borderId="12" fillId="4" fontId="20" numFmtId="0" xfId="0" applyBorder="1" applyFont="1"/>
    <xf borderId="9" fillId="21" fontId="4" numFmtId="0" xfId="0" applyAlignment="1" applyBorder="1" applyFont="1">
      <alignment horizontal="center" readingOrder="0" shrinkToFit="0" vertical="center" wrapText="1"/>
    </xf>
    <xf borderId="1" fillId="28" fontId="29" numFmtId="0" xfId="0" applyAlignment="1" applyBorder="1" applyFont="1">
      <alignment horizontal="center" readingOrder="0" shrinkToFit="0" vertical="center" wrapText="1"/>
    </xf>
    <xf borderId="1" fillId="28" fontId="29" numFmtId="0" xfId="0" applyAlignment="1" applyBorder="1" applyFont="1">
      <alignment horizontal="left" readingOrder="0" shrinkToFit="0" vertical="center" wrapText="0"/>
    </xf>
    <xf borderId="1" fillId="28" fontId="29" numFmtId="0" xfId="0" applyAlignment="1" applyBorder="1" applyFont="1">
      <alignment horizontal="center" vertical="center"/>
    </xf>
    <xf borderId="1" fillId="0" fontId="4" numFmtId="0" xfId="0" applyAlignment="1" applyBorder="1" applyFont="1">
      <alignment readingOrder="0" shrinkToFit="0" wrapText="1"/>
    </xf>
    <xf borderId="1" fillId="27" fontId="4" numFmtId="0" xfId="0" applyAlignment="1" applyBorder="1" applyFont="1">
      <alignment shrinkToFit="0" wrapText="1"/>
    </xf>
    <xf borderId="1" fillId="27" fontId="4" numFmtId="174" xfId="0" applyBorder="1" applyFont="1" applyNumberFormat="1"/>
    <xf borderId="1" fillId="4" fontId="4" numFmtId="175" xfId="0" applyAlignment="1" applyBorder="1" applyFont="1" applyNumberFormat="1">
      <alignment shrinkToFit="0" wrapText="1"/>
    </xf>
    <xf borderId="1" fillId="4" fontId="4" numFmtId="174" xfId="0" applyBorder="1" applyFont="1" applyNumberFormat="1"/>
    <xf borderId="1" fillId="0" fontId="3" numFmtId="0" xfId="0" applyAlignment="1" applyBorder="1" applyFont="1">
      <alignment readingOrder="0" shrinkToFit="0" wrapText="1"/>
    </xf>
    <xf borderId="1" fillId="27" fontId="3" numFmtId="175" xfId="0" applyAlignment="1" applyBorder="1" applyFont="1" applyNumberFormat="1">
      <alignment shrinkToFit="0" wrapText="1"/>
    </xf>
    <xf borderId="1" fillId="0" fontId="2"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28" fontId="2" numFmtId="0" xfId="0" applyAlignment="1" applyBorder="1" applyFont="1">
      <alignment horizontal="left" readingOrder="0" shrinkToFit="0" vertical="center" wrapText="0"/>
    </xf>
    <xf borderId="1" fillId="28" fontId="2" numFmtId="174" xfId="0" applyAlignment="1" applyBorder="1" applyFont="1" applyNumberFormat="1">
      <alignment horizontal="center" vertical="center"/>
    </xf>
    <xf borderId="1" fillId="4" fontId="2" numFmtId="0" xfId="0" applyAlignment="1" applyBorder="1" applyFont="1">
      <alignment horizontal="center" readingOrder="0" shrinkToFit="0" vertical="bottom" wrapText="1"/>
    </xf>
    <xf borderId="1" fillId="27" fontId="4" numFmtId="0" xfId="0" applyAlignment="1" applyBorder="1" applyFont="1">
      <alignment horizontal="center" readingOrder="0"/>
    </xf>
    <xf borderId="1" fillId="4" fontId="2" numFmtId="175" xfId="0" applyAlignment="1" applyBorder="1" applyFont="1" applyNumberFormat="1">
      <alignment horizontal="center" shrinkToFit="0" vertical="bottom" wrapText="1"/>
    </xf>
    <xf borderId="1" fillId="27" fontId="29" numFmtId="175" xfId="0" applyAlignment="1" applyBorder="1" applyFont="1" applyNumberFormat="1">
      <alignment horizontal="center" shrinkToFit="0" vertical="bottom" wrapText="1"/>
    </xf>
    <xf borderId="9" fillId="0" fontId="3" numFmtId="0" xfId="0" applyAlignment="1" applyBorder="1" applyFont="1">
      <alignment horizontal="center" readingOrder="0" shrinkToFit="0" vertical="center" wrapText="1"/>
    </xf>
    <xf borderId="1" fillId="27" fontId="2" numFmtId="0" xfId="0" applyAlignment="1" applyBorder="1" applyFont="1">
      <alignment horizontal="center" readingOrder="0" shrinkToFit="0" vertical="bottom" wrapText="1"/>
    </xf>
    <xf borderId="1" fillId="27" fontId="4" numFmtId="49" xfId="0" applyAlignment="1" applyBorder="1" applyFont="1" applyNumberFormat="1">
      <alignment horizontal="center" readingOrder="0"/>
    </xf>
    <xf borderId="1" fillId="4" fontId="29" numFmtId="0" xfId="0" applyAlignment="1" applyBorder="1" applyFont="1">
      <alignment horizontal="center" readingOrder="0" shrinkToFit="0" vertical="bottom" wrapText="1"/>
    </xf>
    <xf borderId="1" fillId="4" fontId="3" numFmtId="0" xfId="0" applyBorder="1" applyFont="1"/>
    <xf borderId="1" fillId="4" fontId="29" numFmtId="0" xfId="0" applyAlignment="1" applyBorder="1" applyFont="1">
      <alignment horizontal="center" shrinkToFit="0" vertical="bottom" wrapText="1"/>
    </xf>
    <xf borderId="1" fillId="4" fontId="29" numFmtId="0" xfId="0" applyAlignment="1" applyBorder="1" applyFont="1">
      <alignment vertical="bottom"/>
    </xf>
    <xf borderId="1" fillId="4" fontId="29" numFmtId="171" xfId="0" applyAlignment="1" applyBorder="1" applyFont="1" applyNumberFormat="1">
      <alignment horizontal="right" shrinkToFit="0" vertical="bottom" wrapText="1"/>
    </xf>
    <xf borderId="1" fillId="27" fontId="29" numFmtId="0" xfId="0" applyAlignment="1" applyBorder="1" applyFont="1">
      <alignment horizontal="center" readingOrder="0" shrinkToFit="0" vertical="bottom" wrapText="1"/>
    </xf>
    <xf borderId="1" fillId="27" fontId="3" numFmtId="0" xfId="0" applyBorder="1" applyFont="1"/>
    <xf borderId="1" fillId="27" fontId="29" numFmtId="171" xfId="0" applyAlignment="1" applyBorder="1" applyFont="1" applyNumberFormat="1">
      <alignment horizontal="right" shrinkToFit="0" vertical="bottom" wrapText="1"/>
    </xf>
    <xf borderId="1" fillId="4" fontId="29" numFmtId="176" xfId="0" applyAlignment="1" applyBorder="1" applyFont="1" applyNumberFormat="1">
      <alignment horizontal="center" readingOrder="0" vertical="center"/>
    </xf>
    <xf borderId="1" fillId="4" fontId="2" numFmtId="175" xfId="0" applyAlignment="1" applyBorder="1" applyFont="1" applyNumberFormat="1">
      <alignment horizontal="right" shrinkToFit="0" vertical="bottom" wrapText="1"/>
    </xf>
    <xf borderId="1" fillId="27" fontId="4" numFmtId="0" xfId="0" applyAlignment="1" applyBorder="1" applyFont="1">
      <alignment horizontal="center" readingOrder="0" shrinkToFit="0" vertical="center" wrapText="1"/>
    </xf>
    <xf borderId="1" fillId="28" fontId="2" numFmtId="0" xfId="0" applyAlignment="1" applyBorder="1" applyFont="1">
      <alignment horizontal="center" readingOrder="0" shrinkToFit="0" vertical="center" wrapText="1"/>
    </xf>
    <xf borderId="1" fillId="28" fontId="4" numFmtId="0" xfId="0" applyAlignment="1" applyBorder="1" applyFont="1">
      <alignment horizontal="center" readingOrder="0" shrinkToFit="0" vertical="center" wrapText="1"/>
    </xf>
    <xf borderId="1" fillId="28" fontId="29" numFmtId="175" xfId="0" applyAlignment="1" applyBorder="1" applyFont="1" applyNumberFormat="1">
      <alignment horizontal="center" readingOrder="0" shrinkToFit="0" vertical="center" wrapText="1"/>
    </xf>
    <xf borderId="1" fillId="0" fontId="29" numFmtId="49" xfId="0" applyAlignment="1" applyBorder="1" applyFont="1" applyNumberFormat="1">
      <alignment horizontal="center" readingOrder="0" vertical="center"/>
    </xf>
    <xf borderId="14" fillId="0" fontId="29" numFmtId="0" xfId="0" applyAlignment="1" applyBorder="1" applyFont="1">
      <alignment horizontal="center" shrinkToFit="0" vertical="center" wrapText="1"/>
    </xf>
    <xf borderId="9"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4" fillId="0" fontId="29" numFmtId="0" xfId="0" applyAlignment="1" applyBorder="1" applyFont="1">
      <alignment horizontal="center" readingOrder="0" shrinkToFit="0" vertical="center" wrapText="1"/>
    </xf>
    <xf borderId="9" fillId="27" fontId="2" numFmtId="0" xfId="0" applyAlignment="1" applyBorder="1" applyFont="1">
      <alignment horizontal="center" vertical="center"/>
    </xf>
    <xf borderId="1" fillId="27" fontId="4" numFmtId="0" xfId="0" applyAlignment="1" applyBorder="1" applyFont="1">
      <alignment horizontal="left" readingOrder="0" vertical="center"/>
    </xf>
    <xf borderId="1" fillId="28" fontId="4" numFmtId="0" xfId="0" applyAlignment="1" applyBorder="1" applyFont="1">
      <alignment horizontal="left" readingOrder="0" vertical="center"/>
    </xf>
    <xf borderId="1" fillId="27" fontId="4" numFmtId="0" xfId="0" applyAlignment="1" applyBorder="1" applyFont="1">
      <alignment horizontal="center" readingOrder="0" shrinkToFit="0" wrapText="1"/>
    </xf>
    <xf borderId="1" fillId="4" fontId="4" numFmtId="174" xfId="0" applyAlignment="1" applyBorder="1" applyFont="1" applyNumberFormat="1">
      <alignment horizontal="center" readingOrder="0" shrinkToFit="0" wrapText="1"/>
    </xf>
    <xf borderId="1" fillId="27" fontId="4" numFmtId="174" xfId="0" applyAlignment="1" applyBorder="1" applyFont="1" applyNumberFormat="1">
      <alignment horizontal="center" readingOrder="0" shrinkToFit="0" wrapText="1"/>
    </xf>
    <xf borderId="9" fillId="26" fontId="2" numFmtId="169" xfId="0" applyAlignment="1" applyBorder="1" applyFont="1" applyNumberFormat="1">
      <alignment horizontal="center" readingOrder="0" shrinkToFit="0" vertical="center" wrapText="1"/>
    </xf>
    <xf borderId="1" fillId="4" fontId="4" numFmtId="0" xfId="0" applyAlignment="1" applyBorder="1" applyFont="1">
      <alignment readingOrder="0" shrinkToFit="0" wrapText="1"/>
    </xf>
    <xf borderId="1" fillId="4" fontId="4" numFmtId="0" xfId="0" applyAlignment="1" applyBorder="1" applyFont="1">
      <alignment horizontal="center" readingOrder="0" shrinkToFit="0" wrapText="1"/>
    </xf>
    <xf borderId="1" fillId="27" fontId="4" numFmtId="0" xfId="0" applyAlignment="1" applyBorder="1" applyFont="1">
      <alignment readingOrder="0" shrinkToFit="0" wrapText="1"/>
    </xf>
    <xf borderId="1" fillId="27" fontId="4" numFmtId="170" xfId="0" applyAlignment="1" applyBorder="1" applyFont="1" applyNumberFormat="1">
      <alignment horizontal="center" readingOrder="0" shrinkToFit="0" wrapText="1"/>
    </xf>
    <xf borderId="1" fillId="4" fontId="3" numFmtId="0" xfId="0" applyAlignment="1" applyBorder="1" applyFont="1">
      <alignment readingOrder="0" shrinkToFit="0" wrapText="1"/>
    </xf>
    <xf borderId="1" fillId="4" fontId="4" numFmtId="175" xfId="0" applyAlignment="1" applyBorder="1" applyFont="1" applyNumberFormat="1">
      <alignment horizontal="center" shrinkToFit="0" wrapText="1"/>
    </xf>
    <xf borderId="1" fillId="29" fontId="4" numFmtId="0" xfId="0" applyAlignment="1" applyBorder="1" applyFill="1" applyFont="1">
      <alignment horizontal="center" readingOrder="0" shrinkToFit="0" wrapText="1"/>
    </xf>
    <xf borderId="1" fillId="27" fontId="3" numFmtId="0" xfId="0" applyAlignment="1" applyBorder="1" applyFont="1">
      <alignment readingOrder="0"/>
    </xf>
    <xf borderId="1" fillId="27" fontId="4" numFmtId="175" xfId="0" applyAlignment="1" applyBorder="1" applyFont="1" applyNumberFormat="1">
      <alignment horizontal="center" shrinkToFit="0" wrapText="1"/>
    </xf>
    <xf borderId="1" fillId="28" fontId="2" numFmtId="169" xfId="0" applyAlignment="1" applyBorder="1" applyFont="1" applyNumberFormat="1">
      <alignment horizontal="left" readingOrder="0" shrinkToFit="0" vertical="center" wrapText="0"/>
    </xf>
    <xf borderId="1" fillId="28" fontId="4" numFmtId="0" xfId="0" applyAlignment="1" applyBorder="1" applyFont="1">
      <alignment horizontal="center" vertical="center"/>
    </xf>
    <xf borderId="1" fillId="0" fontId="2" numFmtId="174" xfId="0" applyAlignment="1" applyBorder="1" applyFont="1" applyNumberFormat="1">
      <alignment horizontal="center" readingOrder="0" shrinkToFit="0" vertical="center" wrapText="1"/>
    </xf>
    <xf borderId="1" fillId="0" fontId="4" numFmtId="0" xfId="0" applyAlignment="1" applyBorder="1" applyFont="1">
      <alignment horizontal="center" vertical="center"/>
    </xf>
    <xf borderId="1" fillId="0" fontId="4" numFmtId="0" xfId="0" applyAlignment="1" applyBorder="1" applyFont="1">
      <alignment horizontal="center" shrinkToFit="0" wrapText="1"/>
    </xf>
    <xf borderId="1" fillId="0" fontId="4" numFmtId="174" xfId="0" applyAlignment="1" applyBorder="1" applyFont="1" applyNumberFormat="1">
      <alignment horizontal="center" shrinkToFit="0" wrapText="1"/>
    </xf>
    <xf borderId="9" fillId="26" fontId="2" numFmtId="0" xfId="0" applyAlignment="1" applyBorder="1" applyFont="1">
      <alignment horizontal="center" shrinkToFit="0" vertical="center" wrapText="1"/>
    </xf>
    <xf borderId="1" fillId="27" fontId="2" numFmtId="0" xfId="0" applyAlignment="1" applyBorder="1" applyFont="1">
      <alignment horizontal="center" shrinkToFit="0" vertical="bottom" wrapText="1"/>
    </xf>
    <xf borderId="0" fillId="0" fontId="4" numFmtId="174" xfId="0" applyFont="1" applyNumberFormat="1"/>
    <xf borderId="1" fillId="4" fontId="2" numFmtId="170" xfId="0" applyAlignment="1" applyBorder="1" applyFont="1" applyNumberFormat="1">
      <alignment horizontal="center" shrinkToFit="0" vertical="bottom" wrapText="1"/>
    </xf>
    <xf borderId="1" fillId="27" fontId="2" numFmtId="175" xfId="0" applyAlignment="1" applyBorder="1" applyFont="1" applyNumberFormat="1">
      <alignment horizontal="center" shrinkToFit="0" vertical="bottom" wrapText="1"/>
    </xf>
    <xf borderId="1" fillId="29" fontId="2" numFmtId="0" xfId="0" applyAlignment="1" applyBorder="1" applyFont="1">
      <alignment horizontal="center" shrinkToFit="0" vertical="center" wrapText="1"/>
    </xf>
    <xf borderId="1" fillId="0" fontId="4" numFmtId="174" xfId="0" applyAlignment="1" applyBorder="1" applyFont="1" applyNumberFormat="1">
      <alignment shrinkToFit="0" wrapText="1"/>
    </xf>
    <xf borderId="1" fillId="28" fontId="2" numFmtId="169" xfId="0" applyAlignment="1" applyBorder="1" applyFont="1" applyNumberFormat="1">
      <alignment horizontal="center" readingOrder="0" shrinkToFit="0" vertical="center" wrapText="1"/>
    </xf>
    <xf borderId="1" fillId="0" fontId="29" numFmtId="0" xfId="0" applyAlignment="1" applyBorder="1" applyFont="1">
      <alignment horizontal="center" readingOrder="0" shrinkToFit="0" vertical="center" wrapText="1"/>
    </xf>
    <xf borderId="1" fillId="0" fontId="3" numFmtId="176" xfId="0" applyAlignment="1" applyBorder="1" applyFont="1" applyNumberFormat="1">
      <alignment horizontal="center" shrinkToFit="0"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wrapText="1"/>
    </xf>
    <xf borderId="1" fillId="0" fontId="2" numFmtId="172" xfId="0" applyAlignment="1" applyBorder="1" applyFont="1" applyNumberFormat="1">
      <alignment horizontal="center" shrinkToFit="0" wrapText="1"/>
    </xf>
    <xf borderId="1" fillId="0" fontId="2" numFmtId="172" xfId="0" applyAlignment="1" applyBorder="1" applyFont="1" applyNumberFormat="1">
      <alignment horizontal="left" readingOrder="0" vertical="center"/>
    </xf>
    <xf borderId="1" fillId="0" fontId="2" numFmtId="172" xfId="0" applyAlignment="1" applyBorder="1" applyFont="1" applyNumberFormat="1">
      <alignment horizontal="center" readingOrder="0" shrinkToFit="0" vertical="center" wrapText="1"/>
    </xf>
    <xf borderId="0" fillId="10" fontId="4" numFmtId="0" xfId="0" applyFont="1"/>
    <xf borderId="1" fillId="21" fontId="29" numFmtId="0" xfId="0" applyAlignment="1" applyBorder="1" applyFont="1">
      <alignment horizontal="center" readingOrder="0" shrinkToFit="0" vertical="center" wrapText="1"/>
    </xf>
    <xf borderId="1" fillId="21" fontId="29" numFmtId="175" xfId="0" applyAlignment="1" applyBorder="1" applyFont="1" applyNumberFormat="1">
      <alignment horizontal="center" readingOrder="0" shrinkToFit="0" vertical="center" wrapText="1"/>
    </xf>
    <xf borderId="1" fillId="21" fontId="2" numFmtId="174" xfId="0" applyAlignment="1" applyBorder="1" applyFont="1" applyNumberFormat="1">
      <alignment horizontal="center" vertical="center"/>
    </xf>
    <xf borderId="1" fillId="0" fontId="2" numFmtId="174" xfId="0" applyAlignment="1" applyBorder="1" applyFont="1" applyNumberFormat="1">
      <alignment horizontal="center" shrinkToFit="0" vertical="center" wrapText="1"/>
    </xf>
    <xf borderId="1" fillId="21" fontId="3" numFmtId="0" xfId="0" applyAlignment="1" applyBorder="1" applyFont="1">
      <alignment horizontal="center" readingOrder="0" shrinkToFit="0" wrapText="1"/>
    </xf>
    <xf borderId="9" fillId="0" fontId="2" numFmtId="0" xfId="0" applyAlignment="1" applyBorder="1" applyFont="1">
      <alignment horizontal="center" vertical="center"/>
    </xf>
    <xf borderId="1" fillId="0" fontId="4" numFmtId="0" xfId="0" applyAlignment="1" applyBorder="1" applyFont="1">
      <alignment horizontal="left" readingOrder="0"/>
    </xf>
    <xf borderId="1" fillId="0" fontId="4" numFmtId="0" xfId="0" applyAlignment="1" applyBorder="1" applyFont="1">
      <alignment horizontal="center"/>
    </xf>
    <xf borderId="1" fillId="0" fontId="2" numFmtId="0" xfId="0" applyAlignment="1" applyBorder="1" applyFont="1">
      <alignment horizontal="center" readingOrder="0" vertical="center"/>
    </xf>
    <xf borderId="1" fillId="28" fontId="29" numFmtId="0" xfId="0" applyAlignment="1" applyBorder="1" applyFont="1">
      <alignment horizontal="left" readingOrder="0" shrinkToFit="0" vertical="center" wrapText="1"/>
    </xf>
    <xf borderId="1" fillId="28" fontId="3" numFmtId="0" xfId="0" applyAlignment="1" applyBorder="1" applyFont="1">
      <alignment readingOrder="0"/>
    </xf>
    <xf borderId="1" fillId="0" fontId="2" numFmtId="0" xfId="0" applyAlignment="1" applyBorder="1" applyFont="1">
      <alignment horizontal="left" readingOrder="0" shrinkToFit="0" vertical="center" wrapText="1"/>
    </xf>
    <xf borderId="1" fillId="0" fontId="2" numFmtId="174" xfId="0" applyAlignment="1" applyBorder="1" applyFont="1" applyNumberFormat="1">
      <alignment horizontal="center" readingOrder="0" shrinkToFit="0" vertical="center" wrapText="1"/>
    </xf>
    <xf borderId="1" fillId="0" fontId="29" numFmtId="0" xfId="0" applyAlignment="1" applyBorder="1" applyFont="1">
      <alignment horizontal="left" readingOrder="0" shrinkToFit="0" vertical="center" wrapText="1"/>
    </xf>
    <xf borderId="1" fillId="0" fontId="29" numFmtId="175" xfId="0" applyAlignment="1" applyBorder="1" applyFont="1" applyNumberFormat="1">
      <alignment horizontal="center" readingOrder="0" shrinkToFit="0" vertical="center" wrapText="1"/>
    </xf>
    <xf borderId="1" fillId="28" fontId="29" numFmtId="175" xfId="0" applyAlignment="1" applyBorder="1" applyFont="1" applyNumberFormat="1">
      <alignment horizontal="left" readingOrder="0" shrinkToFit="0" vertical="center" wrapText="0"/>
    </xf>
    <xf borderId="1" fillId="28" fontId="2" numFmtId="174" xfId="0" applyAlignment="1" applyBorder="1" applyFont="1" applyNumberFormat="1">
      <alignment horizontal="center" readingOrder="0" shrinkToFit="0" vertical="center" wrapText="1"/>
    </xf>
    <xf borderId="1" fillId="0" fontId="2" numFmtId="172" xfId="0" applyAlignment="1" applyBorder="1" applyFont="1" applyNumberFormat="1">
      <alignment horizontal="center" vertical="center"/>
    </xf>
    <xf borderId="1" fillId="4" fontId="2" numFmtId="172" xfId="0" applyAlignment="1" applyBorder="1" applyFont="1" applyNumberFormat="1">
      <alignment horizontal="center" readingOrder="0" shrinkToFit="0" vertical="center" wrapText="1"/>
    </xf>
    <xf borderId="1" fillId="27" fontId="29" numFmtId="171" xfId="0" applyAlignment="1" applyBorder="1" applyFont="1" applyNumberFormat="1">
      <alignment horizontal="center" readingOrder="0" shrinkToFit="0" vertical="center" wrapText="1"/>
    </xf>
    <xf borderId="1" fillId="4" fontId="2" numFmtId="174" xfId="0" applyAlignment="1" applyBorder="1" applyFont="1" applyNumberFormat="1">
      <alignment horizontal="center" shrinkToFit="0" vertical="center" wrapText="1"/>
    </xf>
    <xf borderId="1" fillId="27" fontId="29" numFmtId="176" xfId="0" applyAlignment="1" applyBorder="1" applyFont="1" applyNumberFormat="1">
      <alignment horizontal="center" readingOrder="0" shrinkToFit="0" vertical="center" wrapText="1"/>
    </xf>
    <xf borderId="9" fillId="0" fontId="3" numFmtId="0" xfId="0" applyAlignment="1" applyBorder="1" applyFont="1">
      <alignment readingOrder="0" shrinkToFit="0" vertical="center" wrapText="1"/>
    </xf>
    <xf borderId="0" fillId="0" fontId="4" numFmtId="0" xfId="0" applyAlignment="1" applyFont="1">
      <alignment horizontal="center" readingOrder="0" vertical="center"/>
    </xf>
    <xf borderId="1" fillId="27" fontId="4" numFmtId="0" xfId="0" applyAlignment="1" applyBorder="1" applyFont="1">
      <alignment readingOrder="0" shrinkToFit="0" wrapText="1"/>
    </xf>
    <xf borderId="1" fillId="4" fontId="4" numFmtId="0" xfId="0" applyAlignment="1" applyBorder="1" applyFont="1">
      <alignment readingOrder="0" shrinkToFit="0" wrapText="1"/>
    </xf>
    <xf borderId="1" fillId="4" fontId="4" numFmtId="0" xfId="0" applyAlignment="1" applyBorder="1" applyFont="1">
      <alignment horizontal="center" shrinkToFit="0" wrapText="1"/>
    </xf>
    <xf borderId="0" fillId="27" fontId="4" numFmtId="0" xfId="0" applyAlignment="1" applyFont="1">
      <alignment readingOrder="0"/>
    </xf>
    <xf borderId="0" fillId="27" fontId="4" numFmtId="0" xfId="0" applyFont="1"/>
    <xf borderId="1" fillId="27" fontId="4" numFmtId="171" xfId="0" applyAlignment="1" applyBorder="1" applyFont="1" applyNumberFormat="1">
      <alignment horizontal="center" shrinkToFit="0" wrapText="1"/>
    </xf>
    <xf borderId="1" fillId="4" fontId="4" numFmtId="171" xfId="0" applyAlignment="1" applyBorder="1" applyFont="1" applyNumberFormat="1">
      <alignment horizontal="center" shrinkToFit="0" wrapText="1"/>
    </xf>
    <xf borderId="0" fillId="0" fontId="4" numFmtId="175" xfId="0" applyFont="1" applyNumberFormat="1"/>
    <xf borderId="1" fillId="27" fontId="4" numFmtId="1" xfId="0" applyAlignment="1" applyBorder="1" applyFont="1" applyNumberFormat="1">
      <alignment readingOrder="0"/>
    </xf>
    <xf borderId="9" fillId="0" fontId="4" numFmtId="0" xfId="0" applyAlignment="1" applyBorder="1" applyFont="1">
      <alignment readingOrder="0" shrinkToFit="0" vertical="center" wrapText="1"/>
    </xf>
    <xf borderId="1" fillId="4" fontId="2" numFmtId="0" xfId="0" applyAlignment="1" applyBorder="1" applyFont="1">
      <alignment horizontal="left" readingOrder="0" shrinkToFit="0" vertical="center" wrapText="0"/>
    </xf>
    <xf borderId="1" fillId="0" fontId="4" numFmtId="0" xfId="0" applyAlignment="1" applyBorder="1" applyFont="1">
      <alignment horizontal="center" readingOrder="0" shrinkToFit="0" wrapText="1"/>
    </xf>
    <xf borderId="1" fillId="0" fontId="40" numFmtId="0" xfId="0" applyAlignment="1" applyBorder="1" applyFont="1">
      <alignment horizontal="left" readingOrder="0" shrinkToFit="0" vertical="center" wrapText="0"/>
    </xf>
    <xf borderId="1" fillId="0" fontId="2" numFmtId="169" xfId="0" applyAlignment="1" applyBorder="1" applyFont="1" applyNumberFormat="1">
      <alignment horizontal="center" vertical="center"/>
    </xf>
    <xf borderId="1" fillId="0" fontId="2" numFmtId="0" xfId="0" applyAlignment="1" applyBorder="1" applyFont="1">
      <alignment horizontal="center" shrinkToFit="0" vertical="bottom" wrapText="1"/>
    </xf>
    <xf borderId="1" fillId="0" fontId="4" numFmtId="174" xfId="0" applyAlignment="1" applyBorder="1" applyFont="1" applyNumberFormat="1">
      <alignment horizontal="center" readingOrder="0" shrinkToFit="0" wrapText="1"/>
    </xf>
    <xf borderId="1" fillId="4" fontId="4" numFmtId="49" xfId="0" applyAlignment="1" applyBorder="1" applyFont="1" applyNumberFormat="1">
      <alignment horizontal="center" readingOrder="0" shrinkToFit="0" wrapText="1"/>
    </xf>
    <xf borderId="1" fillId="4" fontId="2" numFmtId="169" xfId="0" applyAlignment="1" applyBorder="1" applyFont="1" applyNumberFormat="1">
      <alignment horizontal="center" vertical="center"/>
    </xf>
    <xf borderId="1" fillId="27" fontId="2" numFmtId="0" xfId="0" applyAlignment="1" applyBorder="1" applyFont="1">
      <alignment horizontal="left" readingOrder="0" shrinkToFit="0" vertical="center" wrapText="0"/>
    </xf>
    <xf borderId="1" fillId="27" fontId="2" numFmtId="169" xfId="0" applyAlignment="1" applyBorder="1" applyFont="1" applyNumberFormat="1">
      <alignment horizontal="center" vertical="center"/>
    </xf>
    <xf borderId="1" fillId="0" fontId="3" numFmtId="0" xfId="0" applyAlignment="1" applyBorder="1" applyFont="1">
      <alignment horizontal="center" readingOrder="0" shrinkToFit="0" vertical="center" wrapText="1"/>
    </xf>
    <xf borderId="1" fillId="4" fontId="4" numFmtId="0" xfId="0" applyAlignment="1" applyBorder="1" applyFont="1">
      <alignment shrinkToFit="0" wrapText="1"/>
    </xf>
    <xf borderId="1" fillId="27" fontId="4" numFmtId="174" xfId="0" applyAlignment="1" applyBorder="1" applyFont="1" applyNumberFormat="1">
      <alignment shrinkToFit="0" wrapText="1"/>
    </xf>
    <xf borderId="1" fillId="4" fontId="4" numFmtId="174" xfId="0" applyAlignment="1" applyBorder="1" applyFont="1" applyNumberFormat="1">
      <alignment shrinkToFit="0" wrapText="1"/>
    </xf>
    <xf borderId="1" fillId="0" fontId="4" numFmtId="1" xfId="0" applyAlignment="1" applyBorder="1" applyFont="1" applyNumberFormat="1">
      <alignment readingOrder="0" shrinkToFit="0" wrapText="1"/>
    </xf>
    <xf borderId="1" fillId="0" fontId="4" numFmtId="174" xfId="0" applyBorder="1" applyFont="1" applyNumberFormat="1"/>
    <xf borderId="1" fillId="0" fontId="4" numFmtId="175" xfId="0" applyAlignment="1" applyBorder="1" applyFont="1" applyNumberFormat="1">
      <alignment shrinkToFit="0" wrapText="1"/>
    </xf>
    <xf borderId="1" fillId="0" fontId="3" numFmtId="0" xfId="0" applyAlignment="1" applyBorder="1" applyFont="1">
      <alignment horizontal="center" readingOrder="0" shrinkToFit="0" wrapText="1"/>
    </xf>
    <xf borderId="1" fillId="0" fontId="4" numFmtId="0" xfId="0" applyAlignment="1" applyBorder="1" applyFont="1">
      <alignment readingOrder="0" shrinkToFit="0" vertical="center" wrapText="1"/>
    </xf>
    <xf borderId="1" fillId="0" fontId="2" numFmtId="169" xfId="0" applyAlignment="1" applyBorder="1" applyFont="1" applyNumberFormat="1">
      <alignment horizontal="center" vertical="center"/>
    </xf>
    <xf borderId="1" fillId="28" fontId="3" numFmtId="176" xfId="0" applyAlignment="1" applyBorder="1" applyFont="1" applyNumberFormat="1">
      <alignment horizontal="center" shrinkToFit="0" wrapText="1"/>
    </xf>
    <xf borderId="1" fillId="28" fontId="2" numFmtId="169" xfId="0" applyAlignment="1" applyBorder="1" applyFont="1" applyNumberFormat="1">
      <alignment horizontal="center" vertical="center"/>
    </xf>
    <xf borderId="14" fillId="0" fontId="2" numFmtId="0" xfId="0" applyAlignment="1" applyBorder="1" applyFont="1">
      <alignment horizontal="center" shrinkToFit="0" vertical="center" wrapText="1"/>
    </xf>
    <xf borderId="14" fillId="0" fontId="2" numFmtId="0" xfId="0" applyAlignment="1" applyBorder="1" applyFont="1">
      <alignment horizontal="center" readingOrder="0" shrinkToFit="0" vertical="center" wrapText="1"/>
    </xf>
    <xf borderId="9" fillId="4" fontId="2" numFmtId="0" xfId="0" applyAlignment="1" applyBorder="1" applyFont="1">
      <alignment horizontal="center" vertical="center"/>
    </xf>
    <xf borderId="1" fillId="4" fontId="2" numFmtId="169" xfId="0" applyAlignment="1" applyBorder="1" applyFont="1" applyNumberFormat="1">
      <alignment horizontal="center" readingOrder="0" shrinkToFit="0" vertical="center" wrapText="1"/>
    </xf>
    <xf borderId="1" fillId="4" fontId="2" numFmtId="0" xfId="0" applyAlignment="1" applyBorder="1" applyFont="1">
      <alignment horizontal="center" readingOrder="0" vertical="center"/>
    </xf>
    <xf borderId="1" fillId="27" fontId="29" numFmtId="175" xfId="0" applyAlignment="1" applyBorder="1" applyFont="1" applyNumberFormat="1">
      <alignment horizontal="center" readingOrder="0" shrinkToFit="0" vertical="center" wrapText="1"/>
    </xf>
    <xf borderId="9" fillId="0" fontId="4" numFmtId="0" xfId="0" applyAlignment="1" applyBorder="1" applyFont="1">
      <alignment horizontal="center" readingOrder="0" shrinkToFit="0" vertical="center" wrapText="1"/>
    </xf>
    <xf borderId="1" fillId="21" fontId="29" numFmtId="171" xfId="0" applyAlignment="1" applyBorder="1" applyFont="1" applyNumberFormat="1">
      <alignment horizontal="center" readingOrder="0" shrinkToFit="0" vertical="center" wrapText="1"/>
    </xf>
    <xf borderId="1" fillId="21" fontId="29" numFmtId="176" xfId="0" applyAlignment="1" applyBorder="1" applyFont="1" applyNumberFormat="1">
      <alignment horizontal="center" readingOrder="0" shrinkToFit="0" vertical="center" wrapText="1"/>
    </xf>
    <xf borderId="1" fillId="4" fontId="2" numFmtId="0" xfId="0" applyAlignment="1" applyBorder="1" applyFont="1">
      <alignment horizontal="center"/>
    </xf>
    <xf borderId="1" fillId="4" fontId="29" numFmtId="0" xfId="0" applyAlignment="1" applyBorder="1" applyFont="1">
      <alignment horizontal="center"/>
    </xf>
    <xf borderId="1" fillId="27" fontId="2" numFmtId="0" xfId="0" applyAlignment="1" applyBorder="1" applyFont="1">
      <alignment horizontal="center"/>
    </xf>
    <xf borderId="1" fillId="27" fontId="2" numFmtId="0" xfId="0" applyAlignment="1" applyBorder="1" applyFont="1">
      <alignment horizontal="center"/>
    </xf>
    <xf borderId="1" fillId="4" fontId="2" numFmtId="0" xfId="0" applyAlignment="1" applyBorder="1" applyFont="1">
      <alignment horizontal="center" readingOrder="0"/>
    </xf>
    <xf borderId="1" fillId="27" fontId="2" numFmtId="173" xfId="0" applyAlignment="1" applyBorder="1" applyFont="1" applyNumberFormat="1">
      <alignment horizontal="center"/>
    </xf>
    <xf borderId="9" fillId="0" fontId="2" numFmtId="0" xfId="0" applyAlignment="1" applyBorder="1" applyFont="1">
      <alignment shrinkToFit="0" wrapText="1"/>
    </xf>
    <xf borderId="1" fillId="0" fontId="29" numFmtId="0" xfId="0" applyAlignment="1" applyBorder="1" applyFont="1">
      <alignment horizontal="center" shrinkToFit="0" wrapText="1"/>
    </xf>
    <xf borderId="1" fillId="4" fontId="2" numFmtId="169" xfId="0" applyAlignment="1" applyBorder="1" applyFont="1" applyNumberFormat="1">
      <alignment vertical="bottom"/>
    </xf>
    <xf borderId="9" fillId="0" fontId="29" numFmtId="0" xfId="0" applyAlignment="1" applyBorder="1" applyFont="1">
      <alignment horizontal="center" shrinkToFit="0" wrapText="1"/>
    </xf>
    <xf borderId="1" fillId="27" fontId="2" numFmtId="175" xfId="0" applyAlignment="1" applyBorder="1" applyFont="1" applyNumberFormat="1">
      <alignment horizontal="center" shrinkToFit="0" wrapText="1"/>
    </xf>
    <xf borderId="1" fillId="27" fontId="29" numFmtId="0" xfId="0" applyAlignment="1" applyBorder="1" applyFont="1">
      <alignment horizontal="center"/>
    </xf>
    <xf borderId="9" fillId="27" fontId="2" numFmtId="0" xfId="0" applyAlignment="1" applyBorder="1" applyFont="1">
      <alignment horizontal="center"/>
    </xf>
    <xf borderId="1" fillId="27" fontId="2" numFmtId="0" xfId="0" applyAlignment="1" applyBorder="1" applyFont="1">
      <alignment horizontal="center" shrinkToFit="0" wrapText="1"/>
    </xf>
    <xf borderId="1" fillId="27" fontId="2" numFmtId="172" xfId="0" applyBorder="1" applyFont="1" applyNumberFormat="1"/>
    <xf borderId="1" fillId="27" fontId="2" numFmtId="0" xfId="0" applyBorder="1" applyFont="1"/>
    <xf borderId="1" fillId="27" fontId="2" numFmtId="0" xfId="0" applyAlignment="1" applyBorder="1" applyFont="1">
      <alignment horizontal="center"/>
    </xf>
    <xf borderId="1" fillId="27" fontId="2" numFmtId="0" xfId="0" applyAlignment="1" applyBorder="1" applyFont="1">
      <alignment horizontal="center"/>
    </xf>
    <xf borderId="1" fillId="27" fontId="2" numFmtId="0" xfId="0" applyBorder="1" applyFont="1"/>
    <xf borderId="1" fillId="27" fontId="2" numFmtId="174" xfId="0" applyAlignment="1" applyBorder="1" applyFont="1" applyNumberFormat="1">
      <alignment horizontal="center"/>
    </xf>
    <xf borderId="1" fillId="4" fontId="2" numFmtId="172" xfId="0" applyAlignment="1" applyBorder="1" applyFont="1" applyNumberFormat="1">
      <alignment horizontal="center" shrinkToFit="0" wrapText="1"/>
    </xf>
    <xf borderId="1" fillId="4" fontId="2" numFmtId="172" xfId="0" applyBorder="1" applyFont="1" applyNumberFormat="1"/>
    <xf borderId="1" fillId="4" fontId="2" numFmtId="0" xfId="0" applyBorder="1" applyFont="1"/>
    <xf borderId="1" fillId="4" fontId="2" numFmtId="0" xfId="0" applyBorder="1" applyFont="1"/>
    <xf borderId="1" fillId="4" fontId="2" numFmtId="174" xfId="0" applyBorder="1" applyFont="1" applyNumberFormat="1"/>
    <xf borderId="1" fillId="27" fontId="2" numFmtId="171" xfId="0" applyAlignment="1" applyBorder="1" applyFont="1" applyNumberFormat="1">
      <alignment horizontal="center" shrinkToFit="0" wrapText="1"/>
    </xf>
    <xf borderId="1" fillId="4" fontId="2" numFmtId="174" xfId="0" applyAlignment="1" applyBorder="1" applyFont="1" applyNumberFormat="1">
      <alignment horizontal="center" shrinkToFit="0" vertical="bottom" wrapText="1"/>
    </xf>
    <xf borderId="1" fillId="4" fontId="2" numFmtId="0" xfId="0" applyAlignment="1" applyBorder="1" applyFont="1">
      <alignment horizontal="center" readingOrder="0" shrinkToFit="0" vertical="bottom" wrapText="1"/>
    </xf>
    <xf borderId="1" fillId="27" fontId="2" numFmtId="176" xfId="0" applyAlignment="1" applyBorder="1" applyFont="1" applyNumberFormat="1">
      <alignment horizontal="center" vertical="bottom"/>
    </xf>
    <xf borderId="1" fillId="27" fontId="2" numFmtId="0" xfId="0" applyAlignment="1" applyBorder="1" applyFont="1">
      <alignment horizontal="right" shrinkToFit="0" vertical="bottom" wrapText="1"/>
    </xf>
    <xf borderId="1" fillId="27" fontId="2" numFmtId="174" xfId="0" applyBorder="1" applyFont="1" applyNumberFormat="1"/>
    <xf borderId="1" fillId="4" fontId="2" numFmtId="0" xfId="0" applyAlignment="1" applyBorder="1" applyFont="1">
      <alignment horizontal="center" shrinkToFit="0" vertical="bottom" wrapText="1"/>
    </xf>
    <xf borderId="1" fillId="27" fontId="2" numFmtId="176" xfId="0" applyAlignment="1" applyBorder="1" applyFont="1" applyNumberFormat="1">
      <alignment horizontal="center" shrinkToFit="0" vertical="bottom" wrapText="1"/>
    </xf>
    <xf borderId="1" fillId="4" fontId="2" numFmtId="0" xfId="0" applyAlignment="1" applyBorder="1" applyFont="1">
      <alignment horizontal="right" shrinkToFit="0" vertical="bottom" wrapText="1"/>
    </xf>
    <xf borderId="1" fillId="27" fontId="2" numFmtId="0" xfId="0" applyAlignment="1" applyBorder="1" applyFont="1">
      <alignment horizontal="center" shrinkToFit="0" vertical="bottom" wrapText="1"/>
    </xf>
    <xf borderId="1" fillId="27" fontId="2" numFmtId="175" xfId="0" applyAlignment="1" applyBorder="1" applyFont="1" applyNumberFormat="1">
      <alignment horizontal="right" shrinkToFit="0" vertical="bottom" wrapText="1"/>
    </xf>
    <xf borderId="9" fillId="0" fontId="29" numFmtId="0" xfId="0" applyAlignment="1" applyBorder="1" applyFont="1">
      <alignment horizontal="center" shrinkToFit="0" wrapText="1"/>
    </xf>
    <xf borderId="1" fillId="0" fontId="2" numFmtId="0" xfId="0" applyAlignment="1" applyBorder="1" applyFont="1">
      <alignment horizontal="center" vertical="bottom"/>
    </xf>
    <xf borderId="1" fillId="0" fontId="2" numFmtId="0" xfId="0" applyBorder="1" applyFont="1"/>
    <xf borderId="1" fillId="0" fontId="2" numFmtId="1" xfId="0" applyAlignment="1" applyBorder="1" applyFont="1" applyNumberFormat="1">
      <alignment horizontal="right" shrinkToFit="0" vertical="bottom" wrapText="1"/>
    </xf>
    <xf borderId="1" fillId="0" fontId="2" numFmtId="174" xfId="0" applyBorder="1" applyFont="1" applyNumberFormat="1"/>
    <xf borderId="1" fillId="0" fontId="2" numFmtId="0" xfId="0" applyAlignment="1" applyBorder="1" applyFont="1">
      <alignment horizontal="center" shrinkToFit="0" vertical="bottom" wrapText="1"/>
    </xf>
    <xf borderId="1" fillId="0" fontId="2" numFmtId="174" xfId="0" applyAlignment="1" applyBorder="1" applyFont="1" applyNumberFormat="1">
      <alignment horizontal="right" vertical="bottom"/>
    </xf>
    <xf borderId="1" fillId="0" fontId="2" numFmtId="175" xfId="0" applyAlignment="1" applyBorder="1" applyFont="1" applyNumberFormat="1">
      <alignment horizontal="right" shrinkToFit="0" vertical="bottom" wrapText="1"/>
    </xf>
    <xf borderId="1" fillId="0" fontId="29" numFmtId="0" xfId="0" applyAlignment="1" applyBorder="1" applyFont="1">
      <alignment shrinkToFit="0" vertical="bottom" wrapText="1"/>
    </xf>
    <xf borderId="1" fillId="0" fontId="2" numFmtId="175" xfId="0" applyAlignment="1" applyBorder="1" applyFont="1" applyNumberFormat="1">
      <alignment horizontal="right" vertical="bottom"/>
    </xf>
    <xf borderId="1" fillId="0" fontId="2" numFmtId="175" xfId="0" applyAlignment="1" applyBorder="1" applyFont="1" applyNumberFormat="1">
      <alignment vertical="bottom"/>
    </xf>
    <xf borderId="1" fillId="0" fontId="29" numFmtId="0" xfId="0" applyAlignment="1" applyBorder="1" applyFont="1">
      <alignment horizontal="center" shrinkToFit="0" vertical="bottom" wrapText="1"/>
    </xf>
    <xf borderId="1" fillId="0" fontId="2" numFmtId="0" xfId="0" applyAlignment="1" applyBorder="1" applyFont="1">
      <alignment shrinkToFit="0" wrapText="1"/>
    </xf>
    <xf borderId="1" fillId="0" fontId="2" numFmtId="169" xfId="0" applyBorder="1" applyFont="1" applyNumberFormat="1"/>
    <xf borderId="1" fillId="28" fontId="29" numFmtId="0" xfId="0" applyAlignment="1" applyBorder="1" applyFont="1">
      <alignment horizontal="center" shrinkToFit="0" wrapText="1"/>
    </xf>
    <xf borderId="1" fillId="28" fontId="29" numFmtId="176" xfId="0" applyAlignment="1" applyBorder="1" applyFont="1" applyNumberFormat="1">
      <alignment horizontal="center" shrinkToFit="0" vertical="bottom" wrapText="1"/>
    </xf>
    <xf borderId="1" fillId="28" fontId="2" numFmtId="172" xfId="0" applyBorder="1" applyFont="1" applyNumberFormat="1"/>
    <xf borderId="1" fillId="28" fontId="2" numFmtId="0" xfId="0" applyBorder="1" applyFont="1"/>
    <xf borderId="1" fillId="28" fontId="2" numFmtId="169" xfId="0" applyBorder="1" applyFont="1" applyNumberFormat="1"/>
    <xf borderId="1" fillId="0" fontId="29" numFmtId="0" xfId="0" applyAlignment="1" applyBorder="1" applyFont="1">
      <alignment horizontal="center"/>
    </xf>
    <xf borderId="1" fillId="27" fontId="29" numFmtId="49" xfId="0" applyAlignment="1" applyBorder="1" applyFont="1" applyNumberFormat="1">
      <alignment horizontal="center"/>
    </xf>
    <xf borderId="1" fillId="28" fontId="29" numFmtId="0" xfId="0" applyAlignment="1" applyBorder="1" applyFont="1">
      <alignment horizontal="center"/>
    </xf>
    <xf borderId="1" fillId="28" fontId="29" numFmtId="171" xfId="0" applyAlignment="1" applyBorder="1" applyFont="1" applyNumberFormat="1">
      <alignment horizontal="center"/>
    </xf>
    <xf borderId="9" fillId="0" fontId="2" numFmtId="0" xfId="0" applyAlignment="1" applyBorder="1" applyFont="1">
      <alignment horizontal="center" shrinkToFit="0" wrapText="1"/>
    </xf>
    <xf borderId="1" fillId="0" fontId="2" numFmtId="0" xfId="0" applyAlignment="1" applyBorder="1" applyFont="1">
      <alignment horizontal="center" shrinkToFit="0" wrapText="1"/>
    </xf>
    <xf borderId="1" fillId="4" fontId="2" numFmtId="0" xfId="0" applyAlignment="1" applyBorder="1" applyFont="1">
      <alignment horizontal="center" shrinkToFit="0" wrapText="1"/>
    </xf>
    <xf borderId="1" fillId="27" fontId="2" numFmtId="172" xfId="0" applyAlignment="1" applyBorder="1" applyFont="1" applyNumberFormat="1">
      <alignment horizontal="center" shrinkToFit="0" wrapText="1"/>
    </xf>
    <xf borderId="1" fillId="21" fontId="29" numFmtId="0" xfId="0" applyAlignment="1" applyBorder="1" applyFont="1">
      <alignment horizontal="center" shrinkToFit="0" wrapText="1"/>
    </xf>
    <xf borderId="1" fillId="4" fontId="29" numFmtId="171" xfId="0" applyAlignment="1" applyBorder="1" applyFont="1" applyNumberFormat="1">
      <alignment horizontal="center" shrinkToFit="0" wrapText="1"/>
    </xf>
    <xf borderId="1" fillId="21" fontId="2" numFmtId="172" xfId="0" applyBorder="1" applyFont="1" applyNumberFormat="1"/>
    <xf borderId="1" fillId="21" fontId="2" numFmtId="0" xfId="0" applyBorder="1" applyFont="1"/>
    <xf borderId="1" fillId="21" fontId="2" numFmtId="174" xfId="0" applyBorder="1" applyFont="1" applyNumberFormat="1"/>
    <xf borderId="1" fillId="27" fontId="2" numFmtId="174" xfId="0" applyAlignment="1" applyBorder="1" applyFont="1" applyNumberFormat="1">
      <alignment horizontal="center" shrinkToFit="0" wrapText="1"/>
    </xf>
    <xf borderId="1" fillId="21" fontId="29" numFmtId="0" xfId="0" applyAlignment="1" applyBorder="1" applyFont="1">
      <alignment horizontal="center" shrinkToFit="0" vertical="bottom" wrapText="1"/>
    </xf>
    <xf borderId="1" fillId="4" fontId="29" numFmtId="176" xfId="0" applyAlignment="1" applyBorder="1" applyFont="1" applyNumberFormat="1">
      <alignment horizontal="center" shrinkToFit="0" wrapText="1"/>
    </xf>
    <xf borderId="0" fillId="0" fontId="3" numFmtId="0" xfId="0" applyFont="1"/>
    <xf borderId="0" fillId="4" fontId="2" numFmtId="0" xfId="0" applyAlignment="1" applyFont="1">
      <alignment horizontal="center" readingOrder="0" vertical="center"/>
    </xf>
    <xf borderId="0" fillId="27" fontId="2" numFmtId="0" xfId="0" applyAlignment="1" applyFont="1">
      <alignment horizontal="center" readingOrder="0" vertical="center"/>
    </xf>
    <xf borderId="0" fillId="4" fontId="4" numFmtId="0" xfId="0" applyFont="1"/>
    <xf borderId="0" fillId="0" fontId="29" numFmtId="0" xfId="0" applyAlignment="1" applyFont="1">
      <alignment readingOrder="0" vertical="bottom"/>
    </xf>
    <xf borderId="0" fillId="0" fontId="41" numFmtId="0" xfId="0" applyAlignment="1" applyFont="1">
      <alignment vertical="bottom"/>
    </xf>
    <xf borderId="0" fillId="0" fontId="42" numFmtId="0" xfId="0" applyFont="1"/>
    <xf borderId="0" fillId="0" fontId="42" numFmtId="0" xfId="0" applyAlignment="1" applyFont="1">
      <alignment readingOrder="0"/>
    </xf>
    <xf borderId="0" fillId="0" fontId="43" numFmtId="0" xfId="0" applyAlignment="1" applyFont="1">
      <alignment readingOrder="0"/>
    </xf>
    <xf borderId="0" fillId="0" fontId="4" numFmtId="178" xfId="0" applyAlignment="1" applyFont="1" applyNumberFormat="1">
      <alignment readingOrder="0"/>
    </xf>
    <xf borderId="0" fillId="0" fontId="2" numFmtId="178" xfId="0" applyAlignment="1" applyFont="1" applyNumberFormat="1">
      <alignment horizontal="right" readingOrder="0" vertical="bottom"/>
    </xf>
    <xf borderId="1" fillId="0" fontId="4" numFmtId="3" xfId="0" applyAlignment="1" applyBorder="1" applyFont="1" applyNumberFormat="1">
      <alignment readingOrder="0" shrinkToFit="0" wrapText="1"/>
    </xf>
    <xf borderId="1" fillId="0" fontId="3" numFmtId="3" xfId="0" applyAlignment="1" applyBorder="1" applyFont="1" applyNumberFormat="1">
      <alignment readingOrder="0" shrinkToFit="0" wrapText="1"/>
    </xf>
    <xf borderId="1" fillId="0" fontId="4" numFmtId="3" xfId="0" applyAlignment="1" applyBorder="1" applyFont="1" applyNumberFormat="1">
      <alignment readingOrder="0"/>
    </xf>
    <xf borderId="1" fillId="0" fontId="4" numFmtId="3" xfId="0" applyBorder="1" applyFont="1" applyNumberFormat="1"/>
    <xf borderId="1" fillId="0" fontId="44" numFmtId="3" xfId="0" applyAlignment="1" applyBorder="1" applyFont="1" applyNumberFormat="1">
      <alignment readingOrder="0"/>
    </xf>
    <xf borderId="1" fillId="0" fontId="45" numFmtId="0" xfId="0" applyAlignment="1" applyBorder="1" applyFont="1">
      <alignment readingOrder="0"/>
    </xf>
    <xf borderId="1" fillId="0" fontId="4" numFmtId="2" xfId="0" applyAlignment="1" applyBorder="1" applyFont="1" applyNumberFormat="1">
      <alignment readingOrder="0"/>
    </xf>
    <xf borderId="1" fillId="0" fontId="46" numFmtId="2" xfId="0" applyAlignment="1" applyBorder="1" applyFont="1" applyNumberFormat="1">
      <alignment readingOrder="0"/>
    </xf>
    <xf borderId="1" fillId="0" fontId="29" numFmtId="0" xfId="0" applyAlignment="1" applyBorder="1" applyFont="1">
      <alignment shrinkToFit="0" vertical="bottom" wrapText="1"/>
    </xf>
    <xf borderId="0" fillId="9" fontId="4" numFmtId="2" xfId="0" applyAlignment="1" applyFont="1" applyNumberFormat="1">
      <alignment readingOrder="0" shrinkToFit="0" wrapText="1"/>
    </xf>
    <xf borderId="0" fillId="9" fontId="4" numFmtId="0" xfId="0" applyAlignment="1" applyFont="1">
      <alignment readingOrder="0" shrinkToFit="0" wrapText="1"/>
    </xf>
    <xf borderId="0" fillId="0" fontId="4" numFmtId="179" xfId="0" applyAlignment="1" applyFont="1" applyNumberFormat="1">
      <alignment readingOrder="0"/>
    </xf>
    <xf borderId="0" fillId="0" fontId="4" numFmtId="180" xfId="0" applyAlignment="1" applyFont="1" applyNumberFormat="1">
      <alignment readingOrder="0"/>
    </xf>
    <xf borderId="0" fillId="9" fontId="4" numFmtId="2" xfId="0" applyFont="1" applyNumberFormat="1"/>
    <xf borderId="0" fillId="9" fontId="4" numFmtId="10" xfId="0" applyFont="1" applyNumberFormat="1"/>
    <xf borderId="0" fillId="9" fontId="4" numFmtId="0" xfId="0" applyFont="1"/>
    <xf borderId="11"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1" fillId="0" fontId="4" numFmtId="0" xfId="0" applyAlignment="1" applyBorder="1" applyFont="1">
      <alignment horizontal="center" shrinkToFit="0" wrapText="1"/>
    </xf>
    <xf borderId="1" fillId="0" fontId="4" numFmtId="0" xfId="0" applyAlignment="1" applyBorder="1" applyFont="1">
      <alignment horizontal="center"/>
    </xf>
    <xf borderId="1" fillId="0" fontId="3" numFmtId="0" xfId="0" applyAlignment="1" applyBorder="1" applyFont="1">
      <alignment horizontal="center" readingOrder="0"/>
    </xf>
    <xf borderId="1" fillId="10" fontId="3" numFmtId="0" xfId="0" applyAlignment="1" applyBorder="1" applyFont="1">
      <alignment horizontal="center"/>
    </xf>
    <xf borderId="1" fillId="0" fontId="4" numFmtId="0" xfId="0" applyAlignment="1" applyBorder="1" applyFont="1">
      <alignment shrinkToFit="0" wrapText="1"/>
    </xf>
    <xf borderId="1" fillId="30" fontId="3" numFmtId="0" xfId="0" applyAlignment="1" applyBorder="1" applyFill="1" applyFont="1">
      <alignment horizontal="center"/>
    </xf>
    <xf borderId="1" fillId="31" fontId="3" numFmtId="0" xfId="0" applyAlignment="1" applyBorder="1" applyFill="1" applyFont="1">
      <alignment horizontal="center"/>
    </xf>
    <xf borderId="0" fillId="0" fontId="4" numFmtId="10" xfId="0" applyFont="1" applyNumberFormat="1"/>
    <xf borderId="0" fillId="9" fontId="3" numFmtId="0" xfId="0" applyAlignment="1" applyFont="1">
      <alignment horizontal="center" readingOrder="0"/>
    </xf>
    <xf borderId="0" fillId="0" fontId="4" numFmtId="0" xfId="0" applyAlignment="1" applyFont="1">
      <alignment readingOrder="0"/>
    </xf>
    <xf borderId="0" fillId="0" fontId="47" numFmtId="0" xfId="0" applyAlignment="1" applyFont="1">
      <alignment readingOrder="0"/>
    </xf>
    <xf borderId="0" fillId="17" fontId="4" numFmtId="0" xfId="0" applyFont="1"/>
    <xf borderId="0" fillId="0" fontId="4" numFmtId="0" xfId="0" applyFont="1"/>
    <xf borderId="1" fillId="0" fontId="4" numFmtId="4" xfId="0" applyAlignment="1" applyBorder="1" applyFont="1" applyNumberFormat="1">
      <alignment readingOrder="0"/>
    </xf>
    <xf borderId="0" fillId="4" fontId="2" numFmtId="0" xfId="0" applyAlignment="1" applyFont="1">
      <alignment horizontal="center" vertical="bottom"/>
    </xf>
    <xf borderId="1" fillId="18" fontId="2" numFmtId="0" xfId="0" applyAlignment="1" applyBorder="1" applyFont="1">
      <alignment horizontal="right" vertical="center"/>
    </xf>
    <xf borderId="0" fillId="18" fontId="2" numFmtId="0" xfId="0" applyAlignment="1" applyFont="1">
      <alignment horizontal="right" vertical="bottom"/>
    </xf>
    <xf borderId="0" fillId="17" fontId="4" numFmtId="0" xfId="0" applyAlignment="1" applyFont="1">
      <alignment readingOrder="0"/>
    </xf>
    <xf borderId="21" fillId="0" fontId="4" numFmtId="0" xfId="0" applyAlignment="1" applyBorder="1" applyFont="1">
      <alignment readingOrder="0" vertical="center"/>
    </xf>
    <xf borderId="0" fillId="0" fontId="4" numFmtId="0" xfId="0" applyAlignment="1" applyFont="1">
      <alignment readingOrder="0"/>
    </xf>
    <xf borderId="7" fillId="0" fontId="4" numFmtId="0" xfId="0" applyAlignment="1" applyBorder="1" applyFont="1">
      <alignment readingOrder="0" vertical="center"/>
    </xf>
    <xf borderId="7" fillId="0" fontId="4" numFmtId="0" xfId="0" applyAlignment="1" applyBorder="1" applyFont="1">
      <alignment readingOrder="0" vertical="center"/>
    </xf>
    <xf borderId="21" fillId="0" fontId="4" numFmtId="0" xfId="0" applyAlignment="1" applyBorder="1" applyFont="1">
      <alignment readingOrder="0" vertical="center"/>
    </xf>
    <xf borderId="0" fillId="0" fontId="2" numFmtId="0" xfId="0" applyAlignment="1" applyFont="1">
      <alignment horizontal="center" readingOrder="0"/>
    </xf>
    <xf borderId="1" fillId="0" fontId="4" numFmtId="4" xfId="0" applyAlignment="1" applyBorder="1" applyFont="1" applyNumberFormat="1">
      <alignment readingOrder="0"/>
    </xf>
    <xf borderId="6" fillId="0" fontId="4" numFmtId="0" xfId="0" applyAlignment="1" applyBorder="1" applyFont="1">
      <alignment readingOrder="0" vertical="center"/>
    </xf>
    <xf borderId="7" fillId="0" fontId="2" numFmtId="0" xfId="0" applyAlignment="1" applyBorder="1" applyFont="1">
      <alignment horizontal="center" readingOrder="0" vertical="center"/>
    </xf>
    <xf borderId="1" fillId="32" fontId="48" numFmtId="0" xfId="0" applyAlignment="1" applyBorder="1" applyFill="1" applyFont="1">
      <alignment readingOrder="0" vertical="bottom"/>
    </xf>
    <xf borderId="1" fillId="32" fontId="2" numFmtId="0" xfId="0" applyAlignment="1" applyBorder="1" applyFont="1">
      <alignment vertical="bottom"/>
    </xf>
    <xf borderId="1" fillId="0" fontId="2" numFmtId="0" xfId="0" applyAlignment="1" applyBorder="1" applyFont="1">
      <alignment horizontal="center" readingOrder="0"/>
    </xf>
    <xf borderId="0" fillId="33" fontId="2" numFmtId="0" xfId="0" applyAlignment="1" applyFill="1" applyFont="1">
      <alignment readingOrder="0" vertical="bottom"/>
    </xf>
    <xf borderId="0" fillId="4" fontId="2" numFmtId="0" xfId="0" applyAlignment="1" applyFont="1">
      <alignment vertical="bottom"/>
    </xf>
    <xf borderId="0" fillId="0" fontId="2" numFmtId="173" xfId="0" applyAlignment="1" applyFont="1" applyNumberFormat="1">
      <alignment readingOrder="0"/>
    </xf>
    <xf borderId="1" fillId="33" fontId="2" numFmtId="0" xfId="0" applyAlignment="1" applyBorder="1" applyFont="1">
      <alignment vertical="bottom"/>
    </xf>
    <xf borderId="1" fillId="33" fontId="2" numFmtId="173" xfId="0" applyAlignment="1" applyBorder="1" applyFont="1" applyNumberFormat="1">
      <alignment horizontal="right"/>
    </xf>
    <xf borderId="1" fillId="4" fontId="2" numFmtId="173" xfId="0" applyAlignment="1" applyBorder="1" applyFont="1" applyNumberFormat="1">
      <alignment horizontal="right" vertical="bottom"/>
    </xf>
    <xf borderId="1" fillId="33" fontId="2" numFmtId="173" xfId="0" applyAlignment="1" applyBorder="1" applyFont="1" applyNumberFormat="1">
      <alignment horizontal="right" vertical="bottom"/>
    </xf>
    <xf borderId="1" fillId="33" fontId="2" numFmtId="173" xfId="0" applyAlignment="1" applyBorder="1" applyFont="1" applyNumberFormat="1">
      <alignment horizontal="right" readingOrder="0" vertical="bottom"/>
    </xf>
    <xf borderId="0" fillId="0" fontId="4" numFmtId="0" xfId="0" applyFont="1"/>
    <xf borderId="0" fillId="0" fontId="4" numFmtId="173" xfId="0" applyFont="1" applyNumberFormat="1"/>
    <xf borderId="0" fillId="0" fontId="4" numFmtId="0" xfId="0" applyAlignment="1" applyFont="1">
      <alignment horizontal="right"/>
    </xf>
    <xf borderId="22" fillId="23" fontId="4" numFmtId="0" xfId="0" applyBorder="1" applyFont="1"/>
    <xf borderId="18" fillId="4" fontId="4" numFmtId="165" xfId="0" applyBorder="1" applyFont="1" applyNumberFormat="1"/>
    <xf borderId="0" fillId="4" fontId="3" numFmtId="0" xfId="0" applyAlignment="1" applyFont="1">
      <alignment readingOrder="0"/>
    </xf>
    <xf borderId="0" fillId="4" fontId="4" numFmtId="168" xfId="0" applyFont="1" applyNumberFormat="1"/>
    <xf borderId="1" fillId="24" fontId="4" numFmtId="0" xfId="0" applyAlignment="1" applyBorder="1" applyFont="1">
      <alignment horizontal="center" readingOrder="0" vertical="center"/>
    </xf>
    <xf borderId="1" fillId="25" fontId="4" numFmtId="0" xfId="0" applyAlignment="1" applyBorder="1" applyFont="1">
      <alignment horizontal="center" readingOrder="0" vertical="center"/>
    </xf>
    <xf borderId="0" fillId="25" fontId="4" numFmtId="168" xfId="0" applyFont="1" applyNumberFormat="1"/>
    <xf borderId="1" fillId="28" fontId="2" numFmtId="175" xfId="0" applyAlignment="1" applyBorder="1" applyFont="1" applyNumberFormat="1">
      <alignment horizontal="right" readingOrder="0" shrinkToFit="0" vertical="center" wrapText="1"/>
    </xf>
    <xf borderId="1" fillId="4" fontId="29" numFmtId="172" xfId="0" applyAlignment="1" applyBorder="1" applyFont="1" applyNumberFormat="1">
      <alignment horizontal="left" readingOrder="0" vertical="center"/>
    </xf>
    <xf borderId="1" fillId="0" fontId="33" numFmtId="0" xfId="0" applyAlignment="1" applyBorder="1" applyFont="1">
      <alignment readingOrder="0"/>
    </xf>
    <xf borderId="1" fillId="4" fontId="3" numFmtId="175" xfId="0" applyAlignment="1" applyBorder="1" applyFont="1" applyNumberFormat="1">
      <alignment shrinkToFit="0" wrapText="1"/>
    </xf>
    <xf borderId="1" fillId="4" fontId="2" numFmtId="0" xfId="0" applyAlignment="1" applyBorder="1" applyFont="1">
      <alignment horizontal="right" shrinkToFit="0" vertical="bottom" wrapText="1"/>
    </xf>
    <xf borderId="1" fillId="27" fontId="2" numFmtId="0" xfId="0" applyAlignment="1" applyBorder="1" applyFont="1">
      <alignment horizontal="center" shrinkToFit="0" vertical="bottom" wrapText="1"/>
    </xf>
    <xf borderId="1" fillId="4" fontId="4" numFmtId="174" xfId="0" applyAlignment="1" applyBorder="1" applyFont="1" applyNumberFormat="1">
      <alignment horizontal="center" shrinkToFit="0" wrapText="1"/>
    </xf>
    <xf borderId="1" fillId="27" fontId="4" numFmtId="175" xfId="0" applyAlignment="1" applyBorder="1" applyFont="1" applyNumberFormat="1">
      <alignment shrinkToFit="0" wrapText="1"/>
    </xf>
    <xf borderId="1" fillId="0" fontId="2" numFmtId="169" xfId="0" applyAlignment="1" applyBorder="1" applyFont="1" applyNumberFormat="1">
      <alignment horizontal="center" vertical="center"/>
    </xf>
    <xf borderId="1" fillId="0" fontId="2" numFmtId="169" xfId="0" applyAlignment="1" applyBorder="1" applyFont="1" applyNumberFormat="1">
      <alignment horizontal="center" shrinkToFit="0" vertical="center" wrapText="1"/>
    </xf>
    <xf borderId="0" fillId="0" fontId="3" numFmtId="0" xfId="0" applyAlignment="1" applyFont="1">
      <alignment horizontal="center" readingOrder="0"/>
    </xf>
    <xf borderId="0" fillId="0" fontId="4" numFmtId="0" xfId="0" applyAlignment="1" applyFont="1">
      <alignment readingOrder="0"/>
    </xf>
    <xf borderId="0" fillId="0" fontId="2" numFmtId="0" xfId="0" applyAlignment="1" applyFont="1">
      <alignment horizontal="center" readingOrder="0"/>
    </xf>
    <xf borderId="1" fillId="0" fontId="4" numFmtId="175" xfId="0" applyBorder="1" applyFont="1" applyNumberFormat="1"/>
    <xf borderId="0" fillId="21" fontId="3" numFmtId="0" xfId="0" applyAlignment="1" applyFont="1">
      <alignment horizontal="left" readingOrder="0" shrinkToFit="0" vertical="center" wrapText="0"/>
    </xf>
    <xf borderId="0" fillId="33" fontId="2" numFmtId="0" xfId="0" applyAlignment="1" applyFont="1">
      <alignment vertical="bottom"/>
    </xf>
    <xf borderId="0" fillId="33" fontId="2" numFmtId="173" xfId="0" applyAlignment="1" applyFont="1" applyNumberFormat="1">
      <alignment horizontal="right"/>
    </xf>
    <xf borderId="1" fillId="34" fontId="2" numFmtId="0" xfId="0" applyAlignment="1" applyBorder="1" applyFill="1" applyFont="1">
      <alignment readingOrder="0" vertical="bottom"/>
    </xf>
    <xf borderId="1" fillId="34" fontId="2" numFmtId="10" xfId="0" applyAlignment="1" applyBorder="1" applyFont="1" applyNumberFormat="1">
      <alignment horizontal="right" vertical="bottom"/>
    </xf>
    <xf borderId="1" fillId="27" fontId="4" numFmtId="0" xfId="0" applyAlignment="1" applyBorder="1" applyFont="1">
      <alignment horizontal="center" shrinkToFit="0" wrapText="1"/>
    </xf>
    <xf borderId="1" fillId="27" fontId="4" numFmtId="174" xfId="0" applyAlignment="1" applyBorder="1" applyFont="1" applyNumberFormat="1">
      <alignment horizontal="center" shrinkToFit="0" wrapText="1"/>
    </xf>
    <xf borderId="0" fillId="23" fontId="3" numFmtId="0" xfId="0" applyAlignment="1" applyFont="1">
      <alignment horizontal="center" readingOrder="0" vertical="center"/>
    </xf>
    <xf borderId="0" fillId="4" fontId="4" numFmtId="0" xfId="0" applyAlignment="1" applyFont="1">
      <alignment readingOrder="0"/>
    </xf>
    <xf borderId="0" fillId="25" fontId="4" numFmtId="0" xfId="0" applyFont="1"/>
    <xf borderId="1" fillId="28" fontId="29" numFmtId="176" xfId="0" applyAlignment="1" applyBorder="1" applyFont="1" applyNumberFormat="1">
      <alignment horizontal="left" readingOrder="0" vertical="center"/>
    </xf>
    <xf borderId="1" fillId="28" fontId="2" numFmtId="0" xfId="0" applyBorder="1" applyFont="1"/>
    <xf borderId="1" fillId="28" fontId="2" numFmtId="174" xfId="0" applyBorder="1" applyFont="1" applyNumberFormat="1"/>
    <xf borderId="1" fillId="0" fontId="2" numFmtId="176" xfId="0" applyAlignment="1" applyBorder="1" applyFont="1" applyNumberFormat="1">
      <alignment horizontal="center" readingOrder="0" vertical="center"/>
    </xf>
    <xf borderId="1" fillId="28" fontId="29" numFmtId="176" xfId="0" applyAlignment="1" applyBorder="1" applyFont="1" applyNumberFormat="1">
      <alignment horizontal="center" readingOrder="0" vertical="center"/>
    </xf>
    <xf borderId="1" fillId="28" fontId="3" numFmtId="176" xfId="0" applyAlignment="1" applyBorder="1" applyFont="1" applyNumberFormat="1">
      <alignment readingOrder="0"/>
    </xf>
    <xf borderId="1" fillId="27" fontId="2" numFmtId="1" xfId="0" applyAlignment="1" applyBorder="1" applyFont="1" applyNumberFormat="1">
      <alignment horizontal="center" readingOrder="0" shrinkToFit="0" vertical="bottom" wrapText="1"/>
    </xf>
    <xf borderId="1" fillId="27" fontId="2" numFmtId="176" xfId="0" applyAlignment="1" applyBorder="1" applyFont="1" applyNumberFormat="1">
      <alignment horizontal="center" readingOrder="0" vertical="center"/>
    </xf>
    <xf borderId="1" fillId="27" fontId="2" numFmtId="175" xfId="0" applyAlignment="1" applyBorder="1" applyFont="1" applyNumberFormat="1">
      <alignment horizontal="right" shrinkToFit="0" vertical="bottom" wrapText="1"/>
    </xf>
    <xf borderId="0" fillId="27" fontId="2" numFmtId="0" xfId="0" applyAlignment="1" applyFont="1">
      <alignment horizontal="center" readingOrder="0" vertical="center"/>
    </xf>
    <xf borderId="0" fillId="4" fontId="2" numFmtId="0" xfId="0" applyAlignment="1" applyFont="1">
      <alignment horizontal="center" readingOrder="0" vertical="center"/>
    </xf>
    <xf borderId="1" fillId="4" fontId="4" numFmtId="0" xfId="0" applyAlignment="1" applyBorder="1" applyFont="1">
      <alignment horizontal="left" readingOrder="0" vertical="center"/>
    </xf>
    <xf borderId="1" fillId="4" fontId="2" numFmtId="175" xfId="0" applyAlignment="1" applyBorder="1" applyFont="1" applyNumberFormat="1">
      <alignment horizontal="center" vertical="center"/>
    </xf>
    <xf borderId="1" fillId="4" fontId="2" numFmtId="1" xfId="0" applyAlignment="1" applyBorder="1" applyFont="1" applyNumberFormat="1">
      <alignment horizontal="center" readingOrder="0" shrinkToFit="0" vertical="bottom" wrapText="1"/>
    </xf>
  </cellXfs>
  <cellStyles count="1">
    <cellStyle xfId="0" name="Normal" builtinId="0"/>
  </cellStyles>
  <dxfs count="30">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C4E2A0"/>
          <bgColor rgb="FFC4E2A0"/>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B7B7B7"/>
          <bgColor rgb="FFB7B7B7"/>
        </patternFill>
      </fill>
      <border/>
    </dxf>
    <dxf>
      <font>
        <strike/>
      </font>
      <fill>
        <patternFill patternType="solid">
          <fgColor rgb="FF999999"/>
          <bgColor rgb="FF999999"/>
        </patternFill>
      </fill>
      <border/>
    </dxf>
    <dxf>
      <font/>
      <fill>
        <patternFill patternType="none"/>
      </fill>
      <border/>
    </dxf>
    <dxf>
      <font/>
      <fill>
        <patternFill patternType="solid">
          <fgColor rgb="FFB7E1CD"/>
          <bgColor rgb="FFB7E1CD"/>
        </patternFill>
      </fill>
      <border/>
    </dxf>
    <dxf>
      <font/>
      <fill>
        <patternFill patternType="solid">
          <fgColor rgb="FFD9D2E9"/>
          <bgColor rgb="FFD9D2E9"/>
        </patternFill>
      </fill>
      <border/>
    </dxf>
    <dxf>
      <font/>
      <fill>
        <patternFill patternType="solid">
          <fgColor rgb="FFD9EAD3"/>
          <bgColor rgb="FFD9EAD3"/>
        </patternFill>
      </fill>
      <border/>
    </dxf>
    <dxf>
      <font/>
      <fill>
        <patternFill patternType="solid">
          <fgColor rgb="FFCFE2F3"/>
          <bgColor rgb="FFCFE2F3"/>
        </patternFill>
      </fill>
      <border/>
    </dxf>
    <dxf>
      <font/>
      <fill>
        <patternFill patternType="solid">
          <fgColor rgb="FFC27BA0"/>
          <bgColor rgb="FFC27BA0"/>
        </patternFill>
      </fill>
      <border/>
    </dxf>
    <dxf>
      <font/>
      <fill>
        <patternFill patternType="solid">
          <fgColor rgb="FFEAD1DC"/>
          <bgColor rgb="FFEAD1DC"/>
        </patternFill>
      </fill>
      <border/>
    </dxf>
    <dxf>
      <font/>
      <fill>
        <patternFill patternType="solid">
          <fgColor rgb="FF8989EB"/>
          <bgColor rgb="FF8989EB"/>
        </patternFill>
      </fill>
      <border/>
    </dxf>
    <dxf>
      <font/>
      <fill>
        <patternFill patternType="solid">
          <fgColor rgb="FFE8E7FC"/>
          <bgColor rgb="FFE8E7FC"/>
        </patternFill>
      </fill>
      <border/>
    </dxf>
  </dxfs>
  <tableStyles count="162">
    <tableStyle count="3" pivot="0" name="Config and Summary-style">
      <tableStyleElement dxfId="1" type="headerRow"/>
      <tableStyleElement dxfId="2" type="firstRowStripe"/>
      <tableStyleElement dxfId="3" type="secondRowStripe"/>
    </tableStyle>
    <tableStyle count="3" pivot="0" name="Config and Summary-style 2">
      <tableStyleElement dxfId="4" type="headerRow"/>
      <tableStyleElement dxfId="2" type="firstRowStripe"/>
      <tableStyleElement dxfId="5" type="secondRowStripe"/>
    </tableStyle>
    <tableStyle count="3" pivot="0" name="Config and Summary-style 3">
      <tableStyleElement dxfId="6" type="headerRow"/>
      <tableStyleElement dxfId="2" type="firstRowStripe"/>
      <tableStyleElement dxfId="7" type="secondRowStripe"/>
    </tableStyle>
    <tableStyle count="3" pivot="0" name="Config and Summary-style 4">
      <tableStyleElement dxfId="8" type="headerRow"/>
      <tableStyleElement dxfId="2" type="firstRowStripe"/>
      <tableStyleElement dxfId="9" type="secondRowStripe"/>
    </tableStyle>
    <tableStyle count="3" pivot="0" name="Decode First Token-style">
      <tableStyleElement dxfId="10" type="headerRow"/>
      <tableStyleElement dxfId="2" type="firstRowStripe"/>
      <tableStyleElement dxfId="11" type="secondRowStripe"/>
    </tableStyle>
    <tableStyle count="4" pivot="0" name="Decode First Token-style 2">
      <tableStyleElement dxfId="8" type="headerRow"/>
      <tableStyleElement dxfId="2" type="firstRowStripe"/>
      <tableStyleElement dxfId="9" type="secondRowStripe"/>
      <tableStyleElement dxfId="12" type="totalRow"/>
    </tableStyle>
    <tableStyle count="3" pivot="0" name="Decode First Token-style 3">
      <tableStyleElement dxfId="13" type="headerRow"/>
      <tableStyleElement dxfId="2" type="firstRowStripe"/>
      <tableStyleElement dxfId="14" type="secondRowStripe"/>
    </tableStyle>
    <tableStyle count="3" pivot="0" name="Decode First Token-style 4">
      <tableStyleElement dxfId="15" type="headerRow"/>
      <tableStyleElement dxfId="2" type="firstRowStripe"/>
      <tableStyleElement dxfId="16" type="secondRowStripe"/>
    </tableStyle>
    <tableStyle count="3" pivot="0" name="Decode First Token-style 5">
      <tableStyleElement dxfId="17" type="headerRow"/>
      <tableStyleElement dxfId="2" type="firstRowStripe"/>
      <tableStyleElement dxfId="18" type="secondRowStripe"/>
    </tableStyle>
    <tableStyle count="3" pivot="0" name="Decode First Token-style 6">
      <tableStyleElement dxfId="6" type="headerRow"/>
      <tableStyleElement dxfId="2" type="firstRowStripe"/>
      <tableStyleElement dxfId="7" type="secondRowStripe"/>
    </tableStyle>
    <tableStyle count="2" pivot="0" name="Decode First Token-style 7">
      <tableStyleElement dxfId="2" type="firstRowStripe"/>
      <tableStyleElement dxfId="7" type="secondRowStripe"/>
    </tableStyle>
    <tableStyle count="2" pivot="0" name="Decode First Token-style 8">
      <tableStyleElement dxfId="2" type="firstRowStripe"/>
      <tableStyleElement dxfId="7" type="secondRowStripe"/>
    </tableStyle>
    <tableStyle count="2" pivot="0" name="Decode First Token-style 9">
      <tableStyleElement dxfId="7" type="firstRowStripe"/>
      <tableStyleElement dxfId="2" type="secondRowStripe"/>
    </tableStyle>
    <tableStyle count="2" pivot="0" name="Decode First Token-style 10">
      <tableStyleElement dxfId="2" type="firstRowStripe"/>
      <tableStyleElement dxfId="7" type="secondRowStripe"/>
    </tableStyle>
    <tableStyle count="2" pivot="0" name="Decode First Token-style 11">
      <tableStyleElement dxfId="2" type="firstRowStripe"/>
      <tableStyleElement dxfId="7" type="secondRowStripe"/>
    </tableStyle>
    <tableStyle count="2" pivot="0" name="Decode First Token-style 12">
      <tableStyleElement dxfId="2" type="firstRowStripe"/>
      <tableStyleElement dxfId="7" type="secondRowStripe"/>
    </tableStyle>
    <tableStyle count="2" pivot="0" name="Decode First Token-style 13">
      <tableStyleElement dxfId="2" type="firstRowStripe"/>
      <tableStyleElement dxfId="7" type="secondRowStripe"/>
    </tableStyle>
    <tableStyle count="2" pivot="0" name="Decode First Token-style 14">
      <tableStyleElement dxfId="7" type="firstRowStripe"/>
      <tableStyleElement dxfId="2" type="secondRowStripe"/>
    </tableStyle>
    <tableStyle count="2" pivot="0" name="Decode First Token-style 15">
      <tableStyleElement dxfId="7" type="firstRowStripe"/>
      <tableStyleElement dxfId="2" type="secondRowStripe"/>
    </tableStyle>
    <tableStyle count="2" pivot="0" name="Decode First Token-style 16">
      <tableStyleElement dxfId="2" type="firstRowStripe"/>
      <tableStyleElement dxfId="7" type="secondRowStripe"/>
    </tableStyle>
    <tableStyle count="3" pivot="0" name="Decode Last Token-style">
      <tableStyleElement dxfId="10" type="headerRow"/>
      <tableStyleElement dxfId="2" type="firstRowStripe"/>
      <tableStyleElement dxfId="11" type="secondRowStripe"/>
    </tableStyle>
    <tableStyle count="4" pivot="0" name="Decode Last Token-style 2">
      <tableStyleElement dxfId="8" type="headerRow"/>
      <tableStyleElement dxfId="2" type="firstRowStripe"/>
      <tableStyleElement dxfId="9" type="secondRowStripe"/>
      <tableStyleElement dxfId="12" type="totalRow"/>
    </tableStyle>
    <tableStyle count="3" pivot="0" name="Decode Last Token-style 3">
      <tableStyleElement dxfId="13" type="headerRow"/>
      <tableStyleElement dxfId="2" type="firstRowStripe"/>
      <tableStyleElement dxfId="14" type="secondRowStripe"/>
    </tableStyle>
    <tableStyle count="3" pivot="0" name="Decode Last Token-style 4">
      <tableStyleElement dxfId="15" type="headerRow"/>
      <tableStyleElement dxfId="2" type="firstRowStripe"/>
      <tableStyleElement dxfId="16" type="secondRowStripe"/>
    </tableStyle>
    <tableStyle count="3" pivot="0" name="Decode Last Token-style 5">
      <tableStyleElement dxfId="17" type="headerRow"/>
      <tableStyleElement dxfId="2" type="firstRowStripe"/>
      <tableStyleElement dxfId="18" type="secondRowStripe"/>
    </tableStyle>
    <tableStyle count="3" pivot="0" name="Decode Last Token-style 6">
      <tableStyleElement dxfId="6" type="headerRow"/>
      <tableStyleElement dxfId="2" type="firstRowStripe"/>
      <tableStyleElement dxfId="7" type="secondRowStripe"/>
    </tableStyle>
    <tableStyle count="2" pivot="0" name="Decode Last Token-style 7">
      <tableStyleElement dxfId="2" type="firstRowStripe"/>
      <tableStyleElement dxfId="7" type="secondRowStripe"/>
    </tableStyle>
    <tableStyle count="2" pivot="0" name="Decode Last Token-style 8">
      <tableStyleElement dxfId="2" type="firstRowStripe"/>
      <tableStyleElement dxfId="7" type="secondRowStripe"/>
    </tableStyle>
    <tableStyle count="2" pivot="0" name="Decode Last Token-style 9">
      <tableStyleElement dxfId="7" type="firstRowStripe"/>
      <tableStyleElement dxfId="2" type="secondRowStripe"/>
    </tableStyle>
    <tableStyle count="2" pivot="0" name="Decode Last Token-style 10">
      <tableStyleElement dxfId="2" type="firstRowStripe"/>
      <tableStyleElement dxfId="7" type="secondRowStripe"/>
    </tableStyle>
    <tableStyle count="2" pivot="0" name="Decode Last Token-style 11">
      <tableStyleElement dxfId="2" type="firstRowStripe"/>
      <tableStyleElement dxfId="7" type="secondRowStripe"/>
    </tableStyle>
    <tableStyle count="2" pivot="0" name="Decode Last Token-style 12">
      <tableStyleElement dxfId="2" type="firstRowStripe"/>
      <tableStyleElement dxfId="7" type="secondRowStripe"/>
    </tableStyle>
    <tableStyle count="2" pivot="0" name="Decode Last Token-style 13">
      <tableStyleElement dxfId="2" type="firstRowStripe"/>
      <tableStyleElement dxfId="7" type="secondRowStripe"/>
    </tableStyle>
    <tableStyle count="2" pivot="0" name="Decode Last Token-style 14">
      <tableStyleElement dxfId="7" type="firstRowStripe"/>
      <tableStyleElement dxfId="2" type="secondRowStripe"/>
    </tableStyle>
    <tableStyle count="2" pivot="0" name="Decode Last Token-style 15">
      <tableStyleElement dxfId="7" type="firstRowStripe"/>
      <tableStyleElement dxfId="2" type="secondRowStripe"/>
    </tableStyle>
    <tableStyle count="2" pivot="0" name="Decode Last Token-style 16">
      <tableStyleElement dxfId="2" type="firstRowStripe"/>
      <tableStyleElement dxfId="7" type="secondRowStripe"/>
    </tableStyle>
    <tableStyle count="3" pivot="0" name="Prefill-style">
      <tableStyleElement dxfId="10" type="headerRow"/>
      <tableStyleElement dxfId="2" type="firstRowStripe"/>
      <tableStyleElement dxfId="11" type="secondRowStripe"/>
    </tableStyle>
    <tableStyle count="4" pivot="0" name="Prefill-style 2">
      <tableStyleElement dxfId="8" type="headerRow"/>
      <tableStyleElement dxfId="2" type="firstRowStripe"/>
      <tableStyleElement dxfId="9" type="secondRowStripe"/>
      <tableStyleElement dxfId="12" type="totalRow"/>
    </tableStyle>
    <tableStyle count="3" pivot="0" name="Prefill-style 3">
      <tableStyleElement dxfId="13" type="headerRow"/>
      <tableStyleElement dxfId="2" type="firstRowStripe"/>
      <tableStyleElement dxfId="14" type="secondRowStripe"/>
    </tableStyle>
    <tableStyle count="3" pivot="0" name="Prefill-style 4">
      <tableStyleElement dxfId="15" type="headerRow"/>
      <tableStyleElement dxfId="2" type="firstRowStripe"/>
      <tableStyleElement dxfId="16" type="secondRowStripe"/>
    </tableStyle>
    <tableStyle count="3" pivot="0" name="Prefill-style 5">
      <tableStyleElement dxfId="17" type="headerRow"/>
      <tableStyleElement dxfId="2" type="firstRowStripe"/>
      <tableStyleElement dxfId="18" type="secondRowStripe"/>
    </tableStyle>
    <tableStyle count="3" pivot="0" name="Prefill-style 6">
      <tableStyleElement dxfId="6" type="headerRow"/>
      <tableStyleElement dxfId="2" type="firstRowStripe"/>
      <tableStyleElement dxfId="7" type="secondRowStripe"/>
    </tableStyle>
    <tableStyle count="2" pivot="0" name="Prefill-style 7">
      <tableStyleElement dxfId="2" type="firstRowStripe"/>
      <tableStyleElement dxfId="7" type="secondRowStripe"/>
    </tableStyle>
    <tableStyle count="2" pivot="0" name="Prefill-style 8">
      <tableStyleElement dxfId="2" type="firstRowStripe"/>
      <tableStyleElement dxfId="7" type="secondRowStripe"/>
    </tableStyle>
    <tableStyle count="2" pivot="0" name="Prefill-style 9">
      <tableStyleElement dxfId="7" type="firstRowStripe"/>
      <tableStyleElement dxfId="2" type="secondRowStripe"/>
    </tableStyle>
    <tableStyle count="2" pivot="0" name="Prefill-style 10">
      <tableStyleElement dxfId="2" type="firstRowStripe"/>
      <tableStyleElement dxfId="7" type="secondRowStripe"/>
    </tableStyle>
    <tableStyle count="2" pivot="0" name="Prefill-style 11">
      <tableStyleElement dxfId="2" type="firstRowStripe"/>
      <tableStyleElement dxfId="7" type="secondRowStripe"/>
    </tableStyle>
    <tableStyle count="2" pivot="0" name="Prefill-style 12">
      <tableStyleElement dxfId="2" type="firstRowStripe"/>
      <tableStyleElement dxfId="7" type="secondRowStripe"/>
    </tableStyle>
    <tableStyle count="2" pivot="0" name="Prefill-style 13">
      <tableStyleElement dxfId="2" type="firstRowStripe"/>
      <tableStyleElement dxfId="7" type="secondRowStripe"/>
    </tableStyle>
    <tableStyle count="2" pivot="0" name="Prefill-style 14">
      <tableStyleElement dxfId="7" type="firstRowStripe"/>
      <tableStyleElement dxfId="2" type="secondRowStripe"/>
    </tableStyle>
    <tableStyle count="2" pivot="0" name="Prefill-style 15">
      <tableStyleElement dxfId="7" type="firstRowStripe"/>
      <tableStyleElement dxfId="2" type="secondRowStripe"/>
    </tableStyle>
    <tableStyle count="2" pivot="0" name="Prefill-style 16">
      <tableStyleElement dxfId="2" type="firstRowStripe"/>
      <tableStyleElement dxfId="7" type="secondRowStripe"/>
    </tableStyle>
    <tableStyle count="3" pivot="0" name="DB-style">
      <tableStyleElement dxfId="13" type="headerRow"/>
      <tableStyleElement dxfId="2" type="firstRowStripe"/>
      <tableStyleElement dxfId="14" type="secondRowStripe"/>
    </tableStyle>
    <tableStyle count="3" pivot="0" name="decodeDP=16F=2D=8-style">
      <tableStyleElement dxfId="10" type="headerRow"/>
      <tableStyleElement dxfId="2" type="firstRowStripe"/>
      <tableStyleElement dxfId="11" type="secondRowStripe"/>
    </tableStyle>
    <tableStyle count="4" pivot="0" name="decodeDP=16F=2D=8-style 2">
      <tableStyleElement dxfId="8" type="headerRow"/>
      <tableStyleElement dxfId="2" type="firstRowStripe"/>
      <tableStyleElement dxfId="9" type="secondRowStripe"/>
      <tableStyleElement dxfId="12" type="totalRow"/>
    </tableStyle>
    <tableStyle count="3" pivot="0" name="decodeDP=16F=2D=8-style 3">
      <tableStyleElement dxfId="13" type="headerRow"/>
      <tableStyleElement dxfId="2" type="firstRowStripe"/>
      <tableStyleElement dxfId="14" type="secondRowStripe"/>
    </tableStyle>
    <tableStyle count="3" pivot="0" name="decodeDP=16F=2D=8-style 4">
      <tableStyleElement dxfId="26" type="headerRow"/>
      <tableStyleElement dxfId="2" type="firstRowStripe"/>
      <tableStyleElement dxfId="27" type="secondRowStripe"/>
    </tableStyle>
    <tableStyle count="3" pivot="0" name="decodeDP=16F=2D=8-style 5">
      <tableStyleElement dxfId="28" type="headerRow"/>
      <tableStyleElement dxfId="2" type="firstRowStripe"/>
      <tableStyleElement dxfId="29" type="secondRowStripe"/>
    </tableStyle>
    <tableStyle count="3" pivot="0" name="decodeDP=16F=2D=8-style 6">
      <tableStyleElement dxfId="6" type="headerRow"/>
      <tableStyleElement dxfId="2" type="firstRowStripe"/>
      <tableStyleElement dxfId="7" type="secondRowStripe"/>
    </tableStyle>
    <tableStyle count="2" pivot="0" name="decodeDP=16F=2D=8-style 7">
      <tableStyleElement dxfId="2" type="firstRowStripe"/>
      <tableStyleElement dxfId="7" type="secondRowStripe"/>
    </tableStyle>
    <tableStyle count="2" pivot="0" name="decodeDP=16F=2D=8-style 8">
      <tableStyleElement dxfId="2" type="firstRowStripe"/>
      <tableStyleElement dxfId="7" type="secondRowStripe"/>
    </tableStyle>
    <tableStyle count="2" pivot="0" name="decodeDP=16F=2D=8-style 9">
      <tableStyleElement dxfId="2" type="firstRowStripe"/>
      <tableStyleElement dxfId="7" type="secondRowStripe"/>
    </tableStyle>
    <tableStyle count="2" pivot="0" name="decodeDP=16F=2D=8-style 10">
      <tableStyleElement dxfId="2" type="firstRowStripe"/>
      <tableStyleElement dxfId="7" type="secondRowStripe"/>
    </tableStyle>
    <tableStyle count="2" pivot="0" name="decodeDP=16F=2D=8-style 11">
      <tableStyleElement dxfId="2" type="firstRowStripe"/>
      <tableStyleElement dxfId="7" type="secondRowStripe"/>
    </tableStyle>
    <tableStyle count="3" pivot="0" name="decodeDP=16E=16-style">
      <tableStyleElement dxfId="10" type="headerRow"/>
      <tableStyleElement dxfId="2" type="firstRowStripe"/>
      <tableStyleElement dxfId="11" type="secondRowStripe"/>
    </tableStyle>
    <tableStyle count="4" pivot="0" name="decodeDP=16E=16-style 2">
      <tableStyleElement dxfId="8" type="headerRow"/>
      <tableStyleElement dxfId="2" type="firstRowStripe"/>
      <tableStyleElement dxfId="9" type="secondRowStripe"/>
      <tableStyleElement dxfId="12" type="totalRow"/>
    </tableStyle>
    <tableStyle count="3" pivot="0" name="decodeDP=16E=16-style 3">
      <tableStyleElement dxfId="13" type="headerRow"/>
      <tableStyleElement dxfId="2" type="firstRowStripe"/>
      <tableStyleElement dxfId="14" type="secondRowStripe"/>
    </tableStyle>
    <tableStyle count="3" pivot="0" name="decodeDP=16E=16-style 4">
      <tableStyleElement dxfId="26" type="headerRow"/>
      <tableStyleElement dxfId="2" type="firstRowStripe"/>
      <tableStyleElement dxfId="27" type="secondRowStripe"/>
    </tableStyle>
    <tableStyle count="3" pivot="0" name="decodeDP=16E=16-style 5">
      <tableStyleElement dxfId="28" type="headerRow"/>
      <tableStyleElement dxfId="2" type="firstRowStripe"/>
      <tableStyleElement dxfId="29" type="secondRowStripe"/>
    </tableStyle>
    <tableStyle count="3" pivot="0" name="decodeDP=16E=16-style 6">
      <tableStyleElement dxfId="6" type="headerRow"/>
      <tableStyleElement dxfId="2" type="firstRowStripe"/>
      <tableStyleElement dxfId="7" type="secondRowStripe"/>
    </tableStyle>
    <tableStyle count="2" pivot="0" name="decodeDP=16E=16-style 7">
      <tableStyleElement dxfId="2" type="firstRowStripe"/>
      <tableStyleElement dxfId="7" type="secondRowStripe"/>
    </tableStyle>
    <tableStyle count="2" pivot="0" name="decodeDP=16E=16-style 8">
      <tableStyleElement dxfId="2" type="firstRowStripe"/>
      <tableStyleElement dxfId="7" type="secondRowStripe"/>
    </tableStyle>
    <tableStyle count="2" pivot="0" name="decodeDP=16E=16-style 9">
      <tableStyleElement dxfId="2" type="firstRowStripe"/>
      <tableStyleElement dxfId="7" type="secondRowStripe"/>
    </tableStyle>
    <tableStyle count="2" pivot="0" name="decodeDP=16E=16-style 10">
      <tableStyleElement dxfId="2" type="firstRowStripe"/>
      <tableStyleElement dxfId="7" type="secondRowStripe"/>
    </tableStyle>
    <tableStyle count="2" pivot="0" name="decodeDP=16E=16-style 11">
      <tableStyleElement dxfId="2" type="firstRowStripe"/>
      <tableStyleElement dxfId="7" type="secondRowStripe"/>
    </tableStyle>
    <tableStyle count="3" pivot="0" name="decodeDP=16F=8D=2-style">
      <tableStyleElement dxfId="10" type="headerRow"/>
      <tableStyleElement dxfId="2" type="firstRowStripe"/>
      <tableStyleElement dxfId="11" type="secondRowStripe"/>
    </tableStyle>
    <tableStyle count="4" pivot="0" name="decodeDP=16F=8D=2-style 2">
      <tableStyleElement dxfId="8" type="headerRow"/>
      <tableStyleElement dxfId="2" type="firstRowStripe"/>
      <tableStyleElement dxfId="9" type="secondRowStripe"/>
      <tableStyleElement dxfId="12" type="totalRow"/>
    </tableStyle>
    <tableStyle count="3" pivot="0" name="decodeDP=16F=8D=2-style 3">
      <tableStyleElement dxfId="13" type="headerRow"/>
      <tableStyleElement dxfId="2" type="firstRowStripe"/>
      <tableStyleElement dxfId="14" type="secondRowStripe"/>
    </tableStyle>
    <tableStyle count="3" pivot="0" name="decodeDP=16F=8D=2-style 4">
      <tableStyleElement dxfId="26" type="headerRow"/>
      <tableStyleElement dxfId="2" type="firstRowStripe"/>
      <tableStyleElement dxfId="27" type="secondRowStripe"/>
    </tableStyle>
    <tableStyle count="3" pivot="0" name="decodeDP=16F=8D=2-style 5">
      <tableStyleElement dxfId="28" type="headerRow"/>
      <tableStyleElement dxfId="2" type="firstRowStripe"/>
      <tableStyleElement dxfId="29" type="secondRowStripe"/>
    </tableStyle>
    <tableStyle count="3" pivot="0" name="decodeDP=16F=8D=2-style 6">
      <tableStyleElement dxfId="6" type="headerRow"/>
      <tableStyleElement dxfId="2" type="firstRowStripe"/>
      <tableStyleElement dxfId="7" type="secondRowStripe"/>
    </tableStyle>
    <tableStyle count="2" pivot="0" name="decodeDP=16F=8D=2-style 7">
      <tableStyleElement dxfId="2" type="firstRowStripe"/>
      <tableStyleElement dxfId="7" type="secondRowStripe"/>
    </tableStyle>
    <tableStyle count="2" pivot="0" name="decodeDP=16F=8D=2-style 8">
      <tableStyleElement dxfId="2" type="firstRowStripe"/>
      <tableStyleElement dxfId="7" type="secondRowStripe"/>
    </tableStyle>
    <tableStyle count="2" pivot="0" name="decodeDP=16F=8D=2-style 9">
      <tableStyleElement dxfId="2" type="firstRowStripe"/>
      <tableStyleElement dxfId="7" type="secondRowStripe"/>
    </tableStyle>
    <tableStyle count="2" pivot="0" name="decodeDP=16F=8D=2-style 10">
      <tableStyleElement dxfId="2" type="firstRowStripe"/>
      <tableStyleElement dxfId="7" type="secondRowStripe"/>
    </tableStyle>
    <tableStyle count="2" pivot="0" name="decodeDP=16F=8D=2-style 11">
      <tableStyleElement dxfId="2" type="firstRowStripe"/>
      <tableStyleElement dxfId="7" type="secondRowStripe"/>
    </tableStyle>
    <tableStyle count="3" pivot="0" name="decodeDP=16F=8D=2v2-style">
      <tableStyleElement dxfId="10" type="headerRow"/>
      <tableStyleElement dxfId="2" type="firstRowStripe"/>
      <tableStyleElement dxfId="11" type="secondRowStripe"/>
    </tableStyle>
    <tableStyle count="4" pivot="0" name="decodeDP=16F=8D=2v2-style 2">
      <tableStyleElement dxfId="8" type="headerRow"/>
      <tableStyleElement dxfId="2" type="firstRowStripe"/>
      <tableStyleElement dxfId="9" type="secondRowStripe"/>
      <tableStyleElement dxfId="12" type="totalRow"/>
    </tableStyle>
    <tableStyle count="3" pivot="0" name="decodeDP=16F=8D=2v2-style 3">
      <tableStyleElement dxfId="13" type="headerRow"/>
      <tableStyleElement dxfId="2" type="firstRowStripe"/>
      <tableStyleElement dxfId="14" type="secondRowStripe"/>
    </tableStyle>
    <tableStyle count="3" pivot="0" name="decodeDP=16F=8D=2v2-style 4">
      <tableStyleElement dxfId="26" type="headerRow"/>
      <tableStyleElement dxfId="2" type="firstRowStripe"/>
      <tableStyleElement dxfId="27" type="secondRowStripe"/>
    </tableStyle>
    <tableStyle count="3" pivot="0" name="decodeDP=16F=8D=2v2-style 5">
      <tableStyleElement dxfId="28" type="headerRow"/>
      <tableStyleElement dxfId="2" type="firstRowStripe"/>
      <tableStyleElement dxfId="29" type="secondRowStripe"/>
    </tableStyle>
    <tableStyle count="3" pivot="0" name="decodeDP=16F=8D=2v2-style 6">
      <tableStyleElement dxfId="6" type="headerRow"/>
      <tableStyleElement dxfId="2" type="firstRowStripe"/>
      <tableStyleElement dxfId="7" type="secondRowStripe"/>
    </tableStyle>
    <tableStyle count="2" pivot="0" name="decodeDP=16F=8D=2v2-style 7">
      <tableStyleElement dxfId="2" type="firstRowStripe"/>
      <tableStyleElement dxfId="7" type="secondRowStripe"/>
    </tableStyle>
    <tableStyle count="2" pivot="0" name="decodeDP=16F=8D=2v2-style 8">
      <tableStyleElement dxfId="2" type="firstRowStripe"/>
      <tableStyleElement dxfId="7" type="secondRowStripe"/>
    </tableStyle>
    <tableStyle count="2" pivot="0" name="decodeDP=16F=8D=2v2-style 9">
      <tableStyleElement dxfId="2" type="firstRowStripe"/>
      <tableStyleElement dxfId="7" type="secondRowStripe"/>
    </tableStyle>
    <tableStyle count="2" pivot="0" name="decodeDP=16F=8D=2v2-style 10">
      <tableStyleElement dxfId="2" type="firstRowStripe"/>
      <tableStyleElement dxfId="7" type="secondRowStripe"/>
    </tableStyle>
    <tableStyle count="2" pivot="0" name="decodeDP=16F=8D=2v2-style 11">
      <tableStyleElement dxfId="2" type="firstRowStripe"/>
      <tableStyleElement dxfId="7" type="secondRowStripe"/>
    </tableStyle>
    <tableStyle count="3" pivot="0" name="decodeDP=16EP=16Row4-style">
      <tableStyleElement dxfId="10" type="headerRow"/>
      <tableStyleElement dxfId="2" type="firstRowStripe"/>
      <tableStyleElement dxfId="11" type="secondRowStripe"/>
    </tableStyle>
    <tableStyle count="4" pivot="0" name="decodeDP=16EP=16Row4-style 2">
      <tableStyleElement dxfId="8" type="headerRow"/>
      <tableStyleElement dxfId="2" type="firstRowStripe"/>
      <tableStyleElement dxfId="9" type="secondRowStripe"/>
      <tableStyleElement dxfId="12" type="totalRow"/>
    </tableStyle>
    <tableStyle count="3" pivot="0" name="decodeDP=16EP=16Row4-style 3">
      <tableStyleElement dxfId="13" type="headerRow"/>
      <tableStyleElement dxfId="2" type="firstRowStripe"/>
      <tableStyleElement dxfId="14" type="secondRowStripe"/>
    </tableStyle>
    <tableStyle count="3" pivot="0" name="decodeDP=16EP=16Row4-style 4">
      <tableStyleElement dxfId="26" type="headerRow"/>
      <tableStyleElement dxfId="2" type="firstRowStripe"/>
      <tableStyleElement dxfId="27" type="secondRowStripe"/>
    </tableStyle>
    <tableStyle count="3" pivot="0" name="decodeDP=16EP=16Row4-style 5">
      <tableStyleElement dxfId="28" type="headerRow"/>
      <tableStyleElement dxfId="2" type="firstRowStripe"/>
      <tableStyleElement dxfId="29" type="secondRowStripe"/>
    </tableStyle>
    <tableStyle count="3" pivot="0" name="decodeDP=16EP=16Row4-style 6">
      <tableStyleElement dxfId="6" type="headerRow"/>
      <tableStyleElement dxfId="2" type="firstRowStripe"/>
      <tableStyleElement dxfId="7" type="secondRowStripe"/>
    </tableStyle>
    <tableStyle count="2" pivot="0" name="decodeDP=16EP=16Row4-style 7">
      <tableStyleElement dxfId="2" type="firstRowStripe"/>
      <tableStyleElement dxfId="7" type="secondRowStripe"/>
    </tableStyle>
    <tableStyle count="2" pivot="0" name="decodeDP=16EP=16Row4-style 8">
      <tableStyleElement dxfId="7" type="firstRowStripe"/>
      <tableStyleElement dxfId="2" type="secondRowStripe"/>
    </tableStyle>
    <tableStyle count="2" pivot="0" name="decodeDP=16EP=16Row4-style 9">
      <tableStyleElement dxfId="2" type="firstRowStripe"/>
      <tableStyleElement dxfId="7" type="secondRowStripe"/>
    </tableStyle>
    <tableStyle count="2" pivot="0" name="decodeDP=16EP=16Row4-style 10">
      <tableStyleElement dxfId="2" type="firstRowStripe"/>
      <tableStyleElement dxfId="7" type="secondRowStripe"/>
    </tableStyle>
    <tableStyle count="2" pivot="0" name="decodeDP=16EP=16Row4-style 11">
      <tableStyleElement dxfId="2" type="firstRowStripe"/>
      <tableStyleElement dxfId="7" type="secondRowStripe"/>
    </tableStyle>
    <tableStyle count="2" pivot="0" name="decodeDP=16EP=16Row4-style 12">
      <tableStyleElement dxfId="2" type="firstRowStripe"/>
      <tableStyleElement dxfId="7" type="secondRowStripe"/>
    </tableStyle>
    <tableStyle count="2" pivot="0" name="decodeDP=16EP=16Row4-style 13">
      <tableStyleElement dxfId="7" type="firstRowStripe"/>
      <tableStyleElement dxfId="2" type="secondRowStripe"/>
    </tableStyle>
    <tableStyle count="3" pivot="0" name="decodeDP=16EP=16Row5-style">
      <tableStyleElement dxfId="10" type="headerRow"/>
      <tableStyleElement dxfId="2" type="firstRowStripe"/>
      <tableStyleElement dxfId="11" type="secondRowStripe"/>
    </tableStyle>
    <tableStyle count="4" pivot="0" name="decodeDP=16EP=16Row5-style 2">
      <tableStyleElement dxfId="8" type="headerRow"/>
      <tableStyleElement dxfId="2" type="firstRowStripe"/>
      <tableStyleElement dxfId="9" type="secondRowStripe"/>
      <tableStyleElement dxfId="12" type="totalRow"/>
    </tableStyle>
    <tableStyle count="3" pivot="0" name="decodeDP=16EP=16Row5-style 3">
      <tableStyleElement dxfId="13" type="headerRow"/>
      <tableStyleElement dxfId="2" type="firstRowStripe"/>
      <tableStyleElement dxfId="14" type="secondRowStripe"/>
    </tableStyle>
    <tableStyle count="3" pivot="0" name="decodeDP=16EP=16Row5-style 4">
      <tableStyleElement dxfId="26" type="headerRow"/>
      <tableStyleElement dxfId="2" type="firstRowStripe"/>
      <tableStyleElement dxfId="27" type="secondRowStripe"/>
    </tableStyle>
    <tableStyle count="3" pivot="0" name="decodeDP=16EP=16Row5-style 5">
      <tableStyleElement dxfId="28" type="headerRow"/>
      <tableStyleElement dxfId="2" type="firstRowStripe"/>
      <tableStyleElement dxfId="29" type="secondRowStripe"/>
    </tableStyle>
    <tableStyle count="3" pivot="0" name="decodeDP=16EP=16Row5-style 6">
      <tableStyleElement dxfId="6" type="headerRow"/>
      <tableStyleElement dxfId="2" type="firstRowStripe"/>
      <tableStyleElement dxfId="7" type="secondRowStripe"/>
    </tableStyle>
    <tableStyle count="2" pivot="0" name="decodeDP=16EP=16Row5-style 7">
      <tableStyleElement dxfId="2" type="firstRowStripe"/>
      <tableStyleElement dxfId="7" type="secondRowStripe"/>
    </tableStyle>
    <tableStyle count="2" pivot="0" name="decodeDP=16EP=16Row5-style 8">
      <tableStyleElement dxfId="7" type="firstRowStripe"/>
      <tableStyleElement dxfId="2" type="secondRowStripe"/>
    </tableStyle>
    <tableStyle count="2" pivot="0" name="decodeDP=16EP=16Row5-style 9">
      <tableStyleElement dxfId="2" type="firstRowStripe"/>
      <tableStyleElement dxfId="7" type="secondRowStripe"/>
    </tableStyle>
    <tableStyle count="2" pivot="0" name="decodeDP=16EP=16Row5-style 10">
      <tableStyleElement dxfId="2" type="firstRowStripe"/>
      <tableStyleElement dxfId="7" type="secondRowStripe"/>
    </tableStyle>
    <tableStyle count="2" pivot="0" name="decodeDP=16EP=16Row5-style 11">
      <tableStyleElement dxfId="2" type="firstRowStripe"/>
      <tableStyleElement dxfId="7" type="secondRowStripe"/>
    </tableStyle>
    <tableStyle count="2" pivot="0" name="decodeDP=16EP=16Row5-style 12">
      <tableStyleElement dxfId="2" type="firstRowStripe"/>
      <tableStyleElement dxfId="7" type="secondRowStripe"/>
    </tableStyle>
    <tableStyle count="2" pivot="0" name="decodeDP=16EP=16Row5-style 13">
      <tableStyleElement dxfId="7" type="firstRowStripe"/>
      <tableStyleElement dxfId="2" type="secondRowStripe"/>
    </tableStyle>
    <tableStyle count="3" pivot="0" name="decodeDP=16F=8D=2Row5 V2-style">
      <tableStyleElement dxfId="10" type="headerRow"/>
      <tableStyleElement dxfId="2" type="firstRowStripe"/>
      <tableStyleElement dxfId="11" type="secondRowStripe"/>
    </tableStyle>
    <tableStyle count="4" pivot="0" name="decodeDP=16F=8D=2Row5 V2-style 2">
      <tableStyleElement dxfId="8" type="headerRow"/>
      <tableStyleElement dxfId="2" type="firstRowStripe"/>
      <tableStyleElement dxfId="9" type="secondRowStripe"/>
      <tableStyleElement dxfId="12" type="totalRow"/>
    </tableStyle>
    <tableStyle count="3" pivot="0" name="decodeDP=16F=8D=2Row5 V2-style 3">
      <tableStyleElement dxfId="13" type="headerRow"/>
      <tableStyleElement dxfId="2" type="firstRowStripe"/>
      <tableStyleElement dxfId="14" type="secondRowStripe"/>
    </tableStyle>
    <tableStyle count="3" pivot="0" name="decodeDP=16F=8D=2Row5 V2-style 4">
      <tableStyleElement dxfId="26" type="headerRow"/>
      <tableStyleElement dxfId="2" type="firstRowStripe"/>
      <tableStyleElement dxfId="27" type="secondRowStripe"/>
    </tableStyle>
    <tableStyle count="3" pivot="0" name="decodeDP=16F=8D=2Row5 V2-style 5">
      <tableStyleElement dxfId="28" type="headerRow"/>
      <tableStyleElement dxfId="2" type="firstRowStripe"/>
      <tableStyleElement dxfId="29" type="secondRowStripe"/>
    </tableStyle>
    <tableStyle count="3" pivot="0" name="decodeDP=16F=8D=2Row5 V2-style 6">
      <tableStyleElement dxfId="6" type="headerRow"/>
      <tableStyleElement dxfId="2" type="firstRowStripe"/>
      <tableStyleElement dxfId="7" type="secondRowStripe"/>
    </tableStyle>
    <tableStyle count="2" pivot="0" name="decodeDP=16F=8D=2Row5 V2-style 7">
      <tableStyleElement dxfId="2" type="firstRowStripe"/>
      <tableStyleElement dxfId="7" type="secondRowStripe"/>
    </tableStyle>
    <tableStyle count="2" pivot="0" name="decodeDP=16F=8D=2Row5 V2-style 8">
      <tableStyleElement dxfId="7" type="firstRowStripe"/>
      <tableStyleElement dxfId="2" type="secondRowStripe"/>
    </tableStyle>
    <tableStyle count="2" pivot="0" name="decodeDP=16F=8D=2Row5 V2-style 9">
      <tableStyleElement dxfId="2" type="firstRowStripe"/>
      <tableStyleElement dxfId="7" type="secondRowStripe"/>
    </tableStyle>
    <tableStyle count="2" pivot="0" name="decodeDP=16F=8D=2Row5 V2-style 10">
      <tableStyleElement dxfId="2" type="firstRowStripe"/>
      <tableStyleElement dxfId="7" type="secondRowStripe"/>
    </tableStyle>
    <tableStyle count="2" pivot="0" name="decodeDP=16F=8D=2Row5 V2-style 11">
      <tableStyleElement dxfId="2" type="firstRowStripe"/>
      <tableStyleElement dxfId="7" type="secondRowStripe"/>
    </tableStyle>
    <tableStyle count="2" pivot="0" name="decodeDP=16F=8D=2Row5 V2-style 12">
      <tableStyleElement dxfId="2" type="firstRowStripe"/>
      <tableStyleElement dxfId="7" type="secondRowStripe"/>
    </tableStyle>
    <tableStyle count="2" pivot="0" name="decodeDP=16F=8D=2Row5 V2-style 13">
      <tableStyleElement dxfId="7" type="firstRowStripe"/>
      <tableStyleElement dxfId="2" type="secondRowStripe"/>
    </tableStyle>
    <tableStyle count="3" pivot="0" name="decodeDP=16EP=8D=2Row5 V3-style">
      <tableStyleElement dxfId="10" type="headerRow"/>
      <tableStyleElement dxfId="2" type="firstRowStripe"/>
      <tableStyleElement dxfId="11" type="secondRowStripe"/>
    </tableStyle>
    <tableStyle count="4" pivot="0" name="decodeDP=16EP=8D=2Row5 V3-style 2">
      <tableStyleElement dxfId="8" type="headerRow"/>
      <tableStyleElement dxfId="2" type="firstRowStripe"/>
      <tableStyleElement dxfId="9" type="secondRowStripe"/>
      <tableStyleElement dxfId="12" type="totalRow"/>
    </tableStyle>
    <tableStyle count="3" pivot="0" name="decodeDP=16EP=8D=2Row5 V3-style 3">
      <tableStyleElement dxfId="13" type="headerRow"/>
      <tableStyleElement dxfId="2" type="firstRowStripe"/>
      <tableStyleElement dxfId="14" type="secondRowStripe"/>
    </tableStyle>
    <tableStyle count="3" pivot="0" name="decodeDP=16EP=8D=2Row5 V3-style 4">
      <tableStyleElement dxfId="26" type="headerRow"/>
      <tableStyleElement dxfId="2" type="firstRowStripe"/>
      <tableStyleElement dxfId="27" type="secondRowStripe"/>
    </tableStyle>
    <tableStyle count="3" pivot="0" name="decodeDP=16EP=8D=2Row5 V3-style 5">
      <tableStyleElement dxfId="28" type="headerRow"/>
      <tableStyleElement dxfId="2" type="firstRowStripe"/>
      <tableStyleElement dxfId="29" type="secondRowStripe"/>
    </tableStyle>
    <tableStyle count="3" pivot="0" name="decodeDP=16EP=8D=2Row5 V3-style 6">
      <tableStyleElement dxfId="6" type="headerRow"/>
      <tableStyleElement dxfId="2" type="firstRowStripe"/>
      <tableStyleElement dxfId="7" type="secondRowStripe"/>
    </tableStyle>
    <tableStyle count="2" pivot="0" name="decodeDP=16EP=8D=2Row5 V3-style 7">
      <tableStyleElement dxfId="2" type="firstRowStripe"/>
      <tableStyleElement dxfId="7" type="secondRowStripe"/>
    </tableStyle>
    <tableStyle count="2" pivot="0" name="decodeDP=16EP=8D=2Row5 V3-style 8">
      <tableStyleElement dxfId="7" type="firstRowStripe"/>
      <tableStyleElement dxfId="2" type="secondRowStripe"/>
    </tableStyle>
    <tableStyle count="2" pivot="0" name="decodeDP=16EP=8D=2Row5 V3-style 9">
      <tableStyleElement dxfId="2" type="firstRowStripe"/>
      <tableStyleElement dxfId="7" type="secondRowStripe"/>
    </tableStyle>
    <tableStyle count="2" pivot="0" name="decodeDP=16EP=8D=2Row5 V3-style 10">
      <tableStyleElement dxfId="2" type="firstRowStripe"/>
      <tableStyleElement dxfId="7" type="secondRowStripe"/>
    </tableStyle>
    <tableStyle count="2" pivot="0" name="decodeDP=16EP=8D=2Row5 V3-style 11">
      <tableStyleElement dxfId="2" type="firstRowStripe"/>
      <tableStyleElement dxfId="7" type="secondRowStripe"/>
    </tableStyle>
    <tableStyle count="2" pivot="0" name="decodeDP=16EP=8D=2Row5 V3-style 12">
      <tableStyleElement dxfId="2" type="firstRowStripe"/>
      <tableStyleElement dxfId="7" type="secondRowStripe"/>
    </tableStyle>
    <tableStyle count="2" pivot="0" name="decodeDP=16EP=8D=2Row5 V3-style 13">
      <tableStyleElement dxfId="7" type="firstRowStripe"/>
      <tableStyleElement dxfId="2" type="secondRowStripe"/>
    </tableStyle>
    <tableStyle count="3" pivot="0" name="decodeEP=16B=8Row5 V4-style">
      <tableStyleElement dxfId="10" type="headerRow"/>
      <tableStyleElement dxfId="2" type="firstRowStripe"/>
      <tableStyleElement dxfId="11" type="secondRowStripe"/>
    </tableStyle>
    <tableStyle count="4" pivot="0" name="decodeEP=16B=8Row5 V4-style 2">
      <tableStyleElement dxfId="8" type="headerRow"/>
      <tableStyleElement dxfId="2" type="firstRowStripe"/>
      <tableStyleElement dxfId="9" type="secondRowStripe"/>
      <tableStyleElement dxfId="12" type="totalRow"/>
    </tableStyle>
    <tableStyle count="3" pivot="0" name="decodeEP=16B=8Row5 V4-style 3">
      <tableStyleElement dxfId="13" type="headerRow"/>
      <tableStyleElement dxfId="2" type="firstRowStripe"/>
      <tableStyleElement dxfId="14" type="secondRowStripe"/>
    </tableStyle>
    <tableStyle count="3" pivot="0" name="decodeEP=16B=8Row5 V4-style 4">
      <tableStyleElement dxfId="26" type="headerRow"/>
      <tableStyleElement dxfId="2" type="firstRowStripe"/>
      <tableStyleElement dxfId="27" type="secondRowStripe"/>
    </tableStyle>
    <tableStyle count="3" pivot="0" name="decodeEP=16B=8Row5 V4-style 5">
      <tableStyleElement dxfId="28" type="headerRow"/>
      <tableStyleElement dxfId="2" type="firstRowStripe"/>
      <tableStyleElement dxfId="29" type="secondRowStripe"/>
    </tableStyle>
    <tableStyle count="3" pivot="0" name="decodeEP=16B=8Row5 V4-style 6">
      <tableStyleElement dxfId="6" type="headerRow"/>
      <tableStyleElement dxfId="2" type="firstRowStripe"/>
      <tableStyleElement dxfId="7" type="secondRowStripe"/>
    </tableStyle>
    <tableStyle count="2" pivot="0" name="decodeEP=16B=8Row5 V4-style 7">
      <tableStyleElement dxfId="2" type="firstRowStripe"/>
      <tableStyleElement dxfId="7" type="secondRowStripe"/>
    </tableStyle>
    <tableStyle count="2" pivot="0" name="decodeEP=16B=8Row5 V4-style 8">
      <tableStyleElement dxfId="7" type="firstRowStripe"/>
      <tableStyleElement dxfId="2" type="secondRowStripe"/>
    </tableStyle>
    <tableStyle count="2" pivot="0" name="decodeEP=16B=8Row5 V4-style 9">
      <tableStyleElement dxfId="2" type="firstRowStripe"/>
      <tableStyleElement dxfId="7" type="secondRowStripe"/>
    </tableStyle>
    <tableStyle count="2" pivot="0" name="decodeEP=16B=8Row5 V4-style 10">
      <tableStyleElement dxfId="2" type="firstRowStripe"/>
      <tableStyleElement dxfId="7" type="secondRowStripe"/>
    </tableStyle>
    <tableStyle count="2" pivot="0" name="decodeEP=16B=8Row5 V4-style 11">
      <tableStyleElement dxfId="2" type="firstRowStripe"/>
      <tableStyleElement dxfId="7" type="secondRowStripe"/>
    </tableStyle>
    <tableStyle count="2" pivot="0" name="decodeEP=16B=8Row5 V4-style 12">
      <tableStyleElement dxfId="2" type="firstRowStripe"/>
      <tableStyleElement dxfId="7" type="secondRowStripe"/>
    </tableStyle>
    <tableStyle count="2" pivot="0" name="decodeEP=16B=8Row5 V4-style 13">
      <tableStyleElement dxfId="7"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Time all layers (s) and Time all layers if linearly interpolated (s) </a:t>
            </a:r>
          </a:p>
        </c:rich>
      </c:tx>
      <c:overlay val="0"/>
    </c:title>
    <c:plotArea>
      <c:layout/>
      <c:lineChart>
        <c:ser>
          <c:idx val="0"/>
          <c:order val="0"/>
          <c:tx>
            <c:strRef>
              <c:f>'Token Time Linear Interpolation'!$C$4</c:f>
            </c:strRef>
          </c:tx>
          <c:spPr>
            <a:ln cmpd="sng">
              <a:solidFill>
                <a:srgbClr val="4285F4"/>
              </a:solidFill>
            </a:ln>
          </c:spPr>
          <c:marker>
            <c:symbol val="circle"/>
            <c:size val="2"/>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'Token Time Linear Interpolation'!$B$5:$B$13</c:f>
            </c:strRef>
          </c:cat>
          <c:val>
            <c:numRef>
              <c:f>'Token Time Linear Interpolation'!$C$5:$C$13</c:f>
              <c:numCache/>
            </c:numRef>
          </c:val>
          <c:smooth val="0"/>
        </c:ser>
        <c:ser>
          <c:idx val="1"/>
          <c:order val="1"/>
          <c:tx>
            <c:strRef>
              <c:f>'Token Time Linear Interpolation'!$D$4</c:f>
            </c:strRef>
          </c:tx>
          <c:spPr>
            <a:ln cmpd="sng">
              <a:solidFill>
                <a:srgbClr val="EA4335"/>
              </a:solidFill>
            </a:ln>
          </c:spPr>
          <c:marker>
            <c:symbol val="circle"/>
            <c:size val="2"/>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'Token Time Linear Interpolation'!$B$5:$B$13</c:f>
            </c:strRef>
          </c:cat>
          <c:val>
            <c:numRef>
              <c:f>'Token Time Linear Interpolation'!$D$5:$D$13</c:f>
              <c:numCache/>
            </c:numRef>
          </c:val>
          <c:smooth val="0"/>
        </c:ser>
        <c:axId val="2050597356"/>
        <c:axId val="655359873"/>
      </c:lineChart>
      <c:catAx>
        <c:axId val="20505973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KV len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5359873"/>
      </c:catAx>
      <c:valAx>
        <c:axId val="6553598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059735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13</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anda Liang" id="{1fd3f740-11e9-4f0f-bd77-1d057a7dead7}" providerId="google-sheets"/>
</x18tc:personList>
</file>

<file path=xl/tables/table1.xml><?xml version="1.0" encoding="utf-8"?>
<table xmlns="http://schemas.openxmlformats.org/spreadsheetml/2006/main" headerRowCount="0" ref="A3:V5" displayName="Table_1" name="Table_1" id="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Config and Summ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6:V34" displayName="Table_2" name="Table_2"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Config and Summa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8:D43" displayName="Table_3" name="Table_3" id="3">
  <tableColumns count="4">
    <tableColumn name="Column1" id="1"/>
    <tableColumn name="Column2" id="2"/>
    <tableColumn name="Column3" id="3"/>
    <tableColumn name="Column4" id="4"/>
  </tableColumns>
  <tableStyleInfo name="Config and Summary-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45:B59" displayName="Table_4" name="Table_4" id="4">
  <tableColumns count="2">
    <tableColumn name="Column1" id="1"/>
    <tableColumn name="Column2" id="2"/>
  </tableColumns>
  <tableStyleInfo name="Config and Summary-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D40" displayName="Table_5" name="Table_5" id="5">
  <tableColumns count="4">
    <tableColumn name="Column1" id="1"/>
    <tableColumn name="Column2" id="2"/>
    <tableColumn name="Column3" id="3"/>
    <tableColumn name="Column4" id="4"/>
  </tableColumns>
  <tableStyleInfo name="Decode First Token-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totalsRowCount="1" ref="F2:H11" displayName="Table_6" name="Table_6" id="6">
  <tableColumns count="3">
    <tableColumn totalsRowLabel="Total # of chips" name="Sharding (Axis Name)" id="1"/>
    <tableColumn totalsRowFunction="custom" name="# of Devices" id="2"/>
    <tableColumn name="Notes" id="3"/>
  </tableColumns>
  <tableStyleInfo name="Decode First Token-style 2" showColumnStripes="0" showFirstColumn="1" showLastColumn="1" showRowStripes="1"/>
</table>
</file>

<file path=xl/tables/table7.xml><?xml version="1.0" encoding="utf-8"?>
<table xmlns="http://schemas.openxmlformats.org/spreadsheetml/2006/main" headerRowCount="0" ref="F17:H32" displayName="Table_7" name="Table_7" id="7">
  <tableColumns count="3">
    <tableColumn name="Column1" id="1"/>
    <tableColumn name="Column2" id="2"/>
    <tableColumn name="Column3" id="3"/>
  </tableColumns>
  <tableStyleInfo name="Decode First Token-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42:C42" displayName="Table_8" name="Table_8" id="8">
  <tableColumns count="3">
    <tableColumn name="Column1" id="1"/>
    <tableColumn name="Column2" id="2"/>
    <tableColumn name="Column3" id="3"/>
  </tableColumns>
  <tableStyleInfo name="Decode First Token-style 4"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45:B51" displayName="Table_9" name="Table_9" id="9">
  <tableColumns count="2">
    <tableColumn name="Metric Name" id="1"/>
    <tableColumn name="Value (GB200 Derated)" id="2"/>
  </tableColumns>
  <tableStyleInfo name="Decode First Token-style 5" showColumnStripes="0" showFirstColumn="1" showLastColumn="1" showRowStripes="1"/>
</table>
</file>

<file path=xl/tables/table10.xml><?xml version="1.0" encoding="utf-8"?>
<table xmlns="http://schemas.openxmlformats.org/spreadsheetml/2006/main" ref="A80:C94" displayName="Table_10" name="Table_10" id="10">
  <tableColumns count="3">
    <tableColumn name="Key" id="1"/>
    <tableColumn name="Value" id="2"/>
    <tableColumn name="Notes" id="3"/>
  </tableColumns>
  <tableStyleInfo name="Decode First Token-style 6" showColumnStripes="0" showFirstColumn="1" showLastColumn="1" showRowStripes="1"/>
</table>
</file>

<file path=xl/tables/table11.xml><?xml version="1.0" encoding="utf-8"?>
<table xmlns="http://schemas.openxmlformats.org/spreadsheetml/2006/main" headerRowCount="0" ref="H119:Q141" displayName="Table_11" name="Table_11" id="1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First Token-style 7" showColumnStripes="0" showFirstColumn="1" showLastColumn="1" showRowStripes="1"/>
</table>
</file>

<file path=xl/tables/table12.xml><?xml version="1.0" encoding="utf-8"?>
<table xmlns="http://schemas.openxmlformats.org/spreadsheetml/2006/main" headerRowCount="0" ref="G326:G327" displayName="Table_12" name="Table_12" id="12">
  <tableColumns count="1">
    <tableColumn name="Column1" id="1"/>
  </tableColumns>
  <tableStyleInfo name="Decode First Token-style 8" showColumnStripes="0" showFirstColumn="1" showLastColumn="1" showRowStripes="1"/>
</table>
</file>

<file path=xl/tables/table13.xml><?xml version="1.0" encoding="utf-8"?>
<table xmlns="http://schemas.openxmlformats.org/spreadsheetml/2006/main" headerRowCount="0" ref="H405:H406" displayName="Table_13" name="Table_13" id="13">
  <tableColumns count="1">
    <tableColumn name="Column1" id="1"/>
  </tableColumns>
  <tableStyleInfo name="Decode First Token-style 9" showColumnStripes="0" showFirstColumn="1" showLastColumn="1" showRowStripes="1"/>
</table>
</file>

<file path=xl/tables/table14.xml><?xml version="1.0" encoding="utf-8"?>
<table xmlns="http://schemas.openxmlformats.org/spreadsheetml/2006/main" headerRowCount="0" ref="H439:H441" displayName="Table_14" name="Table_14" id="14">
  <tableColumns count="1">
    <tableColumn name="Column1" id="1"/>
  </tableColumns>
  <tableStyleInfo name="Decode First Token-style 10" showColumnStripes="0" showFirstColumn="1" showLastColumn="1" showRowStripes="1"/>
</table>
</file>

<file path=xl/tables/table15.xml><?xml version="1.0" encoding="utf-8"?>
<table xmlns="http://schemas.openxmlformats.org/spreadsheetml/2006/main" headerRowCount="0" ref="H452" displayName="Table_15" name="Table_15" id="15">
  <tableColumns count="1">
    <tableColumn name="Column1" id="1"/>
  </tableColumns>
  <tableStyleInfo name="Decode First Token-style 11" showColumnStripes="0" showFirstColumn="1" showLastColumn="1" showRowStripes="1"/>
</table>
</file>

<file path=xl/tables/table16.xml><?xml version="1.0" encoding="utf-8"?>
<table xmlns="http://schemas.openxmlformats.org/spreadsheetml/2006/main" headerRowCount="0" ref="H454:I473" displayName="Table_16" name="Table_16" id="16">
  <tableColumns count="2">
    <tableColumn name="Column1" id="1"/>
    <tableColumn name="Column2" id="2"/>
  </tableColumns>
  <tableStyleInfo name="Decode First Token-style 12" showColumnStripes="0" showFirstColumn="1" showLastColumn="1" showRowStripes="1"/>
</table>
</file>

<file path=xl/tables/table17.xml><?xml version="1.0" encoding="utf-8"?>
<table xmlns="http://schemas.openxmlformats.org/spreadsheetml/2006/main" headerRowCount="0" ref="H511" displayName="Table_17" name="Table_17" id="17">
  <tableColumns count="1">
    <tableColumn name="Column1" id="1"/>
  </tableColumns>
  <tableStyleInfo name="Decode First Token-style 13" showColumnStripes="0" showFirstColumn="1" showLastColumn="1" showRowStripes="1"/>
</table>
</file>

<file path=xl/tables/table18.xml><?xml version="1.0" encoding="utf-8"?>
<table xmlns="http://schemas.openxmlformats.org/spreadsheetml/2006/main" headerRowCount="0" ref="H537:H538" displayName="Table_18" name="Table_18" id="18">
  <tableColumns count="1">
    <tableColumn name="Column1" id="1"/>
  </tableColumns>
  <tableStyleInfo name="Decode First Token-style 14" showColumnStripes="0" showFirstColumn="1" showLastColumn="1" showRowStripes="1"/>
</table>
</file>

<file path=xl/tables/table19.xml><?xml version="1.0" encoding="utf-8"?>
<table xmlns="http://schemas.openxmlformats.org/spreadsheetml/2006/main" headerRowCount="0" ref="H589:H590" displayName="Table_19" name="Table_19" id="19">
  <tableColumns count="1">
    <tableColumn name="Column1" id="1"/>
  </tableColumns>
  <tableStyleInfo name="Decode First Token-style 15" showColumnStripes="0" showFirstColumn="1" showLastColumn="1" showRowStripes="1"/>
</table>
</file>

<file path=xl/tables/table20.xml><?xml version="1.0" encoding="utf-8"?>
<table xmlns="http://schemas.openxmlformats.org/spreadsheetml/2006/main" headerRowCount="0" ref="H591:Q595" displayName="Table_20" name="Table_20" id="2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First Token-style 16" showColumnStripes="0" showFirstColumn="1" showLastColumn="1" showRowStripes="1"/>
</table>
</file>

<file path=xl/tables/table21.xml><?xml version="1.0" encoding="utf-8"?>
<table xmlns="http://schemas.openxmlformats.org/spreadsheetml/2006/main" headerRowCount="0" ref="A2:D40" displayName="Table_21" name="Table_21" id="21">
  <tableColumns count="4">
    <tableColumn name="Column1" id="1"/>
    <tableColumn name="Column2" id="2"/>
    <tableColumn name="Column3" id="3"/>
    <tableColumn name="Column4" id="4"/>
  </tableColumns>
  <tableStyleInfo name="Decode Last Token-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totalsRowCount="1" ref="F2:H11" displayName="Table_22" name="Table_22" id="22">
  <tableColumns count="3">
    <tableColumn totalsRowLabel="Total # of chips" name="Sharding (Axis Name)" id="1"/>
    <tableColumn totalsRowFunction="custom" name="# of Devices" id="2"/>
    <tableColumn name="Notes" id="3"/>
  </tableColumns>
  <tableStyleInfo name="Decode Last Token-style 2" showColumnStripes="0" showFirstColumn="1" showLastColumn="1" showRowStripes="1"/>
</table>
</file>

<file path=xl/tables/table23.xml><?xml version="1.0" encoding="utf-8"?>
<table xmlns="http://schemas.openxmlformats.org/spreadsheetml/2006/main" headerRowCount="0" ref="F17:H32" displayName="Table_23" name="Table_23" id="23">
  <tableColumns count="3">
    <tableColumn name="Column1" id="1"/>
    <tableColumn name="Column2" id="2"/>
    <tableColumn name="Column3" id="3"/>
  </tableColumns>
  <tableStyleInfo name="Decode Last Token-style 3"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42:C42" displayName="Table_24" name="Table_24" id="24">
  <tableColumns count="3">
    <tableColumn name="Column1" id="1"/>
    <tableColumn name="Column2" id="2"/>
    <tableColumn name="Column3" id="3"/>
  </tableColumns>
  <tableStyleInfo name="Decode Last Token-style 4"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ref="A45:B51" displayName="Table_25" name="Table_25" id="25">
  <tableColumns count="2">
    <tableColumn name="Metric Name" id="1"/>
    <tableColumn name="Value (GB200 Derated)" id="2"/>
  </tableColumns>
  <tableStyleInfo name="Decode Last Token-style 5" showColumnStripes="0" showFirstColumn="1" showLastColumn="1" showRowStripes="1"/>
</table>
</file>

<file path=xl/tables/table26.xml><?xml version="1.0" encoding="utf-8"?>
<table xmlns="http://schemas.openxmlformats.org/spreadsheetml/2006/main" ref="A80:C94" displayName="Table_26" name="Table_26" id="26">
  <tableColumns count="3">
    <tableColumn name="Key" id="1"/>
    <tableColumn name="Value" id="2"/>
    <tableColumn name="Notes" id="3"/>
  </tableColumns>
  <tableStyleInfo name="Decode Last Token-style 6" showColumnStripes="0" showFirstColumn="1" showLastColumn="1" showRowStripes="1"/>
</table>
</file>

<file path=xl/tables/table27.xml><?xml version="1.0" encoding="utf-8"?>
<table xmlns="http://schemas.openxmlformats.org/spreadsheetml/2006/main" headerRowCount="0" ref="H119:Q141" displayName="Table_27" name="Table_27" id="2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Last Token-style 7" showColumnStripes="0" showFirstColumn="1" showLastColumn="1" showRowStripes="1"/>
</table>
</file>

<file path=xl/tables/table28.xml><?xml version="1.0" encoding="utf-8"?>
<table xmlns="http://schemas.openxmlformats.org/spreadsheetml/2006/main" headerRowCount="0" ref="G326:G327" displayName="Table_28" name="Table_28" id="28">
  <tableColumns count="1">
    <tableColumn name="Column1" id="1"/>
  </tableColumns>
  <tableStyleInfo name="Decode Last Token-style 8" showColumnStripes="0" showFirstColumn="1" showLastColumn="1" showRowStripes="1"/>
</table>
</file>

<file path=xl/tables/table29.xml><?xml version="1.0" encoding="utf-8"?>
<table xmlns="http://schemas.openxmlformats.org/spreadsheetml/2006/main" headerRowCount="0" ref="H405:H406" displayName="Table_29" name="Table_29" id="29">
  <tableColumns count="1">
    <tableColumn name="Column1" id="1"/>
  </tableColumns>
  <tableStyleInfo name="Decode Last Token-style 9" showColumnStripes="0" showFirstColumn="1" showLastColumn="1" showRowStripes="1"/>
</table>
</file>

<file path=xl/tables/table30.xml><?xml version="1.0" encoding="utf-8"?>
<table xmlns="http://schemas.openxmlformats.org/spreadsheetml/2006/main" headerRowCount="0" ref="H439:H441" displayName="Table_30" name="Table_30" id="30">
  <tableColumns count="1">
    <tableColumn name="Column1" id="1"/>
  </tableColumns>
  <tableStyleInfo name="Decode Last Token-style 10" showColumnStripes="0" showFirstColumn="1" showLastColumn="1" showRowStripes="1"/>
</table>
</file>

<file path=xl/tables/table31.xml><?xml version="1.0" encoding="utf-8"?>
<table xmlns="http://schemas.openxmlformats.org/spreadsheetml/2006/main" headerRowCount="0" ref="H452" displayName="Table_31" name="Table_31" id="31">
  <tableColumns count="1">
    <tableColumn name="Column1" id="1"/>
  </tableColumns>
  <tableStyleInfo name="Decode Last Token-style 11" showColumnStripes="0" showFirstColumn="1" showLastColumn="1" showRowStripes="1"/>
</table>
</file>

<file path=xl/tables/table32.xml><?xml version="1.0" encoding="utf-8"?>
<table xmlns="http://schemas.openxmlformats.org/spreadsheetml/2006/main" headerRowCount="0" ref="H454:I473" displayName="Table_32" name="Table_32" id="32">
  <tableColumns count="2">
    <tableColumn name="Column1" id="1"/>
    <tableColumn name="Column2" id="2"/>
  </tableColumns>
  <tableStyleInfo name="Decode Last Token-style 12" showColumnStripes="0" showFirstColumn="1" showLastColumn="1" showRowStripes="1"/>
</table>
</file>

<file path=xl/tables/table33.xml><?xml version="1.0" encoding="utf-8"?>
<table xmlns="http://schemas.openxmlformats.org/spreadsheetml/2006/main" headerRowCount="0" ref="H511" displayName="Table_33" name="Table_33" id="33">
  <tableColumns count="1">
    <tableColumn name="Column1" id="1"/>
  </tableColumns>
  <tableStyleInfo name="Decode Last Token-style 13" showColumnStripes="0" showFirstColumn="1" showLastColumn="1" showRowStripes="1"/>
</table>
</file>

<file path=xl/tables/table34.xml><?xml version="1.0" encoding="utf-8"?>
<table xmlns="http://schemas.openxmlformats.org/spreadsheetml/2006/main" headerRowCount="0" ref="H537:H538" displayName="Table_34" name="Table_34" id="34">
  <tableColumns count="1">
    <tableColumn name="Column1" id="1"/>
  </tableColumns>
  <tableStyleInfo name="Decode Last Token-style 14" showColumnStripes="0" showFirstColumn="1" showLastColumn="1" showRowStripes="1"/>
</table>
</file>

<file path=xl/tables/table35.xml><?xml version="1.0" encoding="utf-8"?>
<table xmlns="http://schemas.openxmlformats.org/spreadsheetml/2006/main" headerRowCount="0" ref="H589:H590" displayName="Table_35" name="Table_35" id="35">
  <tableColumns count="1">
    <tableColumn name="Column1" id="1"/>
  </tableColumns>
  <tableStyleInfo name="Decode Last Token-style 15" showColumnStripes="0" showFirstColumn="1" showLastColumn="1" showRowStripes="1"/>
</table>
</file>

<file path=xl/tables/table36.xml><?xml version="1.0" encoding="utf-8"?>
<table xmlns="http://schemas.openxmlformats.org/spreadsheetml/2006/main" headerRowCount="0" ref="H591:Q595" displayName="Table_36" name="Table_36" id="3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Last Token-style 16" showColumnStripes="0" showFirstColumn="1" showLastColumn="1" showRowStripes="1"/>
</table>
</file>

<file path=xl/tables/table37.xml><?xml version="1.0" encoding="utf-8"?>
<table xmlns="http://schemas.openxmlformats.org/spreadsheetml/2006/main" headerRowCount="0" ref="A2:D40" displayName="Table_37" name="Table_37" id="37">
  <tableColumns count="4">
    <tableColumn name="Column1" id="1"/>
    <tableColumn name="Column2" id="2"/>
    <tableColumn name="Column3" id="3"/>
    <tableColumn name="Column4" id="4"/>
  </tableColumns>
  <tableStyleInfo name="Prefill-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totalsRowCount="1" ref="F2:H11" displayName="Table_38" name="Table_38" id="38">
  <tableColumns count="3">
    <tableColumn totalsRowLabel="Total # of chips" name="Sharding (Axis Name)" id="1"/>
    <tableColumn totalsRowFunction="custom" name="# of Devices" id="2"/>
    <tableColumn name="Notes" id="3"/>
  </tableColumns>
  <tableStyleInfo name="Prefill-style 2" showColumnStripes="0" showFirstColumn="1" showLastColumn="1" showRowStripes="1"/>
</table>
</file>

<file path=xl/tables/table39.xml><?xml version="1.0" encoding="utf-8"?>
<table xmlns="http://schemas.openxmlformats.org/spreadsheetml/2006/main" headerRowCount="0" ref="F17:H32" displayName="Table_39" name="Table_39" id="39">
  <tableColumns count="3">
    <tableColumn name="Column1" id="1"/>
    <tableColumn name="Column2" id="2"/>
    <tableColumn name="Column3" id="3"/>
  </tableColumns>
  <tableStyleInfo name="Prefill-style 3"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42:C42" displayName="Table_40" name="Table_40" id="40">
  <tableColumns count="3">
    <tableColumn name="Column1" id="1"/>
    <tableColumn name="Column2" id="2"/>
    <tableColumn name="Column3" id="3"/>
  </tableColumns>
  <tableStyleInfo name="Prefill-style 4"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ref="A45:B51" displayName="Table_41" name="Table_41" id="41">
  <tableColumns count="2">
    <tableColumn name="Metric Name" id="1"/>
    <tableColumn name="Value (GB200 Derated)" id="2"/>
  </tableColumns>
  <tableStyleInfo name="Prefill-style 5" showColumnStripes="0" showFirstColumn="1" showLastColumn="1" showRowStripes="1"/>
</table>
</file>

<file path=xl/tables/table42.xml><?xml version="1.0" encoding="utf-8"?>
<table xmlns="http://schemas.openxmlformats.org/spreadsheetml/2006/main" ref="A80:C94" displayName="Table_42" name="Table_42" id="42">
  <tableColumns count="3">
    <tableColumn name="Key" id="1"/>
    <tableColumn name="Value" id="2"/>
    <tableColumn name="Notes" id="3"/>
  </tableColumns>
  <tableStyleInfo name="Prefill-style 6" showColumnStripes="0" showFirstColumn="1" showLastColumn="1" showRowStripes="1"/>
</table>
</file>

<file path=xl/tables/table43.xml><?xml version="1.0" encoding="utf-8"?>
<table xmlns="http://schemas.openxmlformats.org/spreadsheetml/2006/main" headerRowCount="0" ref="H119:Q141" displayName="Table_43" name="Table_43" id="4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style 7" showColumnStripes="0" showFirstColumn="1" showLastColumn="1" showRowStripes="1"/>
</table>
</file>

<file path=xl/tables/table44.xml><?xml version="1.0" encoding="utf-8"?>
<table xmlns="http://schemas.openxmlformats.org/spreadsheetml/2006/main" headerRowCount="0" ref="G326:G327" displayName="Table_44" name="Table_44" id="44">
  <tableColumns count="1">
    <tableColumn name="Column1" id="1"/>
  </tableColumns>
  <tableStyleInfo name="Prefill-style 8" showColumnStripes="0" showFirstColumn="1" showLastColumn="1" showRowStripes="1"/>
</table>
</file>

<file path=xl/tables/table45.xml><?xml version="1.0" encoding="utf-8"?>
<table xmlns="http://schemas.openxmlformats.org/spreadsheetml/2006/main" headerRowCount="0" ref="H405:H406" displayName="Table_45" name="Table_45" id="45">
  <tableColumns count="1">
    <tableColumn name="Column1" id="1"/>
  </tableColumns>
  <tableStyleInfo name="Prefill-style 9" showColumnStripes="0" showFirstColumn="1" showLastColumn="1" showRowStripes="1"/>
</table>
</file>

<file path=xl/tables/table46.xml><?xml version="1.0" encoding="utf-8"?>
<table xmlns="http://schemas.openxmlformats.org/spreadsheetml/2006/main" headerRowCount="0" ref="H439:H441" displayName="Table_46" name="Table_46" id="46">
  <tableColumns count="1">
    <tableColumn name="Column1" id="1"/>
  </tableColumns>
  <tableStyleInfo name="Prefill-style 10" showColumnStripes="0" showFirstColumn="1" showLastColumn="1" showRowStripes="1"/>
</table>
</file>

<file path=xl/tables/table47.xml><?xml version="1.0" encoding="utf-8"?>
<table xmlns="http://schemas.openxmlformats.org/spreadsheetml/2006/main" headerRowCount="0" ref="H452" displayName="Table_47" name="Table_47" id="47">
  <tableColumns count="1">
    <tableColumn name="Column1" id="1"/>
  </tableColumns>
  <tableStyleInfo name="Prefill-style 11" showColumnStripes="0" showFirstColumn="1" showLastColumn="1" showRowStripes="1"/>
</table>
</file>

<file path=xl/tables/table48.xml><?xml version="1.0" encoding="utf-8"?>
<table xmlns="http://schemas.openxmlformats.org/spreadsheetml/2006/main" headerRowCount="0" ref="H454:I473" displayName="Table_48" name="Table_48" id="48">
  <tableColumns count="2">
    <tableColumn name="Column1" id="1"/>
    <tableColumn name="Column2" id="2"/>
  </tableColumns>
  <tableStyleInfo name="Prefill-style 12" showColumnStripes="0" showFirstColumn="1" showLastColumn="1" showRowStripes="1"/>
</table>
</file>

<file path=xl/tables/table49.xml><?xml version="1.0" encoding="utf-8"?>
<table xmlns="http://schemas.openxmlformats.org/spreadsheetml/2006/main" headerRowCount="0" ref="H511" displayName="Table_49" name="Table_49" id="49">
  <tableColumns count="1">
    <tableColumn name="Column1" id="1"/>
  </tableColumns>
  <tableStyleInfo name="Prefill-style 13" showColumnStripes="0" showFirstColumn="1" showLastColumn="1" showRowStripes="1"/>
</table>
</file>

<file path=xl/tables/table50.xml><?xml version="1.0" encoding="utf-8"?>
<table xmlns="http://schemas.openxmlformats.org/spreadsheetml/2006/main" headerRowCount="0" ref="H537:H538" displayName="Table_50" name="Table_50" id="50">
  <tableColumns count="1">
    <tableColumn name="Column1" id="1"/>
  </tableColumns>
  <tableStyleInfo name="Prefill-style 14" showColumnStripes="0" showFirstColumn="1" showLastColumn="1" showRowStripes="1"/>
</table>
</file>

<file path=xl/tables/table51.xml><?xml version="1.0" encoding="utf-8"?>
<table xmlns="http://schemas.openxmlformats.org/spreadsheetml/2006/main" headerRowCount="0" ref="H589:H590" displayName="Table_51" name="Table_51" id="51">
  <tableColumns count="1">
    <tableColumn name="Column1" id="1"/>
  </tableColumns>
  <tableStyleInfo name="Prefill-style 15" showColumnStripes="0" showFirstColumn="1" showLastColumn="1" showRowStripes="1"/>
</table>
</file>

<file path=xl/tables/table52.xml><?xml version="1.0" encoding="utf-8"?>
<table xmlns="http://schemas.openxmlformats.org/spreadsheetml/2006/main" headerRowCount="0" ref="H591:Q595" displayName="Table_52" name="Table_52" id="5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style 16" showColumnStripes="0" showFirstColumn="1" showLastColumn="1" showRowStripes="1"/>
</table>
</file>

<file path=xl/tables/table53.xml><?xml version="1.0" encoding="utf-8"?>
<table xmlns="http://schemas.openxmlformats.org/spreadsheetml/2006/main" headerRowCount="0" ref="A1:F21" displayName="Table_53" name="Table_53" id="53">
  <tableColumns count="6">
    <tableColumn name="Column1" id="1"/>
    <tableColumn name="Column2" id="2"/>
    <tableColumn name="Column3" id="3"/>
    <tableColumn name="Column4" id="4"/>
    <tableColumn name="Column5" id="5"/>
    <tableColumn name="Column6" id="6"/>
  </tableColumns>
  <tableStyleInfo name="DB-style"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1:D30" displayName="Table_54" name="Table_54" id="54">
  <tableColumns count="4">
    <tableColumn name="Column1" id="1"/>
    <tableColumn name="Column2" id="2"/>
    <tableColumn name="Column3" id="3"/>
    <tableColumn name="Column4" id="4"/>
  </tableColumns>
  <tableStyleInfo name="decodeDP=16F=2D=8-style"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totalsRowCount="1" ref="F1:H10" displayName="Table_55" name="Table_55" id="55">
  <tableColumns count="3">
    <tableColumn totalsRowLabel="Total # of chips" name="Sharding (Axis Name)" id="1"/>
    <tableColumn totalsRowFunction="custom" name="# of Devices" id="2"/>
    <tableColumn name="Notes" id="3"/>
  </tableColumns>
  <tableStyleInfo name="decodeDP=16F=2D=8-style 2" showColumnStripes="0" showFirstColumn="1" showLastColumn="1" showRowStripes="1"/>
</table>
</file>

<file path=xl/tables/table56.xml><?xml version="1.0" encoding="utf-8"?>
<table xmlns="http://schemas.openxmlformats.org/spreadsheetml/2006/main" ref="F16:H29" displayName="Table_56" name="Table_56" id="56">
  <tableColumns count="3">
    <tableColumn name="Hardware Spec" id="1"/>
    <tableColumn name="Derate Factor" id="2"/>
    <tableColumn name="GhostFish" id="3"/>
  </tableColumns>
  <tableStyleInfo name="decodeDP=16F=2D=8-style 3" showColumnStripes="0" showFirstColumn="1" showLastColumn="1" showRowStripes="1"/>
</table>
</file>

<file path=xl/tables/table57.xml><?xml version="1.0" encoding="utf-8"?>
<table xmlns="http://schemas.openxmlformats.org/spreadsheetml/2006/main" headerRowCount="0" ref="F32:G44" displayName="Table_57" name="Table_57" id="57">
  <tableColumns count="2">
    <tableColumn name="Column1" id="1"/>
    <tableColumn name="Column2" id="2"/>
  </tableColumns>
  <tableStyleInfo name="decodeDP=16F=2D=8-style 4" showColumnStripes="0" showFirstColumn="1" showLastColumn="1" showRowStripes="1"/>
  <extLst>
    <ext uri="GoogleSheetsCustomDataVersion1">
      <go:sheetsCustomData xmlns:go="http://customooxmlschemas.google.com/" headerRowCount="1"/>
    </ext>
  </extLst>
</table>
</file>

<file path=xl/tables/table58.xml><?xml version="1.0" encoding="utf-8"?>
<table xmlns="http://schemas.openxmlformats.org/spreadsheetml/2006/main" ref="A33:C39" displayName="Table_58" name="Table_58" id="58">
  <tableColumns count="3">
    <tableColumn name="Metric Name" id="1"/>
    <tableColumn name="Value (GhostFish)" id="2"/>
    <tableColumn name="Reference Value (GB200)" id="3"/>
  </tableColumns>
  <tableStyleInfo name="decodeDP=16F=2D=8-style 5" showColumnStripes="0" showFirstColumn="1" showLastColumn="1" showRowStripes="1"/>
</table>
</file>

<file path=xl/tables/table59.xml><?xml version="1.0" encoding="utf-8"?>
<table xmlns="http://schemas.openxmlformats.org/spreadsheetml/2006/main" ref="A44:C57" displayName="Table_59" name="Table_59" id="59">
  <tableColumns count="3">
    <tableColumn name="Key" id="1"/>
    <tableColumn name="Value" id="2"/>
    <tableColumn name="Notes" id="3"/>
  </tableColumns>
  <tableStyleInfo name="decodeDP=16F=2D=8-style 6" showColumnStripes="0" showFirstColumn="1" showLastColumn="1" showRowStripes="1"/>
</table>
</file>

<file path=xl/tables/table60.xml><?xml version="1.0" encoding="utf-8"?>
<table xmlns="http://schemas.openxmlformats.org/spreadsheetml/2006/main" headerRowCount="0" ref="H121:Q132" displayName="Table_60" name="Table_60" id="6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2D=8-style 7" showColumnStripes="0" showFirstColumn="1" showLastColumn="1" showRowStripes="1"/>
</table>
</file>

<file path=xl/tables/table61.xml><?xml version="1.0" encoding="utf-8"?>
<table xmlns="http://schemas.openxmlformats.org/spreadsheetml/2006/main" headerRowCount="0" ref="H365:H367" displayName="Table_61" name="Table_61" id="61">
  <tableColumns count="1">
    <tableColumn name="Column1" id="1"/>
  </tableColumns>
  <tableStyleInfo name="decodeDP=16F=2D=8-style 8" showColumnStripes="0" showFirstColumn="1" showLastColumn="1" showRowStripes="1"/>
</table>
</file>

<file path=xl/tables/table62.xml><?xml version="1.0" encoding="utf-8"?>
<table xmlns="http://schemas.openxmlformats.org/spreadsheetml/2006/main" headerRowCount="0" ref="H373" displayName="Table_62" name="Table_62" id="62">
  <tableColumns count="1">
    <tableColumn name="Column1" id="1"/>
  </tableColumns>
  <tableStyleInfo name="decodeDP=16F=2D=8-style 9" showColumnStripes="0" showFirstColumn="1" showLastColumn="1" showRowStripes="1"/>
</table>
</file>

<file path=xl/tables/table63.xml><?xml version="1.0" encoding="utf-8"?>
<table xmlns="http://schemas.openxmlformats.org/spreadsheetml/2006/main" headerRowCount="0" ref="H375:I394" displayName="Table_63" name="Table_63" id="63">
  <tableColumns count="2">
    <tableColumn name="Column1" id="1"/>
    <tableColumn name="Column2" id="2"/>
  </tableColumns>
  <tableStyleInfo name="decodeDP=16F=2D=8-style 10" showColumnStripes="0" showFirstColumn="1" showLastColumn="1" showRowStripes="1"/>
</table>
</file>

<file path=xl/tables/table64.xml><?xml version="1.0" encoding="utf-8"?>
<table xmlns="http://schemas.openxmlformats.org/spreadsheetml/2006/main" headerRowCount="0" ref="H418" displayName="Table_64" name="Table_64" id="64">
  <tableColumns count="1">
    <tableColumn name="Column1" id="1"/>
  </tableColumns>
  <tableStyleInfo name="decodeDP=16F=2D=8-style 11" showColumnStripes="0" showFirstColumn="1" showLastColumn="1" showRowStripes="1"/>
</table>
</file>

<file path=xl/tables/table65.xml><?xml version="1.0" encoding="utf-8"?>
<table xmlns="http://schemas.openxmlformats.org/spreadsheetml/2006/main" ref="A1:C30" displayName="Table_65" name="Table_65" id="65">
  <tableColumns count="3">
    <tableColumn name="Description" id="1"/>
    <tableColumn name="Symbol" id="2"/>
    <tableColumn name="Value" id="3"/>
  </tableColumns>
  <tableStyleInfo name="decodeDP=16E=16-style" showColumnStripes="0" showFirstColumn="1" showLastColumn="1" showRowStripes="1"/>
</table>
</file>

<file path=xl/tables/table66.xml><?xml version="1.0" encoding="utf-8"?>
<table xmlns="http://schemas.openxmlformats.org/spreadsheetml/2006/main" totalsRowCount="1" ref="F1:H10" displayName="Table_66" name="Table_66" id="66">
  <tableColumns count="3">
    <tableColumn totalsRowLabel="Total # of chips" name="Sharding (Axis Name)" id="1"/>
    <tableColumn totalsRowFunction="custom" name="# of Devices" id="2"/>
    <tableColumn name="Notes" id="3"/>
  </tableColumns>
  <tableStyleInfo name="decodeDP=16E=16-style 2" showColumnStripes="0" showFirstColumn="1" showLastColumn="1" showRowStripes="1"/>
</table>
</file>

<file path=xl/tables/table67.xml><?xml version="1.0" encoding="utf-8"?>
<table xmlns="http://schemas.openxmlformats.org/spreadsheetml/2006/main" ref="F16:H29" displayName="Table_67" name="Table_67" id="67">
  <tableColumns count="3">
    <tableColumn name="Hardware Spec" id="1"/>
    <tableColumn name="Derate Factor" id="2"/>
    <tableColumn name="GhostFish (P3)" id="3"/>
  </tableColumns>
  <tableStyleInfo name="decodeDP=16E=16-style 3" showColumnStripes="0" showFirstColumn="1" showLastColumn="1" showRowStripes="1"/>
</table>
</file>

<file path=xl/tables/table68.xml><?xml version="1.0" encoding="utf-8"?>
<table xmlns="http://schemas.openxmlformats.org/spreadsheetml/2006/main" headerRowCount="0" ref="F32:G44" displayName="Table_68" name="Table_68" id="68">
  <tableColumns count="2">
    <tableColumn name="Column1" id="1"/>
    <tableColumn name="Column2" id="2"/>
  </tableColumns>
  <tableStyleInfo name="decodeDP=16E=16-style 4" showColumnStripes="0" showFirstColumn="1" showLastColumn="1" showRowStripes="1"/>
  <extLst>
    <ext uri="GoogleSheetsCustomDataVersion1">
      <go:sheetsCustomData xmlns:go="http://customooxmlschemas.google.com/" headerRowCount="1"/>
    </ext>
  </extLst>
</table>
</file>

<file path=xl/tables/table69.xml><?xml version="1.0" encoding="utf-8"?>
<table xmlns="http://schemas.openxmlformats.org/spreadsheetml/2006/main" ref="A33:C40" displayName="Table_69" name="Table_69" id="69">
  <tableColumns count="3">
    <tableColumn name="Metric Name" id="1"/>
    <tableColumn name="Value (GhostFish (P3))" id="2"/>
    <tableColumn name="Reference Value (GB200)" id="3"/>
  </tableColumns>
  <tableStyleInfo name="decodeDP=16E=16-style 5" showColumnStripes="0" showFirstColumn="1" showLastColumn="1" showRowStripes="1"/>
</table>
</file>

<file path=xl/tables/table70.xml><?xml version="1.0" encoding="utf-8"?>
<table xmlns="http://schemas.openxmlformats.org/spreadsheetml/2006/main" ref="A44:C57" displayName="Table_70" name="Table_70" id="70">
  <tableColumns count="3">
    <tableColumn name="Key" id="1"/>
    <tableColumn name="Value" id="2"/>
    <tableColumn name="Notes" id="3"/>
  </tableColumns>
  <tableStyleInfo name="decodeDP=16E=16-style 6" showColumnStripes="0" showFirstColumn="1" showLastColumn="1" showRowStripes="1"/>
</table>
</file>

<file path=xl/tables/table71.xml><?xml version="1.0" encoding="utf-8"?>
<table xmlns="http://schemas.openxmlformats.org/spreadsheetml/2006/main" headerRowCount="0" ref="H121:Q132" displayName="Table_71" name="Table_71" id="7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16-style 7" showColumnStripes="0" showFirstColumn="1" showLastColumn="1" showRowStripes="1"/>
</table>
</file>

<file path=xl/tables/table72.xml><?xml version="1.0" encoding="utf-8"?>
<table xmlns="http://schemas.openxmlformats.org/spreadsheetml/2006/main" headerRowCount="0" ref="H365:H367" displayName="Table_72" name="Table_72" id="72">
  <tableColumns count="1">
    <tableColumn name="Column1" id="1"/>
  </tableColumns>
  <tableStyleInfo name="decodeDP=16E=16-style 8" showColumnStripes="0" showFirstColumn="1" showLastColumn="1" showRowStripes="1"/>
</table>
</file>

<file path=xl/tables/table73.xml><?xml version="1.0" encoding="utf-8"?>
<table xmlns="http://schemas.openxmlformats.org/spreadsheetml/2006/main" headerRowCount="0" ref="H373" displayName="Table_73" name="Table_73" id="73">
  <tableColumns count="1">
    <tableColumn name="Column1" id="1"/>
  </tableColumns>
  <tableStyleInfo name="decodeDP=16E=16-style 9" showColumnStripes="0" showFirstColumn="1" showLastColumn="1" showRowStripes="1"/>
</table>
</file>

<file path=xl/tables/table74.xml><?xml version="1.0" encoding="utf-8"?>
<table xmlns="http://schemas.openxmlformats.org/spreadsheetml/2006/main" headerRowCount="0" ref="H375:I394" displayName="Table_74" name="Table_74" id="74">
  <tableColumns count="2">
    <tableColumn name="Column1" id="1"/>
    <tableColumn name="Column2" id="2"/>
  </tableColumns>
  <tableStyleInfo name="decodeDP=16E=16-style 10" showColumnStripes="0" showFirstColumn="1" showLastColumn="1" showRowStripes="1"/>
</table>
</file>

<file path=xl/tables/table75.xml><?xml version="1.0" encoding="utf-8"?>
<table xmlns="http://schemas.openxmlformats.org/spreadsheetml/2006/main" headerRowCount="0" ref="H418" displayName="Table_75" name="Table_75" id="75">
  <tableColumns count="1">
    <tableColumn name="Column1" id="1"/>
  </tableColumns>
  <tableStyleInfo name="decodeDP=16E=16-style 11" showColumnStripes="0" showFirstColumn="1" showLastColumn="1" showRowStripes="1"/>
</table>
</file>

<file path=xl/tables/table76.xml><?xml version="1.0" encoding="utf-8"?>
<table xmlns="http://schemas.openxmlformats.org/spreadsheetml/2006/main" headerRowCount="0" ref="A1:D30" displayName="Table_76" name="Table_76" id="76">
  <tableColumns count="4">
    <tableColumn name="Column1" id="1"/>
    <tableColumn name="Column2" id="2"/>
    <tableColumn name="Column3" id="3"/>
    <tableColumn name="Column4" id="4"/>
  </tableColumns>
  <tableStyleInfo name="decodeDP=16F=8D=2-style" showColumnStripes="0" showFirstColumn="1" showLastColumn="1" showRowStripes="1"/>
  <extLst>
    <ext uri="GoogleSheetsCustomDataVersion1">
      <go:sheetsCustomData xmlns:go="http://customooxmlschemas.google.com/" headerRowCount="1"/>
    </ext>
  </extLst>
</table>
</file>

<file path=xl/tables/table77.xml><?xml version="1.0" encoding="utf-8"?>
<table xmlns="http://schemas.openxmlformats.org/spreadsheetml/2006/main" totalsRowCount="1" ref="F1:H10" displayName="Table_77" name="Table_77" id="77">
  <tableColumns count="3">
    <tableColumn totalsRowLabel="Total # of chips" name="Sharding (Axis Name)" id="1"/>
    <tableColumn totalsRowFunction="custom" name="# of Devices" id="2"/>
    <tableColumn name="Notes" id="3"/>
  </tableColumns>
  <tableStyleInfo name="decodeDP=16F=8D=2-style 2" showColumnStripes="0" showFirstColumn="1" showLastColumn="1" showRowStripes="1"/>
</table>
</file>

<file path=xl/tables/table78.xml><?xml version="1.0" encoding="utf-8"?>
<table xmlns="http://schemas.openxmlformats.org/spreadsheetml/2006/main" ref="F16:H29" displayName="Table_78" name="Table_78" id="78">
  <tableColumns count="3">
    <tableColumn name="Hardware Spec" id="1"/>
    <tableColumn name="Derate Factor" id="2"/>
    <tableColumn name="GhostFish (P3)" id="3"/>
  </tableColumns>
  <tableStyleInfo name="decodeDP=16F=8D=2-style 3" showColumnStripes="0" showFirstColumn="1" showLastColumn="1" showRowStripes="1"/>
</table>
</file>

<file path=xl/tables/table79.xml><?xml version="1.0" encoding="utf-8"?>
<table xmlns="http://schemas.openxmlformats.org/spreadsheetml/2006/main" headerRowCount="0" ref="F32:G44" displayName="Table_79" name="Table_79" id="79">
  <tableColumns count="2">
    <tableColumn name="Column1" id="1"/>
    <tableColumn name="Column2" id="2"/>
  </tableColumns>
  <tableStyleInfo name="decodeDP=16F=8D=2-style 4" showColumnStripes="0" showFirstColumn="1" showLastColumn="1" showRowStripes="1"/>
  <extLst>
    <ext uri="GoogleSheetsCustomDataVersion1">
      <go:sheetsCustomData xmlns:go="http://customooxmlschemas.google.com/" headerRowCount="1"/>
    </ext>
  </extLst>
</table>
</file>

<file path=xl/tables/table80.xml><?xml version="1.0" encoding="utf-8"?>
<table xmlns="http://schemas.openxmlformats.org/spreadsheetml/2006/main" ref="A33:C39" displayName="Table_80" name="Table_80" id="80">
  <tableColumns count="3">
    <tableColumn name="Metric Name" id="1"/>
    <tableColumn name="Value (GhostFish (P3))" id="2"/>
    <tableColumn name="Reference Value (GB200)" id="3"/>
  </tableColumns>
  <tableStyleInfo name="decodeDP=16F=8D=2-style 5" showColumnStripes="0" showFirstColumn="1" showLastColumn="1" showRowStripes="1"/>
</table>
</file>

<file path=xl/tables/table81.xml><?xml version="1.0" encoding="utf-8"?>
<table xmlns="http://schemas.openxmlformats.org/spreadsheetml/2006/main" ref="A44:C57" displayName="Table_81" name="Table_81" id="81">
  <tableColumns count="3">
    <tableColumn name="Key" id="1"/>
    <tableColumn name="Value" id="2"/>
    <tableColumn name="Notes" id="3"/>
  </tableColumns>
  <tableStyleInfo name="decodeDP=16F=8D=2-style 6" showColumnStripes="0" showFirstColumn="1" showLastColumn="1" showRowStripes="1"/>
</table>
</file>

<file path=xl/tables/table82.xml><?xml version="1.0" encoding="utf-8"?>
<table xmlns="http://schemas.openxmlformats.org/spreadsheetml/2006/main" headerRowCount="0" ref="H121:Q132" displayName="Table_82" name="Table_82" id="8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style 7" showColumnStripes="0" showFirstColumn="1" showLastColumn="1" showRowStripes="1"/>
</table>
</file>

<file path=xl/tables/table83.xml><?xml version="1.0" encoding="utf-8"?>
<table xmlns="http://schemas.openxmlformats.org/spreadsheetml/2006/main" headerRowCount="0" ref="H365:H367" displayName="Table_83" name="Table_83" id="83">
  <tableColumns count="1">
    <tableColumn name="Column1" id="1"/>
  </tableColumns>
  <tableStyleInfo name="decodeDP=16F=8D=2-style 8" showColumnStripes="0" showFirstColumn="1" showLastColumn="1" showRowStripes="1"/>
</table>
</file>

<file path=xl/tables/table84.xml><?xml version="1.0" encoding="utf-8"?>
<table xmlns="http://schemas.openxmlformats.org/spreadsheetml/2006/main" headerRowCount="0" ref="H373" displayName="Table_84" name="Table_84" id="84">
  <tableColumns count="1">
    <tableColumn name="Column1" id="1"/>
  </tableColumns>
  <tableStyleInfo name="decodeDP=16F=8D=2-style 9" showColumnStripes="0" showFirstColumn="1" showLastColumn="1" showRowStripes="1"/>
</table>
</file>

<file path=xl/tables/table85.xml><?xml version="1.0" encoding="utf-8"?>
<table xmlns="http://schemas.openxmlformats.org/spreadsheetml/2006/main" headerRowCount="0" ref="H375:I394" displayName="Table_85" name="Table_85" id="85">
  <tableColumns count="2">
    <tableColumn name="Column1" id="1"/>
    <tableColumn name="Column2" id="2"/>
  </tableColumns>
  <tableStyleInfo name="decodeDP=16F=8D=2-style 10" showColumnStripes="0" showFirstColumn="1" showLastColumn="1" showRowStripes="1"/>
</table>
</file>

<file path=xl/tables/table86.xml><?xml version="1.0" encoding="utf-8"?>
<table xmlns="http://schemas.openxmlformats.org/spreadsheetml/2006/main" headerRowCount="0" ref="H418" displayName="Table_86" name="Table_86" id="86">
  <tableColumns count="1">
    <tableColumn name="Column1" id="1"/>
  </tableColumns>
  <tableStyleInfo name="decodeDP=16F=8D=2-style 11" showColumnStripes="0" showFirstColumn="1" showLastColumn="1" showRowStripes="1"/>
</table>
</file>

<file path=xl/tables/table87.xml><?xml version="1.0" encoding="utf-8"?>
<table xmlns="http://schemas.openxmlformats.org/spreadsheetml/2006/main" headerRowCount="0" ref="A1:D30" displayName="Table_87" name="Table_87" id="87">
  <tableColumns count="4">
    <tableColumn name="Column1" id="1"/>
    <tableColumn name="Column2" id="2"/>
    <tableColumn name="Column3" id="3"/>
    <tableColumn name="Column4" id="4"/>
  </tableColumns>
  <tableStyleInfo name="decodeDP=16F=8D=2v2-style" showColumnStripes="0" showFirstColumn="1" showLastColumn="1" showRowStripes="1"/>
  <extLst>
    <ext uri="GoogleSheetsCustomDataVersion1">
      <go:sheetsCustomData xmlns:go="http://customooxmlschemas.google.com/" headerRowCount="1"/>
    </ext>
  </extLst>
</table>
</file>

<file path=xl/tables/table88.xml><?xml version="1.0" encoding="utf-8"?>
<table xmlns="http://schemas.openxmlformats.org/spreadsheetml/2006/main" totalsRowCount="1" ref="F1:H10" displayName="Table_88" name="Table_88" id="88">
  <tableColumns count="3">
    <tableColumn totalsRowLabel="Total # of chips" name="Sharding (Axis Name)" id="1"/>
    <tableColumn totalsRowFunction="custom" name="# of Devices" id="2"/>
    <tableColumn name="Notes" id="3"/>
  </tableColumns>
  <tableStyleInfo name="decodeDP=16F=8D=2v2-style 2" showColumnStripes="0" showFirstColumn="1" showLastColumn="1" showRowStripes="1"/>
</table>
</file>

<file path=xl/tables/table89.xml><?xml version="1.0" encoding="utf-8"?>
<table xmlns="http://schemas.openxmlformats.org/spreadsheetml/2006/main" ref="F16:H29" displayName="Table_89" name="Table_89" id="89">
  <tableColumns count="3">
    <tableColumn name="Hardware Spec" id="1"/>
    <tableColumn name="Derate Factor" id="2"/>
    <tableColumn name="GhostFish (P3)" id="3"/>
  </tableColumns>
  <tableStyleInfo name="decodeDP=16F=8D=2v2-style 3" showColumnStripes="0" showFirstColumn="1" showLastColumn="1" showRowStripes="1"/>
</table>
</file>

<file path=xl/tables/table90.xml><?xml version="1.0" encoding="utf-8"?>
<table xmlns="http://schemas.openxmlformats.org/spreadsheetml/2006/main" headerRowCount="0" ref="F32:G44" displayName="Table_90" name="Table_90" id="90">
  <tableColumns count="2">
    <tableColumn name="Column1" id="1"/>
    <tableColumn name="Column2" id="2"/>
  </tableColumns>
  <tableStyleInfo name="decodeDP=16F=8D=2v2-style 4" showColumnStripes="0" showFirstColumn="1" showLastColumn="1" showRowStripes="1"/>
  <extLst>
    <ext uri="GoogleSheetsCustomDataVersion1">
      <go:sheetsCustomData xmlns:go="http://customooxmlschemas.google.com/" headerRowCount="1"/>
    </ext>
  </extLst>
</table>
</file>

<file path=xl/tables/table91.xml><?xml version="1.0" encoding="utf-8"?>
<table xmlns="http://schemas.openxmlformats.org/spreadsheetml/2006/main" ref="A33:C39" displayName="Table_91" name="Table_91" id="91">
  <tableColumns count="3">
    <tableColumn name="Metric Name" id="1"/>
    <tableColumn name="Value (GhostFish (P3))" id="2"/>
    <tableColumn name="Reference Value (GB200)" id="3"/>
  </tableColumns>
  <tableStyleInfo name="decodeDP=16F=8D=2v2-style 5" showColumnStripes="0" showFirstColumn="1" showLastColumn="1" showRowStripes="1"/>
</table>
</file>

<file path=xl/tables/table92.xml><?xml version="1.0" encoding="utf-8"?>
<table xmlns="http://schemas.openxmlformats.org/spreadsheetml/2006/main" ref="A44:C57" displayName="Table_92" name="Table_92" id="92">
  <tableColumns count="3">
    <tableColumn name="Key" id="1"/>
    <tableColumn name="Value" id="2"/>
    <tableColumn name="Notes" id="3"/>
  </tableColumns>
  <tableStyleInfo name="decodeDP=16F=8D=2v2-style 6" showColumnStripes="0" showFirstColumn="1" showLastColumn="1" showRowStripes="1"/>
</table>
</file>

<file path=xl/tables/table93.xml><?xml version="1.0" encoding="utf-8"?>
<table xmlns="http://schemas.openxmlformats.org/spreadsheetml/2006/main" headerRowCount="0" ref="H121:Q132" displayName="Table_93" name="Table_93" id="9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v2-style 7" showColumnStripes="0" showFirstColumn="1" showLastColumn="1" showRowStripes="1"/>
</table>
</file>

<file path=xl/tables/table94.xml><?xml version="1.0" encoding="utf-8"?>
<table xmlns="http://schemas.openxmlformats.org/spreadsheetml/2006/main" headerRowCount="0" ref="H365:H367" displayName="Table_94" name="Table_94" id="94">
  <tableColumns count="1">
    <tableColumn name="Column1" id="1"/>
  </tableColumns>
  <tableStyleInfo name="decodeDP=16F=8D=2v2-style 8" showColumnStripes="0" showFirstColumn="1" showLastColumn="1" showRowStripes="1"/>
</table>
</file>

<file path=xl/tables/table95.xml><?xml version="1.0" encoding="utf-8"?>
<table xmlns="http://schemas.openxmlformats.org/spreadsheetml/2006/main" headerRowCount="0" ref="H373" displayName="Table_95" name="Table_95" id="95">
  <tableColumns count="1">
    <tableColumn name="Column1" id="1"/>
  </tableColumns>
  <tableStyleInfo name="decodeDP=16F=8D=2v2-style 9" showColumnStripes="0" showFirstColumn="1" showLastColumn="1" showRowStripes="1"/>
</table>
</file>

<file path=xl/tables/table96.xml><?xml version="1.0" encoding="utf-8"?>
<table xmlns="http://schemas.openxmlformats.org/spreadsheetml/2006/main" headerRowCount="0" ref="H375:I394" displayName="Table_96" name="Table_96" id="96">
  <tableColumns count="2">
    <tableColumn name="Column1" id="1"/>
    <tableColumn name="Column2" id="2"/>
  </tableColumns>
  <tableStyleInfo name="decodeDP=16F=8D=2v2-style 10" showColumnStripes="0" showFirstColumn="1" showLastColumn="1" showRowStripes="1"/>
</table>
</file>

<file path=xl/tables/table97.xml><?xml version="1.0" encoding="utf-8"?>
<table xmlns="http://schemas.openxmlformats.org/spreadsheetml/2006/main" headerRowCount="0" ref="H418" displayName="Table_97" name="Table_97" id="97">
  <tableColumns count="1">
    <tableColumn name="Column1" id="1"/>
  </tableColumns>
  <tableStyleInfo name="decodeDP=16F=8D=2v2-style 11" showColumnStripes="0" showFirstColumn="1" showLastColumn="1" showRowStripes="1"/>
</table>
</file>

<file path=xl/tables/table98.xml><?xml version="1.0" encoding="utf-8"?>
<table xmlns="http://schemas.openxmlformats.org/spreadsheetml/2006/main" ref="A2:C39" displayName="Table_98" name="Table_98" id="98">
  <tableColumns count="3">
    <tableColumn name="Description" id="1"/>
    <tableColumn name="Symbol" id="2"/>
    <tableColumn name="Value" id="3"/>
  </tableColumns>
  <tableStyleInfo name="decodeDP=16EP=16Row4-style" showColumnStripes="0" showFirstColumn="1" showLastColumn="1" showRowStripes="1"/>
</table>
</file>

<file path=xl/tables/table99.xml><?xml version="1.0" encoding="utf-8"?>
<table xmlns="http://schemas.openxmlformats.org/spreadsheetml/2006/main" totalsRowCount="1" ref="F2:H11" displayName="Table_99" name="Table_99" id="99">
  <tableColumns count="3">
    <tableColumn totalsRowLabel="Total # of chips" name="Sharding (Axis Name)" id="1"/>
    <tableColumn totalsRowFunction="custom" name="# of Devices" id="2"/>
    <tableColumn name="Notes" id="3"/>
  </tableColumns>
  <tableStyleInfo name="decodeDP=16EP=16Row4-style 2" showColumnStripes="0" showFirstColumn="1" showLastColumn="1" showRowStripes="1"/>
</table>
</file>

<file path=xl/tables/table100.xml><?xml version="1.0" encoding="utf-8"?>
<table xmlns="http://schemas.openxmlformats.org/spreadsheetml/2006/main" ref="F17:H31" displayName="Table_100" name="Table_100" id="100">
  <tableColumns count="3">
    <tableColumn name="Hardware Spec" id="1"/>
    <tableColumn name="Derate Factor" id="2"/>
    <tableColumn name="GhostFish" id="3"/>
  </tableColumns>
  <tableStyleInfo name="decodeDP=16EP=16Row4-style 3" showColumnStripes="0" showFirstColumn="1" showLastColumn="1" showRowStripes="1"/>
</table>
</file>

<file path=xl/tables/table101.xml><?xml version="1.0" encoding="utf-8"?>
<table xmlns="http://schemas.openxmlformats.org/spreadsheetml/2006/main" headerRowCount="0" ref="F35:G48" displayName="Table_101" name="Table_101" id="101">
  <tableColumns count="2">
    <tableColumn name="Column1" id="1"/>
    <tableColumn name="Column2" id="2"/>
  </tableColumns>
  <tableStyleInfo name="decodeDP=16EP=16Row4-style 4" showColumnStripes="0" showFirstColumn="1" showLastColumn="1" showRowStripes="1"/>
  <extLst>
    <ext uri="GoogleSheetsCustomDataVersion1">
      <go:sheetsCustomData xmlns:go="http://customooxmlschemas.google.com/" headerRowCount="1"/>
    </ext>
  </extLst>
</table>
</file>

<file path=xl/tables/table102.xml><?xml version="1.0" encoding="utf-8"?>
<table xmlns="http://schemas.openxmlformats.org/spreadsheetml/2006/main" ref="A43:C50" displayName="Table_102" name="Table_102" id="102">
  <tableColumns count="3">
    <tableColumn name="Metric Name" id="1"/>
    <tableColumn name="Value (GhostFish)" id="2"/>
    <tableColumn name="Reference Value (GB200)" id="3"/>
  </tableColumns>
  <tableStyleInfo name="decodeDP=16EP=16Row4-style 5" showColumnStripes="0" showFirstColumn="1" showLastColumn="1" showRowStripes="1"/>
</table>
</file>

<file path=xl/tables/table103.xml><?xml version="1.0" encoding="utf-8"?>
<table xmlns="http://schemas.openxmlformats.org/spreadsheetml/2006/main" ref="A77:C90" displayName="Table_103" name="Table_103" id="103">
  <tableColumns count="3">
    <tableColumn name="Key" id="1"/>
    <tableColumn name="Value" id="2"/>
    <tableColumn name="Notes" id="3"/>
  </tableColumns>
  <tableStyleInfo name="decodeDP=16EP=16Row4-style 6" showColumnStripes="0" showFirstColumn="1" showLastColumn="1" showRowStripes="1"/>
</table>
</file>

<file path=xl/tables/table104.xml><?xml version="1.0" encoding="utf-8"?>
<table xmlns="http://schemas.openxmlformats.org/spreadsheetml/2006/main" headerRowCount="0" ref="H116:Q129" displayName="Table_104" name="Table_104" id="10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4-style 7" showColumnStripes="0" showFirstColumn="1" showLastColumn="1" showRowStripes="1"/>
</table>
</file>

<file path=xl/tables/table105.xml><?xml version="1.0" encoding="utf-8"?>
<table xmlns="http://schemas.openxmlformats.org/spreadsheetml/2006/main" headerRowCount="0" ref="H360:H361" displayName="Table_105" name="Table_105" id="105">
  <tableColumns count="1">
    <tableColumn name="Column1" id="1"/>
  </tableColumns>
  <tableStyleInfo name="decodeDP=16EP=16Row4-style 8" showColumnStripes="0" showFirstColumn="1" showLastColumn="1" showRowStripes="1"/>
</table>
</file>

<file path=xl/tables/table106.xml><?xml version="1.0" encoding="utf-8"?>
<table xmlns="http://schemas.openxmlformats.org/spreadsheetml/2006/main" headerRowCount="0" ref="H394:H396" displayName="Table_106" name="Table_106" id="106">
  <tableColumns count="1">
    <tableColumn name="Column1" id="1"/>
  </tableColumns>
  <tableStyleInfo name="decodeDP=16EP=16Row4-style 9" showColumnStripes="0" showFirstColumn="1" showLastColumn="1" showRowStripes="1"/>
</table>
</file>

<file path=xl/tables/table107.xml><?xml version="1.0" encoding="utf-8"?>
<table xmlns="http://schemas.openxmlformats.org/spreadsheetml/2006/main" headerRowCount="0" ref="H402" displayName="Table_107" name="Table_107" id="107">
  <tableColumns count="1">
    <tableColumn name="Column1" id="1"/>
  </tableColumns>
  <tableStyleInfo name="decodeDP=16EP=16Row4-style 10" showColumnStripes="0" showFirstColumn="1" showLastColumn="1" showRowStripes="1"/>
</table>
</file>

<file path=xl/tables/table108.xml><?xml version="1.0" encoding="utf-8"?>
<table xmlns="http://schemas.openxmlformats.org/spreadsheetml/2006/main" headerRowCount="0" ref="H404:I423" displayName="Table_108" name="Table_108" id="108">
  <tableColumns count="2">
    <tableColumn name="Column1" id="1"/>
    <tableColumn name="Column2" id="2"/>
  </tableColumns>
  <tableStyleInfo name="decodeDP=16EP=16Row4-style 11" showColumnStripes="0" showFirstColumn="1" showLastColumn="1" showRowStripes="1"/>
</table>
</file>

<file path=xl/tables/table109.xml><?xml version="1.0" encoding="utf-8"?>
<table xmlns="http://schemas.openxmlformats.org/spreadsheetml/2006/main" headerRowCount="0" ref="H454" displayName="Table_109" name="Table_109" id="109">
  <tableColumns count="1">
    <tableColumn name="Column1" id="1"/>
  </tableColumns>
  <tableStyleInfo name="decodeDP=16EP=16Row4-style 12" showColumnStripes="0" showFirstColumn="1" showLastColumn="1" showRowStripes="1"/>
</table>
</file>

<file path=xl/tables/table110.xml><?xml version="1.0" encoding="utf-8"?>
<table xmlns="http://schemas.openxmlformats.org/spreadsheetml/2006/main" headerRowCount="0" ref="H479:H480" displayName="Table_110" name="Table_110" id="110">
  <tableColumns count="1">
    <tableColumn name="Column1" id="1"/>
  </tableColumns>
  <tableStyleInfo name="decodeDP=16EP=16Row4-style 13" showColumnStripes="0" showFirstColumn="1" showLastColumn="1" showRowStripes="1"/>
</table>
</file>

<file path=xl/tables/table111.xml><?xml version="1.0" encoding="utf-8"?>
<table xmlns="http://schemas.openxmlformats.org/spreadsheetml/2006/main" ref="A2:C39" displayName="Table_111" name="Table_111" id="111">
  <tableColumns count="3">
    <tableColumn name="Description" id="1"/>
    <tableColumn name="Symbol" id="2"/>
    <tableColumn name="Value" id="3"/>
  </tableColumns>
  <tableStyleInfo name="decodeDP=16EP=16Row5-style" showColumnStripes="0" showFirstColumn="1" showLastColumn="1" showRowStripes="1"/>
</table>
</file>

<file path=xl/tables/table112.xml><?xml version="1.0" encoding="utf-8"?>
<table xmlns="http://schemas.openxmlformats.org/spreadsheetml/2006/main" totalsRowCount="1" ref="F2:H11" displayName="Table_112" name="Table_112" id="112">
  <tableColumns count="3">
    <tableColumn totalsRowLabel="Total # of chips" name="Sharding (Axis Name)" id="1"/>
    <tableColumn totalsRowFunction="custom" name="# of Devices" id="2"/>
    <tableColumn name="Notes" id="3"/>
  </tableColumns>
  <tableStyleInfo name="decodeDP=16EP=16Row5-style 2" showColumnStripes="0" showFirstColumn="1" showLastColumn="1" showRowStripes="1"/>
</table>
</file>

<file path=xl/tables/table113.xml><?xml version="1.0" encoding="utf-8"?>
<table xmlns="http://schemas.openxmlformats.org/spreadsheetml/2006/main" ref="F17:H31" displayName="Table_113" name="Table_113" id="113">
  <tableColumns count="3">
    <tableColumn name="Hardware Spec" id="1"/>
    <tableColumn name="Derate Factor" id="2"/>
    <tableColumn name="GhostFish" id="3"/>
  </tableColumns>
  <tableStyleInfo name="decodeDP=16EP=16Row5-style 3" showColumnStripes="0" showFirstColumn="1" showLastColumn="1" showRowStripes="1"/>
</table>
</file>

<file path=xl/tables/table114.xml><?xml version="1.0" encoding="utf-8"?>
<table xmlns="http://schemas.openxmlformats.org/spreadsheetml/2006/main" headerRowCount="0" ref="F35:G48" displayName="Table_114" name="Table_114" id="114">
  <tableColumns count="2">
    <tableColumn name="Column1" id="1"/>
    <tableColumn name="Column2" id="2"/>
  </tableColumns>
  <tableStyleInfo name="decodeDP=16EP=16Row5-style 4" showColumnStripes="0" showFirstColumn="1" showLastColumn="1" showRowStripes="1"/>
  <extLst>
    <ext uri="GoogleSheetsCustomDataVersion1">
      <go:sheetsCustomData xmlns:go="http://customooxmlschemas.google.com/" headerRowCount="1"/>
    </ext>
  </extLst>
</table>
</file>

<file path=xl/tables/table115.xml><?xml version="1.0" encoding="utf-8"?>
<table xmlns="http://schemas.openxmlformats.org/spreadsheetml/2006/main" ref="A43:C50" displayName="Table_115" name="Table_115" id="115">
  <tableColumns count="3">
    <tableColumn name="Metric Name" id="1"/>
    <tableColumn name="Value (GhostFish)" id="2"/>
    <tableColumn name="Reference Value (GB200)" id="3"/>
  </tableColumns>
  <tableStyleInfo name="decodeDP=16EP=16Row5-style 5" showColumnStripes="0" showFirstColumn="1" showLastColumn="1" showRowStripes="1"/>
</table>
</file>

<file path=xl/tables/table116.xml><?xml version="1.0" encoding="utf-8"?>
<table xmlns="http://schemas.openxmlformats.org/spreadsheetml/2006/main" ref="A77:C90" displayName="Table_116" name="Table_116" id="116">
  <tableColumns count="3">
    <tableColumn name="Key" id="1"/>
    <tableColumn name="Value" id="2"/>
    <tableColumn name="Notes" id="3"/>
  </tableColumns>
  <tableStyleInfo name="decodeDP=16EP=16Row5-style 6" showColumnStripes="0" showFirstColumn="1" showLastColumn="1" showRowStripes="1"/>
</table>
</file>

<file path=xl/tables/table117.xml><?xml version="1.0" encoding="utf-8"?>
<table xmlns="http://schemas.openxmlformats.org/spreadsheetml/2006/main" headerRowCount="0" ref="H116:Q129" displayName="Table_117" name="Table_117" id="1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5-style 7" showColumnStripes="0" showFirstColumn="1" showLastColumn="1" showRowStripes="1"/>
</table>
</file>

<file path=xl/tables/table118.xml><?xml version="1.0" encoding="utf-8"?>
<table xmlns="http://schemas.openxmlformats.org/spreadsheetml/2006/main" headerRowCount="0" ref="H360:H361" displayName="Table_118" name="Table_118" id="118">
  <tableColumns count="1">
    <tableColumn name="Column1" id="1"/>
  </tableColumns>
  <tableStyleInfo name="decodeDP=16EP=16Row5-style 8" showColumnStripes="0" showFirstColumn="1" showLastColumn="1" showRowStripes="1"/>
</table>
</file>

<file path=xl/tables/table119.xml><?xml version="1.0" encoding="utf-8"?>
<table xmlns="http://schemas.openxmlformats.org/spreadsheetml/2006/main" headerRowCount="0" ref="H394:H396" displayName="Table_119" name="Table_119" id="119">
  <tableColumns count="1">
    <tableColumn name="Column1" id="1"/>
  </tableColumns>
  <tableStyleInfo name="decodeDP=16EP=16Row5-style 9" showColumnStripes="0" showFirstColumn="1" showLastColumn="1" showRowStripes="1"/>
</table>
</file>

<file path=xl/tables/table120.xml><?xml version="1.0" encoding="utf-8"?>
<table xmlns="http://schemas.openxmlformats.org/spreadsheetml/2006/main" headerRowCount="0" ref="H402" displayName="Table_120" name="Table_120" id="120">
  <tableColumns count="1">
    <tableColumn name="Column1" id="1"/>
  </tableColumns>
  <tableStyleInfo name="decodeDP=16EP=16Row5-style 10" showColumnStripes="0" showFirstColumn="1" showLastColumn="1" showRowStripes="1"/>
</table>
</file>

<file path=xl/tables/table121.xml><?xml version="1.0" encoding="utf-8"?>
<table xmlns="http://schemas.openxmlformats.org/spreadsheetml/2006/main" headerRowCount="0" ref="H404:I423" displayName="Table_121" name="Table_121" id="121">
  <tableColumns count="2">
    <tableColumn name="Column1" id="1"/>
    <tableColumn name="Column2" id="2"/>
  </tableColumns>
  <tableStyleInfo name="decodeDP=16EP=16Row5-style 11" showColumnStripes="0" showFirstColumn="1" showLastColumn="1" showRowStripes="1"/>
</table>
</file>

<file path=xl/tables/table122.xml><?xml version="1.0" encoding="utf-8"?>
<table xmlns="http://schemas.openxmlformats.org/spreadsheetml/2006/main" headerRowCount="0" ref="H454" displayName="Table_122" name="Table_122" id="122">
  <tableColumns count="1">
    <tableColumn name="Column1" id="1"/>
  </tableColumns>
  <tableStyleInfo name="decodeDP=16EP=16Row5-style 12" showColumnStripes="0" showFirstColumn="1" showLastColumn="1" showRowStripes="1"/>
</table>
</file>

<file path=xl/tables/table123.xml><?xml version="1.0" encoding="utf-8"?>
<table xmlns="http://schemas.openxmlformats.org/spreadsheetml/2006/main" headerRowCount="0" ref="H479:H480" displayName="Table_123" name="Table_123" id="123">
  <tableColumns count="1">
    <tableColumn name="Column1" id="1"/>
  </tableColumns>
  <tableStyleInfo name="decodeDP=16EP=16Row5-style 13" showColumnStripes="0" showFirstColumn="1" showLastColumn="1" showRowStripes="1"/>
</table>
</file>

<file path=xl/tables/table124.xml><?xml version="1.0" encoding="utf-8"?>
<table xmlns="http://schemas.openxmlformats.org/spreadsheetml/2006/main" ref="A2:C39" displayName="Table_124" name="Table_124" id="124">
  <tableColumns count="3">
    <tableColumn name="Description" id="1"/>
    <tableColumn name="Symbol" id="2"/>
    <tableColumn name="Value" id="3"/>
  </tableColumns>
  <tableStyleInfo name="decodeDP=16F=8D=2Row5 V2-style" showColumnStripes="0" showFirstColumn="1" showLastColumn="1" showRowStripes="1"/>
</table>
</file>

<file path=xl/tables/table125.xml><?xml version="1.0" encoding="utf-8"?>
<table xmlns="http://schemas.openxmlformats.org/spreadsheetml/2006/main" totalsRowCount="1" ref="F2:H11" displayName="Table_125" name="Table_125" id="125">
  <tableColumns count="3">
    <tableColumn totalsRowLabel="Total # of chips" name="Sharding (Axis Name)" id="1"/>
    <tableColumn totalsRowFunction="custom" name="# of Devices" id="2"/>
    <tableColumn name="Notes" id="3"/>
  </tableColumns>
  <tableStyleInfo name="decodeDP=16F=8D=2Row5 V2-style 2" showColumnStripes="0" showFirstColumn="1" showLastColumn="1" showRowStripes="1"/>
</table>
</file>

<file path=xl/tables/table126.xml><?xml version="1.0" encoding="utf-8"?>
<table xmlns="http://schemas.openxmlformats.org/spreadsheetml/2006/main" ref="F17:H31" displayName="Table_126" name="Table_126" id="126">
  <tableColumns count="3">
    <tableColumn name="Hardware Spec" id="1"/>
    <tableColumn name="Derate Factor" id="2"/>
    <tableColumn name="GhostFish" id="3"/>
  </tableColumns>
  <tableStyleInfo name="decodeDP=16F=8D=2Row5 V2-style 3" showColumnStripes="0" showFirstColumn="1" showLastColumn="1" showRowStripes="1"/>
</table>
</file>

<file path=xl/tables/table127.xml><?xml version="1.0" encoding="utf-8"?>
<table xmlns="http://schemas.openxmlformats.org/spreadsheetml/2006/main" headerRowCount="0" ref="F35:G48" displayName="Table_127" name="Table_127" id="127">
  <tableColumns count="2">
    <tableColumn name="Column1" id="1"/>
    <tableColumn name="Column2" id="2"/>
  </tableColumns>
  <tableStyleInfo name="decodeDP=16F=8D=2Row5 V2-style 4" showColumnStripes="0" showFirstColumn="1" showLastColumn="1" showRowStripes="1"/>
  <extLst>
    <ext uri="GoogleSheetsCustomDataVersion1">
      <go:sheetsCustomData xmlns:go="http://customooxmlschemas.google.com/" headerRowCount="1"/>
    </ext>
  </extLst>
</table>
</file>

<file path=xl/tables/table128.xml><?xml version="1.0" encoding="utf-8"?>
<table xmlns="http://schemas.openxmlformats.org/spreadsheetml/2006/main" ref="A43:C50" displayName="Table_128" name="Table_128" id="128">
  <tableColumns count="3">
    <tableColumn name="Metric Name" id="1"/>
    <tableColumn name="Value (GhostFish)" id="2"/>
    <tableColumn name="Reference Value (GB200)" id="3"/>
  </tableColumns>
  <tableStyleInfo name="decodeDP=16F=8D=2Row5 V2-style 5" showColumnStripes="0" showFirstColumn="1" showLastColumn="1" showRowStripes="1"/>
</table>
</file>

<file path=xl/tables/table129.xml><?xml version="1.0" encoding="utf-8"?>
<table xmlns="http://schemas.openxmlformats.org/spreadsheetml/2006/main" ref="A77:C90" displayName="Table_129" name="Table_129" id="129">
  <tableColumns count="3">
    <tableColumn name="Key" id="1"/>
    <tableColumn name="Value" id="2"/>
    <tableColumn name="Notes" id="3"/>
  </tableColumns>
  <tableStyleInfo name="decodeDP=16F=8D=2Row5 V2-style 6" showColumnStripes="0" showFirstColumn="1" showLastColumn="1" showRowStripes="1"/>
</table>
</file>

<file path=xl/tables/table130.xml><?xml version="1.0" encoding="utf-8"?>
<table xmlns="http://schemas.openxmlformats.org/spreadsheetml/2006/main" headerRowCount="0" ref="H116:Q136" displayName="Table_130" name="Table_130" id="13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Row5 V2-style 7" showColumnStripes="0" showFirstColumn="1" showLastColumn="1" showRowStripes="1"/>
</table>
</file>

<file path=xl/tables/table131.xml><?xml version="1.0" encoding="utf-8"?>
<table xmlns="http://schemas.openxmlformats.org/spreadsheetml/2006/main" headerRowCount="0" ref="H382:H383" displayName="Table_131" name="Table_131" id="131">
  <tableColumns count="1">
    <tableColumn name="Column1" id="1"/>
  </tableColumns>
  <tableStyleInfo name="decodeDP=16F=8D=2Row5 V2-style 8" showColumnStripes="0" showFirstColumn="1" showLastColumn="1" showRowStripes="1"/>
</table>
</file>

<file path=xl/tables/table132.xml><?xml version="1.0" encoding="utf-8"?>
<table xmlns="http://schemas.openxmlformats.org/spreadsheetml/2006/main" headerRowCount="0" ref="H418:H420" displayName="Table_132" name="Table_132" id="132">
  <tableColumns count="1">
    <tableColumn name="Column1" id="1"/>
  </tableColumns>
  <tableStyleInfo name="decodeDP=16F=8D=2Row5 V2-style 9" showColumnStripes="0" showFirstColumn="1" showLastColumn="1" showRowStripes="1"/>
</table>
</file>

<file path=xl/tables/table133.xml><?xml version="1.0" encoding="utf-8"?>
<table xmlns="http://schemas.openxmlformats.org/spreadsheetml/2006/main" headerRowCount="0" ref="H426" displayName="Table_133" name="Table_133" id="133">
  <tableColumns count="1">
    <tableColumn name="Column1" id="1"/>
  </tableColumns>
  <tableStyleInfo name="decodeDP=16F=8D=2Row5 V2-style 10" showColumnStripes="0" showFirstColumn="1" showLastColumn="1" showRowStripes="1"/>
</table>
</file>

<file path=xl/tables/table134.xml><?xml version="1.0" encoding="utf-8"?>
<table xmlns="http://schemas.openxmlformats.org/spreadsheetml/2006/main" headerRowCount="0" ref="H428:I448" displayName="Table_134" name="Table_134" id="134">
  <tableColumns count="2">
    <tableColumn name="Column1" id="1"/>
    <tableColumn name="Column2" id="2"/>
  </tableColumns>
  <tableStyleInfo name="decodeDP=16F=8D=2Row5 V2-style 11" showColumnStripes="0" showFirstColumn="1" showLastColumn="1" showRowStripes="1"/>
</table>
</file>

<file path=xl/tables/table135.xml><?xml version="1.0" encoding="utf-8"?>
<table xmlns="http://schemas.openxmlformats.org/spreadsheetml/2006/main" headerRowCount="0" ref="H478" displayName="Table_135" name="Table_135" id="135">
  <tableColumns count="1">
    <tableColumn name="Column1" id="1"/>
  </tableColumns>
  <tableStyleInfo name="decodeDP=16F=8D=2Row5 V2-style 12" showColumnStripes="0" showFirstColumn="1" showLastColumn="1" showRowStripes="1"/>
</table>
</file>

<file path=xl/tables/table136.xml><?xml version="1.0" encoding="utf-8"?>
<table xmlns="http://schemas.openxmlformats.org/spreadsheetml/2006/main" headerRowCount="0" ref="H503:H504" displayName="Table_136" name="Table_136" id="136">
  <tableColumns count="1">
    <tableColumn name="Column1" id="1"/>
  </tableColumns>
  <tableStyleInfo name="decodeDP=16F=8D=2Row5 V2-style 13" showColumnStripes="0" showFirstColumn="1" showLastColumn="1" showRowStripes="1"/>
</table>
</file>

<file path=xl/tables/table137.xml><?xml version="1.0" encoding="utf-8"?>
<table xmlns="http://schemas.openxmlformats.org/spreadsheetml/2006/main" ref="A2:C39" displayName="Table_137" name="Table_137" id="137">
  <tableColumns count="3">
    <tableColumn name="Description" id="1"/>
    <tableColumn name="Symbol" id="2"/>
    <tableColumn name="Value" id="3"/>
  </tableColumns>
  <tableStyleInfo name="decodeDP=16EP=8D=2Row5 V3-style" showColumnStripes="0" showFirstColumn="1" showLastColumn="1" showRowStripes="1"/>
</table>
</file>

<file path=xl/tables/table138.xml><?xml version="1.0" encoding="utf-8"?>
<table xmlns="http://schemas.openxmlformats.org/spreadsheetml/2006/main" totalsRowCount="1" ref="F2:H11" displayName="Table_138" name="Table_138" id="138">
  <tableColumns count="3">
    <tableColumn totalsRowLabel="Total # of chips" name="Sharding (Axis Name)" id="1"/>
    <tableColumn totalsRowFunction="custom" name="# of Devices" id="2"/>
    <tableColumn name="Notes" id="3"/>
  </tableColumns>
  <tableStyleInfo name="decodeDP=16EP=8D=2Row5 V3-style 2" showColumnStripes="0" showFirstColumn="1" showLastColumn="1" showRowStripes="1"/>
</table>
</file>

<file path=xl/tables/table139.xml><?xml version="1.0" encoding="utf-8"?>
<table xmlns="http://schemas.openxmlformats.org/spreadsheetml/2006/main" ref="F17:H31" displayName="Table_139" name="Table_139" id="139">
  <tableColumns count="3">
    <tableColumn name="Hardware Spec" id="1"/>
    <tableColumn name="Derate Factor" id="2"/>
    <tableColumn name="GhostFish" id="3"/>
  </tableColumns>
  <tableStyleInfo name="decodeDP=16EP=8D=2Row5 V3-style 3" showColumnStripes="0" showFirstColumn="1" showLastColumn="1" showRowStripes="1"/>
</table>
</file>

<file path=xl/tables/table140.xml><?xml version="1.0" encoding="utf-8"?>
<table xmlns="http://schemas.openxmlformats.org/spreadsheetml/2006/main" headerRowCount="0" ref="F35:G48" displayName="Table_140" name="Table_140" id="140">
  <tableColumns count="2">
    <tableColumn name="Column1" id="1"/>
    <tableColumn name="Column2" id="2"/>
  </tableColumns>
  <tableStyleInfo name="decodeDP=16EP=8D=2Row5 V3-style 4" showColumnStripes="0" showFirstColumn="1" showLastColumn="1" showRowStripes="1"/>
  <extLst>
    <ext uri="GoogleSheetsCustomDataVersion1">
      <go:sheetsCustomData xmlns:go="http://customooxmlschemas.google.com/" headerRowCount="1"/>
    </ext>
  </extLst>
</table>
</file>

<file path=xl/tables/table141.xml><?xml version="1.0" encoding="utf-8"?>
<table xmlns="http://schemas.openxmlformats.org/spreadsheetml/2006/main" ref="A43:C50" displayName="Table_141" name="Table_141" id="141">
  <tableColumns count="3">
    <tableColumn name="Metric Name" id="1"/>
    <tableColumn name="Value (GhostFish)" id="2"/>
    <tableColumn name="Reference Value (GB200)" id="3"/>
  </tableColumns>
  <tableStyleInfo name="decodeDP=16EP=8D=2Row5 V3-style 5" showColumnStripes="0" showFirstColumn="1" showLastColumn="1" showRowStripes="1"/>
</table>
</file>

<file path=xl/tables/table142.xml><?xml version="1.0" encoding="utf-8"?>
<table xmlns="http://schemas.openxmlformats.org/spreadsheetml/2006/main" ref="A77:C90" displayName="Table_142" name="Table_142" id="142">
  <tableColumns count="3">
    <tableColumn name="Key" id="1"/>
    <tableColumn name="Value" id="2"/>
    <tableColumn name="Notes" id="3"/>
  </tableColumns>
  <tableStyleInfo name="decodeDP=16EP=8D=2Row5 V3-style 6" showColumnStripes="0" showFirstColumn="1" showLastColumn="1" showRowStripes="1"/>
</table>
</file>

<file path=xl/tables/table143.xml><?xml version="1.0" encoding="utf-8"?>
<table xmlns="http://schemas.openxmlformats.org/spreadsheetml/2006/main" headerRowCount="0" ref="H116:Q136" displayName="Table_143" name="Table_143" id="14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8D=2Row5 V3-style 7" showColumnStripes="0" showFirstColumn="1" showLastColumn="1" showRowStripes="1"/>
</table>
</file>

<file path=xl/tables/table144.xml><?xml version="1.0" encoding="utf-8"?>
<table xmlns="http://schemas.openxmlformats.org/spreadsheetml/2006/main" headerRowCount="0" ref="H382:H383" displayName="Table_144" name="Table_144" id="144">
  <tableColumns count="1">
    <tableColumn name="Column1" id="1"/>
  </tableColumns>
  <tableStyleInfo name="decodeDP=16EP=8D=2Row5 V3-style 8" showColumnStripes="0" showFirstColumn="1" showLastColumn="1" showRowStripes="1"/>
</table>
</file>

<file path=xl/tables/table145.xml><?xml version="1.0" encoding="utf-8"?>
<table xmlns="http://schemas.openxmlformats.org/spreadsheetml/2006/main" headerRowCount="0" ref="H416:H418" displayName="Table_145" name="Table_145" id="145">
  <tableColumns count="1">
    <tableColumn name="Column1" id="1"/>
  </tableColumns>
  <tableStyleInfo name="decodeDP=16EP=8D=2Row5 V3-style 9" showColumnStripes="0" showFirstColumn="1" showLastColumn="1" showRowStripes="1"/>
</table>
</file>

<file path=xl/tables/table146.xml><?xml version="1.0" encoding="utf-8"?>
<table xmlns="http://schemas.openxmlformats.org/spreadsheetml/2006/main" headerRowCount="0" ref="H424" displayName="Table_146" name="Table_146" id="146">
  <tableColumns count="1">
    <tableColumn name="Column1" id="1"/>
  </tableColumns>
  <tableStyleInfo name="decodeDP=16EP=8D=2Row5 V3-style 10" showColumnStripes="0" showFirstColumn="1" showLastColumn="1" showRowStripes="1"/>
</table>
</file>

<file path=xl/tables/table147.xml><?xml version="1.0" encoding="utf-8"?>
<table xmlns="http://schemas.openxmlformats.org/spreadsheetml/2006/main" headerRowCount="0" ref="H426:I446" displayName="Table_147" name="Table_147" id="147">
  <tableColumns count="2">
    <tableColumn name="Column1" id="1"/>
    <tableColumn name="Column2" id="2"/>
  </tableColumns>
  <tableStyleInfo name="decodeDP=16EP=8D=2Row5 V3-style 11" showColumnStripes="0" showFirstColumn="1" showLastColumn="1" showRowStripes="1"/>
</table>
</file>

<file path=xl/tables/table148.xml><?xml version="1.0" encoding="utf-8"?>
<table xmlns="http://schemas.openxmlformats.org/spreadsheetml/2006/main" headerRowCount="0" ref="H476" displayName="Table_148" name="Table_148" id="148">
  <tableColumns count="1">
    <tableColumn name="Column1" id="1"/>
  </tableColumns>
  <tableStyleInfo name="decodeDP=16EP=8D=2Row5 V3-style 12" showColumnStripes="0" showFirstColumn="1" showLastColumn="1" showRowStripes="1"/>
</table>
</file>

<file path=xl/tables/table149.xml><?xml version="1.0" encoding="utf-8"?>
<table xmlns="http://schemas.openxmlformats.org/spreadsheetml/2006/main" headerRowCount="0" ref="H501:H502" displayName="Table_149" name="Table_149" id="149">
  <tableColumns count="1">
    <tableColumn name="Column1" id="1"/>
  </tableColumns>
  <tableStyleInfo name="decodeDP=16EP=8D=2Row5 V3-style 13" showColumnStripes="0" showFirstColumn="1" showLastColumn="1" showRowStripes="1"/>
</table>
</file>

<file path=xl/tables/table150.xml><?xml version="1.0" encoding="utf-8"?>
<table xmlns="http://schemas.openxmlformats.org/spreadsheetml/2006/main" ref="A2:C39" displayName="Table_150" name="Table_150" id="150">
  <tableColumns count="3">
    <tableColumn name="Description" id="1"/>
    <tableColumn name="Symbol" id="2"/>
    <tableColumn name="Value" id="3"/>
  </tableColumns>
  <tableStyleInfo name="decodeEP=16B=8Row5 V4-style" showColumnStripes="0" showFirstColumn="1" showLastColumn="1" showRowStripes="1"/>
</table>
</file>

<file path=xl/tables/table151.xml><?xml version="1.0" encoding="utf-8"?>
<table xmlns="http://schemas.openxmlformats.org/spreadsheetml/2006/main" totalsRowCount="1" ref="F2:H11" displayName="Table_151" name="Table_151" id="151">
  <tableColumns count="3">
    <tableColumn totalsRowLabel="Total # of chips" name="Sharding (Axis Name)" id="1"/>
    <tableColumn totalsRowFunction="custom" name="# of Devices" id="2"/>
    <tableColumn name="Notes" id="3"/>
  </tableColumns>
  <tableStyleInfo name="decodeEP=16B=8Row5 V4-style 2" showColumnStripes="0" showFirstColumn="1" showLastColumn="1" showRowStripes="1"/>
</table>
</file>

<file path=xl/tables/table152.xml><?xml version="1.0" encoding="utf-8"?>
<table xmlns="http://schemas.openxmlformats.org/spreadsheetml/2006/main" ref="F17:H31" displayName="Table_152" name="Table_152" id="152">
  <tableColumns count="3">
    <tableColumn name="Hardware Spec" id="1"/>
    <tableColumn name="Derate Factor" id="2"/>
    <tableColumn name="GhostFish" id="3"/>
  </tableColumns>
  <tableStyleInfo name="decodeEP=16B=8Row5 V4-style 3" showColumnStripes="0" showFirstColumn="1" showLastColumn="1" showRowStripes="1"/>
</table>
</file>

<file path=xl/tables/table153.xml><?xml version="1.0" encoding="utf-8"?>
<table xmlns="http://schemas.openxmlformats.org/spreadsheetml/2006/main" headerRowCount="0" ref="F35:G48" displayName="Table_153" name="Table_153" id="153">
  <tableColumns count="2">
    <tableColumn name="Column1" id="1"/>
    <tableColumn name="Column2" id="2"/>
  </tableColumns>
  <tableStyleInfo name="decodeEP=16B=8Row5 V4-style 4" showColumnStripes="0" showFirstColumn="1" showLastColumn="1" showRowStripes="1"/>
  <extLst>
    <ext uri="GoogleSheetsCustomDataVersion1">
      <go:sheetsCustomData xmlns:go="http://customooxmlschemas.google.com/" headerRowCount="1"/>
    </ext>
  </extLst>
</table>
</file>

<file path=xl/tables/table154.xml><?xml version="1.0" encoding="utf-8"?>
<table xmlns="http://schemas.openxmlformats.org/spreadsheetml/2006/main" ref="A43:C50" displayName="Table_154" name="Table_154" id="154">
  <tableColumns count="3">
    <tableColumn name="Metric Name" id="1"/>
    <tableColumn name="Value (GhostFish)" id="2"/>
    <tableColumn name="Reference Value (GB200)" id="3"/>
  </tableColumns>
  <tableStyleInfo name="decodeEP=16B=8Row5 V4-style 5" showColumnStripes="0" showFirstColumn="1" showLastColumn="1" showRowStripes="1"/>
</table>
</file>

<file path=xl/tables/table155.xml><?xml version="1.0" encoding="utf-8"?>
<table xmlns="http://schemas.openxmlformats.org/spreadsheetml/2006/main" ref="A77:C90" displayName="Table_155" name="Table_155" id="155">
  <tableColumns count="3">
    <tableColumn name="Key" id="1"/>
    <tableColumn name="Value" id="2"/>
    <tableColumn name="Notes" id="3"/>
  </tableColumns>
  <tableStyleInfo name="decodeEP=16B=8Row5 V4-style 6" showColumnStripes="0" showFirstColumn="1" showLastColumn="1" showRowStripes="1"/>
</table>
</file>

<file path=xl/tables/table156.xml><?xml version="1.0" encoding="utf-8"?>
<table xmlns="http://schemas.openxmlformats.org/spreadsheetml/2006/main" headerRowCount="0" ref="H116:Q136" displayName="Table_156" name="Table_156" id="15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B=8Row5 V4-style 7" showColumnStripes="0" showFirstColumn="1" showLastColumn="1" showRowStripes="1"/>
</table>
</file>

<file path=xl/tables/table157.xml><?xml version="1.0" encoding="utf-8"?>
<table xmlns="http://schemas.openxmlformats.org/spreadsheetml/2006/main" headerRowCount="0" ref="H382:H383" displayName="Table_157" name="Table_157" id="157">
  <tableColumns count="1">
    <tableColumn name="Column1" id="1"/>
  </tableColumns>
  <tableStyleInfo name="decodeEP=16B=8Row5 V4-style 8" showColumnStripes="0" showFirstColumn="1" showLastColumn="1" showRowStripes="1"/>
</table>
</file>

<file path=xl/tables/table158.xml><?xml version="1.0" encoding="utf-8"?>
<table xmlns="http://schemas.openxmlformats.org/spreadsheetml/2006/main" headerRowCount="0" ref="H416:H418" displayName="Table_158" name="Table_158" id="158">
  <tableColumns count="1">
    <tableColumn name="Column1" id="1"/>
  </tableColumns>
  <tableStyleInfo name="decodeEP=16B=8Row5 V4-style 9" showColumnStripes="0" showFirstColumn="1" showLastColumn="1" showRowStripes="1"/>
</table>
</file>

<file path=xl/tables/table159.xml><?xml version="1.0" encoding="utf-8"?>
<table xmlns="http://schemas.openxmlformats.org/spreadsheetml/2006/main" headerRowCount="0" ref="H424" displayName="Table_159" name="Table_159" id="159">
  <tableColumns count="1">
    <tableColumn name="Column1" id="1"/>
  </tableColumns>
  <tableStyleInfo name="decodeEP=16B=8Row5 V4-style 10" showColumnStripes="0" showFirstColumn="1" showLastColumn="1" showRowStripes="1"/>
</table>
</file>

<file path=xl/tables/table160.xml><?xml version="1.0" encoding="utf-8"?>
<table xmlns="http://schemas.openxmlformats.org/spreadsheetml/2006/main" headerRowCount="0" ref="H426:I446" displayName="Table_160" name="Table_160" id="160">
  <tableColumns count="2">
    <tableColumn name="Column1" id="1"/>
    <tableColumn name="Column2" id="2"/>
  </tableColumns>
  <tableStyleInfo name="decodeEP=16B=8Row5 V4-style 11" showColumnStripes="0" showFirstColumn="1" showLastColumn="1" showRowStripes="1"/>
</table>
</file>

<file path=xl/tables/table161.xml><?xml version="1.0" encoding="utf-8"?>
<table xmlns="http://schemas.openxmlformats.org/spreadsheetml/2006/main" headerRowCount="0" ref="H476" displayName="Table_161" name="Table_161" id="161">
  <tableColumns count="1">
    <tableColumn name="Column1" id="1"/>
  </tableColumns>
  <tableStyleInfo name="decodeEP=16B=8Row5 V4-style 12" showColumnStripes="0" showFirstColumn="1" showLastColumn="1" showRowStripes="1"/>
</table>
</file>

<file path=xl/tables/table162.xml><?xml version="1.0" encoding="utf-8"?>
<table xmlns="http://schemas.openxmlformats.org/spreadsheetml/2006/main" headerRowCount="0" ref="H502:H503" displayName="Table_162" name="Table_162" id="162">
  <tableColumns count="1">
    <tableColumn name="Column1" id="1"/>
  </tableColumns>
  <tableStyleInfo name="decodeEP=16B=8Row5 V4-style 1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6-20T03:14:20.00" personId="{1fd3f740-11e9-4f0f-bd77-1d057a7dead7}" id="{651de108-90bf-4ba5-861f-e296444f225f}" done="0">
    <x18tc:text xml:space="preserve">intermeadiate</x18tc:text>
  </x18tc:threadedComment>
  <x18tc:threadedComment ref="B3" dT="2026-06-20T03:14:32.00" personId="{1fd3f740-11e9-4f0f-bd77-1d057a7dead7}" id="{64cd3aef-0894-4ef4-bd3b-10fd083c5cc7}" done="0">
    <x18tc:text xml:space="preserve">hidden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 dT="2026-06-07T04:34:01.00" personId="{1fd3f740-11e9-4f0f-bd77-1d057a7dead7}" id="{957a4af5-f114-472a-972b-66d69f70282a}" done="0">
    <x18tc:text xml:space="preserve">prefill MLA is faster but I canot repro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huggingface.co/mistralai/Mistral-Large-3-675B-Instruct-2512/blob/main/params.js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screenshot.googleplex.com/5TupEa6RsSHWpJp" TargetMode="External"/><Relationship Id="rId20" Type="http://schemas.openxmlformats.org/officeDocument/2006/relationships/hyperlink" Target="https://screenshot.googleplex.com/3hJJJ5azukH545B" TargetMode="External"/><Relationship Id="rId42" Type="http://schemas.openxmlformats.org/officeDocument/2006/relationships/drawing" Target="../drawings/drawing2.xml"/><Relationship Id="rId41" Type="http://schemas.openxmlformats.org/officeDocument/2006/relationships/hyperlink" Target="https://screenshot.googleplex.com/5secs6hir9f6GC4" TargetMode="External"/><Relationship Id="rId22" Type="http://schemas.openxmlformats.org/officeDocument/2006/relationships/hyperlink" Target="https://xprof.corp.google.com/trace_viewer/amandaliang-14183306289087100360" TargetMode="External"/><Relationship Id="rId21" Type="http://schemas.openxmlformats.org/officeDocument/2006/relationships/hyperlink" Target="https://screenshot.googleplex.com/8THjPkeTVuxT7R5" TargetMode="External"/><Relationship Id="rId43" Type="http://schemas.openxmlformats.org/officeDocument/2006/relationships/vmlDrawing" Target="../drawings/vmlDrawing1.vml"/><Relationship Id="rId24" Type="http://schemas.openxmlformats.org/officeDocument/2006/relationships/hyperlink" Target="https://screenshot.googleplex.com/9JzCTfyED6YxDCe" TargetMode="External"/><Relationship Id="rId23" Type="http://schemas.openxmlformats.org/officeDocument/2006/relationships/hyperlink" Target="https://xprof.corp.google.com/trace_viewer/amandaliang-675799036480718237?view_start=194.400&amp;view_end=194.615" TargetMode="External"/><Relationship Id="rId1" Type="http://schemas.openxmlformats.org/officeDocument/2006/relationships/comments" Target="../comments1.xml"/><Relationship Id="rId2" Type="http://schemas.openxmlformats.org/officeDocument/2006/relationships/hyperlink" Target="https://xprof.corp.google.com/trace_viewer/amandaliang-5618698085085343564" TargetMode="External"/><Relationship Id="rId3" Type="http://schemas.openxmlformats.org/officeDocument/2006/relationships/hyperlink" Target="https://xprof.corp.google.com/trace_viewer/amandaliang-675799036480718237?view_start=194.400&amp;view_end=194.615" TargetMode="External"/><Relationship Id="rId4" Type="http://schemas.openxmlformats.org/officeDocument/2006/relationships/hyperlink" Target="https://screenshot.googleplex.com/34AiL2rxpepugko" TargetMode="External"/><Relationship Id="rId9" Type="http://schemas.openxmlformats.org/officeDocument/2006/relationships/hyperlink" Target="https://screenshot.googleplex.com/8y4itNigNyNyzv9" TargetMode="External"/><Relationship Id="rId26" Type="http://schemas.openxmlformats.org/officeDocument/2006/relationships/hyperlink" Target="https://screenshot.googleplex.com/YF76ckHydjcW4oF" TargetMode="External"/><Relationship Id="rId25" Type="http://schemas.openxmlformats.org/officeDocument/2006/relationships/hyperlink" Target="https://xprof.corp.google.com/graph_viewer/amandaliang-675799036480718237?node_name=convolution_bitcast_fusion.41&amp;module_name=jit_step_fun(13795303175858034760)" TargetMode="External"/><Relationship Id="rId28" Type="http://schemas.openxmlformats.org/officeDocument/2006/relationships/hyperlink" Target="https://screenshot.googleplex.com/6fmdvukhgCGXnXu" TargetMode="External"/><Relationship Id="rId27" Type="http://schemas.openxmlformats.org/officeDocument/2006/relationships/hyperlink" Target="https://screenshot.googleplex.com/4CTVtqGwfd3FE8a" TargetMode="External"/><Relationship Id="rId5" Type="http://schemas.openxmlformats.org/officeDocument/2006/relationships/hyperlink" Target="https://xprof.corp.google.com/graph_viewer/amandaliang-675799036480718237?node_name=convolution_bitcast_fusion.41&amp;module_name=jit_step_fun(13795303175858034760)" TargetMode="External"/><Relationship Id="rId6" Type="http://schemas.openxmlformats.org/officeDocument/2006/relationships/hyperlink" Target="https://screenshot.googleplex.com/BvkWGTopSYZrfCZ" TargetMode="External"/><Relationship Id="rId29" Type="http://schemas.openxmlformats.org/officeDocument/2006/relationships/hyperlink" Target="https://screenshot.googleplex.com/4uPD8uGB4Qx65Tn" TargetMode="External"/><Relationship Id="rId7" Type="http://schemas.openxmlformats.org/officeDocument/2006/relationships/hyperlink" Target="https://screenshot.googleplex.com/9J3UmWP8gjrfHdv" TargetMode="External"/><Relationship Id="rId8" Type="http://schemas.openxmlformats.org/officeDocument/2006/relationships/hyperlink" Target="https://screenshot.googleplex.com/4H5fW6NqW5eMCPQ" TargetMode="External"/><Relationship Id="rId31" Type="http://schemas.openxmlformats.org/officeDocument/2006/relationships/hyperlink" Target="https://screenshot.googleplex.com/6NZfT85KnCBu7am" TargetMode="External"/><Relationship Id="rId30" Type="http://schemas.openxmlformats.org/officeDocument/2006/relationships/hyperlink" Target="https://screenshot.googleplex.com/4u62n3bjucEwkTq" TargetMode="External"/><Relationship Id="rId11" Type="http://schemas.openxmlformats.org/officeDocument/2006/relationships/hyperlink" Target="https://screenshot.googleplex.com/3oWfXTepoNV6Bg3" TargetMode="External"/><Relationship Id="rId33" Type="http://schemas.openxmlformats.org/officeDocument/2006/relationships/hyperlink" Target="https://screenshot.googleplex.com/5GZP7bbxGe9iNN2" TargetMode="External"/><Relationship Id="rId10" Type="http://schemas.openxmlformats.org/officeDocument/2006/relationships/hyperlink" Target="https://screenshot.googleplex.com/7j2ZB4fkhe9XSjS" TargetMode="External"/><Relationship Id="rId32" Type="http://schemas.openxmlformats.org/officeDocument/2006/relationships/hyperlink" Target="https://screenshot.googleplex.com/3TbrVNpNhyRRHth" TargetMode="External"/><Relationship Id="rId13" Type="http://schemas.openxmlformats.org/officeDocument/2006/relationships/hyperlink" Target="https://screenshot.googleplex.com/3iWcKTRBoNTSXz4" TargetMode="External"/><Relationship Id="rId35" Type="http://schemas.openxmlformats.org/officeDocument/2006/relationships/hyperlink" Target="https://screenshot.googleplex.com/ARkgMjuAbLR2TrJ" TargetMode="External"/><Relationship Id="rId12" Type="http://schemas.openxmlformats.org/officeDocument/2006/relationships/hyperlink" Target="https://screenshot.googleplex.com/5eE3EPx665rd8kT" TargetMode="External"/><Relationship Id="rId34" Type="http://schemas.openxmlformats.org/officeDocument/2006/relationships/hyperlink" Target="https://screenshot.googleplex.com/A7k4n8nuPiw4inY" TargetMode="External"/><Relationship Id="rId15" Type="http://schemas.openxmlformats.org/officeDocument/2006/relationships/hyperlink" Target="https://screenshot.googleplex.com/4NjzUmYwjYwBSGp" TargetMode="External"/><Relationship Id="rId37" Type="http://schemas.openxmlformats.org/officeDocument/2006/relationships/hyperlink" Target="https://screenshot.googleplex.com/9NUrr94KhwqPGTF" TargetMode="External"/><Relationship Id="rId14" Type="http://schemas.openxmlformats.org/officeDocument/2006/relationships/hyperlink" Target="https://screenshot.googleplex.com/6HBHQ5Ea2AcDaLW" TargetMode="External"/><Relationship Id="rId36" Type="http://schemas.openxmlformats.org/officeDocument/2006/relationships/hyperlink" Target="https://screenshot.googleplex.com/8uLwpyGTuvzyE5q" TargetMode="External"/><Relationship Id="rId17" Type="http://schemas.openxmlformats.org/officeDocument/2006/relationships/hyperlink" Target="https://screenshot.googleplex.com/4RCjDdDUTxnCMwg" TargetMode="External"/><Relationship Id="rId39" Type="http://schemas.openxmlformats.org/officeDocument/2006/relationships/hyperlink" Target="https://screenshot.googleplex.com/4SAz7yQUCH72VqH" TargetMode="External"/><Relationship Id="rId16" Type="http://schemas.openxmlformats.org/officeDocument/2006/relationships/hyperlink" Target="https://screenshot.googleplex.com/3HCC3LS2Lc6EQdj" TargetMode="External"/><Relationship Id="rId38" Type="http://schemas.openxmlformats.org/officeDocument/2006/relationships/hyperlink" Target="https://screenshot.googleplex.com/67hHh2rBzp4Sof8" TargetMode="External"/><Relationship Id="rId19" Type="http://schemas.openxmlformats.org/officeDocument/2006/relationships/hyperlink" Target="https://screenshot.googleplex.com/AWUccEto2csdHDv" TargetMode="External"/><Relationship Id="rId18" Type="http://schemas.openxmlformats.org/officeDocument/2006/relationships/hyperlink" Target="https://screenshot.googleplex.com/AsiAJ6eXQCuJy9c"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xprof.corp.google.com/trace_viewer/amandaliang-675799036480718237?view_start=194.400&amp;view_end=194.615" TargetMode="External"/><Relationship Id="rId3" Type="http://schemas.openxmlformats.org/officeDocument/2006/relationships/hyperlink" Target="https://xprof.corp.google.com/graph_viewer/amandaliang-675799036480718237?node_name=convolution_bitcast_fusion.41&amp;module_name=jit_step_fun(13795303175858034760)" TargetMode="External"/><Relationship Id="rId4" Type="http://schemas.openxmlformats.org/officeDocument/2006/relationships/hyperlink" Target="https://screenshot.googleplex.com/8wwAoGiqK69ZMQJ" TargetMode="External"/><Relationship Id="rId9" Type="http://schemas.openxmlformats.org/officeDocument/2006/relationships/hyperlink" Target="https://xprof.corp.google.com/graph_viewer/amandaliang-675799036480718237?node_name=convolution_bitcast_fusion.41&amp;module_name=jit_step_fun(13795303175858034760)" TargetMode="External"/><Relationship Id="rId5" Type="http://schemas.openxmlformats.org/officeDocument/2006/relationships/hyperlink" Target="https://screenshot.googleplex.com/4D68CCT9AXgxmaH" TargetMode="External"/><Relationship Id="rId6" Type="http://schemas.openxmlformats.org/officeDocument/2006/relationships/hyperlink" Target="https://screenshot.googleplex.com/BhjKyg2sa6em2et" TargetMode="External"/><Relationship Id="rId7" Type="http://schemas.openxmlformats.org/officeDocument/2006/relationships/hyperlink" Target="https://screenshot.googleplex.com/9aeRSwkHLrh2ndf" TargetMode="External"/><Relationship Id="rId8" Type="http://schemas.openxmlformats.org/officeDocument/2006/relationships/hyperlink" Target="https://xprof.corp.google.com/trace_viewer/amandaliang-675799036480718237?view_start=194.400&amp;view_end=194.615" TargetMode="External"/><Relationship Id="rId11" Type="http://schemas.openxmlformats.org/officeDocument/2006/relationships/hyperlink" Target="https://screenshot.googleplex.com/6ceqvR5SW2ExxXk" TargetMode="External"/><Relationship Id="rId10" Type="http://schemas.openxmlformats.org/officeDocument/2006/relationships/hyperlink" Target="https://screenshot.googleplex.com/3MkUZjbjfG9Ug8V" TargetMode="External"/><Relationship Id="rId13" Type="http://schemas.openxmlformats.org/officeDocument/2006/relationships/drawing" Target="../drawings/drawing3.xml"/><Relationship Id="rId12" Type="http://schemas.openxmlformats.org/officeDocument/2006/relationships/hyperlink" Target="https://screenshot.googleplex.com/5E7QTaFSoeZtvBu" TargetMode="External"/><Relationship Id="rId1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 Id="rId9" Type="http://schemas.openxmlformats.org/officeDocument/2006/relationships/table" Target="../tables/table2.xml"/><Relationship Id="rId8" Type="http://schemas.openxmlformats.org/officeDocument/2006/relationships/table" Target="../tables/table1.xml"/><Relationship Id="rId11" Type="http://schemas.openxmlformats.org/officeDocument/2006/relationships/table" Target="../tables/table4.xml"/><Relationship Id="rId10" Type="http://schemas.openxmlformats.org/officeDocument/2006/relationships/table" Target="../tables/table3.xml"/></Relationships>
</file>

<file path=xl/worksheets/_rels/sheet6.xml.rels><?xml version="1.0" encoding="UTF-8" standalone="yes"?><Relationships xmlns="http://schemas.openxmlformats.org/package/2006/relationships"><Relationship Id="rId40" Type="http://schemas.openxmlformats.org/officeDocument/2006/relationships/table" Target="../tables/table13.xml"/><Relationship Id="rId42" Type="http://schemas.openxmlformats.org/officeDocument/2006/relationships/table" Target="../tables/table15.xml"/><Relationship Id="rId41" Type="http://schemas.openxmlformats.org/officeDocument/2006/relationships/table" Target="../tables/table14.xml"/><Relationship Id="rId44" Type="http://schemas.openxmlformats.org/officeDocument/2006/relationships/table" Target="../tables/table17.xml"/><Relationship Id="rId43" Type="http://schemas.openxmlformats.org/officeDocument/2006/relationships/table" Target="../tables/table16.xml"/><Relationship Id="rId46" Type="http://schemas.openxmlformats.org/officeDocument/2006/relationships/table" Target="../tables/table19.xml"/><Relationship Id="rId45" Type="http://schemas.openxmlformats.org/officeDocument/2006/relationships/table" Target="../tables/table18.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20.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6.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5.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8.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7.xml"/><Relationship Id="rId15" Type="http://schemas.openxmlformats.org/officeDocument/2006/relationships/drawing" Target="../drawings/drawing6.xml"/><Relationship Id="rId37" Type="http://schemas.openxmlformats.org/officeDocument/2006/relationships/table" Target="../tables/table10.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9.xml"/><Relationship Id="rId39" Type="http://schemas.openxmlformats.org/officeDocument/2006/relationships/table" Target="../tables/table12.xml"/><Relationship Id="rId38"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40" Type="http://schemas.openxmlformats.org/officeDocument/2006/relationships/table" Target="../tables/table29.xml"/><Relationship Id="rId42" Type="http://schemas.openxmlformats.org/officeDocument/2006/relationships/table" Target="../tables/table31.xml"/><Relationship Id="rId41" Type="http://schemas.openxmlformats.org/officeDocument/2006/relationships/table" Target="../tables/table30.xml"/><Relationship Id="rId44" Type="http://schemas.openxmlformats.org/officeDocument/2006/relationships/table" Target="../tables/table33.xml"/><Relationship Id="rId43" Type="http://schemas.openxmlformats.org/officeDocument/2006/relationships/table" Target="../tables/table32.xml"/><Relationship Id="rId46" Type="http://schemas.openxmlformats.org/officeDocument/2006/relationships/table" Target="../tables/table35.xml"/><Relationship Id="rId45" Type="http://schemas.openxmlformats.org/officeDocument/2006/relationships/table" Target="../tables/table34.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36.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2.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1.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3.xml"/><Relationship Id="rId15" Type="http://schemas.openxmlformats.org/officeDocument/2006/relationships/drawing" Target="../drawings/drawing7.xml"/><Relationship Id="rId37" Type="http://schemas.openxmlformats.org/officeDocument/2006/relationships/table" Target="../tables/table26.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5.xml"/><Relationship Id="rId39" Type="http://schemas.openxmlformats.org/officeDocument/2006/relationships/table" Target="../tables/table28.xml"/><Relationship Id="rId38" Type="http://schemas.openxmlformats.org/officeDocument/2006/relationships/table" Target="../tables/table27.xml"/></Relationships>
</file>

<file path=xl/worksheets/_rels/sheet8.xml.rels><?xml version="1.0" encoding="UTF-8" standalone="yes"?><Relationships xmlns="http://schemas.openxmlformats.org/package/2006/relationships"><Relationship Id="rId40" Type="http://schemas.openxmlformats.org/officeDocument/2006/relationships/table" Target="../tables/table40.xml"/><Relationship Id="rId20" Type="http://schemas.openxmlformats.org/officeDocument/2006/relationships/vmlDrawing" Target="../drawings/vmlDrawing4.vml"/><Relationship Id="rId42" Type="http://schemas.openxmlformats.org/officeDocument/2006/relationships/table" Target="../tables/table42.xml"/><Relationship Id="rId41" Type="http://schemas.openxmlformats.org/officeDocument/2006/relationships/table" Target="../tables/table41.xml"/><Relationship Id="rId44" Type="http://schemas.openxmlformats.org/officeDocument/2006/relationships/table" Target="../tables/table44.xml"/><Relationship Id="rId43" Type="http://schemas.openxmlformats.org/officeDocument/2006/relationships/table" Target="../tables/table43.xml"/><Relationship Id="rId46" Type="http://schemas.openxmlformats.org/officeDocument/2006/relationships/table" Target="../tables/table46.xml"/><Relationship Id="rId45" Type="http://schemas.openxmlformats.org/officeDocument/2006/relationships/table" Target="../tables/table45.xml"/><Relationship Id="rId1" Type="http://schemas.openxmlformats.org/officeDocument/2006/relationships/comments" Target="../comments4.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8" Type="http://schemas.openxmlformats.org/officeDocument/2006/relationships/table" Target="../tables/table48.xml"/><Relationship Id="rId47" Type="http://schemas.openxmlformats.org/officeDocument/2006/relationships/table" Target="../tables/table47.xml"/><Relationship Id="rId49" Type="http://schemas.openxmlformats.org/officeDocument/2006/relationships/table" Target="../tables/table49.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51" Type="http://schemas.openxmlformats.org/officeDocument/2006/relationships/table" Target="../tables/table51.xml"/><Relationship Id="rId50" Type="http://schemas.openxmlformats.org/officeDocument/2006/relationships/table" Target="../tables/table50.xml"/><Relationship Id="rId52" Type="http://schemas.openxmlformats.org/officeDocument/2006/relationships/table" Target="../tables/table52.xm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12" Type="http://schemas.openxmlformats.org/officeDocument/2006/relationships/hyperlink" Target="https://docs.google.com/spreadsheets/d/1l12JE-VUTE25mbz23dwfmDiqLadvje6iWtgVuBfyd84/edit?gid=0" TargetMode="Externa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37.xml"/><Relationship Id="rId14" Type="http://schemas.openxmlformats.org/officeDocument/2006/relationships/hyperlink" Target="https://docs.google.com/spreadsheets/d/1l12JE-VUTE25mbz23dwfmDiqLadvje6iWtgVuBfyd84/edit?gid=0" TargetMode="Externa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39.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38.xml"/><Relationship Id="rId19" Type="http://schemas.openxmlformats.org/officeDocument/2006/relationships/drawing" Target="../drawings/drawing8.xml"/><Relationship Id="rId18" Type="http://schemas.openxmlformats.org/officeDocument/2006/relationships/hyperlink" Target="https://screenshot.googleplex.com/5FzDZ4kQXAopcwk"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xprof.corp.google.com/trace_viewer/amandaliang-11267132432707450113" TargetMode="External"/><Relationship Id="rId22" Type="http://schemas.openxmlformats.org/officeDocument/2006/relationships/hyperlink" Target="https://xprof.corp.google.com/trace_viewer/amandaliang-3352838730305239785?view_start=169.289&amp;view_end=176.499" TargetMode="External"/><Relationship Id="rId21" Type="http://schemas.openxmlformats.org/officeDocument/2006/relationships/hyperlink" Target="http://xprof.corp.google.com/trace_viewer/amandaliang-14196367305023388449" TargetMode="External"/><Relationship Id="rId24" Type="http://schemas.openxmlformats.org/officeDocument/2006/relationships/hyperlink" Target="https://xprof.corp.google.com/trace_viewer/amandaliang-13750897293792486430?view_start=-291.331&amp;view_end=2234.789" TargetMode="External"/><Relationship Id="rId23" Type="http://schemas.openxmlformats.org/officeDocument/2006/relationships/hyperlink" Target="https://xprof.corp.google.com/trace_viewer/amandaliang-8867064484723102296?view_start=2860.938&amp;view_end=2891.973" TargetMode="External"/><Relationship Id="rId1" Type="http://schemas.openxmlformats.org/officeDocument/2006/relationships/comments" Target="../comments5.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pantheon.corp.google.com/storage/browser/mlperf-exp-europe-w/amandaliang/mistral/2026_05_29_05_42_08?pageState=(%22StorageObjectListTable%22:(%22f%22:%22%255B%255D%22))&amp;e=13802955&amp;inv=1&amp;invt=Ab4gSw&amp;mods=allow_workbench_image_override&amp;project=cloud-tpu-multipod-dev" TargetMode="External"/><Relationship Id="rId9" Type="http://schemas.openxmlformats.org/officeDocument/2006/relationships/hyperlink" Target="http://xprof.corp.google.com/trace_viewer/amandaliang-2010731920219961902" TargetMode="External"/><Relationship Id="rId26" Type="http://schemas.openxmlformats.org/officeDocument/2006/relationships/hyperlink" Target="https://xprof.corp.google.com/trace_viewer/amandaliang-2093135465846270286?view_start=218.971&amp;view_end=219.064" TargetMode="External"/><Relationship Id="rId25" Type="http://schemas.openxmlformats.org/officeDocument/2006/relationships/hyperlink" Target="https://xprof.corp.google.com/trace_viewer/amandaliang-14789691241941704881?view_start=-2095.118&amp;view_end=16097.053" TargetMode="External"/><Relationship Id="rId28" Type="http://schemas.openxmlformats.org/officeDocument/2006/relationships/hyperlink" Target="https://github.com/vllm-project/tpu-inference/commit/5e7ebf1f4488cd7aafa4a21baf82c4aaabaaba06" TargetMode="External"/><Relationship Id="rId27" Type="http://schemas.openxmlformats.org/officeDocument/2006/relationships/hyperlink" Target="https://xprof.corp.google.com/trace_viewer/amandaliang-12497654618983940452?view_start=3533.724&amp;view_end=3540.563" TargetMode="External"/><Relationship Id="rId5" Type="http://schemas.openxmlformats.org/officeDocument/2006/relationships/hyperlink" Target="http://xprof.corp.google.com/trace_viewer/amandaliang-15542864136305965940" TargetMode="External"/><Relationship Id="rId6" Type="http://schemas.openxmlformats.org/officeDocument/2006/relationships/hyperlink" Target="http://xprof.corp.google.com/trace_viewer/amandaliang-2433963231091211163" TargetMode="External"/><Relationship Id="rId29" Type="http://schemas.openxmlformats.org/officeDocument/2006/relationships/hyperlink" Target="http://xprof.corp.google.com/trace_viewer/amandaliang-2903148620948916095" TargetMode="External"/><Relationship Id="rId7" Type="http://schemas.openxmlformats.org/officeDocument/2006/relationships/hyperlink" Target="https://pantheon.corp.google.com/storage/browser/mlperf-exp-europe-w/amandaliang/mistral/2026_05_30_23_07_12?pageState=(%22StorageObjectListTable%22:(%22f%22:%22%255B%255D%22))&amp;e=13802955&amp;inv=1&amp;invt=Ab4gSw&amp;mods=allow_workbench_image_override&amp;project=cloud-tpu-multipod-dev" TargetMode="External"/><Relationship Id="rId8" Type="http://schemas.openxmlformats.org/officeDocument/2006/relationships/hyperlink" Target="http://xprof.corp.google.com/trace_viewer/amandaliang-10442911076544866585" TargetMode="External"/><Relationship Id="rId31" Type="http://schemas.openxmlformats.org/officeDocument/2006/relationships/hyperlink" Target="https://xprof.corp.google.com/trace_viewer/amandaliang-1773162805974960402?view_start=-273.384&amp;view_end=2097.309" TargetMode="External"/><Relationship Id="rId30" Type="http://schemas.openxmlformats.org/officeDocument/2006/relationships/hyperlink" Target="http://xprof.corp.google.com/trace_viewer/amandaliang-9123546916633042004" TargetMode="External"/><Relationship Id="rId11" Type="http://schemas.openxmlformats.org/officeDocument/2006/relationships/hyperlink" Target="http://xprof.corp.google.com/trace_viewer/amandaliang-10769352853172664673" TargetMode="External"/><Relationship Id="rId33" Type="http://schemas.openxmlformats.org/officeDocument/2006/relationships/drawing" Target="../drawings/drawing9.xml"/><Relationship Id="rId10" Type="http://schemas.openxmlformats.org/officeDocument/2006/relationships/hyperlink" Target="https://pantheon.corp.google.com/storage/browser/mlperf-exp-europe-w/amandaliang/mistral/2026_05_31_18_26_41?pageState=(%22StorageObjectListTable%22:(%22f%22:%22%255B%255D%22))&amp;e=13802955&amp;inv=1&amp;invt=Ab4gSw&amp;mods=allow_workbench_image_override&amp;project=cloud-tpu-multipod-dev" TargetMode="External"/><Relationship Id="rId32" Type="http://schemas.openxmlformats.org/officeDocument/2006/relationships/hyperlink" Target="https://xprof.corp.google.com/trace_viewer/amandaliang-9262844359412781252" TargetMode="External"/><Relationship Id="rId13" Type="http://schemas.openxmlformats.org/officeDocument/2006/relationships/hyperlink" Target="https://pantheon.corp.google.com/storage/browser/mlperf-exp-europe-w/amandaliang/mistral/2026_05_31_23_31_44?e=13802955&amp;inv=1&amp;invt=Ab4gSw&amp;mods=allow_workbench_image_override&amp;project=cloud-tpu-multipod-dev" TargetMode="External"/><Relationship Id="rId12" Type="http://schemas.openxmlformats.org/officeDocument/2006/relationships/hyperlink" Target="http://xprof.corp.google.com/trace_viewer/amandaliang-13858822037780685389" TargetMode="External"/><Relationship Id="rId34" Type="http://schemas.openxmlformats.org/officeDocument/2006/relationships/vmlDrawing" Target="../drawings/vmlDrawing5.vml"/><Relationship Id="rId15" Type="http://schemas.openxmlformats.org/officeDocument/2006/relationships/hyperlink" Target="https://xprof.corp.google.com/trace_viewer/amandaliang-17487622945553212185?use_trace_viewer_v2=false&amp;show_hats_survey=true&amp;view_start=2947.278&amp;view_end=3025.829" TargetMode="External"/><Relationship Id="rId14" Type="http://schemas.openxmlformats.org/officeDocument/2006/relationships/hyperlink" Target="https://xprof.corp.google.com/trace_viewer/amandaliang-6082202138384786625" TargetMode="External"/><Relationship Id="rId17" Type="http://schemas.openxmlformats.org/officeDocument/2006/relationships/hyperlink" Target="https://pantheon.corp.google.com/storage/browser/mlperf-exp-europe-w/amandaliang/mistral/2026_06_02_02_57_54?pageState=(%22StorageObjectListTable%22:(%22f%22:%22%255B%255D%22))&amp;e=13802955&amp;inv=1&amp;invt=Ab4gSw&amp;mods=allow_workbench_image_override&amp;project=cloud-tpu-multipod-dev" TargetMode="External"/><Relationship Id="rId16" Type="http://schemas.openxmlformats.org/officeDocument/2006/relationships/hyperlink" Target="https://screenshot.googleplex.com/4AHMutKC3ZkhUsF" TargetMode="External"/><Relationship Id="rId19" Type="http://schemas.openxmlformats.org/officeDocument/2006/relationships/hyperlink" Target="http://xprof.corp.google.com/trace_viewer/amandaliang-4757591059961737963" TargetMode="External"/><Relationship Id="rId18" Type="http://schemas.openxmlformats.org/officeDocument/2006/relationships/hyperlink" Target="http://xprof.corp.google.com/trace_viewer/amandaliang-6916777519404750625"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go/gfc-spec" TargetMode="External"/><Relationship Id="rId3" Type="http://schemas.openxmlformats.org/officeDocument/2006/relationships/hyperlink" Target="https://docs.google.com/spreadsheets/d/1QjHZxrz88uS1Izoa2l7VYZxaSGpyiFwh_xp1HYr6TUc/edit?gid=0" TargetMode="External"/><Relationship Id="rId4" Type="http://schemas.openxmlformats.org/officeDocument/2006/relationships/hyperlink" Target="http://go/hbm-derate-curve-tpu-vs-gpu" TargetMode="External"/><Relationship Id="rId9" Type="http://schemas.openxmlformats.org/officeDocument/2006/relationships/vmlDrawing" Target="../drawings/vmlDrawing6.vml"/><Relationship Id="rId5" Type="http://schemas.openxmlformats.org/officeDocument/2006/relationships/hyperlink" Target="http://go/hbm-derate-curve-tpu-vs-gpu" TargetMode="External"/><Relationship Id="rId6" Type="http://schemas.openxmlformats.org/officeDocument/2006/relationships/hyperlink" Target="https://docs.google.com/spreadsheets/d/1L7jhbqinPb1vpJjCIHEowoJHp6DzDYSM5P-d1i8Chtw/edit?resourcekey=0-bOfHkQZ5v8n5fPFiFrPjZg&amp;gid=818803336" TargetMode="External"/><Relationship Id="rId7" Type="http://schemas.openxmlformats.org/officeDocument/2006/relationships/hyperlink" Target="https://docs.google.com/spreadsheets/d/1L7jhbqinPb1vpJjCIHEowoJHp6DzDYSM5P-d1i8Chtw/edit?resourcekey=0-bOfHkQZ5v8n5fPFiFrPjZg&amp;gid=818803336" TargetMode="External"/><Relationship Id="rId8" Type="http://schemas.openxmlformats.org/officeDocument/2006/relationships/drawing" Target="../drawings/drawing10.xml"/><Relationship Id="rId11" Type="http://schemas.openxmlformats.org/officeDocument/2006/relationships/table" Target="../tables/table53.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54.xml"/><Relationship Id="rId28" Type="http://schemas.openxmlformats.org/officeDocument/2006/relationships/table" Target="../tables/table56.xml"/><Relationship Id="rId27" Type="http://schemas.openxmlformats.org/officeDocument/2006/relationships/table" Target="../tables/table55.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57.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59.xml"/><Relationship Id="rId30" Type="http://schemas.openxmlformats.org/officeDocument/2006/relationships/table" Target="../tables/table5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6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6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6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62.xml"/><Relationship Id="rId14" Type="http://schemas.openxmlformats.org/officeDocument/2006/relationships/drawing" Target="../drawings/drawing14.xml"/><Relationship Id="rId36" Type="http://schemas.openxmlformats.org/officeDocument/2006/relationships/table" Target="../tables/table6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65.xml"/><Relationship Id="rId28" Type="http://schemas.openxmlformats.org/officeDocument/2006/relationships/table" Target="../tables/table67.xml"/><Relationship Id="rId27" Type="http://schemas.openxmlformats.org/officeDocument/2006/relationships/table" Target="../tables/table66.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68.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70.xml"/><Relationship Id="rId30" Type="http://schemas.openxmlformats.org/officeDocument/2006/relationships/table" Target="../tables/table69.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72.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71.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7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73.xml"/><Relationship Id="rId14" Type="http://schemas.openxmlformats.org/officeDocument/2006/relationships/drawing" Target="../drawings/drawing15.xml"/><Relationship Id="rId36" Type="http://schemas.openxmlformats.org/officeDocument/2006/relationships/table" Target="../tables/table7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76.xml"/><Relationship Id="rId28" Type="http://schemas.openxmlformats.org/officeDocument/2006/relationships/table" Target="../tables/table78.xml"/><Relationship Id="rId27" Type="http://schemas.openxmlformats.org/officeDocument/2006/relationships/table" Target="../tables/table77.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79.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81.xml"/><Relationship Id="rId30" Type="http://schemas.openxmlformats.org/officeDocument/2006/relationships/table" Target="../tables/table8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8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8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8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84.xml"/><Relationship Id="rId14" Type="http://schemas.openxmlformats.org/officeDocument/2006/relationships/drawing" Target="../drawings/drawing16.xml"/><Relationship Id="rId36" Type="http://schemas.openxmlformats.org/officeDocument/2006/relationships/table" Target="../tables/table8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87.xml"/><Relationship Id="rId28" Type="http://schemas.openxmlformats.org/officeDocument/2006/relationships/table" Target="../tables/table89.xml"/><Relationship Id="rId27" Type="http://schemas.openxmlformats.org/officeDocument/2006/relationships/table" Target="../tables/table88.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90.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92.xml"/><Relationship Id="rId30" Type="http://schemas.openxmlformats.org/officeDocument/2006/relationships/table" Target="../tables/table91.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94.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93.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96.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95.xml"/><Relationship Id="rId14" Type="http://schemas.openxmlformats.org/officeDocument/2006/relationships/drawing" Target="../drawings/drawing17.xml"/><Relationship Id="rId36" Type="http://schemas.openxmlformats.org/officeDocument/2006/relationships/table" Target="../tables/table97.xml"/></Relationships>
</file>

<file path=xl/worksheets/_rels/sheet18.xml.rels><?xml version="1.0" encoding="UTF-8" standalone="yes"?><Relationships xmlns="http://schemas.openxmlformats.org/package/2006/relationships"><Relationship Id="rId40" Type="http://schemas.openxmlformats.org/officeDocument/2006/relationships/table" Target="../tables/table109.xml"/><Relationship Id="rId41" Type="http://schemas.openxmlformats.org/officeDocument/2006/relationships/table" Target="../tables/table110.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98.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00.xml"/><Relationship Id="rId30" Type="http://schemas.openxmlformats.org/officeDocument/2006/relationships/table" Target="../tables/table99.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02.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01.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0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03.xml"/><Relationship Id="rId15" Type="http://schemas.openxmlformats.org/officeDocument/2006/relationships/drawing" Target="../drawings/drawing18.xml"/><Relationship Id="rId37" Type="http://schemas.openxmlformats.org/officeDocument/2006/relationships/table" Target="../tables/table106.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05.xml"/><Relationship Id="rId39" Type="http://schemas.openxmlformats.org/officeDocument/2006/relationships/table" Target="../tables/table108.xml"/><Relationship Id="rId38" Type="http://schemas.openxmlformats.org/officeDocument/2006/relationships/table" Target="../tables/table107.xml"/></Relationships>
</file>

<file path=xl/worksheets/_rels/sheet19.xml.rels><?xml version="1.0" encoding="UTF-8" standalone="yes"?><Relationships xmlns="http://schemas.openxmlformats.org/package/2006/relationships"><Relationship Id="rId40" Type="http://schemas.openxmlformats.org/officeDocument/2006/relationships/table" Target="../tables/table122.xml"/><Relationship Id="rId41" Type="http://schemas.openxmlformats.org/officeDocument/2006/relationships/table" Target="../tables/table123.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11.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13.xml"/><Relationship Id="rId30" Type="http://schemas.openxmlformats.org/officeDocument/2006/relationships/table" Target="../tables/table112.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15.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14.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1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16.xml"/><Relationship Id="rId15" Type="http://schemas.openxmlformats.org/officeDocument/2006/relationships/drawing" Target="../drawings/drawing19.xml"/><Relationship Id="rId37" Type="http://schemas.openxmlformats.org/officeDocument/2006/relationships/table" Target="../tables/table11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18.xml"/><Relationship Id="rId39" Type="http://schemas.openxmlformats.org/officeDocument/2006/relationships/table" Target="../tables/table121.xml"/><Relationship Id="rId38" Type="http://schemas.openxmlformats.org/officeDocument/2006/relationships/table" Target="../tables/table120.xml"/></Relationships>
</file>

<file path=xl/worksheets/_rels/sheet20.xml.rels><?xml version="1.0" encoding="UTF-8" standalone="yes"?><Relationships xmlns="http://schemas.openxmlformats.org/package/2006/relationships"><Relationship Id="rId40" Type="http://schemas.openxmlformats.org/officeDocument/2006/relationships/table" Target="../tables/table135.xml"/><Relationship Id="rId41" Type="http://schemas.openxmlformats.org/officeDocument/2006/relationships/table" Target="../tables/table136.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24.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26.xml"/><Relationship Id="rId30" Type="http://schemas.openxmlformats.org/officeDocument/2006/relationships/table" Target="../tables/table125.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28.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27.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3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29.xml"/><Relationship Id="rId15" Type="http://schemas.openxmlformats.org/officeDocument/2006/relationships/drawing" Target="../drawings/drawing20.xml"/><Relationship Id="rId37" Type="http://schemas.openxmlformats.org/officeDocument/2006/relationships/table" Target="../tables/table132.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31.xml"/><Relationship Id="rId39" Type="http://schemas.openxmlformats.org/officeDocument/2006/relationships/table" Target="../tables/table134.xml"/><Relationship Id="rId38" Type="http://schemas.openxmlformats.org/officeDocument/2006/relationships/table" Target="../tables/table133.xml"/></Relationships>
</file>

<file path=xl/worksheets/_rels/sheet21.xml.rels><?xml version="1.0" encoding="UTF-8" standalone="yes"?><Relationships xmlns="http://schemas.openxmlformats.org/package/2006/relationships"><Relationship Id="rId40" Type="http://schemas.openxmlformats.org/officeDocument/2006/relationships/table" Target="../tables/table148.xml"/><Relationship Id="rId41" Type="http://schemas.openxmlformats.org/officeDocument/2006/relationships/table" Target="../tables/table149.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37.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39.xml"/><Relationship Id="rId30" Type="http://schemas.openxmlformats.org/officeDocument/2006/relationships/table" Target="../tables/table13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4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4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4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42.xml"/><Relationship Id="rId15" Type="http://schemas.openxmlformats.org/officeDocument/2006/relationships/drawing" Target="../drawings/drawing21.xml"/><Relationship Id="rId37" Type="http://schemas.openxmlformats.org/officeDocument/2006/relationships/table" Target="../tables/table145.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44.xml"/><Relationship Id="rId39" Type="http://schemas.openxmlformats.org/officeDocument/2006/relationships/table" Target="../tables/table147.xml"/><Relationship Id="rId38" Type="http://schemas.openxmlformats.org/officeDocument/2006/relationships/table" Target="../tables/table146.xml"/></Relationships>
</file>

<file path=xl/worksheets/_rels/sheet22.xml.rels><?xml version="1.0" encoding="UTF-8" standalone="yes"?><Relationships xmlns="http://schemas.openxmlformats.org/package/2006/relationships"><Relationship Id="rId40" Type="http://schemas.openxmlformats.org/officeDocument/2006/relationships/table" Target="../tables/table161.xml"/><Relationship Id="rId41" Type="http://schemas.openxmlformats.org/officeDocument/2006/relationships/table" Target="../tables/table162.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50.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52.xml"/><Relationship Id="rId30" Type="http://schemas.openxmlformats.org/officeDocument/2006/relationships/table" Target="../tables/table151.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54.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53.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56.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55.xml"/><Relationship Id="rId15" Type="http://schemas.openxmlformats.org/officeDocument/2006/relationships/drawing" Target="../drawings/drawing22.xml"/><Relationship Id="rId37" Type="http://schemas.openxmlformats.org/officeDocument/2006/relationships/table" Target="../tables/table158.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57.xml"/><Relationship Id="rId39" Type="http://schemas.openxmlformats.org/officeDocument/2006/relationships/table" Target="../tables/table160.xml"/><Relationship Id="rId38" Type="http://schemas.openxmlformats.org/officeDocument/2006/relationships/table" Target="../tables/table15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25"/>
  </cols>
  <sheetData>
    <row r="1">
      <c r="A1" s="1" t="s">
        <v>0</v>
      </c>
    </row>
    <row r="7">
      <c r="A7" s="2"/>
      <c r="B7" s="3" t="s">
        <v>1</v>
      </c>
      <c r="C7" s="4"/>
      <c r="D7" s="5"/>
      <c r="E7" s="5"/>
      <c r="F7" s="4"/>
      <c r="G7" s="2"/>
      <c r="H7" s="2"/>
    </row>
    <row r="8">
      <c r="B8" s="6" t="s">
        <v>2</v>
      </c>
      <c r="C8" s="7" t="s">
        <v>3</v>
      </c>
      <c r="D8" s="6" t="s">
        <v>4</v>
      </c>
      <c r="E8" s="6" t="s">
        <v>5</v>
      </c>
      <c r="F8" s="6" t="s">
        <v>6</v>
      </c>
      <c r="G8" s="6" t="s">
        <v>7</v>
      </c>
      <c r="H8" s="6" t="s">
        <v>8</v>
      </c>
      <c r="I8" s="6" t="s">
        <v>9</v>
      </c>
      <c r="J8" s="8" t="s">
        <v>10</v>
      </c>
    </row>
    <row r="9">
      <c r="B9" s="9">
        <v>1.0</v>
      </c>
      <c r="C9" s="10">
        <v>17.0</v>
      </c>
      <c r="D9" s="9">
        <v>131.1</v>
      </c>
      <c r="E9" s="9">
        <v>703.0</v>
      </c>
      <c r="F9" s="9">
        <v>16.4</v>
      </c>
      <c r="G9" s="9">
        <v>87.9</v>
      </c>
      <c r="H9" s="9">
        <v>7.45</v>
      </c>
      <c r="I9" s="9">
        <v>7.45</v>
      </c>
      <c r="J9" s="11">
        <f t="shared" ref="J9:J16" si="1">H9*500/1000</f>
        <v>3.725</v>
      </c>
    </row>
    <row r="10">
      <c r="B10" s="9">
        <v>2.0</v>
      </c>
      <c r="C10" s="10">
        <v>28.0</v>
      </c>
      <c r="D10" s="9">
        <v>231.2</v>
      </c>
      <c r="E10" s="9">
        <v>1249.0</v>
      </c>
      <c r="F10" s="9">
        <v>28.9</v>
      </c>
      <c r="G10" s="9">
        <v>156.1</v>
      </c>
      <c r="H10" s="9">
        <v>8.38</v>
      </c>
      <c r="I10" s="9">
        <v>8.38</v>
      </c>
      <c r="J10" s="11">
        <f t="shared" si="1"/>
        <v>4.19</v>
      </c>
    </row>
    <row r="11">
      <c r="B11" s="9">
        <v>4.0</v>
      </c>
      <c r="C11" s="10">
        <v>50.0</v>
      </c>
      <c r="D11" s="9">
        <v>426.1</v>
      </c>
      <c r="E11" s="9">
        <v>2261.6</v>
      </c>
      <c r="F11" s="9">
        <v>53.3</v>
      </c>
      <c r="G11" s="9">
        <v>282.7</v>
      </c>
      <c r="H11" s="9">
        <v>9.04</v>
      </c>
      <c r="I11" s="9">
        <v>9.04</v>
      </c>
      <c r="J11" s="11">
        <f t="shared" si="1"/>
        <v>4.52</v>
      </c>
    </row>
    <row r="12">
      <c r="B12" s="9">
        <v>8.0</v>
      </c>
      <c r="C12" s="10">
        <v>72.0</v>
      </c>
      <c r="D12" s="9">
        <v>596.3</v>
      </c>
      <c r="E12" s="9">
        <v>3140.4</v>
      </c>
      <c r="F12" s="9">
        <v>74.5</v>
      </c>
      <c r="G12" s="9">
        <v>392.5</v>
      </c>
      <c r="H12" s="9">
        <v>12.51</v>
      </c>
      <c r="I12" s="9">
        <v>12.51</v>
      </c>
      <c r="J12" s="11">
        <f t="shared" si="1"/>
        <v>6.255</v>
      </c>
    </row>
    <row r="13">
      <c r="B13" s="9">
        <v>16.0</v>
      </c>
      <c r="C13" s="10">
        <v>125.0</v>
      </c>
      <c r="D13" s="9">
        <v>1052.3</v>
      </c>
      <c r="E13" s="9">
        <v>5509.1</v>
      </c>
      <c r="F13" s="9">
        <v>131.5</v>
      </c>
      <c r="G13" s="9">
        <v>688.6</v>
      </c>
      <c r="H13" s="9">
        <v>14.23</v>
      </c>
      <c r="I13" s="9">
        <v>14.23</v>
      </c>
      <c r="J13" s="11">
        <f t="shared" si="1"/>
        <v>7.115</v>
      </c>
    </row>
    <row r="14">
      <c r="B14" s="9">
        <v>32.0</v>
      </c>
      <c r="C14" s="10">
        <v>185.0</v>
      </c>
      <c r="D14" s="9">
        <v>1553.7</v>
      </c>
      <c r="E14" s="9">
        <v>8150.3</v>
      </c>
      <c r="F14" s="9">
        <v>194.2</v>
      </c>
      <c r="G14" s="9">
        <v>1018.8</v>
      </c>
      <c r="H14" s="9">
        <v>19.36</v>
      </c>
      <c r="I14" s="9">
        <v>19.36</v>
      </c>
      <c r="J14" s="11">
        <f t="shared" si="1"/>
        <v>9.68</v>
      </c>
    </row>
    <row r="15">
      <c r="B15" s="9">
        <v>64.0</v>
      </c>
      <c r="C15" s="10">
        <v>270.0</v>
      </c>
      <c r="D15" s="9">
        <v>2233.6</v>
      </c>
      <c r="E15" s="9">
        <v>11706.1</v>
      </c>
      <c r="F15" s="9">
        <v>279.2</v>
      </c>
      <c r="G15" s="9">
        <v>1463.3</v>
      </c>
      <c r="H15" s="9">
        <v>27.31</v>
      </c>
      <c r="I15" s="9">
        <v>27.31</v>
      </c>
      <c r="J15" s="11">
        <f t="shared" si="1"/>
        <v>13.655</v>
      </c>
    </row>
    <row r="16">
      <c r="B16" s="9">
        <v>128.0</v>
      </c>
      <c r="C16" s="10">
        <v>375.0</v>
      </c>
      <c r="D16" s="9">
        <v>3141.3</v>
      </c>
      <c r="E16" s="9">
        <v>16442.6</v>
      </c>
      <c r="F16" s="9">
        <v>392.7</v>
      </c>
      <c r="G16" s="9">
        <v>2055.3</v>
      </c>
      <c r="H16" s="9">
        <v>38.94</v>
      </c>
      <c r="I16" s="9">
        <v>38.94</v>
      </c>
      <c r="J16" s="11">
        <f t="shared" si="1"/>
        <v>19.47</v>
      </c>
    </row>
    <row r="20">
      <c r="B20" s="3" t="s">
        <v>11</v>
      </c>
      <c r="C20" s="4"/>
      <c r="D20" s="5"/>
      <c r="E20" s="5"/>
      <c r="F20" s="4"/>
      <c r="G20" s="2"/>
      <c r="H20" s="2"/>
    </row>
    <row r="21">
      <c r="B21" s="6" t="s">
        <v>2</v>
      </c>
      <c r="C21" s="7" t="s">
        <v>3</v>
      </c>
      <c r="D21" s="6" t="s">
        <v>4</v>
      </c>
      <c r="E21" s="6" t="s">
        <v>5</v>
      </c>
      <c r="F21" s="6" t="s">
        <v>6</v>
      </c>
      <c r="G21" s="6" t="s">
        <v>7</v>
      </c>
      <c r="H21" s="6" t="s">
        <v>8</v>
      </c>
      <c r="I21" s="6" t="s">
        <v>9</v>
      </c>
      <c r="J21" s="8" t="s">
        <v>10</v>
      </c>
    </row>
    <row r="22">
      <c r="B22" s="9">
        <v>1.0</v>
      </c>
      <c r="C22" s="10">
        <v>11.0</v>
      </c>
      <c r="D22" s="12">
        <v>106.0</v>
      </c>
      <c r="E22" s="12">
        <v>4730.0</v>
      </c>
      <c r="F22" s="12">
        <v>13.2</v>
      </c>
      <c r="G22" s="12">
        <v>591.2</v>
      </c>
      <c r="H22" s="12">
        <v>8.18</v>
      </c>
      <c r="I22" s="12">
        <v>8.18</v>
      </c>
      <c r="J22" s="11">
        <f t="shared" ref="J22:J29" si="2">H22*500/1000</f>
        <v>4.09</v>
      </c>
    </row>
    <row r="23">
      <c r="B23" s="9">
        <v>2.0</v>
      </c>
      <c r="C23" s="10">
        <v>18.0</v>
      </c>
      <c r="D23" s="12">
        <v>148.1</v>
      </c>
      <c r="E23" s="12">
        <v>6664.7</v>
      </c>
      <c r="F23" s="12">
        <v>18.5</v>
      </c>
      <c r="G23" s="12">
        <v>833.1</v>
      </c>
      <c r="H23" s="12">
        <v>10.67</v>
      </c>
      <c r="I23" s="12">
        <v>10.67</v>
      </c>
      <c r="J23" s="11">
        <f t="shared" si="2"/>
        <v>5.335</v>
      </c>
    </row>
    <row r="24">
      <c r="B24" s="9">
        <v>4.0</v>
      </c>
      <c r="C24" s="10">
        <v>32.0</v>
      </c>
      <c r="D24" s="12">
        <v>265.7</v>
      </c>
      <c r="E24" s="12">
        <v>11702.1</v>
      </c>
      <c r="F24" s="12">
        <v>33.2</v>
      </c>
      <c r="G24" s="12">
        <v>1462.8</v>
      </c>
      <c r="H24" s="12">
        <v>12.42</v>
      </c>
      <c r="I24" s="12">
        <v>12.42</v>
      </c>
      <c r="J24" s="11">
        <f t="shared" si="2"/>
        <v>6.21</v>
      </c>
    </row>
    <row r="25">
      <c r="B25" s="9">
        <v>8.0</v>
      </c>
      <c r="C25" s="10">
        <v>42.0</v>
      </c>
      <c r="D25" s="12">
        <v>349.4</v>
      </c>
      <c r="E25" s="12">
        <v>15248.6</v>
      </c>
      <c r="F25" s="12">
        <v>43.7</v>
      </c>
      <c r="G25" s="12">
        <v>1906.1</v>
      </c>
      <c r="H25" s="12">
        <v>19.86</v>
      </c>
      <c r="I25" s="12">
        <v>19.86</v>
      </c>
      <c r="J25" s="11">
        <f t="shared" si="2"/>
        <v>9.93</v>
      </c>
    </row>
    <row r="26">
      <c r="B26" s="9">
        <v>16.0</v>
      </c>
      <c r="C26" s="10">
        <v>52.0</v>
      </c>
      <c r="D26" s="12">
        <v>431.6</v>
      </c>
      <c r="E26" s="12">
        <v>18700.0</v>
      </c>
      <c r="F26" s="12">
        <v>54.0</v>
      </c>
      <c r="G26" s="12">
        <v>2337.5</v>
      </c>
      <c r="H26" s="12">
        <v>33.45</v>
      </c>
      <c r="I26" s="12">
        <v>33.45</v>
      </c>
      <c r="J26" s="11">
        <f t="shared" si="2"/>
        <v>16.725</v>
      </c>
    </row>
    <row r="27">
      <c r="B27" s="9">
        <v>32.0</v>
      </c>
      <c r="C27" s="10">
        <v>59.0</v>
      </c>
      <c r="D27" s="12">
        <v>496.9</v>
      </c>
      <c r="E27" s="12">
        <v>21584.6</v>
      </c>
      <c r="F27" s="12">
        <v>62.1</v>
      </c>
      <c r="G27" s="12">
        <v>2698.1</v>
      </c>
      <c r="H27" s="12">
        <v>59.89</v>
      </c>
      <c r="I27" s="12">
        <v>59.89</v>
      </c>
      <c r="J27" s="11">
        <f t="shared" si="2"/>
        <v>29.945</v>
      </c>
    </row>
    <row r="28">
      <c r="B28" s="9">
        <v>64.0</v>
      </c>
      <c r="C28" s="10">
        <v>61.0</v>
      </c>
      <c r="D28" s="12">
        <v>511.6</v>
      </c>
      <c r="E28" s="12">
        <v>22195.4</v>
      </c>
      <c r="F28" s="12">
        <v>63.9</v>
      </c>
      <c r="G28" s="12">
        <v>2774.4</v>
      </c>
      <c r="H28" s="12">
        <v>95.1</v>
      </c>
      <c r="I28" s="12">
        <v>95.1</v>
      </c>
      <c r="J28" s="11">
        <f t="shared" si="2"/>
        <v>47.55</v>
      </c>
    </row>
    <row r="29">
      <c r="B29" s="9">
        <v>128.0</v>
      </c>
      <c r="C29" s="10">
        <v>61.0</v>
      </c>
      <c r="D29" s="12">
        <v>520.1</v>
      </c>
      <c r="E29" s="12">
        <v>22530.1</v>
      </c>
      <c r="F29" s="12">
        <v>65.0</v>
      </c>
      <c r="G29" s="12">
        <v>2816.3</v>
      </c>
      <c r="H29" s="12">
        <v>95.59</v>
      </c>
      <c r="I29" s="12">
        <v>95.59</v>
      </c>
      <c r="J29" s="11">
        <f t="shared" si="2"/>
        <v>47.795</v>
      </c>
    </row>
    <row r="40">
      <c r="B40" s="13"/>
      <c r="C40" s="13"/>
      <c r="D40" s="13"/>
      <c r="E40" s="13"/>
      <c r="F40" s="13"/>
      <c r="G40" s="13"/>
      <c r="H40" s="13"/>
      <c r="I40" s="13"/>
    </row>
    <row r="41">
      <c r="B41" s="13"/>
      <c r="C41" s="13"/>
      <c r="D41" s="13"/>
      <c r="E41" s="13"/>
      <c r="F41" s="13"/>
      <c r="G41" s="13"/>
      <c r="H41" s="13"/>
      <c r="I41" s="13"/>
    </row>
    <row r="42">
      <c r="B42" s="13"/>
      <c r="C42" s="13"/>
      <c r="D42" s="13"/>
      <c r="E42" s="13"/>
      <c r="F42" s="13"/>
      <c r="G42" s="13"/>
      <c r="H42" s="13"/>
      <c r="I42" s="13"/>
    </row>
    <row r="43">
      <c r="B43" s="13"/>
      <c r="C43" s="13"/>
      <c r="D43" s="13"/>
      <c r="E43" s="13"/>
      <c r="F43" s="13"/>
      <c r="G43" s="13"/>
      <c r="H43" s="13"/>
      <c r="I43" s="13"/>
    </row>
    <row r="44">
      <c r="B44" s="13"/>
      <c r="C44" s="13"/>
      <c r="D44" s="13"/>
      <c r="E44" s="13"/>
      <c r="F44" s="13"/>
      <c r="G44" s="13"/>
      <c r="H44" s="13"/>
      <c r="I44" s="13"/>
    </row>
    <row r="45">
      <c r="B45" s="14"/>
      <c r="C45" s="15" t="s">
        <v>2</v>
      </c>
      <c r="D45" s="15" t="s">
        <v>3</v>
      </c>
      <c r="E45" s="15" t="s">
        <v>12</v>
      </c>
      <c r="F45" s="15" t="s">
        <v>13</v>
      </c>
      <c r="G45" s="15" t="s">
        <v>14</v>
      </c>
      <c r="H45" s="16" t="s">
        <v>15</v>
      </c>
      <c r="I45" s="14"/>
    </row>
    <row r="46">
      <c r="B46" s="14"/>
      <c r="C46" s="15">
        <v>1.0</v>
      </c>
      <c r="D46" s="17">
        <v>17.0</v>
      </c>
      <c r="E46" s="17">
        <v>135.0</v>
      </c>
      <c r="F46" s="18">
        <f t="shared" ref="F46:F53" si="3">D46*500/60/8</f>
        <v>17.70833333</v>
      </c>
      <c r="G46" s="18">
        <f t="shared" ref="G46:G53" si="4">1/E46*1000</f>
        <v>7.407407407</v>
      </c>
      <c r="H46" s="19">
        <f t="shared" ref="H46:H53" si="5">500/E46</f>
        <v>3.703703704</v>
      </c>
      <c r="I46" s="14"/>
    </row>
    <row r="47">
      <c r="B47" s="14"/>
      <c r="C47" s="15">
        <v>2.0</v>
      </c>
      <c r="D47" s="17">
        <v>28.0</v>
      </c>
      <c r="E47" s="17">
        <v>120.0</v>
      </c>
      <c r="F47" s="18">
        <f t="shared" si="3"/>
        <v>29.16666667</v>
      </c>
      <c r="G47" s="18">
        <f t="shared" si="4"/>
        <v>8.333333333</v>
      </c>
      <c r="H47" s="19">
        <f t="shared" si="5"/>
        <v>4.166666667</v>
      </c>
      <c r="I47" s="14"/>
    </row>
    <row r="48">
      <c r="B48" s="14"/>
      <c r="C48" s="15">
        <v>4.0</v>
      </c>
      <c r="D48" s="17">
        <v>50.0</v>
      </c>
      <c r="E48" s="17">
        <v>108.0</v>
      </c>
      <c r="F48" s="18">
        <f t="shared" si="3"/>
        <v>52.08333333</v>
      </c>
      <c r="G48" s="18">
        <f t="shared" si="4"/>
        <v>9.259259259</v>
      </c>
      <c r="H48" s="19">
        <f t="shared" si="5"/>
        <v>4.62962963</v>
      </c>
      <c r="I48" s="14"/>
    </row>
    <row r="49">
      <c r="B49" s="14"/>
      <c r="C49" s="15">
        <v>8.0</v>
      </c>
      <c r="D49" s="17">
        <v>72.0</v>
      </c>
      <c r="E49" s="17">
        <v>96.0</v>
      </c>
      <c r="F49" s="18">
        <f t="shared" si="3"/>
        <v>75</v>
      </c>
      <c r="G49" s="18">
        <f t="shared" si="4"/>
        <v>10.41666667</v>
      </c>
      <c r="H49" s="19">
        <f t="shared" si="5"/>
        <v>5.208333333</v>
      </c>
      <c r="I49" s="14"/>
    </row>
    <row r="50">
      <c r="B50" s="14"/>
      <c r="C50" s="15">
        <v>16.0</v>
      </c>
      <c r="D50" s="17">
        <v>125.0</v>
      </c>
      <c r="E50" s="17">
        <v>78.0</v>
      </c>
      <c r="F50" s="18">
        <f t="shared" si="3"/>
        <v>130.2083333</v>
      </c>
      <c r="G50" s="18">
        <f t="shared" si="4"/>
        <v>12.82051282</v>
      </c>
      <c r="H50" s="19">
        <f t="shared" si="5"/>
        <v>6.41025641</v>
      </c>
      <c r="I50" s="14"/>
    </row>
    <row r="51">
      <c r="B51" s="14"/>
      <c r="C51" s="15">
        <v>32.0</v>
      </c>
      <c r="D51" s="17">
        <v>185.0</v>
      </c>
      <c r="E51" s="17">
        <v>58.0</v>
      </c>
      <c r="F51" s="18">
        <f t="shared" si="3"/>
        <v>192.7083333</v>
      </c>
      <c r="G51" s="18">
        <f t="shared" si="4"/>
        <v>17.24137931</v>
      </c>
      <c r="H51" s="19">
        <f t="shared" si="5"/>
        <v>8.620689655</v>
      </c>
      <c r="I51" s="14"/>
    </row>
    <row r="52">
      <c r="B52" s="14"/>
      <c r="C52" s="15">
        <v>64.0</v>
      </c>
      <c r="D52" s="17">
        <v>270.0</v>
      </c>
      <c r="E52" s="17">
        <v>44.0</v>
      </c>
      <c r="F52" s="18">
        <f t="shared" si="3"/>
        <v>281.25</v>
      </c>
      <c r="G52" s="18">
        <f t="shared" si="4"/>
        <v>22.72727273</v>
      </c>
      <c r="H52" s="19">
        <f t="shared" si="5"/>
        <v>11.36363636</v>
      </c>
      <c r="I52" s="14"/>
    </row>
    <row r="53">
      <c r="B53" s="14"/>
      <c r="C53" s="15">
        <v>128.0</v>
      </c>
      <c r="D53" s="17">
        <v>375.0</v>
      </c>
      <c r="E53" s="17">
        <v>35.0</v>
      </c>
      <c r="F53" s="18">
        <f t="shared" si="3"/>
        <v>390.625</v>
      </c>
      <c r="G53" s="18">
        <f t="shared" si="4"/>
        <v>28.57142857</v>
      </c>
      <c r="H53" s="19">
        <f t="shared" si="5"/>
        <v>14.28571429</v>
      </c>
      <c r="I53" s="14"/>
    </row>
    <row r="54">
      <c r="B54" s="14"/>
      <c r="C54" s="14"/>
      <c r="D54" s="20"/>
      <c r="E54" s="20"/>
      <c r="F54" s="14"/>
      <c r="G54" s="14"/>
      <c r="H54" s="14"/>
      <c r="I54" s="14"/>
    </row>
    <row r="55">
      <c r="B55" s="14"/>
      <c r="C55" s="14"/>
      <c r="D55" s="20"/>
      <c r="E55" s="20"/>
      <c r="F55" s="14"/>
      <c r="G55" s="14"/>
      <c r="H55" s="14"/>
      <c r="I55" s="14"/>
    </row>
    <row r="56">
      <c r="B56" s="14"/>
      <c r="C56" s="14"/>
      <c r="D56" s="20"/>
      <c r="E56" s="20"/>
      <c r="F56" s="14"/>
      <c r="G56" s="14"/>
      <c r="H56" s="14"/>
      <c r="I56" s="14"/>
    </row>
    <row r="57">
      <c r="B57" s="14"/>
      <c r="C57" s="14"/>
      <c r="D57" s="20"/>
      <c r="E57" s="20"/>
      <c r="F57" s="14"/>
      <c r="G57" s="14"/>
      <c r="H57" s="14"/>
      <c r="I57" s="14"/>
    </row>
    <row r="58">
      <c r="B58" s="14"/>
      <c r="C58" s="14"/>
      <c r="D58" s="20"/>
      <c r="E58" s="20"/>
      <c r="F58" s="14"/>
      <c r="G58" s="14"/>
      <c r="H58" s="14"/>
      <c r="I58" s="14"/>
    </row>
    <row r="59">
      <c r="B59" s="14"/>
      <c r="C59" s="14"/>
      <c r="D59" s="20"/>
      <c r="E59" s="20"/>
      <c r="F59" s="14"/>
      <c r="G59" s="14"/>
      <c r="H59" s="14"/>
      <c r="I59" s="14"/>
    </row>
    <row r="60">
      <c r="B60" s="14"/>
      <c r="C60" s="14"/>
      <c r="D60" s="20"/>
      <c r="E60" s="20"/>
      <c r="F60" s="14"/>
      <c r="G60" s="14"/>
      <c r="H60" s="14"/>
      <c r="I60" s="14"/>
    </row>
    <row r="61">
      <c r="B61" s="14"/>
      <c r="C61" s="14"/>
      <c r="D61" s="20"/>
      <c r="E61" s="20"/>
      <c r="F61" s="14"/>
      <c r="G61" s="14"/>
      <c r="H61" s="14"/>
      <c r="I61" s="14"/>
    </row>
    <row r="62">
      <c r="B62" s="14"/>
      <c r="C62" s="14"/>
      <c r="D62" s="20"/>
      <c r="E62" s="20"/>
      <c r="F62" s="14"/>
      <c r="G62" s="14"/>
      <c r="H62" s="14"/>
      <c r="I62" s="14"/>
    </row>
    <row r="63">
      <c r="B63" s="14"/>
      <c r="C63" s="21" t="s">
        <v>11</v>
      </c>
      <c r="D63" s="20"/>
      <c r="E63" s="20"/>
      <c r="F63" s="14"/>
      <c r="G63" s="14"/>
      <c r="H63" s="14"/>
      <c r="I63" s="14"/>
    </row>
    <row r="64">
      <c r="B64" s="14"/>
      <c r="C64" s="15" t="s">
        <v>2</v>
      </c>
      <c r="D64" s="15" t="s">
        <v>16</v>
      </c>
      <c r="E64" s="15" t="s">
        <v>12</v>
      </c>
      <c r="F64" s="15" t="s">
        <v>13</v>
      </c>
      <c r="G64" s="15" t="s">
        <v>17</v>
      </c>
      <c r="H64" s="15" t="s">
        <v>15</v>
      </c>
      <c r="I64" s="14"/>
    </row>
    <row r="65">
      <c r="B65" s="14"/>
      <c r="C65" s="15">
        <v>1.0</v>
      </c>
      <c r="D65" s="17">
        <v>11.0</v>
      </c>
      <c r="E65" s="17">
        <v>123.0</v>
      </c>
      <c r="F65" s="18">
        <f t="shared" ref="F65:F72" si="6">D65*500/60/8</f>
        <v>11.45833333</v>
      </c>
      <c r="G65" s="18">
        <f t="shared" ref="G65:G72" si="7">1/E65*1000</f>
        <v>8.130081301</v>
      </c>
      <c r="H65" s="19">
        <f t="shared" ref="H65:H72" si="8">500/E65</f>
        <v>4.06504065</v>
      </c>
      <c r="I65" s="14"/>
    </row>
    <row r="66">
      <c r="B66" s="14"/>
      <c r="C66" s="15">
        <v>2.0</v>
      </c>
      <c r="D66" s="17">
        <v>18.0</v>
      </c>
      <c r="E66" s="17">
        <v>108.0</v>
      </c>
      <c r="F66" s="18">
        <f t="shared" si="6"/>
        <v>18.75</v>
      </c>
      <c r="G66" s="18">
        <f t="shared" si="7"/>
        <v>9.259259259</v>
      </c>
      <c r="H66" s="19">
        <f t="shared" si="8"/>
        <v>4.62962963</v>
      </c>
      <c r="I66" s="14"/>
    </row>
    <row r="67">
      <c r="B67" s="14"/>
      <c r="C67" s="15">
        <v>4.0</v>
      </c>
      <c r="D67" s="17">
        <v>32.0</v>
      </c>
      <c r="E67" s="17">
        <v>98.0</v>
      </c>
      <c r="F67" s="18">
        <f t="shared" si="6"/>
        <v>33.33333333</v>
      </c>
      <c r="G67" s="18">
        <f t="shared" si="7"/>
        <v>10.20408163</v>
      </c>
      <c r="H67" s="19">
        <f t="shared" si="8"/>
        <v>5.102040816</v>
      </c>
      <c r="I67" s="14"/>
    </row>
    <row r="68">
      <c r="B68" s="14"/>
      <c r="C68" s="15">
        <v>8.0</v>
      </c>
      <c r="D68" s="17">
        <v>42.0</v>
      </c>
      <c r="E68" s="17">
        <v>78.0</v>
      </c>
      <c r="F68" s="18">
        <f t="shared" si="6"/>
        <v>43.75</v>
      </c>
      <c r="G68" s="18">
        <f t="shared" si="7"/>
        <v>12.82051282</v>
      </c>
      <c r="H68" s="19">
        <f t="shared" si="8"/>
        <v>6.41025641</v>
      </c>
      <c r="I68" s="14"/>
    </row>
    <row r="69">
      <c r="B69" s="14"/>
      <c r="C69" s="15">
        <v>16.0</v>
      </c>
      <c r="D69" s="17">
        <v>52.0</v>
      </c>
      <c r="E69" s="17">
        <v>57.0</v>
      </c>
      <c r="F69" s="18">
        <f t="shared" si="6"/>
        <v>54.16666667</v>
      </c>
      <c r="G69" s="18">
        <f t="shared" si="7"/>
        <v>17.54385965</v>
      </c>
      <c r="H69" s="19">
        <f t="shared" si="8"/>
        <v>8.771929825</v>
      </c>
      <c r="I69" s="14"/>
    </row>
    <row r="70">
      <c r="B70" s="14"/>
      <c r="C70" s="15">
        <v>32.0</v>
      </c>
      <c r="D70" s="17">
        <v>59.0</v>
      </c>
      <c r="E70" s="17">
        <v>36.0</v>
      </c>
      <c r="F70" s="18">
        <f t="shared" si="6"/>
        <v>61.45833333</v>
      </c>
      <c r="G70" s="18">
        <f t="shared" si="7"/>
        <v>27.77777778</v>
      </c>
      <c r="H70" s="19">
        <f t="shared" si="8"/>
        <v>13.88888889</v>
      </c>
      <c r="I70" s="14"/>
    </row>
    <row r="71">
      <c r="B71" s="14"/>
      <c r="C71" s="15">
        <v>64.0</v>
      </c>
      <c r="D71" s="17">
        <v>61.0</v>
      </c>
      <c r="E71" s="17">
        <v>24.0</v>
      </c>
      <c r="F71" s="18">
        <f t="shared" si="6"/>
        <v>63.54166667</v>
      </c>
      <c r="G71" s="18">
        <f t="shared" si="7"/>
        <v>41.66666667</v>
      </c>
      <c r="H71" s="19">
        <f t="shared" si="8"/>
        <v>20.83333333</v>
      </c>
      <c r="I71" s="14"/>
    </row>
    <row r="72">
      <c r="B72" s="14"/>
      <c r="C72" s="22">
        <v>128.0</v>
      </c>
      <c r="D72" s="17">
        <v>61.0</v>
      </c>
      <c r="E72" s="17">
        <v>24.0</v>
      </c>
      <c r="F72" s="18">
        <f t="shared" si="6"/>
        <v>63.54166667</v>
      </c>
      <c r="G72" s="18">
        <f t="shared" si="7"/>
        <v>41.66666667</v>
      </c>
      <c r="H72" s="19">
        <f t="shared" si="8"/>
        <v>20.83333333</v>
      </c>
      <c r="I72" s="14"/>
    </row>
    <row r="73">
      <c r="B73" s="14"/>
      <c r="C73" s="14"/>
      <c r="D73" s="20"/>
      <c r="E73" s="20"/>
      <c r="F73" s="14"/>
      <c r="G73" s="14"/>
      <c r="H73" s="14"/>
      <c r="I73" s="14"/>
    </row>
    <row r="74">
      <c r="B74" s="14"/>
      <c r="C74" s="14"/>
      <c r="D74" s="20"/>
      <c r="E74" s="20"/>
      <c r="F74" s="14"/>
      <c r="G74" s="14"/>
      <c r="H74" s="14"/>
      <c r="I74" s="14"/>
    </row>
    <row r="75">
      <c r="B75" s="2"/>
      <c r="C75" s="2"/>
      <c r="D75" s="5"/>
      <c r="E75" s="5"/>
      <c r="F75" s="2"/>
      <c r="G75" s="2"/>
      <c r="H75" s="2"/>
      <c r="I75" s="2"/>
    </row>
    <row r="76">
      <c r="B76" s="2"/>
      <c r="C76" s="2"/>
      <c r="D76" s="5"/>
      <c r="E76" s="5"/>
      <c r="F76" s="2"/>
      <c r="G76" s="2"/>
      <c r="H76" s="2"/>
      <c r="I76" s="2"/>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8"/>
    <col customWidth="1" min="3" max="3" width="14.25"/>
    <col customWidth="1" min="5" max="5" width="14.63"/>
    <col customWidth="1" min="8" max="8" width="14.38"/>
    <col customWidth="1" min="10" max="10" width="20.25"/>
  </cols>
  <sheetData>
    <row r="1">
      <c r="A1" s="23" t="s">
        <v>18</v>
      </c>
    </row>
    <row r="2">
      <c r="A2" s="24" t="s">
        <v>19</v>
      </c>
      <c r="B2" s="24" t="s">
        <v>20</v>
      </c>
      <c r="C2" s="24" t="s">
        <v>21</v>
      </c>
      <c r="D2" s="25" t="s">
        <v>22</v>
      </c>
      <c r="E2" s="26" t="s">
        <v>23</v>
      </c>
      <c r="F2" s="25" t="s">
        <v>24</v>
      </c>
      <c r="G2" s="24" t="s">
        <v>25</v>
      </c>
      <c r="H2" s="24" t="s">
        <v>26</v>
      </c>
      <c r="I2" s="25" t="s">
        <v>27</v>
      </c>
      <c r="J2" s="25" t="s">
        <v>28</v>
      </c>
    </row>
    <row r="3">
      <c r="A3" s="27" t="s">
        <v>29</v>
      </c>
      <c r="B3" s="28" t="s">
        <v>30</v>
      </c>
      <c r="C3" s="29">
        <f>'Decode Last Token'!G57+'Decode Last Token'!G60</f>
        <v>0.001996623145</v>
      </c>
      <c r="D3" s="30"/>
      <c r="E3" s="31">
        <v>0.009205</v>
      </c>
      <c r="F3" s="30">
        <f t="shared" ref="F3:F18" si="1">C3/$C$19</f>
        <v>0.00929441197</v>
      </c>
      <c r="G3" s="30">
        <f t="shared" ref="G3:G18" si="2">E3/$E$19</f>
        <v>0.01469674883</v>
      </c>
      <c r="H3" s="32">
        <f t="shared" ref="H3:H20" si="3">C3/E3</f>
        <v>0.216906371</v>
      </c>
      <c r="I3" s="32"/>
      <c r="J3" s="33" t="s">
        <v>31</v>
      </c>
    </row>
    <row r="4">
      <c r="A4" s="34"/>
      <c r="B4" s="35" t="s">
        <v>32</v>
      </c>
      <c r="C4" s="36">
        <f>'Decode Last Token'!G58</f>
        <v>0.004987716675</v>
      </c>
      <c r="D4" s="37"/>
      <c r="E4" s="38">
        <v>0.0174</v>
      </c>
      <c r="F4" s="37">
        <f t="shared" si="1"/>
        <v>0.02321814894</v>
      </c>
      <c r="G4" s="37">
        <f t="shared" si="2"/>
        <v>0.02778092664</v>
      </c>
      <c r="H4" s="39">
        <f t="shared" si="3"/>
        <v>0.2866503836</v>
      </c>
      <c r="I4" s="39"/>
      <c r="J4" s="40" t="s">
        <v>33</v>
      </c>
    </row>
    <row r="5">
      <c r="A5" s="41"/>
      <c r="B5" s="28" t="s">
        <v>34</v>
      </c>
      <c r="C5" s="29">
        <f>'Decode Last Token'!G59</f>
        <v>0.001390245226</v>
      </c>
      <c r="D5" s="30"/>
      <c r="E5" s="31">
        <v>0.006788</v>
      </c>
      <c r="F5" s="30">
        <f t="shared" si="1"/>
        <v>0.0064716829</v>
      </c>
      <c r="G5" s="30">
        <f t="shared" si="2"/>
        <v>0.0108377546</v>
      </c>
      <c r="H5" s="32">
        <f t="shared" si="3"/>
        <v>0.2048092554</v>
      </c>
      <c r="I5" s="32"/>
      <c r="J5" s="42" t="s">
        <v>35</v>
      </c>
    </row>
    <row r="6">
      <c r="A6" s="34"/>
      <c r="B6" s="35" t="s">
        <v>36</v>
      </c>
      <c r="C6" s="43">
        <f>'Decode Last Token'!G62</f>
        <v>0.006084537003</v>
      </c>
      <c r="D6" s="44"/>
      <c r="E6" s="45">
        <v>0.030721</v>
      </c>
      <c r="F6" s="46">
        <f t="shared" si="1"/>
        <v>0.02832391966</v>
      </c>
      <c r="G6" s="47">
        <f t="shared" si="2"/>
        <v>0.04904930157</v>
      </c>
      <c r="H6" s="48">
        <f t="shared" si="3"/>
        <v>0.1980579084</v>
      </c>
      <c r="I6" s="39"/>
      <c r="J6" s="40" t="s">
        <v>37</v>
      </c>
    </row>
    <row r="7">
      <c r="A7" s="41"/>
      <c r="B7" s="28" t="s">
        <v>38</v>
      </c>
      <c r="C7" s="29">
        <f>'Decode Last Token'!G67</f>
        <v>0.001288519965</v>
      </c>
      <c r="D7" s="30"/>
      <c r="E7" s="31">
        <v>0.004864</v>
      </c>
      <c r="F7" s="30">
        <f t="shared" si="1"/>
        <v>0.005998145127</v>
      </c>
      <c r="G7" s="30">
        <f t="shared" si="2"/>
        <v>0.007765886619</v>
      </c>
      <c r="H7" s="32">
        <f t="shared" si="3"/>
        <v>0.2649095323</v>
      </c>
      <c r="I7" s="32"/>
      <c r="J7" s="42" t="s">
        <v>39</v>
      </c>
    </row>
    <row r="8">
      <c r="A8" s="49"/>
      <c r="B8" s="35" t="s">
        <v>40</v>
      </c>
      <c r="C8" s="36">
        <f>'Decode Last Token'!G69</f>
        <v>0.01525455051</v>
      </c>
      <c r="D8" s="37"/>
      <c r="E8" s="38">
        <v>0.042717</v>
      </c>
      <c r="F8" s="37">
        <f t="shared" si="1"/>
        <v>0.07101093524</v>
      </c>
      <c r="G8" s="37">
        <f t="shared" si="2"/>
        <v>0.0682021749</v>
      </c>
      <c r="H8" s="39">
        <f t="shared" si="3"/>
        <v>0.3571072526</v>
      </c>
      <c r="I8" s="39"/>
      <c r="J8" s="36"/>
    </row>
    <row r="9">
      <c r="A9" s="27" t="s">
        <v>41</v>
      </c>
      <c r="B9" s="28" t="s">
        <v>42</v>
      </c>
      <c r="C9" s="29"/>
      <c r="D9" s="30"/>
      <c r="E9" s="31">
        <v>0.025734</v>
      </c>
      <c r="F9" s="47">
        <f t="shared" si="1"/>
        <v>0</v>
      </c>
      <c r="G9" s="47">
        <f t="shared" si="2"/>
        <v>0.04108703253</v>
      </c>
      <c r="H9" s="48">
        <f t="shared" si="3"/>
        <v>0</v>
      </c>
      <c r="I9" s="32"/>
      <c r="J9" s="28"/>
    </row>
    <row r="10">
      <c r="A10" s="34"/>
      <c r="B10" s="35" t="s">
        <v>43</v>
      </c>
      <c r="C10" s="36"/>
      <c r="D10" s="37"/>
      <c r="E10" s="38">
        <v>0.015646</v>
      </c>
      <c r="F10" s="37">
        <f t="shared" si="1"/>
        <v>0</v>
      </c>
      <c r="G10" s="37">
        <f t="shared" si="2"/>
        <v>0.0249804815</v>
      </c>
      <c r="H10" s="39">
        <f t="shared" si="3"/>
        <v>0</v>
      </c>
      <c r="I10" s="39"/>
      <c r="J10" s="50"/>
    </row>
    <row r="11">
      <c r="A11" s="41"/>
      <c r="B11" s="28" t="s">
        <v>44</v>
      </c>
      <c r="C11" s="29">
        <f>'Decode Last Token'!G70</f>
        <v>0</v>
      </c>
      <c r="D11" s="30"/>
      <c r="E11" s="31">
        <v>0.027993</v>
      </c>
      <c r="F11" s="47">
        <f t="shared" si="1"/>
        <v>0</v>
      </c>
      <c r="G11" s="47">
        <f t="shared" si="2"/>
        <v>0.04469376318</v>
      </c>
      <c r="H11" s="48">
        <f t="shared" si="3"/>
        <v>0</v>
      </c>
      <c r="I11" s="32"/>
      <c r="J11" s="28" t="s">
        <v>45</v>
      </c>
    </row>
    <row r="12">
      <c r="A12" s="34"/>
      <c r="B12" s="35" t="s">
        <v>46</v>
      </c>
      <c r="C12" s="36">
        <f>'Decode Last Token'!G71</f>
        <v>0.1220703125</v>
      </c>
      <c r="D12" s="37"/>
      <c r="E12" s="38">
        <v>0.18</v>
      </c>
      <c r="F12" s="51">
        <f t="shared" si="1"/>
        <v>0.5682453278</v>
      </c>
      <c r="G12" s="51">
        <f t="shared" si="2"/>
        <v>0.2873888963</v>
      </c>
      <c r="H12" s="52">
        <f t="shared" si="3"/>
        <v>0.6781684028</v>
      </c>
      <c r="I12" s="39"/>
      <c r="J12" s="40" t="s">
        <v>47</v>
      </c>
    </row>
    <row r="13">
      <c r="A13" s="41"/>
      <c r="B13" s="28" t="s">
        <v>48</v>
      </c>
      <c r="C13" s="29">
        <f>'Decode Last Token'!G72</f>
        <v>0.06174723307</v>
      </c>
      <c r="D13" s="30"/>
      <c r="E13" s="31">
        <v>0.114</v>
      </c>
      <c r="F13" s="47">
        <f t="shared" si="1"/>
        <v>0.2874374283</v>
      </c>
      <c r="G13" s="47">
        <f t="shared" si="2"/>
        <v>0.1820129676</v>
      </c>
      <c r="H13" s="47">
        <f t="shared" si="3"/>
        <v>0.5416423954</v>
      </c>
      <c r="I13" s="32"/>
      <c r="J13" s="42" t="s">
        <v>49</v>
      </c>
    </row>
    <row r="14">
      <c r="A14" s="34"/>
      <c r="B14" s="35" t="s">
        <v>50</v>
      </c>
      <c r="C14" s="36"/>
      <c r="D14" s="37"/>
      <c r="E14" s="38">
        <v>0.021753</v>
      </c>
      <c r="F14" s="37">
        <f t="shared" si="1"/>
        <v>0</v>
      </c>
      <c r="G14" s="37">
        <f t="shared" si="2"/>
        <v>0.03473094811</v>
      </c>
      <c r="H14" s="39">
        <f t="shared" si="3"/>
        <v>0</v>
      </c>
      <c r="I14" s="39"/>
      <c r="J14" s="36"/>
    </row>
    <row r="15">
      <c r="A15" s="41"/>
      <c r="B15" s="28" t="s">
        <v>51</v>
      </c>
      <c r="C15" s="29"/>
      <c r="D15" s="30"/>
      <c r="E15" s="31">
        <v>0.008475</v>
      </c>
      <c r="F15" s="30">
        <f t="shared" si="1"/>
        <v>0</v>
      </c>
      <c r="G15" s="30">
        <f t="shared" si="2"/>
        <v>0.0135312272</v>
      </c>
      <c r="H15" s="32">
        <f t="shared" si="3"/>
        <v>0</v>
      </c>
      <c r="I15" s="32"/>
      <c r="J15" s="29"/>
    </row>
    <row r="16">
      <c r="A16" s="49"/>
      <c r="B16" s="35" t="s">
        <v>52</v>
      </c>
      <c r="C16" s="36">
        <f>'Decode Last Token'!G73</f>
        <v>0</v>
      </c>
      <c r="D16" s="37"/>
      <c r="E16" s="38">
        <v>0.055802</v>
      </c>
      <c r="F16" s="47">
        <f t="shared" si="1"/>
        <v>0</v>
      </c>
      <c r="G16" s="47">
        <f t="shared" si="2"/>
        <v>0.08909375105</v>
      </c>
      <c r="H16" s="48">
        <f t="shared" si="3"/>
        <v>0</v>
      </c>
      <c r="I16" s="39"/>
      <c r="J16" s="40" t="s">
        <v>53</v>
      </c>
    </row>
    <row r="17">
      <c r="A17" s="27" t="s">
        <v>54</v>
      </c>
      <c r="B17" s="28" t="s">
        <v>55</v>
      </c>
      <c r="C17" s="29">
        <f>'Decode Last Token'!H557</f>
        <v>0.007644229465</v>
      </c>
      <c r="D17" s="30"/>
      <c r="E17" s="31">
        <v>0.025424</v>
      </c>
      <c r="F17" s="30">
        <f t="shared" si="1"/>
        <v>0.03558439058</v>
      </c>
      <c r="G17" s="30">
        <f t="shared" si="2"/>
        <v>0.04059208499</v>
      </c>
      <c r="H17" s="32">
        <f t="shared" si="3"/>
        <v>0.3006698185</v>
      </c>
      <c r="I17" s="32"/>
      <c r="J17" s="29"/>
    </row>
    <row r="18">
      <c r="A18" s="49"/>
      <c r="B18" s="35" t="s">
        <v>56</v>
      </c>
      <c r="C18" s="36">
        <f>'Decode Last Token'!H595</f>
        <v>0.003835890028</v>
      </c>
      <c r="D18" s="37"/>
      <c r="E18" s="38">
        <v>0.013727</v>
      </c>
      <c r="F18" s="37">
        <f t="shared" si="1"/>
        <v>0.0178563202</v>
      </c>
      <c r="G18" s="37">
        <f t="shared" si="2"/>
        <v>0.02191659655</v>
      </c>
      <c r="H18" s="39">
        <f t="shared" si="3"/>
        <v>0.2794412492</v>
      </c>
      <c r="I18" s="39"/>
      <c r="J18" s="36"/>
    </row>
    <row r="19">
      <c r="A19" s="53" t="s">
        <v>57</v>
      </c>
      <c r="B19" s="54"/>
      <c r="C19" s="55">
        <f>'Decode Last Token'!G76</f>
        <v>0.2148197381</v>
      </c>
      <c r="D19" s="56"/>
      <c r="E19" s="26">
        <v>0.626329</v>
      </c>
      <c r="F19" s="56"/>
      <c r="G19" s="56"/>
      <c r="H19" s="56">
        <f t="shared" si="3"/>
        <v>0.3429822635</v>
      </c>
      <c r="I19" s="57"/>
      <c r="J19" s="55"/>
    </row>
    <row r="20">
      <c r="A20" s="58" t="s">
        <v>58</v>
      </c>
      <c r="B20" s="59"/>
      <c r="C20" s="60">
        <f>'Config and Summary'!B50*1000/500</f>
        <v>13.38049367</v>
      </c>
      <c r="D20" s="60">
        <f>'Model info &amp; Targets'!I16</f>
        <v>38.94</v>
      </c>
      <c r="E20" s="61">
        <f>'moved to gomistral-ironwood-wor'!J3</f>
        <v>68.72</v>
      </c>
      <c r="F20" s="62"/>
      <c r="G20" s="62"/>
      <c r="H20" s="56">
        <f t="shared" si="3"/>
        <v>0.194710327</v>
      </c>
      <c r="I20" s="57">
        <f>D20/E20</f>
        <v>0.5666472643</v>
      </c>
      <c r="J20" s="63"/>
    </row>
    <row r="21">
      <c r="A21" s="58" t="s">
        <v>59</v>
      </c>
      <c r="B21" s="59"/>
      <c r="C21" s="64">
        <f>'Config and Summary'!B59</f>
        <v>1026.80618</v>
      </c>
      <c r="D21" s="60">
        <f>'Model info &amp; Targets'!F16</f>
        <v>392.7</v>
      </c>
      <c r="E21" s="61">
        <f>'moved to gomistral-ironwood-wor'!I3</f>
        <v>197.1925</v>
      </c>
      <c r="F21" s="62"/>
      <c r="G21" s="62"/>
      <c r="H21" s="56">
        <f>E21/C21</f>
        <v>0.19204452</v>
      </c>
      <c r="I21" s="57">
        <f>E21/D21</f>
        <v>0.5021454036</v>
      </c>
      <c r="J21" s="63"/>
    </row>
    <row r="25">
      <c r="A25" s="23" t="s">
        <v>60</v>
      </c>
    </row>
    <row r="26">
      <c r="A26" s="24" t="s">
        <v>19</v>
      </c>
      <c r="B26" s="24" t="s">
        <v>20</v>
      </c>
      <c r="C26" s="24" t="s">
        <v>21</v>
      </c>
      <c r="D26" s="25" t="s">
        <v>22</v>
      </c>
      <c r="E26" s="26" t="s">
        <v>61</v>
      </c>
      <c r="F26" s="25" t="s">
        <v>24</v>
      </c>
      <c r="G26" s="24" t="s">
        <v>25</v>
      </c>
      <c r="H26" s="24" t="s">
        <v>26</v>
      </c>
      <c r="I26" s="25" t="s">
        <v>27</v>
      </c>
      <c r="J26" s="25" t="s">
        <v>62</v>
      </c>
    </row>
    <row r="27">
      <c r="A27" s="27" t="s">
        <v>29</v>
      </c>
      <c r="B27" s="28" t="s">
        <v>30</v>
      </c>
      <c r="C27" s="29">
        <f>Prefill!G57+Prefill!G60</f>
        <v>0.01653562409</v>
      </c>
      <c r="D27" s="30"/>
      <c r="E27" s="31">
        <v>0.086017</v>
      </c>
      <c r="F27" s="30">
        <f t="shared" ref="F27:F43" si="4">C27/$C$43</f>
        <v>0.01253117242</v>
      </c>
      <c r="G27" s="30">
        <f t="shared" ref="G27:G42" si="5">E27/$E$43</f>
        <v>0.004075862396</v>
      </c>
      <c r="H27" s="32">
        <f t="shared" ref="H27:H43" si="6">C27/E27</f>
        <v>0.1922366984</v>
      </c>
      <c r="I27" s="32"/>
      <c r="J27" s="33" t="s">
        <v>63</v>
      </c>
    </row>
    <row r="28">
      <c r="A28" s="34"/>
      <c r="B28" s="35" t="s">
        <v>32</v>
      </c>
      <c r="C28" s="40">
        <f>Prefill!G58</f>
        <v>0.04123168604</v>
      </c>
      <c r="D28" s="37"/>
      <c r="E28" s="38">
        <v>0.188</v>
      </c>
      <c r="F28" s="37">
        <f t="shared" si="4"/>
        <v>0.0312465598</v>
      </c>
      <c r="G28" s="37">
        <f t="shared" si="5"/>
        <v>0.008908263836</v>
      </c>
      <c r="H28" s="39">
        <f t="shared" si="6"/>
        <v>0.2193174789</v>
      </c>
      <c r="I28" s="39"/>
      <c r="J28" s="40" t="s">
        <v>64</v>
      </c>
    </row>
    <row r="29">
      <c r="A29" s="41"/>
      <c r="B29" s="28" t="s">
        <v>34</v>
      </c>
      <c r="C29" s="42">
        <f>Prefill!G59</f>
        <v>0.04014756944</v>
      </c>
      <c r="D29" s="30"/>
      <c r="E29" s="31">
        <v>0.172</v>
      </c>
      <c r="F29" s="30">
        <f t="shared" si="4"/>
        <v>0.030424985</v>
      </c>
      <c r="G29" s="30">
        <f t="shared" si="5"/>
        <v>0.008150113723</v>
      </c>
      <c r="H29" s="32">
        <f t="shared" si="6"/>
        <v>0.2334161014</v>
      </c>
      <c r="I29" s="32"/>
      <c r="J29" s="42" t="s">
        <v>65</v>
      </c>
    </row>
    <row r="30">
      <c r="A30" s="34"/>
      <c r="B30" s="35" t="s">
        <v>36</v>
      </c>
      <c r="C30" s="43">
        <f>Prefill!G62</f>
        <v>0.6230565891</v>
      </c>
      <c r="D30" s="44"/>
      <c r="E30" s="45">
        <v>3.451</v>
      </c>
      <c r="F30" s="47">
        <f t="shared" si="4"/>
        <v>0.472170237</v>
      </c>
      <c r="G30" s="47">
        <f t="shared" si="5"/>
        <v>0.1635235027</v>
      </c>
      <c r="H30" s="48">
        <f t="shared" si="6"/>
        <v>0.1805437812</v>
      </c>
      <c r="I30" s="39"/>
      <c r="J30" s="40" t="s">
        <v>37</v>
      </c>
    </row>
    <row r="31">
      <c r="A31" s="41"/>
      <c r="B31" s="28" t="s">
        <v>38</v>
      </c>
      <c r="C31" s="42">
        <f>Prefill!G67</f>
        <v>0.02712673611</v>
      </c>
      <c r="D31" s="30"/>
      <c r="E31" s="31">
        <v>0.089252</v>
      </c>
      <c r="F31" s="30">
        <f t="shared" si="4"/>
        <v>0.0205574223</v>
      </c>
      <c r="G31" s="30">
        <f t="shared" si="5"/>
        <v>0.004229150872</v>
      </c>
      <c r="H31" s="32">
        <f t="shared" si="6"/>
        <v>0.30393421</v>
      </c>
      <c r="I31" s="32"/>
      <c r="J31" s="42" t="s">
        <v>39</v>
      </c>
    </row>
    <row r="32">
      <c r="A32" s="49"/>
      <c r="B32" s="35" t="s">
        <v>40</v>
      </c>
      <c r="C32" s="40">
        <f>Prefill!G69</f>
        <v>0.1282763566</v>
      </c>
      <c r="D32" s="37"/>
      <c r="E32" s="38">
        <v>0.404436</v>
      </c>
      <c r="F32" s="37">
        <f t="shared" si="4"/>
        <v>0.09721151937</v>
      </c>
      <c r="G32" s="37">
        <f t="shared" si="5"/>
        <v>0.01916394996</v>
      </c>
      <c r="H32" s="39">
        <f t="shared" si="6"/>
        <v>0.317173438</v>
      </c>
      <c r="I32" s="39"/>
      <c r="J32" s="40" t="s">
        <v>33</v>
      </c>
    </row>
    <row r="33">
      <c r="A33" s="27" t="s">
        <v>41</v>
      </c>
      <c r="B33" s="28" t="s">
        <v>42</v>
      </c>
      <c r="C33" s="29"/>
      <c r="D33" s="30"/>
      <c r="E33" s="31">
        <v>0.302</v>
      </c>
      <c r="F33" s="30">
        <f t="shared" si="4"/>
        <v>0</v>
      </c>
      <c r="G33" s="30">
        <f t="shared" si="5"/>
        <v>0.0143100834</v>
      </c>
      <c r="H33" s="32">
        <f t="shared" si="6"/>
        <v>0</v>
      </c>
      <c r="I33" s="32"/>
      <c r="J33" s="28"/>
    </row>
    <row r="34">
      <c r="A34" s="34"/>
      <c r="B34" s="35" t="s">
        <v>43</v>
      </c>
      <c r="C34" s="36"/>
      <c r="D34" s="37"/>
      <c r="E34" s="65">
        <v>2.132</v>
      </c>
      <c r="F34" s="47">
        <f t="shared" si="4"/>
        <v>0</v>
      </c>
      <c r="G34" s="47">
        <f t="shared" si="5"/>
        <v>0.1010235027</v>
      </c>
      <c r="H34" s="48">
        <f t="shared" si="6"/>
        <v>0</v>
      </c>
      <c r="I34" s="39"/>
      <c r="J34" s="35" t="s">
        <v>66</v>
      </c>
      <c r="M34" s="66">
        <f>1.1+0.807</f>
        <v>1.907</v>
      </c>
      <c r="N34" s="67">
        <f>E36+E37</f>
        <v>2.75</v>
      </c>
    </row>
    <row r="35">
      <c r="A35" s="41"/>
      <c r="B35" s="28" t="s">
        <v>44</v>
      </c>
      <c r="C35" s="42">
        <f>Prefill!G70</f>
        <v>0</v>
      </c>
      <c r="D35" s="30"/>
      <c r="E35" s="31">
        <v>1.955</v>
      </c>
      <c r="F35" s="47">
        <f t="shared" si="4"/>
        <v>0</v>
      </c>
      <c r="G35" s="47">
        <f t="shared" si="5"/>
        <v>0.09263646702</v>
      </c>
      <c r="H35" s="48">
        <f t="shared" si="6"/>
        <v>0</v>
      </c>
      <c r="I35" s="32"/>
      <c r="J35" s="28" t="s">
        <v>45</v>
      </c>
      <c r="N35" s="66">
        <f>(N34-M34)/N34</f>
        <v>0.3065454545</v>
      </c>
    </row>
    <row r="36">
      <c r="A36" s="34"/>
      <c r="B36" s="35" t="s">
        <v>46</v>
      </c>
      <c r="C36" s="40">
        <f>Prefill!G71</f>
        <v>0.2565527131</v>
      </c>
      <c r="D36" s="37"/>
      <c r="E36" s="38">
        <v>1.5</v>
      </c>
      <c r="F36" s="68">
        <f t="shared" si="4"/>
        <v>0.1944230387</v>
      </c>
      <c r="G36" s="68">
        <f t="shared" si="5"/>
        <v>0.07107657316</v>
      </c>
      <c r="H36" s="69">
        <f t="shared" si="6"/>
        <v>0.1710351421</v>
      </c>
      <c r="I36" s="39"/>
      <c r="J36" s="40" t="s">
        <v>47</v>
      </c>
    </row>
    <row r="37">
      <c r="A37" s="41"/>
      <c r="B37" s="28" t="s">
        <v>48</v>
      </c>
      <c r="C37" s="42">
        <f>Prefill!G72</f>
        <v>0.1866319444</v>
      </c>
      <c r="D37" s="30"/>
      <c r="E37" s="31">
        <v>1.25</v>
      </c>
      <c r="F37" s="47">
        <f t="shared" si="4"/>
        <v>0.1414350654</v>
      </c>
      <c r="G37" s="47">
        <f t="shared" si="5"/>
        <v>0.05923047763</v>
      </c>
      <c r="H37" s="48">
        <f t="shared" si="6"/>
        <v>0.1493055556</v>
      </c>
      <c r="I37" s="32"/>
      <c r="J37" s="42" t="s">
        <v>49</v>
      </c>
    </row>
    <row r="38">
      <c r="A38" s="34"/>
      <c r="B38" s="35" t="s">
        <v>50</v>
      </c>
      <c r="C38" s="36"/>
      <c r="D38" s="70"/>
      <c r="E38" s="38">
        <v>5.066</v>
      </c>
      <c r="F38" s="71">
        <f t="shared" si="4"/>
        <v>0</v>
      </c>
      <c r="G38" s="71">
        <f t="shared" si="5"/>
        <v>0.2400492798</v>
      </c>
      <c r="H38" s="72">
        <f t="shared" si="6"/>
        <v>0</v>
      </c>
      <c r="I38" s="39"/>
      <c r="J38" s="50" t="s">
        <v>67</v>
      </c>
    </row>
    <row r="39">
      <c r="A39" s="41"/>
      <c r="B39" s="28" t="s">
        <v>51</v>
      </c>
      <c r="C39" s="29"/>
      <c r="D39" s="30"/>
      <c r="E39" s="31">
        <v>1.809</v>
      </c>
      <c r="F39" s="47">
        <f t="shared" si="4"/>
        <v>0</v>
      </c>
      <c r="G39" s="47">
        <f t="shared" si="5"/>
        <v>0.08571834723</v>
      </c>
      <c r="H39" s="48">
        <f t="shared" si="6"/>
        <v>0</v>
      </c>
      <c r="I39" s="32"/>
      <c r="J39" s="29"/>
    </row>
    <row r="40">
      <c r="A40" s="49"/>
      <c r="B40" s="35" t="s">
        <v>52</v>
      </c>
      <c r="C40" s="40">
        <f>Prefill!G73</f>
        <v>0</v>
      </c>
      <c r="D40" s="37"/>
      <c r="E40" s="38">
        <v>2.383</v>
      </c>
      <c r="F40" s="47">
        <f t="shared" si="4"/>
        <v>0</v>
      </c>
      <c r="G40" s="47">
        <f t="shared" si="5"/>
        <v>0.1129169826</v>
      </c>
      <c r="H40" s="48">
        <f t="shared" si="6"/>
        <v>0</v>
      </c>
      <c r="I40" s="39"/>
      <c r="J40" s="40" t="s">
        <v>53</v>
      </c>
    </row>
    <row r="41">
      <c r="A41" s="27" t="s">
        <v>54</v>
      </c>
      <c r="B41" s="28" t="s">
        <v>55</v>
      </c>
      <c r="C41" s="42">
        <f>Prefill!H557</f>
        <v>0.01383463542</v>
      </c>
      <c r="D41" s="30"/>
      <c r="E41" s="31">
        <v>0.186</v>
      </c>
      <c r="F41" s="30">
        <f t="shared" si="4"/>
        <v>0.01048428537</v>
      </c>
      <c r="G41" s="30">
        <f t="shared" si="5"/>
        <v>0.008813495072</v>
      </c>
      <c r="H41" s="32">
        <f t="shared" si="6"/>
        <v>0.0743797603</v>
      </c>
      <c r="I41" s="32"/>
      <c r="J41" s="29"/>
    </row>
    <row r="42">
      <c r="A42" s="49"/>
      <c r="B42" s="35" t="s">
        <v>56</v>
      </c>
      <c r="C42" s="40">
        <f>Prefill!H593</f>
        <v>0.03206908914</v>
      </c>
      <c r="D42" s="37"/>
      <c r="E42" s="38">
        <v>0.09788</v>
      </c>
      <c r="F42" s="37">
        <f t="shared" si="4"/>
        <v>0.02430287984</v>
      </c>
      <c r="G42" s="37">
        <f t="shared" si="5"/>
        <v>0.004637983321</v>
      </c>
      <c r="H42" s="39">
        <f t="shared" si="6"/>
        <v>0.3276367914</v>
      </c>
      <c r="I42" s="39"/>
      <c r="J42" s="40" t="s">
        <v>68</v>
      </c>
    </row>
    <row r="43">
      <c r="A43" s="53" t="s">
        <v>57</v>
      </c>
      <c r="B43" s="54"/>
      <c r="C43" s="55">
        <f>SUM(C27:C40)</f>
        <v>1.319559219</v>
      </c>
      <c r="D43" s="56"/>
      <c r="E43" s="26">
        <v>21.104</v>
      </c>
      <c r="F43" s="56">
        <f t="shared" si="4"/>
        <v>1</v>
      </c>
      <c r="G43" s="56"/>
      <c r="H43" s="56">
        <f t="shared" si="6"/>
        <v>0.06252649824</v>
      </c>
      <c r="I43" s="57"/>
      <c r="J43" s="55"/>
    </row>
  </sheetData>
  <mergeCells count="6">
    <mergeCell ref="A3:A8"/>
    <mergeCell ref="A9:A16"/>
    <mergeCell ref="A17:A18"/>
    <mergeCell ref="A27:A32"/>
    <mergeCell ref="A33:A40"/>
    <mergeCell ref="A41:A42"/>
  </mergeCells>
  <hyperlinks>
    <hyperlink r:id="rId2" ref="A1"/>
    <hyperlink r:id="rId3" ref="E2"/>
    <hyperlink r:id="rId4" ref="E3"/>
    <hyperlink r:id="rId5" ref="J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A25"/>
    <hyperlink r:id="rId23" ref="E26"/>
    <hyperlink r:id="rId24" ref="E27"/>
    <hyperlink r:id="rId25" ref="J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s>
  <drawing r:id="rId42"/>
  <legacy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8"/>
    <col customWidth="1" min="3" max="3" width="14.25"/>
    <col customWidth="1" min="5" max="5" width="14.63"/>
    <col customWidth="1" min="8" max="8" width="14.38"/>
    <col customWidth="1" min="10" max="10" width="20.25"/>
  </cols>
  <sheetData>
    <row r="1">
      <c r="A1" s="73" t="s">
        <v>18</v>
      </c>
    </row>
    <row r="2">
      <c r="A2" s="24" t="s">
        <v>19</v>
      </c>
      <c r="B2" s="24" t="s">
        <v>20</v>
      </c>
      <c r="C2" s="24" t="s">
        <v>21</v>
      </c>
      <c r="D2" s="25" t="s">
        <v>22</v>
      </c>
      <c r="E2" s="26" t="s">
        <v>69</v>
      </c>
      <c r="F2" s="25" t="s">
        <v>24</v>
      </c>
      <c r="G2" s="24" t="s">
        <v>25</v>
      </c>
      <c r="H2" s="24" t="s">
        <v>26</v>
      </c>
      <c r="I2" s="25" t="s">
        <v>27</v>
      </c>
      <c r="J2" s="25" t="s">
        <v>28</v>
      </c>
    </row>
    <row r="3">
      <c r="A3" s="27" t="s">
        <v>29</v>
      </c>
      <c r="B3" s="28" t="s">
        <v>30</v>
      </c>
      <c r="C3" s="29">
        <f>'Decode Last Token'!G57+'Decode Last Token'!G60</f>
        <v>0.001996623145</v>
      </c>
      <c r="D3" s="30"/>
      <c r="E3" s="74"/>
      <c r="F3" s="30">
        <f t="shared" ref="F3:F18" si="1">C3/$C$19</f>
        <v>0.00929441197</v>
      </c>
      <c r="G3" s="30">
        <f t="shared" ref="G3:G18" si="2">E3/$E$19</f>
        <v>0</v>
      </c>
      <c r="H3" s="32" t="str">
        <f t="shared" ref="H3:H20" si="3">C3/E3</f>
        <v>#DIV/0!</v>
      </c>
      <c r="I3" s="32"/>
      <c r="J3" s="33" t="s">
        <v>70</v>
      </c>
    </row>
    <row r="4">
      <c r="A4" s="34"/>
      <c r="B4" s="35" t="s">
        <v>32</v>
      </c>
      <c r="C4" s="36">
        <f>'Decode Last Token'!G58</f>
        <v>0.004987716675</v>
      </c>
      <c r="D4" s="37"/>
      <c r="E4" s="70"/>
      <c r="F4" s="37">
        <f t="shared" si="1"/>
        <v>0.02321814894</v>
      </c>
      <c r="G4" s="37">
        <f t="shared" si="2"/>
        <v>0</v>
      </c>
      <c r="H4" s="39" t="str">
        <f t="shared" si="3"/>
        <v>#DIV/0!</v>
      </c>
      <c r="I4" s="39"/>
      <c r="J4" s="40" t="s">
        <v>33</v>
      </c>
    </row>
    <row r="5">
      <c r="A5" s="41"/>
      <c r="B5" s="28" t="s">
        <v>34</v>
      </c>
      <c r="C5" s="29">
        <f>'Decode Last Token'!G59</f>
        <v>0.001390245226</v>
      </c>
      <c r="D5" s="30"/>
      <c r="E5" s="74"/>
      <c r="F5" s="30">
        <f t="shared" si="1"/>
        <v>0.0064716829</v>
      </c>
      <c r="G5" s="30">
        <f t="shared" si="2"/>
        <v>0</v>
      </c>
      <c r="H5" s="32" t="str">
        <f t="shared" si="3"/>
        <v>#DIV/0!</v>
      </c>
      <c r="I5" s="32"/>
      <c r="J5" s="42" t="s">
        <v>35</v>
      </c>
    </row>
    <row r="6">
      <c r="A6" s="34"/>
      <c r="B6" s="35" t="s">
        <v>36</v>
      </c>
      <c r="C6" s="43">
        <f>'Decode Last Token'!G62</f>
        <v>0.006084537003</v>
      </c>
      <c r="D6" s="44"/>
      <c r="E6" s="45">
        <v>0.0378</v>
      </c>
      <c r="F6" s="46">
        <f t="shared" si="1"/>
        <v>0.02832391966</v>
      </c>
      <c r="G6" s="47">
        <f t="shared" si="2"/>
        <v>0.06258278146</v>
      </c>
      <c r="H6" s="48">
        <f t="shared" si="3"/>
        <v>0.1609665874</v>
      </c>
      <c r="I6" s="39"/>
      <c r="J6" s="40" t="s">
        <v>37</v>
      </c>
    </row>
    <row r="7">
      <c r="A7" s="41"/>
      <c r="B7" s="28" t="s">
        <v>38</v>
      </c>
      <c r="C7" s="29">
        <f>'Decode Last Token'!G67</f>
        <v>0.001288519965</v>
      </c>
      <c r="D7" s="30"/>
      <c r="E7" s="74"/>
      <c r="F7" s="30">
        <f t="shared" si="1"/>
        <v>0.005998145127</v>
      </c>
      <c r="G7" s="30">
        <f t="shared" si="2"/>
        <v>0</v>
      </c>
      <c r="H7" s="32" t="str">
        <f t="shared" si="3"/>
        <v>#DIV/0!</v>
      </c>
      <c r="I7" s="32"/>
      <c r="J7" s="42" t="s">
        <v>39</v>
      </c>
    </row>
    <row r="8">
      <c r="A8" s="49"/>
      <c r="B8" s="35" t="s">
        <v>40</v>
      </c>
      <c r="C8" s="36">
        <f>'Decode Last Token'!G69</f>
        <v>0.01525455051</v>
      </c>
      <c r="D8" s="37"/>
      <c r="E8" s="70"/>
      <c r="F8" s="37">
        <f t="shared" si="1"/>
        <v>0.07101093524</v>
      </c>
      <c r="G8" s="37">
        <f t="shared" si="2"/>
        <v>0</v>
      </c>
      <c r="H8" s="39" t="str">
        <f t="shared" si="3"/>
        <v>#DIV/0!</v>
      </c>
      <c r="I8" s="39"/>
      <c r="J8" s="36"/>
    </row>
    <row r="9">
      <c r="A9" s="27" t="s">
        <v>41</v>
      </c>
      <c r="B9" s="28" t="s">
        <v>42</v>
      </c>
      <c r="C9" s="29"/>
      <c r="D9" s="30"/>
      <c r="E9" s="31">
        <v>0.04</v>
      </c>
      <c r="F9" s="47">
        <f t="shared" si="1"/>
        <v>0</v>
      </c>
      <c r="G9" s="47">
        <f t="shared" si="2"/>
        <v>0.06622516556</v>
      </c>
      <c r="H9" s="48">
        <f t="shared" si="3"/>
        <v>0</v>
      </c>
      <c r="I9" s="32"/>
      <c r="J9" s="28"/>
    </row>
    <row r="10">
      <c r="A10" s="34"/>
      <c r="B10" s="35" t="s">
        <v>43</v>
      </c>
      <c r="C10" s="36"/>
      <c r="D10" s="37"/>
      <c r="E10" s="70"/>
      <c r="F10" s="37">
        <f t="shared" si="1"/>
        <v>0</v>
      </c>
      <c r="G10" s="37">
        <f t="shared" si="2"/>
        <v>0</v>
      </c>
      <c r="H10" s="39" t="str">
        <f t="shared" si="3"/>
        <v>#DIV/0!</v>
      </c>
      <c r="I10" s="39"/>
      <c r="J10" s="50"/>
    </row>
    <row r="11">
      <c r="A11" s="41"/>
      <c r="B11" s="28" t="s">
        <v>44</v>
      </c>
      <c r="C11" s="29">
        <f>'Decode Last Token'!G70</f>
        <v>0</v>
      </c>
      <c r="D11" s="30"/>
      <c r="E11" s="74"/>
      <c r="F11" s="47">
        <f t="shared" si="1"/>
        <v>0</v>
      </c>
      <c r="G11" s="47">
        <f t="shared" si="2"/>
        <v>0</v>
      </c>
      <c r="H11" s="48" t="str">
        <f t="shared" si="3"/>
        <v>#DIV/0!</v>
      </c>
      <c r="I11" s="32"/>
      <c r="J11" s="28" t="s">
        <v>45</v>
      </c>
    </row>
    <row r="12">
      <c r="A12" s="34"/>
      <c r="B12" s="35" t="s">
        <v>46</v>
      </c>
      <c r="C12" s="36">
        <f>'Decode Last Token'!G71</f>
        <v>0.1220703125</v>
      </c>
      <c r="D12" s="37"/>
      <c r="E12" s="70">
        <v>0.179</v>
      </c>
      <c r="F12" s="51">
        <f t="shared" si="1"/>
        <v>0.5682453278</v>
      </c>
      <c r="G12" s="51">
        <f t="shared" si="2"/>
        <v>0.2963576159</v>
      </c>
      <c r="H12" s="52">
        <f t="shared" si="3"/>
        <v>0.6819570531</v>
      </c>
      <c r="I12" s="39"/>
      <c r="J12" s="40" t="s">
        <v>47</v>
      </c>
    </row>
    <row r="13">
      <c r="A13" s="41"/>
      <c r="B13" s="28" t="s">
        <v>48</v>
      </c>
      <c r="C13" s="29">
        <f>'Decode Last Token'!G72</f>
        <v>0.06174723307</v>
      </c>
      <c r="D13" s="30"/>
      <c r="E13" s="74">
        <v>0.116</v>
      </c>
      <c r="F13" s="51">
        <f t="shared" si="1"/>
        <v>0.2874374283</v>
      </c>
      <c r="G13" s="51">
        <f t="shared" si="2"/>
        <v>0.1920529801</v>
      </c>
      <c r="H13" s="51">
        <f t="shared" si="3"/>
        <v>0.5323037334</v>
      </c>
      <c r="I13" s="32"/>
      <c r="J13" s="42" t="s">
        <v>49</v>
      </c>
    </row>
    <row r="14">
      <c r="A14" s="34"/>
      <c r="B14" s="35" t="s">
        <v>50</v>
      </c>
      <c r="C14" s="36"/>
      <c r="D14" s="37"/>
      <c r="E14" s="70"/>
      <c r="F14" s="37">
        <f t="shared" si="1"/>
        <v>0</v>
      </c>
      <c r="G14" s="37">
        <f t="shared" si="2"/>
        <v>0</v>
      </c>
      <c r="H14" s="39" t="str">
        <f t="shared" si="3"/>
        <v>#DIV/0!</v>
      </c>
      <c r="I14" s="39"/>
      <c r="J14" s="36"/>
    </row>
    <row r="15">
      <c r="A15" s="41"/>
      <c r="B15" s="28" t="s">
        <v>51</v>
      </c>
      <c r="C15" s="29"/>
      <c r="D15" s="30"/>
      <c r="E15" s="74"/>
      <c r="F15" s="30">
        <f t="shared" si="1"/>
        <v>0</v>
      </c>
      <c r="G15" s="30">
        <f t="shared" si="2"/>
        <v>0</v>
      </c>
      <c r="H15" s="32" t="str">
        <f t="shared" si="3"/>
        <v>#DIV/0!</v>
      </c>
      <c r="I15" s="32"/>
      <c r="J15" s="29"/>
    </row>
    <row r="16">
      <c r="A16" s="49"/>
      <c r="B16" s="35" t="s">
        <v>52</v>
      </c>
      <c r="C16" s="36">
        <f>'Decode Last Token'!G73</f>
        <v>0</v>
      </c>
      <c r="D16" s="37"/>
      <c r="E16" s="38">
        <v>0.032</v>
      </c>
      <c r="F16" s="47">
        <f t="shared" si="1"/>
        <v>0</v>
      </c>
      <c r="G16" s="47">
        <f t="shared" si="2"/>
        <v>0.05298013245</v>
      </c>
      <c r="H16" s="48">
        <f t="shared" si="3"/>
        <v>0</v>
      </c>
      <c r="I16" s="39"/>
      <c r="J16" s="40" t="s">
        <v>53</v>
      </c>
    </row>
    <row r="17">
      <c r="A17" s="27" t="s">
        <v>54</v>
      </c>
      <c r="B17" s="28" t="s">
        <v>55</v>
      </c>
      <c r="C17" s="29">
        <f>'Decode Last Token'!H557</f>
        <v>0.007644229465</v>
      </c>
      <c r="D17" s="30"/>
      <c r="E17" s="74"/>
      <c r="F17" s="30">
        <f t="shared" si="1"/>
        <v>0.03558439058</v>
      </c>
      <c r="G17" s="30">
        <f t="shared" si="2"/>
        <v>0</v>
      </c>
      <c r="H17" s="32" t="str">
        <f t="shared" si="3"/>
        <v>#DIV/0!</v>
      </c>
      <c r="I17" s="32"/>
      <c r="J17" s="29"/>
    </row>
    <row r="18">
      <c r="A18" s="49"/>
      <c r="B18" s="35" t="s">
        <v>56</v>
      </c>
      <c r="C18" s="36">
        <f>'Decode Last Token'!H595</f>
        <v>0.003835890028</v>
      </c>
      <c r="D18" s="37"/>
      <c r="E18" s="70"/>
      <c r="F18" s="37">
        <f t="shared" si="1"/>
        <v>0.0178563202</v>
      </c>
      <c r="G18" s="37">
        <f t="shared" si="2"/>
        <v>0</v>
      </c>
      <c r="H18" s="39" t="str">
        <f t="shared" si="3"/>
        <v>#DIV/0!</v>
      </c>
      <c r="I18" s="39"/>
      <c r="J18" s="36"/>
    </row>
    <row r="19">
      <c r="A19" s="53" t="s">
        <v>57</v>
      </c>
      <c r="B19" s="54"/>
      <c r="C19" s="55">
        <f>'Decode Last Token'!G76</f>
        <v>0.2148197381</v>
      </c>
      <c r="D19" s="56"/>
      <c r="E19" s="26">
        <v>0.604</v>
      </c>
      <c r="F19" s="56"/>
      <c r="G19" s="56"/>
      <c r="H19" s="56">
        <f t="shared" si="3"/>
        <v>0.355661818</v>
      </c>
      <c r="I19" s="57"/>
      <c r="J19" s="55"/>
    </row>
    <row r="20">
      <c r="A20" s="58" t="s">
        <v>58</v>
      </c>
      <c r="B20" s="59"/>
      <c r="C20" s="60">
        <f>'Config and Summary'!B50*1000/500</f>
        <v>13.38049367</v>
      </c>
      <c r="D20" s="60">
        <f>'Model info &amp; Targets'!I16</f>
        <v>38.94</v>
      </c>
      <c r="E20" s="61">
        <f>'moved to gomistral-ironwood-wor'!J3</f>
        <v>68.72</v>
      </c>
      <c r="F20" s="62"/>
      <c r="G20" s="62"/>
      <c r="H20" s="56">
        <f t="shared" si="3"/>
        <v>0.194710327</v>
      </c>
      <c r="I20" s="57">
        <f>D20/E20</f>
        <v>0.5666472643</v>
      </c>
      <c r="J20" s="63"/>
    </row>
    <row r="21">
      <c r="A21" s="58" t="s">
        <v>59</v>
      </c>
      <c r="B21" s="59"/>
      <c r="C21" s="64">
        <f>'Config and Summary'!B59</f>
        <v>1026.80618</v>
      </c>
      <c r="D21" s="60">
        <f>'Model info &amp; Targets'!F16</f>
        <v>392.7</v>
      </c>
      <c r="E21" s="61">
        <f>'moved to gomistral-ironwood-wor'!I3</f>
        <v>197.1925</v>
      </c>
      <c r="F21" s="62"/>
      <c r="G21" s="62"/>
      <c r="H21" s="56">
        <f>E21/C21</f>
        <v>0.19204452</v>
      </c>
      <c r="I21" s="57">
        <f>E21/D21</f>
        <v>0.5021454036</v>
      </c>
      <c r="J21" s="63"/>
    </row>
    <row r="25">
      <c r="A25" s="73" t="s">
        <v>60</v>
      </c>
    </row>
    <row r="26">
      <c r="A26" s="24" t="s">
        <v>19</v>
      </c>
      <c r="B26" s="24" t="s">
        <v>20</v>
      </c>
      <c r="C26" s="24" t="s">
        <v>21</v>
      </c>
      <c r="D26" s="25" t="s">
        <v>22</v>
      </c>
      <c r="E26" s="26" t="s">
        <v>71</v>
      </c>
      <c r="F26" s="25" t="s">
        <v>24</v>
      </c>
      <c r="G26" s="24" t="s">
        <v>25</v>
      </c>
      <c r="H26" s="24" t="s">
        <v>26</v>
      </c>
      <c r="I26" s="25" t="s">
        <v>27</v>
      </c>
      <c r="J26" s="25" t="s">
        <v>62</v>
      </c>
    </row>
    <row r="27">
      <c r="A27" s="27" t="s">
        <v>29</v>
      </c>
      <c r="B27" s="28" t="s">
        <v>30</v>
      </c>
      <c r="C27" s="29">
        <f>Prefill!G57+Prefill!G60</f>
        <v>0.01653562409</v>
      </c>
      <c r="D27" s="30"/>
      <c r="E27" s="74"/>
      <c r="F27" s="30">
        <f t="shared" ref="F27:F43" si="4">C27/$C$43</f>
        <v>0.01253117242</v>
      </c>
      <c r="G27" s="30">
        <f t="shared" ref="G27:G30" si="5">E27/$E$43</f>
        <v>0</v>
      </c>
      <c r="H27" s="32" t="str">
        <f t="shared" ref="H27:H30" si="6">C27/E27</f>
        <v>#DIV/0!</v>
      </c>
      <c r="I27" s="32"/>
      <c r="J27" s="33" t="s">
        <v>72</v>
      </c>
    </row>
    <row r="28">
      <c r="A28" s="34"/>
      <c r="B28" s="35" t="s">
        <v>32</v>
      </c>
      <c r="C28" s="40">
        <f>Prefill!G58</f>
        <v>0.04123168604</v>
      </c>
      <c r="D28" s="37"/>
      <c r="E28" s="70"/>
      <c r="F28" s="37">
        <f t="shared" si="4"/>
        <v>0.0312465598</v>
      </c>
      <c r="G28" s="37">
        <f t="shared" si="5"/>
        <v>0</v>
      </c>
      <c r="H28" s="39" t="str">
        <f t="shared" si="6"/>
        <v>#DIV/0!</v>
      </c>
      <c r="I28" s="39"/>
      <c r="J28" s="40" t="s">
        <v>64</v>
      </c>
    </row>
    <row r="29">
      <c r="A29" s="41"/>
      <c r="B29" s="28" t="s">
        <v>34</v>
      </c>
      <c r="C29" s="42">
        <f>Prefill!G59</f>
        <v>0.04014756944</v>
      </c>
      <c r="D29" s="30"/>
      <c r="E29" s="74"/>
      <c r="F29" s="30">
        <f t="shared" si="4"/>
        <v>0.030424985</v>
      </c>
      <c r="G29" s="30">
        <f t="shared" si="5"/>
        <v>0</v>
      </c>
      <c r="H29" s="32" t="str">
        <f t="shared" si="6"/>
        <v>#DIV/0!</v>
      </c>
      <c r="I29" s="32"/>
      <c r="J29" s="42" t="s">
        <v>65</v>
      </c>
    </row>
    <row r="30">
      <c r="A30" s="34"/>
      <c r="B30" s="35" t="s">
        <v>36</v>
      </c>
      <c r="C30" s="43">
        <f>Prefill!G62</f>
        <v>0.6230565891</v>
      </c>
      <c r="D30" s="44"/>
      <c r="E30" s="45">
        <v>2.0</v>
      </c>
      <c r="F30" s="37">
        <f t="shared" si="4"/>
        <v>0.472170237</v>
      </c>
      <c r="G30" s="37">
        <f t="shared" si="5"/>
        <v>0.1086956522</v>
      </c>
      <c r="H30" s="39">
        <f t="shared" si="6"/>
        <v>0.3115282945</v>
      </c>
      <c r="I30" s="39"/>
      <c r="J30" s="40" t="s">
        <v>37</v>
      </c>
    </row>
    <row r="31">
      <c r="A31" s="41"/>
      <c r="B31" s="28" t="s">
        <v>38</v>
      </c>
      <c r="C31" s="42">
        <f>Prefill!G67</f>
        <v>0.02712673611</v>
      </c>
      <c r="D31" s="30"/>
      <c r="F31" s="30">
        <f t="shared" si="4"/>
        <v>0.0205574223</v>
      </c>
      <c r="G31" s="30">
        <f>E34/$E$43</f>
        <v>0.1195652174</v>
      </c>
      <c r="H31" s="32">
        <f>C31/E34</f>
        <v>0.0123303346</v>
      </c>
      <c r="I31" s="32"/>
      <c r="J31" s="42" t="s">
        <v>39</v>
      </c>
    </row>
    <row r="32">
      <c r="A32" s="49"/>
      <c r="B32" s="35" t="s">
        <v>40</v>
      </c>
      <c r="C32" s="40">
        <f>Prefill!G69</f>
        <v>0.1282763566</v>
      </c>
      <c r="D32" s="37"/>
      <c r="E32" s="70"/>
      <c r="F32" s="37">
        <f t="shared" si="4"/>
        <v>0.09721151937</v>
      </c>
      <c r="G32" s="37">
        <f t="shared" ref="G32:G42" si="7">E32/$E$43</f>
        <v>0</v>
      </c>
      <c r="H32" s="39" t="str">
        <f t="shared" ref="H32:H43" si="8">C32/E32</f>
        <v>#DIV/0!</v>
      </c>
      <c r="I32" s="39"/>
      <c r="J32" s="40" t="s">
        <v>33</v>
      </c>
    </row>
    <row r="33">
      <c r="A33" s="27" t="s">
        <v>41</v>
      </c>
      <c r="B33" s="28" t="s">
        <v>42</v>
      </c>
      <c r="C33" s="29"/>
      <c r="D33" s="30"/>
      <c r="E33" s="74"/>
      <c r="F33" s="30">
        <f t="shared" si="4"/>
        <v>0</v>
      </c>
      <c r="G33" s="30">
        <f t="shared" si="7"/>
        <v>0</v>
      </c>
      <c r="H33" s="32" t="str">
        <f t="shared" si="8"/>
        <v>#DIV/0!</v>
      </c>
      <c r="I33" s="32"/>
      <c r="J33" s="28"/>
    </row>
    <row r="34">
      <c r="A34" s="34"/>
      <c r="B34" s="35" t="s">
        <v>43</v>
      </c>
      <c r="C34" s="36"/>
      <c r="D34" s="37"/>
      <c r="E34" s="38">
        <v>2.2</v>
      </c>
      <c r="F34" s="71">
        <f t="shared" si="4"/>
        <v>0</v>
      </c>
      <c r="G34" s="71">
        <f t="shared" si="7"/>
        <v>0.1195652174</v>
      </c>
      <c r="H34" s="72">
        <f t="shared" si="8"/>
        <v>0</v>
      </c>
      <c r="I34" s="39"/>
      <c r="J34" s="35" t="s">
        <v>66</v>
      </c>
      <c r="M34" s="66">
        <f>1.1+0.807</f>
        <v>1.907</v>
      </c>
      <c r="N34" s="67">
        <f>E36+E37</f>
        <v>1.969</v>
      </c>
    </row>
    <row r="35">
      <c r="A35" s="41"/>
      <c r="B35" s="28" t="s">
        <v>44</v>
      </c>
      <c r="C35" s="42">
        <f>Prefill!G70</f>
        <v>0</v>
      </c>
      <c r="D35" s="30"/>
      <c r="E35" s="74">
        <v>1.186</v>
      </c>
      <c r="F35" s="30">
        <f t="shared" si="4"/>
        <v>0</v>
      </c>
      <c r="G35" s="30">
        <f t="shared" si="7"/>
        <v>0.06445652174</v>
      </c>
      <c r="H35" s="32">
        <f t="shared" si="8"/>
        <v>0</v>
      </c>
      <c r="I35" s="32"/>
      <c r="J35" s="28" t="s">
        <v>45</v>
      </c>
      <c r="N35" s="66">
        <f>(N34-M34)/N34</f>
        <v>0.03148806501</v>
      </c>
    </row>
    <row r="36">
      <c r="A36" s="34"/>
      <c r="B36" s="35" t="s">
        <v>46</v>
      </c>
      <c r="C36" s="40">
        <f>Prefill!G71</f>
        <v>0.2565527131</v>
      </c>
      <c r="D36" s="37"/>
      <c r="E36" s="75">
        <v>1.14</v>
      </c>
      <c r="F36" s="76">
        <f t="shared" si="4"/>
        <v>0.1944230387</v>
      </c>
      <c r="G36" s="76">
        <f t="shared" si="7"/>
        <v>0.06195652174</v>
      </c>
      <c r="H36" s="77">
        <f t="shared" si="8"/>
        <v>0.2250462396</v>
      </c>
      <c r="I36" s="39"/>
      <c r="J36" s="40" t="s">
        <v>47</v>
      </c>
    </row>
    <row r="37">
      <c r="A37" s="41"/>
      <c r="B37" s="28" t="s">
        <v>48</v>
      </c>
      <c r="C37" s="42">
        <f>Prefill!G72</f>
        <v>0.1866319444</v>
      </c>
      <c r="D37" s="30"/>
      <c r="E37" s="74">
        <v>0.829</v>
      </c>
      <c r="F37" s="78">
        <f t="shared" si="4"/>
        <v>0.1414350654</v>
      </c>
      <c r="G37" s="78">
        <f t="shared" si="7"/>
        <v>0.04505434783</v>
      </c>
      <c r="H37" s="79">
        <f t="shared" si="8"/>
        <v>0.2251290042</v>
      </c>
      <c r="I37" s="32"/>
      <c r="J37" s="42" t="s">
        <v>49</v>
      </c>
    </row>
    <row r="38">
      <c r="A38" s="34"/>
      <c r="B38" s="35" t="s">
        <v>50</v>
      </c>
      <c r="C38" s="36"/>
      <c r="D38" s="70"/>
      <c r="E38" s="70">
        <v>5.0</v>
      </c>
      <c r="F38" s="71">
        <f t="shared" si="4"/>
        <v>0</v>
      </c>
      <c r="G38" s="71">
        <f t="shared" si="7"/>
        <v>0.2717391304</v>
      </c>
      <c r="H38" s="72">
        <f t="shared" si="8"/>
        <v>0</v>
      </c>
      <c r="I38" s="39"/>
      <c r="J38" s="50" t="s">
        <v>67</v>
      </c>
    </row>
    <row r="39">
      <c r="A39" s="41"/>
      <c r="B39" s="28" t="s">
        <v>51</v>
      </c>
      <c r="C39" s="29"/>
      <c r="D39" s="30"/>
      <c r="E39" s="74">
        <v>1.8</v>
      </c>
      <c r="F39" s="71">
        <f t="shared" si="4"/>
        <v>0</v>
      </c>
      <c r="G39" s="71">
        <f t="shared" si="7"/>
        <v>0.09782608696</v>
      </c>
      <c r="H39" s="72">
        <f t="shared" si="8"/>
        <v>0</v>
      </c>
      <c r="I39" s="32"/>
      <c r="J39" s="29"/>
    </row>
    <row r="40">
      <c r="A40" s="49"/>
      <c r="B40" s="35" t="s">
        <v>52</v>
      </c>
      <c r="C40" s="40">
        <f>Prefill!G73</f>
        <v>0</v>
      </c>
      <c r="D40" s="37"/>
      <c r="E40" s="70">
        <v>2.393</v>
      </c>
      <c r="F40" s="47">
        <f t="shared" si="4"/>
        <v>0</v>
      </c>
      <c r="G40" s="47">
        <f t="shared" si="7"/>
        <v>0.1300543478</v>
      </c>
      <c r="H40" s="48">
        <f t="shared" si="8"/>
        <v>0</v>
      </c>
      <c r="I40" s="39"/>
      <c r="J40" s="40" t="s">
        <v>53</v>
      </c>
    </row>
    <row r="41">
      <c r="A41" s="27" t="s">
        <v>54</v>
      </c>
      <c r="B41" s="28" t="s">
        <v>55</v>
      </c>
      <c r="C41" s="42">
        <f>Prefill!H557</f>
        <v>0.01383463542</v>
      </c>
      <c r="D41" s="30"/>
      <c r="E41" s="74"/>
      <c r="F41" s="30">
        <f t="shared" si="4"/>
        <v>0.01048428537</v>
      </c>
      <c r="G41" s="30">
        <f t="shared" si="7"/>
        <v>0</v>
      </c>
      <c r="H41" s="32" t="str">
        <f t="shared" si="8"/>
        <v>#DIV/0!</v>
      </c>
      <c r="I41" s="32"/>
      <c r="J41" s="29"/>
    </row>
    <row r="42">
      <c r="A42" s="49"/>
      <c r="B42" s="35" t="s">
        <v>56</v>
      </c>
      <c r="C42" s="40">
        <f>Prefill!H593</f>
        <v>0.03206908914</v>
      </c>
      <c r="D42" s="37"/>
      <c r="E42" s="70"/>
      <c r="F42" s="37">
        <f t="shared" si="4"/>
        <v>0.02430287984</v>
      </c>
      <c r="G42" s="37">
        <f t="shared" si="7"/>
        <v>0</v>
      </c>
      <c r="H42" s="39" t="str">
        <f t="shared" si="8"/>
        <v>#DIV/0!</v>
      </c>
      <c r="I42" s="39"/>
      <c r="J42" s="40" t="s">
        <v>68</v>
      </c>
    </row>
    <row r="43">
      <c r="A43" s="53" t="s">
        <v>57</v>
      </c>
      <c r="B43" s="54"/>
      <c r="C43" s="55">
        <f>SUM(C27:C40)</f>
        <v>1.319559219</v>
      </c>
      <c r="D43" s="56"/>
      <c r="E43" s="26">
        <v>18.4</v>
      </c>
      <c r="F43" s="56">
        <f t="shared" si="4"/>
        <v>1</v>
      </c>
      <c r="G43" s="56"/>
      <c r="H43" s="56">
        <f t="shared" si="8"/>
        <v>0.07171517494</v>
      </c>
      <c r="I43" s="57"/>
      <c r="J43" s="55"/>
    </row>
  </sheetData>
  <mergeCells count="6">
    <mergeCell ref="A3:A8"/>
    <mergeCell ref="A9:A16"/>
    <mergeCell ref="A17:A18"/>
    <mergeCell ref="A27:A32"/>
    <mergeCell ref="A33:A40"/>
    <mergeCell ref="A41:A42"/>
  </mergeCells>
  <hyperlinks>
    <hyperlink r:id="rId2" ref="E2"/>
    <hyperlink r:id="rId3" ref="J3"/>
    <hyperlink r:id="rId4" ref="E6"/>
    <hyperlink r:id="rId5" ref="E9"/>
    <hyperlink r:id="rId6" ref="E16"/>
    <hyperlink r:id="rId7" ref="E19"/>
    <hyperlink r:id="rId8" ref="E26"/>
    <hyperlink r:id="rId9" ref="J27"/>
    <hyperlink r:id="rId10" ref="E30"/>
    <hyperlink r:id="rId11" ref="E34"/>
    <hyperlink r:id="rId12" ref="E43"/>
  </hyperlinks>
  <drawing r:id="rId13"/>
  <legacy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73</v>
      </c>
      <c r="B1" s="80">
        <v>61.0</v>
      </c>
      <c r="C1" s="2"/>
      <c r="D1" s="2"/>
      <c r="E1" s="2"/>
      <c r="F1" s="2"/>
    </row>
    <row r="2">
      <c r="A2" s="81"/>
      <c r="B2" s="82" t="s">
        <v>74</v>
      </c>
      <c r="C2" s="81" t="s">
        <v>75</v>
      </c>
      <c r="D2" s="81" t="s">
        <v>76</v>
      </c>
      <c r="E2" s="82" t="s">
        <v>77</v>
      </c>
      <c r="F2" s="81" t="s">
        <v>78</v>
      </c>
    </row>
    <row r="3">
      <c r="A3" s="81" t="s">
        <v>79</v>
      </c>
      <c r="B3" s="83">
        <f>21.1*1</f>
        <v>21.1</v>
      </c>
      <c r="C3" s="84">
        <f t="shared" ref="C3:C4" si="1">B3/1000*$B$1</f>
        <v>1.2871</v>
      </c>
      <c r="D3" s="85">
        <f>2048*16</f>
        <v>32768</v>
      </c>
      <c r="E3" s="83">
        <f t="shared" ref="E3:E4" si="2">D3/C3/8</f>
        <v>3182.347914</v>
      </c>
      <c r="F3" s="83">
        <f>E3/2048</f>
        <v>1.553880817</v>
      </c>
    </row>
    <row r="4">
      <c r="A4" s="81" t="s">
        <v>80</v>
      </c>
      <c r="B4" s="83">
        <f>0.626*1</f>
        <v>0.626</v>
      </c>
      <c r="C4" s="84">
        <f t="shared" si="1"/>
        <v>0.038186</v>
      </c>
      <c r="D4" s="85">
        <f>128*1</f>
        <v>128</v>
      </c>
      <c r="E4" s="83">
        <f t="shared" si="2"/>
        <v>419.0017284</v>
      </c>
      <c r="F4" s="83">
        <f> E4/512</f>
        <v>0.8183627507</v>
      </c>
    </row>
    <row r="5">
      <c r="A5" s="82" t="s">
        <v>81</v>
      </c>
      <c r="B5" s="81"/>
      <c r="C5" s="81"/>
      <c r="D5" s="81"/>
      <c r="E5" s="83">
        <f>1/(1/F3 + 1/F4) * 512</f>
        <v>274.4569558</v>
      </c>
      <c r="F5"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8.88"/>
    <col customWidth="1" min="2" max="2" width="25.25"/>
    <col customWidth="1" min="3" max="3" width="20.13"/>
    <col customWidth="1" min="4" max="4" width="22.88"/>
    <col customWidth="1" min="5" max="5" width="5.0"/>
    <col customWidth="1" min="6" max="6" width="20.13"/>
    <col customWidth="1" min="7" max="7" width="18.75"/>
    <col customWidth="1" min="8" max="8" width="29.63"/>
    <col customWidth="1" min="9" max="9" width="18.75"/>
    <col customWidth="1" min="10" max="10" width="38.88"/>
    <col customWidth="1" min="11" max="11" width="18.75"/>
    <col customWidth="1" min="12" max="12" width="37.75"/>
    <col customWidth="1" min="13" max="13" width="22.63"/>
    <col customWidth="1" min="14" max="14" width="21.13"/>
    <col customWidth="1" min="15" max="15" width="21.38"/>
    <col customWidth="1" min="16" max="16" width="21.13"/>
    <col customWidth="1" min="17" max="17" width="21.38"/>
    <col customWidth="1" min="18" max="18" width="29.63"/>
    <col customWidth="1" min="19" max="19" width="18.75"/>
  </cols>
  <sheetData>
    <row r="1">
      <c r="A1" s="4"/>
      <c r="B1" s="86" t="s">
        <v>82</v>
      </c>
      <c r="C1" s="87" t="s">
        <v>83</v>
      </c>
      <c r="E1" s="4"/>
      <c r="F1" s="88" t="s">
        <v>84</v>
      </c>
      <c r="H1" s="89" t="s">
        <v>85</v>
      </c>
      <c r="J1" s="88" t="s">
        <v>86</v>
      </c>
      <c r="L1" s="90" t="s">
        <v>87</v>
      </c>
      <c r="N1" s="91" t="s">
        <v>88</v>
      </c>
      <c r="P1" s="90" t="s">
        <v>89</v>
      </c>
      <c r="R1" s="89" t="s">
        <v>83</v>
      </c>
      <c r="T1" s="4"/>
      <c r="U1" s="4"/>
      <c r="V1" s="4"/>
    </row>
    <row r="2">
      <c r="A2" s="4"/>
      <c r="B2" s="4"/>
      <c r="C2" s="92" t="s">
        <v>18</v>
      </c>
      <c r="D2" s="92" t="s">
        <v>60</v>
      </c>
      <c r="E2" s="4"/>
      <c r="F2" s="93" t="s">
        <v>18</v>
      </c>
      <c r="G2" s="93" t="s">
        <v>60</v>
      </c>
      <c r="H2" s="94" t="s">
        <v>18</v>
      </c>
      <c r="I2" s="94" t="s">
        <v>60</v>
      </c>
      <c r="J2" s="93" t="s">
        <v>18</v>
      </c>
      <c r="K2" s="93" t="s">
        <v>60</v>
      </c>
      <c r="L2" s="95" t="s">
        <v>18</v>
      </c>
      <c r="M2" s="95" t="s">
        <v>60</v>
      </c>
      <c r="N2" s="96" t="s">
        <v>18</v>
      </c>
      <c r="O2" s="96" t="s">
        <v>60</v>
      </c>
      <c r="P2" s="95" t="s">
        <v>18</v>
      </c>
      <c r="Q2" s="95" t="s">
        <v>60</v>
      </c>
      <c r="R2" s="94" t="s">
        <v>18</v>
      </c>
      <c r="S2" s="94" t="s">
        <v>60</v>
      </c>
      <c r="T2" s="4"/>
      <c r="U2" s="4"/>
      <c r="V2" s="4"/>
    </row>
    <row r="3">
      <c r="A3" s="97" t="s">
        <v>90</v>
      </c>
      <c r="B3" s="98"/>
      <c r="C3" s="97"/>
      <c r="D3" s="99"/>
      <c r="E3" s="98"/>
      <c r="F3" s="100"/>
      <c r="G3" s="100"/>
      <c r="H3" s="99"/>
      <c r="I3" s="99"/>
      <c r="J3" s="100"/>
      <c r="K3" s="100"/>
      <c r="L3" s="100"/>
      <c r="M3" s="100"/>
      <c r="N3" s="98"/>
      <c r="O3" s="98"/>
      <c r="P3" s="98"/>
      <c r="Q3" s="98"/>
      <c r="R3" s="99"/>
      <c r="S3" s="99"/>
      <c r="T3" s="98"/>
      <c r="U3" s="98"/>
      <c r="V3" s="98"/>
    </row>
    <row r="4">
      <c r="A4" s="101" t="s">
        <v>91</v>
      </c>
      <c r="B4" s="102"/>
      <c r="C4" s="103" t="str">
        <f t="shared" ref="C4:D4" si="1">XLOOKUP($C$1, $F$1:$U$1, F4:U4)</f>
        <v>GB200 Derated</v>
      </c>
      <c r="D4" s="104" t="str">
        <f t="shared" si="1"/>
        <v>GB200 Derated</v>
      </c>
      <c r="E4" s="105"/>
      <c r="F4" s="106" t="s">
        <v>92</v>
      </c>
      <c r="G4" s="106" t="s">
        <v>92</v>
      </c>
      <c r="H4" s="103" t="s">
        <v>92</v>
      </c>
      <c r="I4" s="103" t="s">
        <v>92</v>
      </c>
      <c r="J4" s="106" t="s">
        <v>92</v>
      </c>
      <c r="K4" s="106" t="s">
        <v>92</v>
      </c>
      <c r="L4" s="106" t="s">
        <v>92</v>
      </c>
      <c r="M4" s="106" t="s">
        <v>92</v>
      </c>
      <c r="N4" s="103" t="s">
        <v>92</v>
      </c>
      <c r="O4" s="103" t="s">
        <v>92</v>
      </c>
      <c r="P4" s="103" t="s">
        <v>92</v>
      </c>
      <c r="Q4" s="103" t="s">
        <v>92</v>
      </c>
      <c r="R4" s="103" t="s">
        <v>93</v>
      </c>
      <c r="S4" s="103" t="s">
        <v>93</v>
      </c>
      <c r="T4" s="98"/>
      <c r="U4" s="98"/>
      <c r="V4" s="98"/>
    </row>
    <row r="5">
      <c r="A5" s="107" t="s">
        <v>94</v>
      </c>
      <c r="B5" s="102"/>
      <c r="C5" s="103" t="b">
        <f t="shared" ref="C5:D5" si="2">XLOOKUP($C$1, $F$1:$U$1, F5:U5)</f>
        <v>1</v>
      </c>
      <c r="D5" s="104" t="b">
        <f t="shared" si="2"/>
        <v>1</v>
      </c>
      <c r="E5" s="105"/>
      <c r="F5" s="108" t="b">
        <v>0</v>
      </c>
      <c r="G5" s="109" t="b">
        <v>0</v>
      </c>
      <c r="H5" s="110" t="b">
        <v>0</v>
      </c>
      <c r="I5" s="110" t="b">
        <v>0</v>
      </c>
      <c r="J5" s="108" t="b">
        <v>0</v>
      </c>
      <c r="K5" s="108" t="b">
        <v>0</v>
      </c>
      <c r="L5" s="108" t="b">
        <v>0</v>
      </c>
      <c r="M5" s="108" t="b">
        <v>0</v>
      </c>
      <c r="N5" s="110" t="b">
        <v>0</v>
      </c>
      <c r="O5" s="110" t="b">
        <v>0</v>
      </c>
      <c r="P5" s="110" t="b">
        <v>0</v>
      </c>
      <c r="Q5" s="110" t="b">
        <v>0</v>
      </c>
      <c r="R5" s="110" t="b">
        <v>1</v>
      </c>
      <c r="S5" s="110" t="b">
        <v>1</v>
      </c>
      <c r="T5" s="98"/>
      <c r="U5" s="98"/>
      <c r="V5" s="98"/>
    </row>
    <row r="6">
      <c r="A6" s="111"/>
      <c r="B6" s="112"/>
      <c r="C6" s="103" t="str">
        <f t="shared" ref="C6:D6" si="3">XLOOKUP($C$1, $F$1:$U$1, F6:U6)</f>
        <v/>
      </c>
      <c r="D6" s="104" t="str">
        <f t="shared" si="3"/>
        <v/>
      </c>
      <c r="E6" s="113"/>
      <c r="F6" s="2"/>
      <c r="G6" s="2"/>
      <c r="H6" s="114"/>
      <c r="I6" s="114"/>
      <c r="J6" s="2"/>
      <c r="K6" s="2"/>
      <c r="L6" s="2"/>
      <c r="M6" s="2"/>
      <c r="N6" s="114"/>
      <c r="O6" s="114"/>
      <c r="P6" s="114"/>
      <c r="Q6" s="114"/>
      <c r="R6" s="114"/>
      <c r="S6" s="114"/>
      <c r="T6" s="4"/>
      <c r="U6" s="4"/>
      <c r="V6" s="4"/>
    </row>
    <row r="7">
      <c r="A7" s="115" t="s">
        <v>95</v>
      </c>
      <c r="C7" s="116" t="str">
        <f t="shared" ref="C7:D7" si="4">XLOOKUP($C$1, $F$1:$U$1, F7:U7)</f>
        <v/>
      </c>
      <c r="D7" s="116" t="str">
        <f t="shared" si="4"/>
        <v/>
      </c>
      <c r="E7" s="117"/>
      <c r="F7" s="118"/>
      <c r="G7" s="118"/>
      <c r="H7" s="119"/>
      <c r="I7" s="119"/>
      <c r="J7" s="118"/>
      <c r="K7" s="118"/>
      <c r="L7" s="118"/>
      <c r="M7" s="118"/>
      <c r="N7" s="119"/>
      <c r="O7" s="119"/>
      <c r="P7" s="119"/>
      <c r="Q7" s="119"/>
      <c r="R7" s="119"/>
      <c r="S7" s="119"/>
      <c r="T7" s="117"/>
      <c r="U7" s="117"/>
      <c r="V7" s="117"/>
    </row>
    <row r="8">
      <c r="A8" s="120" t="s">
        <v>96</v>
      </c>
      <c r="B8" s="121"/>
      <c r="C8" s="122">
        <f t="shared" ref="C8:D8" si="5">XLOOKUP($C$1, $F$1:$U$1, F8:U8)</f>
        <v>1</v>
      </c>
      <c r="D8" s="122">
        <f t="shared" si="5"/>
        <v>1</v>
      </c>
      <c r="E8" s="123"/>
      <c r="F8" s="124">
        <v>1.0</v>
      </c>
      <c r="G8" s="124">
        <v>1.0</v>
      </c>
      <c r="H8" s="122">
        <v>1.0</v>
      </c>
      <c r="I8" s="122">
        <v>1.0</v>
      </c>
      <c r="J8" s="124">
        <v>1.0</v>
      </c>
      <c r="K8" s="124">
        <v>1.0</v>
      </c>
      <c r="L8" s="124">
        <v>1.0</v>
      </c>
      <c r="M8" s="124">
        <v>1.0</v>
      </c>
      <c r="N8" s="122">
        <v>1.0</v>
      </c>
      <c r="O8" s="122">
        <v>1.0</v>
      </c>
      <c r="P8" s="122">
        <v>1.0</v>
      </c>
      <c r="Q8" s="122">
        <v>1.0</v>
      </c>
      <c r="R8" s="122">
        <v>1.0</v>
      </c>
      <c r="S8" s="122">
        <v>1.0</v>
      </c>
      <c r="T8" s="123"/>
      <c r="U8" s="123"/>
      <c r="V8" s="123"/>
    </row>
    <row r="9">
      <c r="A9" s="125" t="s">
        <v>97</v>
      </c>
      <c r="B9" s="126"/>
      <c r="C9" s="127">
        <f t="shared" ref="C9:D9" si="6">XLOOKUP($C$1, $F$1:$U$1, F9:U9)</f>
        <v>8</v>
      </c>
      <c r="D9" s="127">
        <f t="shared" si="6"/>
        <v>8</v>
      </c>
      <c r="E9" s="128"/>
      <c r="F9" s="129">
        <v>8.0</v>
      </c>
      <c r="G9" s="129">
        <v>8.0</v>
      </c>
      <c r="H9" s="127">
        <v>16.0</v>
      </c>
      <c r="I9" s="127">
        <v>16.0</v>
      </c>
      <c r="J9" s="129">
        <v>32.0</v>
      </c>
      <c r="K9" s="129">
        <v>32.0</v>
      </c>
      <c r="L9" s="129">
        <v>8.0</v>
      </c>
      <c r="M9" s="129">
        <v>8.0</v>
      </c>
      <c r="N9" s="127">
        <v>16.0</v>
      </c>
      <c r="O9" s="127">
        <v>16.0</v>
      </c>
      <c r="P9" s="127">
        <v>32.0</v>
      </c>
      <c r="Q9" s="127">
        <v>32.0</v>
      </c>
      <c r="R9" s="127">
        <v>8.0</v>
      </c>
      <c r="S9" s="127">
        <v>8.0</v>
      </c>
      <c r="T9" s="128"/>
      <c r="U9" s="128"/>
      <c r="V9" s="128"/>
    </row>
    <row r="10">
      <c r="A10" s="120" t="s">
        <v>98</v>
      </c>
      <c r="B10" s="121"/>
      <c r="C10" s="122">
        <f t="shared" ref="C10:D10" si="7">XLOOKUP($C$1, $F$1:$U$1, F10:U10)</f>
        <v>1</v>
      </c>
      <c r="D10" s="122">
        <f t="shared" si="7"/>
        <v>1</v>
      </c>
      <c r="E10" s="123"/>
      <c r="F10" s="124">
        <v>1.0</v>
      </c>
      <c r="G10" s="124">
        <v>1.0</v>
      </c>
      <c r="H10" s="122">
        <v>1.0</v>
      </c>
      <c r="I10" s="122">
        <v>1.0</v>
      </c>
      <c r="J10" s="124">
        <v>1.0</v>
      </c>
      <c r="K10" s="124">
        <v>1.0</v>
      </c>
      <c r="L10" s="124">
        <v>1.0</v>
      </c>
      <c r="M10" s="124">
        <v>1.0</v>
      </c>
      <c r="N10" s="122">
        <v>1.0</v>
      </c>
      <c r="O10" s="122">
        <v>1.0</v>
      </c>
      <c r="P10" s="122">
        <v>1.0</v>
      </c>
      <c r="Q10" s="122">
        <v>1.0</v>
      </c>
      <c r="R10" s="122">
        <v>1.0</v>
      </c>
      <c r="S10" s="122">
        <v>1.0</v>
      </c>
      <c r="T10" s="123"/>
      <c r="U10" s="123"/>
      <c r="V10" s="123"/>
    </row>
    <row r="11">
      <c r="A11" s="125" t="s">
        <v>99</v>
      </c>
      <c r="B11" s="126"/>
      <c r="C11" s="127">
        <f t="shared" ref="C11:D11" si="8">XLOOKUP($C$1, $F$1:$U$1, F11:U11)</f>
        <v>1</v>
      </c>
      <c r="D11" s="127">
        <f t="shared" si="8"/>
        <v>1</v>
      </c>
      <c r="E11" s="128"/>
      <c r="F11" s="130">
        <v>1.0</v>
      </c>
      <c r="G11" s="130">
        <v>1.0</v>
      </c>
      <c r="H11" s="127">
        <v>1.0</v>
      </c>
      <c r="I11" s="127">
        <v>1.0</v>
      </c>
      <c r="J11" s="130">
        <v>1.0</v>
      </c>
      <c r="K11" s="130">
        <v>1.0</v>
      </c>
      <c r="L11" s="130">
        <v>1.0</v>
      </c>
      <c r="M11" s="130">
        <v>1.0</v>
      </c>
      <c r="N11" s="127">
        <v>1.0</v>
      </c>
      <c r="O11" s="127">
        <v>1.0</v>
      </c>
      <c r="P11" s="127">
        <v>1.0</v>
      </c>
      <c r="Q11" s="127">
        <v>1.0</v>
      </c>
      <c r="R11" s="127">
        <v>1.0</v>
      </c>
      <c r="S11" s="127">
        <v>1.0</v>
      </c>
      <c r="T11" s="128"/>
      <c r="U11" s="128"/>
      <c r="V11" s="128"/>
    </row>
    <row r="12">
      <c r="A12" s="4"/>
      <c r="B12" s="4"/>
      <c r="C12" s="103" t="str">
        <f t="shared" ref="C12:D12" si="9">XLOOKUP($C$1, $F$1:$U$1, F12:U12)</f>
        <v/>
      </c>
      <c r="D12" s="104" t="str">
        <f t="shared" si="9"/>
        <v/>
      </c>
      <c r="E12" s="4"/>
      <c r="F12" s="2"/>
      <c r="G12" s="2"/>
      <c r="H12" s="5"/>
      <c r="I12" s="5"/>
      <c r="J12" s="2"/>
      <c r="K12" s="2"/>
      <c r="L12" s="2"/>
      <c r="M12" s="2"/>
      <c r="N12" s="5"/>
      <c r="O12" s="5"/>
      <c r="P12" s="5"/>
      <c r="Q12" s="5"/>
      <c r="R12" s="5"/>
      <c r="S12" s="5"/>
      <c r="T12" s="4"/>
      <c r="U12" s="4"/>
      <c r="V12" s="4"/>
    </row>
    <row r="13">
      <c r="A13" s="131" t="s">
        <v>100</v>
      </c>
      <c r="C13" s="132" t="str">
        <f t="shared" ref="C13:D13" si="10">XLOOKUP($C$1, $F$1:$U$1, F13:U13)</f>
        <v/>
      </c>
      <c r="D13" s="132" t="str">
        <f t="shared" si="10"/>
        <v/>
      </c>
      <c r="E13" s="133"/>
      <c r="F13" s="134"/>
      <c r="G13" s="134"/>
      <c r="H13" s="135"/>
      <c r="I13" s="135"/>
      <c r="J13" s="134"/>
      <c r="K13" s="134"/>
      <c r="L13" s="134"/>
      <c r="M13" s="134"/>
      <c r="N13" s="135"/>
      <c r="O13" s="135"/>
      <c r="P13" s="135"/>
      <c r="Q13" s="135"/>
      <c r="R13" s="135"/>
      <c r="S13" s="135"/>
      <c r="T13" s="133"/>
      <c r="U13" s="133"/>
      <c r="V13" s="133"/>
    </row>
    <row r="14">
      <c r="A14" s="136" t="s">
        <v>101</v>
      </c>
      <c r="B14" s="136" t="s">
        <v>102</v>
      </c>
      <c r="C14" s="122">
        <f t="shared" ref="C14:D14" si="11">XLOOKUP($C$1, $F$1:$U$1, F14:U14)</f>
        <v>1</v>
      </c>
      <c r="D14" s="122">
        <f t="shared" si="11"/>
        <v>2048</v>
      </c>
      <c r="E14" s="123"/>
      <c r="F14" s="137">
        <v>1.0</v>
      </c>
      <c r="G14" s="137">
        <v>2048.0</v>
      </c>
      <c r="H14" s="138">
        <v>1.0</v>
      </c>
      <c r="I14" s="137">
        <v>2048.0</v>
      </c>
      <c r="J14" s="139">
        <v>1.0</v>
      </c>
      <c r="K14" s="137">
        <v>2048.0</v>
      </c>
      <c r="L14" s="137">
        <v>1.0</v>
      </c>
      <c r="M14" s="137">
        <v>20480.0</v>
      </c>
      <c r="N14" s="137">
        <v>1.0</v>
      </c>
      <c r="O14" s="137">
        <v>20480.0</v>
      </c>
      <c r="P14" s="137">
        <v>1.0</v>
      </c>
      <c r="Q14" s="137">
        <v>20480.0</v>
      </c>
      <c r="R14" s="138">
        <v>1.0</v>
      </c>
      <c r="S14" s="137">
        <v>2048.0</v>
      </c>
      <c r="T14" s="123"/>
      <c r="U14" s="123"/>
      <c r="V14" s="123"/>
    </row>
    <row r="15">
      <c r="A15" s="140" t="s">
        <v>103</v>
      </c>
      <c r="B15" s="140" t="s">
        <v>104</v>
      </c>
      <c r="C15" s="141">
        <f t="shared" ref="C15:D15" si="12">XLOOKUP($C$1, $F$1:$U$1, F15:U15)</f>
        <v>128</v>
      </c>
      <c r="D15" s="141">
        <f t="shared" si="12"/>
        <v>8</v>
      </c>
      <c r="E15" s="142"/>
      <c r="F15" s="143">
        <v>32.0</v>
      </c>
      <c r="G15" s="143">
        <v>8.0</v>
      </c>
      <c r="H15" s="144">
        <v>128.0</v>
      </c>
      <c r="I15" s="144">
        <v>16.0</v>
      </c>
      <c r="J15" s="143">
        <v>128.0</v>
      </c>
      <c r="K15" s="143">
        <v>32.0</v>
      </c>
      <c r="L15" s="143">
        <v>32.0</v>
      </c>
      <c r="M15" s="143">
        <v>8.0</v>
      </c>
      <c r="N15" s="143">
        <v>128.0</v>
      </c>
      <c r="O15" s="143">
        <v>16.0</v>
      </c>
      <c r="P15" s="143">
        <v>128.0</v>
      </c>
      <c r="Q15" s="143">
        <v>32.0</v>
      </c>
      <c r="R15" s="144">
        <v>128.0</v>
      </c>
      <c r="S15" s="144">
        <v>8.0</v>
      </c>
      <c r="T15" s="142"/>
      <c r="U15" s="142"/>
      <c r="V15" s="142"/>
    </row>
    <row r="16">
      <c r="A16" s="136" t="s">
        <v>105</v>
      </c>
      <c r="B16" s="136" t="s">
        <v>106</v>
      </c>
      <c r="C16" s="122">
        <f t="shared" ref="C16:D16" si="13">XLOOKUP($C$1, $F$1:$U$1, F16:U16)</f>
        <v>2560</v>
      </c>
      <c r="D16" s="122">
        <f t="shared" si="13"/>
        <v>2048</v>
      </c>
      <c r="E16" s="123"/>
      <c r="F16" s="137">
        <f>G16+512</f>
        <v>2560</v>
      </c>
      <c r="G16" s="139">
        <f>G14</f>
        <v>2048</v>
      </c>
      <c r="H16" s="137">
        <f>I16+512</f>
        <v>2560</v>
      </c>
      <c r="I16" s="138">
        <f>I14</f>
        <v>2048</v>
      </c>
      <c r="J16" s="137">
        <f>K16+512</f>
        <v>2560</v>
      </c>
      <c r="K16" s="139">
        <f>K14</f>
        <v>2048</v>
      </c>
      <c r="L16" s="137">
        <f>M16+512</f>
        <v>20992</v>
      </c>
      <c r="M16" s="139">
        <f>M14</f>
        <v>20480</v>
      </c>
      <c r="N16" s="137">
        <f>O16+512</f>
        <v>20992</v>
      </c>
      <c r="O16" s="139">
        <f>O14</f>
        <v>20480</v>
      </c>
      <c r="P16" s="137">
        <f>Q16+512</f>
        <v>20992</v>
      </c>
      <c r="Q16" s="139">
        <f>Q14</f>
        <v>20480</v>
      </c>
      <c r="R16" s="137">
        <f>S16+512</f>
        <v>2560</v>
      </c>
      <c r="S16" s="138">
        <f>S14</f>
        <v>2048</v>
      </c>
      <c r="T16" s="123"/>
      <c r="U16" s="123"/>
      <c r="V16" s="123"/>
    </row>
    <row r="17">
      <c r="A17" s="140" t="s">
        <v>107</v>
      </c>
      <c r="B17" s="140" t="s">
        <v>108</v>
      </c>
      <c r="C17" s="141">
        <f t="shared" ref="C17:D17" si="14">XLOOKUP($C$1, $F$1:$U$1, F17:U17)</f>
        <v>2048</v>
      </c>
      <c r="D17" s="141" t="str">
        <f t="shared" si="14"/>
        <v>N/A</v>
      </c>
      <c r="E17" s="142"/>
      <c r="F17" s="143">
        <v>2048.0</v>
      </c>
      <c r="G17" s="145" t="s">
        <v>109</v>
      </c>
      <c r="H17" s="143">
        <v>2048.0</v>
      </c>
      <c r="I17" s="144" t="s">
        <v>109</v>
      </c>
      <c r="J17" s="143">
        <v>2048.0</v>
      </c>
      <c r="K17" s="145" t="s">
        <v>109</v>
      </c>
      <c r="L17" s="143">
        <v>20480.0</v>
      </c>
      <c r="M17" s="145" t="s">
        <v>109</v>
      </c>
      <c r="N17" s="143">
        <v>20480.0</v>
      </c>
      <c r="O17" s="145" t="s">
        <v>109</v>
      </c>
      <c r="P17" s="143">
        <v>20480.0</v>
      </c>
      <c r="Q17" s="145" t="s">
        <v>109</v>
      </c>
      <c r="R17" s="143">
        <v>2048.0</v>
      </c>
      <c r="S17" s="144" t="s">
        <v>109</v>
      </c>
      <c r="T17" s="142"/>
      <c r="U17" s="142"/>
      <c r="V17" s="142"/>
    </row>
    <row r="18">
      <c r="A18" s="136" t="s">
        <v>110</v>
      </c>
      <c r="B18" s="146"/>
      <c r="C18" s="122">
        <f t="shared" ref="C18:D18" si="15">XLOOKUP($C$1, $F$1:$U$1, F18:U18)</f>
        <v>0</v>
      </c>
      <c r="D18" s="122">
        <f t="shared" si="15"/>
        <v>0</v>
      </c>
      <c r="E18" s="123"/>
      <c r="F18" s="139">
        <v>0.0</v>
      </c>
      <c r="G18" s="139">
        <v>0.0</v>
      </c>
      <c r="H18" s="138">
        <v>0.0</v>
      </c>
      <c r="I18" s="138">
        <v>0.0</v>
      </c>
      <c r="J18" s="139">
        <v>0.0</v>
      </c>
      <c r="K18" s="139">
        <v>0.0</v>
      </c>
      <c r="L18" s="124">
        <v>0.0</v>
      </c>
      <c r="M18" s="124">
        <v>0.0</v>
      </c>
      <c r="N18" s="124">
        <v>0.0</v>
      </c>
      <c r="O18" s="124">
        <v>0.0</v>
      </c>
      <c r="P18" s="124">
        <v>0.0</v>
      </c>
      <c r="Q18" s="124">
        <v>0.0</v>
      </c>
      <c r="R18" s="138">
        <v>0.0</v>
      </c>
      <c r="S18" s="138">
        <v>0.0</v>
      </c>
      <c r="T18" s="123"/>
      <c r="U18" s="123"/>
      <c r="V18" s="123"/>
    </row>
    <row r="19">
      <c r="A19" s="140" t="s">
        <v>111</v>
      </c>
      <c r="B19" s="147"/>
      <c r="C19" s="141">
        <f t="shared" ref="C19:D19" si="16">XLOOKUP($C$1, $F$1:$U$1, F19:U19)</f>
        <v>1</v>
      </c>
      <c r="D19" s="141">
        <f t="shared" si="16"/>
        <v>1</v>
      </c>
      <c r="E19" s="142"/>
      <c r="F19" s="145">
        <v>1.0</v>
      </c>
      <c r="G19" s="145">
        <v>1.0</v>
      </c>
      <c r="H19" s="144">
        <v>1.0</v>
      </c>
      <c r="I19" s="144">
        <v>1.0</v>
      </c>
      <c r="J19" s="145">
        <v>1.0</v>
      </c>
      <c r="K19" s="145">
        <v>1.0</v>
      </c>
      <c r="L19" s="148">
        <v>1.0</v>
      </c>
      <c r="M19" s="148">
        <v>1.0</v>
      </c>
      <c r="N19" s="148">
        <v>1.0</v>
      </c>
      <c r="O19" s="148">
        <v>1.0</v>
      </c>
      <c r="P19" s="144">
        <v>1.0</v>
      </c>
      <c r="Q19" s="144">
        <v>1.0</v>
      </c>
      <c r="R19" s="144">
        <v>1.0</v>
      </c>
      <c r="S19" s="144">
        <v>1.0</v>
      </c>
      <c r="T19" s="142"/>
      <c r="U19" s="142"/>
      <c r="V19" s="142"/>
    </row>
    <row r="20">
      <c r="A20" s="136" t="s">
        <v>112</v>
      </c>
      <c r="B20" s="136" t="s">
        <v>113</v>
      </c>
      <c r="C20" s="122" t="b">
        <f t="shared" ref="C20:D20" si="17">XLOOKUP($C$1, $F$1:$U$1, F20:U20)</f>
        <v>1</v>
      </c>
      <c r="D20" s="122" t="b">
        <f t="shared" si="17"/>
        <v>1</v>
      </c>
      <c r="E20" s="123"/>
      <c r="F20" s="139" t="b">
        <v>1</v>
      </c>
      <c r="G20" s="137" t="b">
        <v>1</v>
      </c>
      <c r="H20" s="149" t="b">
        <v>1</v>
      </c>
      <c r="I20" s="149" t="b">
        <v>1</v>
      </c>
      <c r="J20" s="139" t="b">
        <v>1</v>
      </c>
      <c r="K20" s="139" t="b">
        <v>1</v>
      </c>
      <c r="L20" s="124" t="b">
        <v>1</v>
      </c>
      <c r="M20" s="124" t="b">
        <v>1</v>
      </c>
      <c r="N20" s="149" t="b">
        <v>1</v>
      </c>
      <c r="O20" s="149" t="b">
        <v>1</v>
      </c>
      <c r="P20" s="149" t="b">
        <v>1</v>
      </c>
      <c r="Q20" s="149" t="b">
        <v>1</v>
      </c>
      <c r="R20" s="149" t="b">
        <v>1</v>
      </c>
      <c r="S20" s="149" t="b">
        <v>1</v>
      </c>
      <c r="T20" s="123"/>
      <c r="U20" s="123"/>
      <c r="V20" s="123"/>
    </row>
    <row r="21">
      <c r="A21" s="150" t="s">
        <v>114</v>
      </c>
      <c r="B21" s="150" t="s">
        <v>115</v>
      </c>
      <c r="C21" s="141" t="b">
        <f t="shared" ref="C21:D21" si="18">XLOOKUP($C$1, $F$1:$U$1, F21:U21)</f>
        <v>1</v>
      </c>
      <c r="D21" s="141" t="b">
        <f t="shared" si="18"/>
        <v>1</v>
      </c>
      <c r="E21" s="142"/>
      <c r="F21" s="145" t="b">
        <v>1</v>
      </c>
      <c r="G21" s="145" t="b">
        <v>1</v>
      </c>
      <c r="H21" s="151" t="b">
        <v>1</v>
      </c>
      <c r="I21" s="151" t="b">
        <v>1</v>
      </c>
      <c r="J21" s="145" t="b">
        <v>1</v>
      </c>
      <c r="K21" s="145" t="b">
        <v>1</v>
      </c>
      <c r="L21" s="148" t="b">
        <v>1</v>
      </c>
      <c r="M21" s="148" t="b">
        <v>1</v>
      </c>
      <c r="N21" s="151" t="b">
        <v>1</v>
      </c>
      <c r="O21" s="151" t="b">
        <v>1</v>
      </c>
      <c r="P21" s="151" t="b">
        <v>1</v>
      </c>
      <c r="Q21" s="151" t="b">
        <v>1</v>
      </c>
      <c r="R21" s="151" t="b">
        <v>1</v>
      </c>
      <c r="S21" s="151" t="b">
        <v>1</v>
      </c>
      <c r="T21" s="142"/>
      <c r="U21" s="142"/>
      <c r="V21" s="142"/>
    </row>
    <row r="22">
      <c r="A22" s="152" t="s">
        <v>116</v>
      </c>
      <c r="B22" s="152"/>
      <c r="C22" s="122" t="str">
        <f t="shared" ref="C22:D22" si="19">XLOOKUP($C$1, $F$1:$U$1, F22:U22)</f>
        <v>Strategy C: Hirarachical All-Gather</v>
      </c>
      <c r="D22" s="122" t="str">
        <f t="shared" si="19"/>
        <v>Strategy C: Hirarachical All-Gather</v>
      </c>
      <c r="E22" s="123"/>
      <c r="F22" s="153" t="s">
        <v>117</v>
      </c>
      <c r="G22" s="153" t="s">
        <v>117</v>
      </c>
      <c r="H22" s="122" t="s">
        <v>117</v>
      </c>
      <c r="I22" s="122" t="s">
        <v>117</v>
      </c>
      <c r="J22" s="153" t="s">
        <v>117</v>
      </c>
      <c r="K22" s="153" t="s">
        <v>117</v>
      </c>
      <c r="L22" s="154" t="s">
        <v>117</v>
      </c>
      <c r="M22" s="154" t="s">
        <v>117</v>
      </c>
      <c r="N22" s="122" t="s">
        <v>117</v>
      </c>
      <c r="O22" s="122" t="s">
        <v>117</v>
      </c>
      <c r="P22" s="122" t="s">
        <v>117</v>
      </c>
      <c r="Q22" s="122" t="s">
        <v>117</v>
      </c>
      <c r="R22" s="122" t="s">
        <v>117</v>
      </c>
      <c r="S22" s="122" t="s">
        <v>117</v>
      </c>
      <c r="T22" s="123"/>
      <c r="U22" s="123"/>
      <c r="V22" s="123"/>
    </row>
    <row r="23">
      <c r="A23" s="150" t="s">
        <v>118</v>
      </c>
      <c r="B23" s="150"/>
      <c r="C23" s="141" t="str">
        <f t="shared" ref="C23:D23" si="20">XLOOKUP($C$1, $F$1:$U$1, F23:U23)</f>
        <v>Option C: Hierachical RS</v>
      </c>
      <c r="D23" s="141" t="str">
        <f t="shared" si="20"/>
        <v>Option C: Hierachical RS</v>
      </c>
      <c r="E23" s="142"/>
      <c r="F23" s="145" t="s">
        <v>119</v>
      </c>
      <c r="G23" s="145" t="s">
        <v>119</v>
      </c>
      <c r="H23" s="144" t="s">
        <v>119</v>
      </c>
      <c r="I23" s="144" t="s">
        <v>119</v>
      </c>
      <c r="J23" s="145" t="s">
        <v>119</v>
      </c>
      <c r="K23" s="145" t="s">
        <v>119</v>
      </c>
      <c r="L23" s="155" t="s">
        <v>119</v>
      </c>
      <c r="M23" s="155" t="s">
        <v>119</v>
      </c>
      <c r="N23" s="144" t="s">
        <v>119</v>
      </c>
      <c r="O23" s="144" t="s">
        <v>119</v>
      </c>
      <c r="P23" s="144" t="s">
        <v>119</v>
      </c>
      <c r="Q23" s="144" t="s">
        <v>119</v>
      </c>
      <c r="R23" s="144" t="s">
        <v>119</v>
      </c>
      <c r="S23" s="144" t="s">
        <v>119</v>
      </c>
      <c r="T23" s="142"/>
      <c r="U23" s="142"/>
      <c r="V23" s="142"/>
    </row>
    <row r="24">
      <c r="A24" s="152" t="s">
        <v>120</v>
      </c>
      <c r="B24" s="152"/>
      <c r="C24" s="122" t="str">
        <f t="shared" ref="C24:D24" si="21">XLOOKUP($C$1, $F$1:$U$1, F24:U24)</f>
        <v>OptionA. No Overlapping</v>
      </c>
      <c r="D24" s="122" t="str">
        <f t="shared" si="21"/>
        <v>OptionA. No Overlapping</v>
      </c>
      <c r="E24" s="123"/>
      <c r="F24" s="156" t="s">
        <v>121</v>
      </c>
      <c r="G24" s="156" t="s">
        <v>121</v>
      </c>
      <c r="H24" s="123" t="s">
        <v>121</v>
      </c>
      <c r="I24" s="123" t="s">
        <v>121</v>
      </c>
      <c r="J24" s="156" t="s">
        <v>121</v>
      </c>
      <c r="K24" s="156" t="s">
        <v>121</v>
      </c>
      <c r="L24" s="156" t="s">
        <v>121</v>
      </c>
      <c r="M24" s="156" t="s">
        <v>121</v>
      </c>
      <c r="N24" s="123" t="s">
        <v>121</v>
      </c>
      <c r="O24" s="123" t="s">
        <v>121</v>
      </c>
      <c r="P24" s="123" t="s">
        <v>121</v>
      </c>
      <c r="Q24" s="123" t="s">
        <v>121</v>
      </c>
      <c r="R24" s="123" t="s">
        <v>121</v>
      </c>
      <c r="S24" s="123" t="s">
        <v>121</v>
      </c>
      <c r="T24" s="123"/>
      <c r="U24" s="123"/>
      <c r="V24" s="123"/>
    </row>
    <row r="25">
      <c r="A25" s="157"/>
      <c r="B25" s="158"/>
      <c r="C25" s="103" t="str">
        <f t="shared" ref="C25:D25" si="22">XLOOKUP($C$1, $F$1:$U$1, F25:U25)</f>
        <v/>
      </c>
      <c r="D25" s="104" t="str">
        <f t="shared" si="22"/>
        <v/>
      </c>
      <c r="E25" s="4"/>
      <c r="F25" s="159"/>
      <c r="G25" s="159"/>
      <c r="H25" s="160"/>
      <c r="I25" s="160"/>
      <c r="J25" s="159"/>
      <c r="K25" s="159"/>
      <c r="L25" s="161"/>
      <c r="M25" s="161"/>
      <c r="N25" s="160"/>
      <c r="O25" s="160"/>
      <c r="P25" s="160"/>
      <c r="Q25" s="160"/>
      <c r="R25" s="160"/>
      <c r="S25" s="160"/>
      <c r="T25" s="4"/>
      <c r="U25" s="4"/>
      <c r="V25" s="4"/>
    </row>
    <row r="26">
      <c r="A26" s="162" t="s">
        <v>122</v>
      </c>
      <c r="B26" s="98"/>
      <c r="C26" s="103" t="str">
        <f t="shared" ref="C26:D26" si="23">XLOOKUP($C$1, $F$1:$U$1, F26:U26)</f>
        <v/>
      </c>
      <c r="D26" s="104" t="str">
        <f t="shared" si="23"/>
        <v/>
      </c>
      <c r="E26" s="98"/>
      <c r="F26" s="163"/>
      <c r="G26" s="163"/>
      <c r="H26" s="99"/>
      <c r="I26" s="99"/>
      <c r="J26" s="163"/>
      <c r="K26" s="163"/>
      <c r="L26" s="163"/>
      <c r="M26" s="163"/>
      <c r="N26" s="99"/>
      <c r="O26" s="99"/>
      <c r="P26" s="99"/>
      <c r="Q26" s="99"/>
      <c r="R26" s="99"/>
      <c r="S26" s="99"/>
      <c r="T26" s="98"/>
      <c r="U26" s="98"/>
      <c r="V26" s="98"/>
    </row>
    <row r="27">
      <c r="A27" s="164" t="s">
        <v>123</v>
      </c>
      <c r="B27" s="164" t="s">
        <v>124</v>
      </c>
      <c r="C27" s="103" t="str">
        <f t="shared" ref="C27:D27" si="24">XLOOKUP($C$1, $F$1:$U$1, F27:U27)</f>
        <v>fp8</v>
      </c>
      <c r="D27" s="104" t="str">
        <f t="shared" si="24"/>
        <v>fp8</v>
      </c>
      <c r="E27" s="98"/>
      <c r="F27" s="165" t="s">
        <v>125</v>
      </c>
      <c r="G27" s="165" t="s">
        <v>125</v>
      </c>
      <c r="H27" s="110" t="s">
        <v>125</v>
      </c>
      <c r="I27" s="110" t="s">
        <v>125</v>
      </c>
      <c r="J27" s="165" t="s">
        <v>125</v>
      </c>
      <c r="K27" s="165" t="s">
        <v>125</v>
      </c>
      <c r="L27" s="166" t="s">
        <v>125</v>
      </c>
      <c r="M27" s="166" t="s">
        <v>125</v>
      </c>
      <c r="N27" s="110" t="s">
        <v>125</v>
      </c>
      <c r="O27" s="110" t="s">
        <v>125</v>
      </c>
      <c r="P27" s="110" t="s">
        <v>125</v>
      </c>
      <c r="Q27" s="110" t="s">
        <v>125</v>
      </c>
      <c r="R27" s="110" t="s">
        <v>125</v>
      </c>
      <c r="S27" s="110" t="s">
        <v>125</v>
      </c>
      <c r="T27" s="98"/>
      <c r="U27" s="98"/>
      <c r="V27" s="98"/>
    </row>
    <row r="28">
      <c r="A28" s="164" t="s">
        <v>126</v>
      </c>
      <c r="B28" s="167" t="s">
        <v>127</v>
      </c>
      <c r="C28" s="168" t="str">
        <f t="shared" ref="C28:D28" si="25">XLOOKUP($C$1, $F$1:$U$1, F28:U28)</f>
        <v>w8a8</v>
      </c>
      <c r="D28" s="169" t="str">
        <f t="shared" si="25"/>
        <v>w8a8</v>
      </c>
      <c r="E28" s="98"/>
      <c r="F28" s="170" t="s">
        <v>128</v>
      </c>
      <c r="G28" s="170" t="s">
        <v>128</v>
      </c>
      <c r="H28" s="171" t="s">
        <v>128</v>
      </c>
      <c r="I28" s="171" t="s">
        <v>128</v>
      </c>
      <c r="J28" s="170" t="s">
        <v>128</v>
      </c>
      <c r="K28" s="170" t="s">
        <v>128</v>
      </c>
      <c r="L28" s="172" t="s">
        <v>128</v>
      </c>
      <c r="M28" s="172" t="s">
        <v>128</v>
      </c>
      <c r="N28" s="171" t="s">
        <v>128</v>
      </c>
      <c r="O28" s="171" t="s">
        <v>128</v>
      </c>
      <c r="P28" s="171" t="s">
        <v>128</v>
      </c>
      <c r="Q28" s="171" t="s">
        <v>128</v>
      </c>
      <c r="R28" s="171" t="s">
        <v>128</v>
      </c>
      <c r="S28" s="171" t="s">
        <v>128</v>
      </c>
      <c r="T28" s="98"/>
      <c r="U28" s="98"/>
      <c r="V28" s="98"/>
    </row>
    <row r="29">
      <c r="A29" s="164" t="s">
        <v>129</v>
      </c>
      <c r="B29" s="164" t="s">
        <v>130</v>
      </c>
      <c r="C29" s="168" t="str">
        <f t="shared" ref="C29:D29" si="26">XLOOKUP($C$1, $F$1:$U$1, F29:U29)</f>
        <v>w8a8</v>
      </c>
      <c r="D29" s="169" t="str">
        <f t="shared" si="26"/>
        <v>w8a8</v>
      </c>
      <c r="E29" s="98"/>
      <c r="F29" s="170" t="s">
        <v>128</v>
      </c>
      <c r="G29" s="170" t="s">
        <v>128</v>
      </c>
      <c r="H29" s="171" t="s">
        <v>128</v>
      </c>
      <c r="I29" s="171" t="s">
        <v>128</v>
      </c>
      <c r="J29" s="170" t="s">
        <v>128</v>
      </c>
      <c r="K29" s="170" t="s">
        <v>128</v>
      </c>
      <c r="L29" s="172" t="s">
        <v>128</v>
      </c>
      <c r="M29" s="172" t="s">
        <v>128</v>
      </c>
      <c r="N29" s="171" t="s">
        <v>128</v>
      </c>
      <c r="O29" s="171" t="s">
        <v>128</v>
      </c>
      <c r="P29" s="171" t="s">
        <v>128</v>
      </c>
      <c r="Q29" s="171" t="s">
        <v>128</v>
      </c>
      <c r="R29" s="171" t="s">
        <v>128</v>
      </c>
      <c r="S29" s="171" t="s">
        <v>128</v>
      </c>
      <c r="T29" s="98"/>
      <c r="U29" s="98"/>
      <c r="V29" s="98"/>
    </row>
    <row r="30">
      <c r="A30" s="164" t="s">
        <v>131</v>
      </c>
      <c r="B30" s="167" t="s">
        <v>132</v>
      </c>
      <c r="C30" s="103" t="str">
        <f t="shared" ref="C30:D30" si="27">XLOOKUP($C$1, $F$1:$U$1, F30:U30)</f>
        <v>bf16</v>
      </c>
      <c r="D30" s="104" t="str">
        <f t="shared" si="27"/>
        <v>bf16</v>
      </c>
      <c r="E30" s="98"/>
      <c r="F30" s="173" t="s">
        <v>133</v>
      </c>
      <c r="G30" s="173" t="s">
        <v>133</v>
      </c>
      <c r="H30" s="110" t="s">
        <v>133</v>
      </c>
      <c r="I30" s="110" t="s">
        <v>133</v>
      </c>
      <c r="J30" s="173" t="s">
        <v>133</v>
      </c>
      <c r="K30" s="173" t="s">
        <v>133</v>
      </c>
      <c r="L30" s="173" t="s">
        <v>133</v>
      </c>
      <c r="M30" s="173" t="s">
        <v>133</v>
      </c>
      <c r="N30" s="110" t="s">
        <v>133</v>
      </c>
      <c r="O30" s="110" t="s">
        <v>133</v>
      </c>
      <c r="P30" s="173" t="s">
        <v>133</v>
      </c>
      <c r="Q30" s="173" t="s">
        <v>133</v>
      </c>
      <c r="R30" s="110" t="s">
        <v>133</v>
      </c>
      <c r="S30" s="110" t="s">
        <v>133</v>
      </c>
      <c r="T30" s="98"/>
      <c r="U30" s="98"/>
      <c r="V30" s="98"/>
    </row>
    <row r="31">
      <c r="A31" s="164" t="s">
        <v>134</v>
      </c>
      <c r="B31" s="167" t="s">
        <v>135</v>
      </c>
      <c r="C31" s="103" t="str">
        <f t="shared" ref="C31:D31" si="28">XLOOKUP($C$1, $F$1:$U$1, F31:U31)</f>
        <v>bf16</v>
      </c>
      <c r="D31" s="104" t="str">
        <f t="shared" si="28"/>
        <v>bf16</v>
      </c>
      <c r="E31" s="98"/>
      <c r="F31" s="173" t="s">
        <v>133</v>
      </c>
      <c r="G31" s="173" t="s">
        <v>133</v>
      </c>
      <c r="H31" s="110" t="s">
        <v>133</v>
      </c>
      <c r="I31" s="110" t="s">
        <v>133</v>
      </c>
      <c r="J31" s="173" t="s">
        <v>133</v>
      </c>
      <c r="K31" s="173" t="s">
        <v>133</v>
      </c>
      <c r="L31" s="173" t="s">
        <v>133</v>
      </c>
      <c r="M31" s="173" t="s">
        <v>133</v>
      </c>
      <c r="N31" s="110" t="s">
        <v>133</v>
      </c>
      <c r="O31" s="110" t="s">
        <v>133</v>
      </c>
      <c r="P31" s="173" t="s">
        <v>133</v>
      </c>
      <c r="Q31" s="173" t="s">
        <v>133</v>
      </c>
      <c r="R31" s="110" t="s">
        <v>133</v>
      </c>
      <c r="S31" s="110" t="s">
        <v>133</v>
      </c>
      <c r="T31" s="98"/>
      <c r="U31" s="98"/>
      <c r="V31" s="98"/>
    </row>
    <row r="32">
      <c r="A32" s="164" t="s">
        <v>136</v>
      </c>
      <c r="B32" s="167" t="s">
        <v>137</v>
      </c>
      <c r="C32" s="103" t="str">
        <f t="shared" ref="C32:D32" si="29">XLOOKUP($C$1, $F$1:$U$1, F32:U32)</f>
        <v>fp8</v>
      </c>
      <c r="D32" s="104" t="str">
        <f t="shared" si="29"/>
        <v>fp8</v>
      </c>
      <c r="E32" s="98"/>
      <c r="F32" s="165" t="s">
        <v>125</v>
      </c>
      <c r="G32" s="165" t="s">
        <v>125</v>
      </c>
      <c r="H32" s="110" t="s">
        <v>125</v>
      </c>
      <c r="I32" s="110" t="s">
        <v>125</v>
      </c>
      <c r="J32" s="165" t="s">
        <v>125</v>
      </c>
      <c r="K32" s="165" t="s">
        <v>125</v>
      </c>
      <c r="L32" s="166" t="s">
        <v>125</v>
      </c>
      <c r="M32" s="166" t="s">
        <v>125</v>
      </c>
      <c r="N32" s="110" t="s">
        <v>125</v>
      </c>
      <c r="O32" s="110" t="s">
        <v>125</v>
      </c>
      <c r="P32" s="110" t="s">
        <v>125</v>
      </c>
      <c r="Q32" s="110" t="s">
        <v>125</v>
      </c>
      <c r="R32" s="110" t="s">
        <v>125</v>
      </c>
      <c r="S32" s="110" t="s">
        <v>125</v>
      </c>
      <c r="T32" s="98"/>
      <c r="U32" s="98"/>
      <c r="V32" s="98"/>
    </row>
    <row r="33">
      <c r="A33" s="105" t="s">
        <v>138</v>
      </c>
      <c r="B33" s="167" t="s">
        <v>139</v>
      </c>
      <c r="C33" s="168" t="str">
        <f t="shared" ref="C33:D33" si="30">XLOOKUP($C$1, $F$1:$U$1, F33:U33)</f>
        <v>w8a8</v>
      </c>
      <c r="D33" s="169" t="str">
        <f t="shared" si="30"/>
        <v>w8a8</v>
      </c>
      <c r="E33" s="98"/>
      <c r="F33" s="174" t="s">
        <v>128</v>
      </c>
      <c r="G33" s="174" t="s">
        <v>128</v>
      </c>
      <c r="H33" s="171" t="s">
        <v>128</v>
      </c>
      <c r="I33" s="171" t="s">
        <v>128</v>
      </c>
      <c r="J33" s="174" t="s">
        <v>128</v>
      </c>
      <c r="K33" s="174" t="s">
        <v>128</v>
      </c>
      <c r="L33" s="175" t="s">
        <v>128</v>
      </c>
      <c r="M33" s="175" t="s">
        <v>128</v>
      </c>
      <c r="N33" s="171" t="s">
        <v>128</v>
      </c>
      <c r="O33" s="171" t="s">
        <v>128</v>
      </c>
      <c r="P33" s="171" t="s">
        <v>128</v>
      </c>
      <c r="Q33" s="171" t="s">
        <v>128</v>
      </c>
      <c r="R33" s="171" t="s">
        <v>128</v>
      </c>
      <c r="S33" s="171" t="s">
        <v>128</v>
      </c>
      <c r="T33" s="98"/>
      <c r="U33" s="98"/>
      <c r="V33" s="98"/>
    </row>
    <row r="34">
      <c r="A34" s="164" t="s">
        <v>140</v>
      </c>
      <c r="B34" s="167" t="s">
        <v>141</v>
      </c>
      <c r="C34" s="103" t="str">
        <f t="shared" ref="C34:D34" si="31">XLOOKUP($C$1, $F$1:$U$1, F34:U34)</f>
        <v>bf16</v>
      </c>
      <c r="D34" s="104" t="str">
        <f t="shared" si="31"/>
        <v>bf16</v>
      </c>
      <c r="E34" s="98"/>
      <c r="F34" s="165" t="s">
        <v>133</v>
      </c>
      <c r="G34" s="165" t="s">
        <v>133</v>
      </c>
      <c r="H34" s="110" t="s">
        <v>133</v>
      </c>
      <c r="I34" s="110" t="s">
        <v>133</v>
      </c>
      <c r="J34" s="165" t="s">
        <v>133</v>
      </c>
      <c r="K34" s="165" t="s">
        <v>133</v>
      </c>
      <c r="L34" s="166" t="s">
        <v>133</v>
      </c>
      <c r="M34" s="166" t="s">
        <v>133</v>
      </c>
      <c r="N34" s="110" t="s">
        <v>133</v>
      </c>
      <c r="O34" s="110" t="s">
        <v>133</v>
      </c>
      <c r="P34" s="110" t="s">
        <v>133</v>
      </c>
      <c r="Q34" s="110" t="s">
        <v>133</v>
      </c>
      <c r="R34" s="110" t="s">
        <v>133</v>
      </c>
      <c r="S34" s="110" t="s">
        <v>133</v>
      </c>
      <c r="T34" s="98"/>
      <c r="U34" s="98"/>
      <c r="V34" s="98"/>
    </row>
    <row r="35">
      <c r="A35" s="4"/>
      <c r="B35" s="4"/>
      <c r="C35" s="5"/>
      <c r="D35" s="5"/>
      <c r="E35" s="4"/>
      <c r="F35" s="2"/>
      <c r="G35" s="2"/>
      <c r="H35" s="5"/>
      <c r="I35" s="5"/>
      <c r="J35" s="2"/>
      <c r="K35" s="2"/>
      <c r="L35" s="2"/>
      <c r="M35" s="2"/>
      <c r="N35" s="4"/>
      <c r="O35" s="4"/>
      <c r="P35" s="4"/>
      <c r="Q35" s="4"/>
      <c r="R35" s="5"/>
      <c r="S35" s="5"/>
      <c r="T35" s="4"/>
      <c r="U35" s="4"/>
      <c r="V35" s="4"/>
    </row>
    <row r="36">
      <c r="A36" s="176" t="s">
        <v>142</v>
      </c>
      <c r="B36" s="177"/>
      <c r="C36" s="178"/>
      <c r="D36" s="179"/>
      <c r="E36" s="177"/>
      <c r="F36" s="180"/>
      <c r="G36" s="180"/>
      <c r="H36" s="179"/>
      <c r="I36" s="179"/>
      <c r="J36" s="180"/>
      <c r="K36" s="180"/>
      <c r="L36" s="180"/>
      <c r="M36" s="180"/>
      <c r="N36" s="177"/>
      <c r="O36" s="177"/>
      <c r="P36" s="177"/>
      <c r="Q36" s="177"/>
      <c r="R36" s="179"/>
      <c r="S36" s="179"/>
      <c r="T36" s="177"/>
      <c r="U36" s="177"/>
      <c r="V36" s="177"/>
    </row>
    <row r="37">
      <c r="A37" s="181"/>
      <c r="B37" s="4"/>
      <c r="C37" s="5"/>
      <c r="D37" s="5"/>
      <c r="E37" s="4"/>
      <c r="F37" s="2"/>
      <c r="G37" s="2"/>
      <c r="H37" s="5"/>
      <c r="I37" s="5"/>
      <c r="J37" s="2"/>
      <c r="K37" s="2"/>
      <c r="L37" s="2"/>
      <c r="M37" s="2"/>
      <c r="N37" s="4"/>
      <c r="O37" s="4"/>
      <c r="P37" s="4"/>
      <c r="Q37" s="4"/>
      <c r="R37" s="5"/>
      <c r="S37" s="5"/>
      <c r="T37" s="4"/>
      <c r="U37" s="4"/>
      <c r="V37" s="4"/>
    </row>
    <row r="38">
      <c r="A38" s="182"/>
      <c r="B38" s="183" t="s">
        <v>143</v>
      </c>
      <c r="C38" s="184" t="s">
        <v>144</v>
      </c>
      <c r="D38" s="184" t="s">
        <v>60</v>
      </c>
      <c r="E38" s="4"/>
      <c r="F38" s="2"/>
      <c r="G38" s="2"/>
      <c r="H38" s="5"/>
      <c r="I38" s="5"/>
      <c r="J38" s="2"/>
      <c r="K38" s="2"/>
      <c r="L38" s="2"/>
      <c r="M38" s="2"/>
      <c r="N38" s="4"/>
      <c r="O38" s="4"/>
      <c r="P38" s="4"/>
      <c r="Q38" s="4"/>
      <c r="R38" s="5"/>
      <c r="S38" s="5"/>
      <c r="T38" s="4"/>
      <c r="U38" s="4"/>
      <c r="V38" s="4"/>
    </row>
    <row r="39">
      <c r="A39" s="185" t="s">
        <v>145</v>
      </c>
      <c r="B39" s="186" t="b">
        <f>'Decode First Token'!B94</f>
        <v>1</v>
      </c>
      <c r="C39" s="186" t="b">
        <f>'Decode Last Token'!B94</f>
        <v>1</v>
      </c>
      <c r="D39" s="186" t="b">
        <f>Prefill!B94</f>
        <v>1</v>
      </c>
      <c r="E39" s="4"/>
      <c r="F39" s="2"/>
      <c r="G39" s="2"/>
      <c r="H39" s="5"/>
      <c r="I39" s="5"/>
      <c r="J39" s="2"/>
      <c r="K39" s="2"/>
      <c r="L39" s="2"/>
      <c r="M39" s="2"/>
      <c r="N39" s="4"/>
      <c r="O39" s="4"/>
      <c r="P39" s="4"/>
      <c r="Q39" s="4"/>
      <c r="R39" s="5"/>
      <c r="S39" s="5"/>
      <c r="T39" s="4"/>
      <c r="U39" s="4"/>
      <c r="V39" s="4"/>
    </row>
    <row r="40">
      <c r="A40" s="187" t="s">
        <v>146</v>
      </c>
      <c r="B40" s="188">
        <f>'Decode First Token'!B48</f>
        <v>0.01302977267</v>
      </c>
      <c r="C40" s="188">
        <f>'Decode Last Token'!B48</f>
        <v>0.01310400402</v>
      </c>
      <c r="D40" s="188">
        <f>Prefill!B48</f>
        <v>0.08049311235</v>
      </c>
      <c r="E40" s="4"/>
      <c r="F40" s="2"/>
      <c r="G40" s="2"/>
      <c r="H40" s="5"/>
      <c r="I40" s="5"/>
      <c r="J40" s="2"/>
      <c r="K40" s="2"/>
      <c r="L40" s="2"/>
      <c r="M40" s="2"/>
      <c r="N40" s="4"/>
      <c r="O40" s="4"/>
      <c r="P40" s="4"/>
      <c r="Q40" s="4"/>
      <c r="R40" s="5"/>
      <c r="S40" s="5"/>
      <c r="T40" s="4"/>
      <c r="U40" s="4"/>
      <c r="V40" s="4"/>
    </row>
    <row r="41">
      <c r="A41" s="187" t="s">
        <v>147</v>
      </c>
      <c r="B41" s="189">
        <f>'Decode First Token'!B49</f>
        <v>9823.655655</v>
      </c>
      <c r="C41" s="189">
        <f>'Decode Last Token'!B49</f>
        <v>9768.006769</v>
      </c>
      <c r="D41" s="189">
        <f>Prefill!B49</f>
        <v>203545.3658</v>
      </c>
      <c r="E41" s="4"/>
      <c r="F41" s="2"/>
      <c r="G41" s="2"/>
      <c r="H41" s="5"/>
      <c r="I41" s="5"/>
      <c r="J41" s="2"/>
      <c r="K41" s="2"/>
      <c r="L41" s="2"/>
      <c r="M41" s="2"/>
      <c r="N41" s="4"/>
      <c r="O41" s="4"/>
      <c r="P41" s="4"/>
      <c r="Q41" s="4"/>
      <c r="R41" s="5"/>
      <c r="S41" s="5"/>
      <c r="T41" s="4"/>
      <c r="U41" s="4"/>
      <c r="V41" s="4"/>
    </row>
    <row r="42">
      <c r="A42" s="187" t="s">
        <v>148</v>
      </c>
      <c r="B42" s="189">
        <f>'Decode First Token'!B50</f>
        <v>9823.655655</v>
      </c>
      <c r="C42" s="189">
        <f>'Decode Last Token'!B50</f>
        <v>9768.006769</v>
      </c>
      <c r="D42" s="189">
        <f>Prefill!B50</f>
        <v>203545.3658</v>
      </c>
      <c r="E42" s="4"/>
      <c r="F42" s="2"/>
      <c r="G42" s="2"/>
      <c r="H42" s="5"/>
      <c r="I42" s="5"/>
      <c r="J42" s="2"/>
      <c r="K42" s="2"/>
      <c r="L42" s="2"/>
      <c r="M42" s="2"/>
      <c r="N42" s="4"/>
      <c r="O42" s="4"/>
      <c r="P42" s="4"/>
      <c r="Q42" s="4"/>
      <c r="R42" s="5"/>
      <c r="S42" s="5"/>
      <c r="T42" s="4"/>
      <c r="U42" s="4"/>
      <c r="V42" s="4"/>
    </row>
    <row r="43">
      <c r="A43" s="187" t="s">
        <v>149</v>
      </c>
      <c r="B43" s="190">
        <f>'Decode First Token'!B51</f>
        <v>1227.956957</v>
      </c>
      <c r="C43" s="189">
        <f>'Decode Last Token'!B51</f>
        <v>1221.000846</v>
      </c>
      <c r="D43" s="189">
        <f>Prefill!B51</f>
        <v>25443.17073</v>
      </c>
      <c r="E43" s="4"/>
      <c r="F43" s="2"/>
      <c r="G43" s="2"/>
      <c r="H43" s="5"/>
      <c r="I43" s="5"/>
      <c r="J43" s="2"/>
      <c r="K43" s="2"/>
      <c r="L43" s="2"/>
      <c r="M43" s="2"/>
      <c r="N43" s="4"/>
      <c r="O43" s="4"/>
      <c r="P43" s="4"/>
      <c r="Q43" s="4"/>
      <c r="R43" s="5"/>
      <c r="S43" s="5"/>
      <c r="T43" s="4"/>
      <c r="U43" s="4"/>
      <c r="V43" s="4"/>
    </row>
    <row r="44">
      <c r="E44" s="4"/>
      <c r="F44" s="2"/>
      <c r="G44" s="2"/>
      <c r="H44" s="5"/>
      <c r="I44" s="5"/>
      <c r="J44" s="2"/>
      <c r="K44" s="2"/>
      <c r="L44" s="2"/>
      <c r="M44" s="2"/>
      <c r="N44" s="4"/>
      <c r="O44" s="4"/>
      <c r="P44" s="4"/>
      <c r="Q44" s="4"/>
      <c r="R44" s="5"/>
      <c r="S44" s="5"/>
      <c r="T44" s="4"/>
      <c r="U44" s="4"/>
      <c r="V44" s="4"/>
    </row>
    <row r="45">
      <c r="A45" s="191" t="s">
        <v>150</v>
      </c>
      <c r="B45" s="182"/>
      <c r="E45" s="4"/>
      <c r="F45" s="2"/>
      <c r="G45" s="2"/>
      <c r="H45" s="192"/>
      <c r="I45" s="5"/>
      <c r="J45" s="2"/>
      <c r="K45" s="2"/>
      <c r="L45" s="2"/>
      <c r="M45" s="2"/>
      <c r="N45" s="4"/>
      <c r="O45" s="4"/>
      <c r="P45" s="4"/>
      <c r="Q45" s="4"/>
      <c r="R45" s="192"/>
      <c r="S45" s="5"/>
      <c r="T45" s="4"/>
      <c r="U45" s="4"/>
      <c r="V45" s="4"/>
    </row>
    <row r="46">
      <c r="A46" s="187" t="s">
        <v>151</v>
      </c>
      <c r="B46" s="182">
        <f>C17</f>
        <v>2048</v>
      </c>
      <c r="E46" s="4"/>
      <c r="F46" s="2"/>
      <c r="G46" s="2"/>
      <c r="H46" s="107"/>
      <c r="I46" s="5"/>
      <c r="J46" s="2"/>
      <c r="K46" s="2"/>
      <c r="L46" s="2"/>
      <c r="M46" s="2"/>
      <c r="N46" s="4"/>
      <c r="O46" s="4"/>
      <c r="P46" s="4"/>
      <c r="Q46" s="4"/>
      <c r="R46" s="107"/>
      <c r="S46" s="5"/>
      <c r="T46" s="4"/>
      <c r="U46" s="4"/>
      <c r="V46" s="4"/>
    </row>
    <row r="47">
      <c r="A47" s="187" t="s">
        <v>152</v>
      </c>
      <c r="B47" s="182">
        <f>C16-C17</f>
        <v>512</v>
      </c>
      <c r="E47" s="4"/>
      <c r="F47" s="2"/>
      <c r="G47" s="2"/>
      <c r="H47" s="107"/>
      <c r="I47" s="5"/>
      <c r="J47" s="2"/>
      <c r="K47" s="2"/>
      <c r="L47" s="2"/>
      <c r="M47" s="2"/>
      <c r="N47" s="4"/>
      <c r="O47" s="4"/>
      <c r="P47" s="4"/>
      <c r="Q47" s="4"/>
      <c r="R47" s="107"/>
      <c r="S47" s="5"/>
      <c r="T47" s="4"/>
      <c r="U47" s="4"/>
      <c r="V47" s="4"/>
    </row>
    <row r="48">
      <c r="A48" s="187"/>
      <c r="B48" s="182"/>
      <c r="E48" s="4"/>
      <c r="F48" s="2"/>
      <c r="G48" s="2"/>
      <c r="H48" s="107"/>
      <c r="I48" s="5"/>
      <c r="J48" s="2"/>
      <c r="K48" s="2"/>
      <c r="L48" s="2"/>
      <c r="M48" s="2"/>
      <c r="N48" s="4"/>
      <c r="O48" s="4"/>
      <c r="P48" s="4"/>
      <c r="Q48" s="4"/>
      <c r="R48" s="107"/>
      <c r="S48" s="5"/>
      <c r="T48" s="4"/>
      <c r="U48" s="4"/>
      <c r="V48" s="4"/>
    </row>
    <row r="49">
      <c r="A49" s="187" t="s">
        <v>153</v>
      </c>
      <c r="B49" s="182">
        <f>'Decode Last Token'!G11</f>
        <v>8</v>
      </c>
      <c r="E49" s="4"/>
      <c r="F49" s="2"/>
      <c r="G49" s="2"/>
      <c r="H49" s="107"/>
      <c r="I49" s="5"/>
      <c r="J49" s="2"/>
      <c r="K49" s="2"/>
      <c r="L49" s="2"/>
      <c r="M49" s="2"/>
      <c r="N49" s="4"/>
      <c r="O49" s="4"/>
      <c r="P49" s="4"/>
      <c r="Q49" s="4"/>
      <c r="R49" s="107"/>
      <c r="S49" s="5"/>
      <c r="T49" s="4"/>
      <c r="U49" s="4"/>
      <c r="V49" s="4"/>
    </row>
    <row r="50">
      <c r="A50" s="187" t="s">
        <v>154</v>
      </c>
      <c r="B50" s="193">
        <f>(B40+C40)*B47/2</f>
        <v>6.690246834</v>
      </c>
      <c r="C50" s="181" t="s">
        <v>155</v>
      </c>
      <c r="E50" s="4"/>
      <c r="F50" s="2"/>
      <c r="G50" s="2"/>
      <c r="H50" s="5"/>
      <c r="I50" s="5"/>
      <c r="J50" s="2"/>
      <c r="K50" s="2"/>
      <c r="L50" s="2"/>
      <c r="M50" s="2"/>
      <c r="N50" s="4"/>
      <c r="O50" s="4"/>
      <c r="P50" s="4"/>
      <c r="Q50" s="4"/>
      <c r="R50" s="5"/>
      <c r="S50" s="5"/>
      <c r="T50" s="4"/>
      <c r="U50" s="4"/>
      <c r="V50" s="4"/>
    </row>
    <row r="51">
      <c r="A51" s="191" t="s">
        <v>156</v>
      </c>
      <c r="B51" s="194">
        <f>(C15*B47)/B50/B49</f>
        <v>1224.469022</v>
      </c>
      <c r="C51" s="181" t="s">
        <v>157</v>
      </c>
      <c r="E51" s="4"/>
      <c r="F51" s="2"/>
      <c r="G51" s="2"/>
      <c r="H51" s="5"/>
      <c r="I51" s="5"/>
      <c r="J51" s="2"/>
      <c r="K51" s="2"/>
      <c r="L51" s="2"/>
      <c r="M51" s="2"/>
      <c r="N51" s="4"/>
      <c r="O51" s="4"/>
      <c r="P51" s="4"/>
      <c r="Q51" s="4"/>
      <c r="R51" s="5"/>
      <c r="S51" s="5"/>
      <c r="T51" s="4"/>
      <c r="U51" s="4"/>
      <c r="V51" s="4"/>
    </row>
    <row r="52">
      <c r="A52" s="187"/>
      <c r="B52" s="195"/>
      <c r="E52" s="4"/>
      <c r="F52" s="2"/>
      <c r="G52" s="2"/>
      <c r="H52" s="5"/>
      <c r="I52" s="5"/>
      <c r="J52" s="2"/>
      <c r="K52" s="2"/>
      <c r="L52" s="2"/>
      <c r="M52" s="2"/>
      <c r="N52" s="4"/>
      <c r="O52" s="4"/>
      <c r="P52" s="4"/>
      <c r="Q52" s="4"/>
      <c r="R52" s="5"/>
      <c r="S52" s="5"/>
      <c r="T52" s="4"/>
      <c r="U52" s="4"/>
      <c r="V52" s="4"/>
    </row>
    <row r="53">
      <c r="A53" s="187" t="s">
        <v>158</v>
      </c>
      <c r="B53" s="196">
        <f>D43/B46</f>
        <v>12.42342321</v>
      </c>
      <c r="E53" s="4"/>
      <c r="F53" s="2"/>
      <c r="G53" s="2"/>
      <c r="H53" s="5"/>
      <c r="I53" s="5"/>
      <c r="J53" s="2"/>
      <c r="K53" s="2"/>
      <c r="L53" s="2"/>
      <c r="M53" s="2"/>
      <c r="N53" s="4"/>
      <c r="O53" s="4"/>
      <c r="P53" s="4"/>
      <c r="Q53" s="4"/>
      <c r="R53" s="5"/>
      <c r="S53" s="5"/>
      <c r="T53" s="4"/>
      <c r="U53" s="4"/>
      <c r="V53" s="4"/>
    </row>
    <row r="54">
      <c r="A54" s="187" t="s">
        <v>159</v>
      </c>
      <c r="B54" s="196">
        <f>B51/B47</f>
        <v>2.391541059</v>
      </c>
      <c r="E54" s="4"/>
      <c r="F54" s="2"/>
      <c r="G54" s="2"/>
      <c r="H54" s="5"/>
      <c r="I54" s="5"/>
      <c r="J54" s="2"/>
      <c r="K54" s="2"/>
      <c r="L54" s="2"/>
      <c r="M54" s="2"/>
      <c r="N54" s="4"/>
      <c r="O54" s="4"/>
      <c r="P54" s="4"/>
      <c r="Q54" s="4"/>
      <c r="R54" s="5"/>
      <c r="S54" s="5"/>
      <c r="T54" s="4"/>
      <c r="U54" s="4"/>
      <c r="V54" s="4"/>
    </row>
    <row r="55">
      <c r="A55" s="185" t="s">
        <v>160</v>
      </c>
      <c r="B55" s="196">
        <f>1/(1/B53 + 1/B54)</f>
        <v>2.005480821</v>
      </c>
      <c r="C55" s="181" t="s">
        <v>161</v>
      </c>
      <c r="E55" s="4"/>
      <c r="F55" s="2"/>
      <c r="G55" s="2"/>
      <c r="H55" s="5"/>
      <c r="I55" s="5"/>
      <c r="J55" s="2"/>
      <c r="K55" s="2"/>
      <c r="L55" s="2"/>
      <c r="M55" s="2"/>
      <c r="N55" s="4"/>
      <c r="O55" s="4"/>
      <c r="P55" s="4"/>
      <c r="Q55" s="4"/>
      <c r="R55" s="5"/>
      <c r="S55" s="5"/>
      <c r="T55" s="4"/>
      <c r="U55" s="4"/>
      <c r="V55" s="4"/>
    </row>
    <row r="56">
      <c r="A56" s="185" t="s">
        <v>162</v>
      </c>
      <c r="B56" s="197">
        <f>B54/B53</f>
        <v>0.1925025832</v>
      </c>
      <c r="C56" s="198" t="s">
        <v>163</v>
      </c>
      <c r="D56" s="5"/>
      <c r="E56" s="4"/>
      <c r="F56" s="2"/>
      <c r="G56" s="2"/>
      <c r="H56" s="5"/>
      <c r="I56" s="5"/>
      <c r="J56" s="2"/>
      <c r="K56" s="2"/>
      <c r="L56" s="2"/>
      <c r="M56" s="2"/>
      <c r="N56" s="4"/>
      <c r="O56" s="4"/>
      <c r="P56" s="4"/>
      <c r="Q56" s="4"/>
      <c r="R56" s="5"/>
      <c r="S56" s="5"/>
      <c r="T56" s="4"/>
      <c r="U56" s="4"/>
      <c r="V56" s="4"/>
    </row>
    <row r="57">
      <c r="A57" s="185"/>
      <c r="B57" s="195"/>
      <c r="C57" s="5"/>
      <c r="D57" s="5"/>
      <c r="E57" s="4"/>
      <c r="F57" s="2"/>
      <c r="G57" s="2"/>
      <c r="H57" s="5"/>
      <c r="I57" s="5"/>
      <c r="J57" s="2"/>
      <c r="K57" s="2"/>
      <c r="L57" s="2"/>
      <c r="M57" s="2"/>
      <c r="N57" s="4"/>
      <c r="O57" s="4"/>
      <c r="P57" s="4"/>
      <c r="Q57" s="4"/>
      <c r="R57" s="5"/>
      <c r="S57" s="5"/>
      <c r="T57" s="4"/>
      <c r="U57" s="4"/>
      <c r="V57" s="4"/>
    </row>
    <row r="58">
      <c r="A58" s="199" t="s">
        <v>164</v>
      </c>
      <c r="B58" s="200">
        <f>B55*sum(B46:B47)</f>
        <v>5134.030901</v>
      </c>
      <c r="C58" s="5"/>
      <c r="D58" s="5"/>
      <c r="E58" s="4"/>
      <c r="F58" s="2"/>
      <c r="G58" s="2"/>
      <c r="H58" s="5"/>
      <c r="I58" s="5"/>
      <c r="J58" s="2"/>
      <c r="K58" s="2"/>
      <c r="L58" s="2"/>
      <c r="M58" s="2"/>
      <c r="N58" s="4"/>
      <c r="O58" s="4"/>
      <c r="P58" s="4"/>
      <c r="Q58" s="4"/>
      <c r="R58" s="5"/>
      <c r="S58" s="5"/>
      <c r="T58" s="4"/>
      <c r="U58" s="4"/>
      <c r="V58" s="4"/>
    </row>
    <row r="59">
      <c r="A59" s="199" t="s">
        <v>165</v>
      </c>
      <c r="B59" s="200">
        <f>B55*B47</f>
        <v>1026.80618</v>
      </c>
      <c r="C59" s="201"/>
      <c r="D59" s="104"/>
      <c r="E59" s="4"/>
      <c r="F59" s="2"/>
      <c r="G59" s="2"/>
      <c r="H59" s="5"/>
      <c r="I59" s="5"/>
      <c r="J59" s="2"/>
      <c r="K59" s="2"/>
      <c r="L59" s="2"/>
      <c r="M59" s="2"/>
      <c r="N59" s="4"/>
      <c r="O59" s="4"/>
      <c r="P59" s="4"/>
      <c r="Q59" s="4"/>
      <c r="R59" s="5"/>
      <c r="S59" s="5"/>
      <c r="T59" s="4"/>
      <c r="U59" s="4"/>
      <c r="V59" s="4"/>
    </row>
    <row r="60">
      <c r="A60" s="3"/>
      <c r="B60" s="4"/>
      <c r="C60" s="104"/>
      <c r="D60" s="104"/>
      <c r="E60" s="4"/>
      <c r="F60" s="2"/>
      <c r="G60" s="2"/>
      <c r="H60" s="5"/>
      <c r="I60" s="5"/>
      <c r="J60" s="2"/>
      <c r="K60" s="2"/>
      <c r="L60" s="2"/>
      <c r="M60" s="2"/>
      <c r="N60" s="4"/>
      <c r="O60" s="4"/>
      <c r="P60" s="4"/>
      <c r="Q60" s="4"/>
      <c r="R60" s="5"/>
      <c r="S60" s="5"/>
      <c r="T60" s="4"/>
      <c r="U60" s="4"/>
      <c r="V60" s="4"/>
    </row>
    <row r="61">
      <c r="A61" s="3"/>
      <c r="B61" s="202"/>
      <c r="C61" s="201"/>
      <c r="D61" s="5"/>
      <c r="E61" s="4"/>
      <c r="F61" s="2"/>
      <c r="G61" s="2"/>
      <c r="H61" s="5"/>
      <c r="I61" s="5"/>
      <c r="J61" s="2"/>
      <c r="K61" s="2"/>
      <c r="L61" s="2"/>
      <c r="M61" s="2"/>
      <c r="N61" s="4"/>
      <c r="O61" s="4"/>
      <c r="P61" s="4"/>
      <c r="Q61" s="4"/>
      <c r="R61" s="5"/>
      <c r="S61" s="5"/>
      <c r="T61" s="4"/>
      <c r="U61" s="4"/>
      <c r="V61" s="4"/>
    </row>
    <row r="62">
      <c r="A62" s="3"/>
      <c r="B62" s="4"/>
      <c r="C62" s="5"/>
      <c r="D62" s="5"/>
      <c r="E62" s="4"/>
      <c r="F62" s="2"/>
      <c r="G62" s="2"/>
      <c r="H62" s="5"/>
      <c r="I62" s="5"/>
      <c r="J62" s="2"/>
      <c r="K62" s="2"/>
      <c r="L62" s="2"/>
      <c r="M62" s="2"/>
      <c r="N62" s="4"/>
      <c r="O62" s="4"/>
      <c r="P62" s="4"/>
      <c r="Q62" s="4"/>
      <c r="R62" s="5"/>
      <c r="S62" s="5"/>
      <c r="T62" s="4"/>
      <c r="U62" s="4"/>
      <c r="V62" s="4"/>
    </row>
    <row r="63">
      <c r="A63" s="3"/>
      <c r="B63" s="4"/>
      <c r="C63" s="5"/>
      <c r="D63" s="5"/>
      <c r="E63" s="4"/>
      <c r="F63" s="2"/>
      <c r="G63" s="203"/>
      <c r="H63" s="203"/>
      <c r="I63" s="203"/>
      <c r="J63" s="203"/>
      <c r="K63" s="203"/>
      <c r="L63" s="203"/>
      <c r="M63" s="203"/>
      <c r="N63" s="4"/>
      <c r="O63" s="4"/>
      <c r="P63" s="4"/>
      <c r="Q63" s="4"/>
      <c r="R63" s="203"/>
      <c r="S63" s="203"/>
      <c r="T63" s="4"/>
      <c r="U63" s="4"/>
      <c r="V63" s="4"/>
    </row>
    <row r="64">
      <c r="G64" s="203"/>
      <c r="H64" s="2"/>
      <c r="I64" s="2"/>
      <c r="J64" s="2"/>
      <c r="K64" s="2"/>
      <c r="L64" s="2"/>
      <c r="M64" s="2"/>
      <c r="N64" s="4"/>
      <c r="O64" s="4"/>
      <c r="P64" s="4"/>
      <c r="Q64" s="4"/>
      <c r="R64" s="2"/>
      <c r="S64" s="2"/>
      <c r="T64" s="4"/>
      <c r="U64" s="4"/>
      <c r="V64" s="4"/>
    </row>
    <row r="65">
      <c r="H65" s="2"/>
      <c r="I65" s="2"/>
      <c r="J65" s="2"/>
      <c r="K65" s="2"/>
      <c r="L65" s="2"/>
      <c r="M65" s="2"/>
      <c r="N65" s="4"/>
      <c r="O65" s="4"/>
      <c r="P65" s="4"/>
      <c r="Q65" s="4"/>
      <c r="R65" s="2"/>
      <c r="S65" s="2"/>
      <c r="T65" s="4"/>
      <c r="U65" s="4"/>
      <c r="V65" s="4"/>
    </row>
    <row r="66">
      <c r="G66" s="203"/>
      <c r="H66" s="2"/>
      <c r="I66" s="2"/>
      <c r="J66" s="2"/>
      <c r="K66" s="2"/>
      <c r="L66" s="2"/>
      <c r="M66" s="2"/>
      <c r="N66" s="4"/>
      <c r="O66" s="4"/>
      <c r="P66" s="4"/>
      <c r="Q66" s="4"/>
      <c r="R66" s="2"/>
      <c r="S66" s="2"/>
      <c r="T66" s="4"/>
      <c r="U66" s="4"/>
      <c r="V66" s="4"/>
    </row>
    <row r="67">
      <c r="H67" s="2"/>
      <c r="I67" s="2"/>
      <c r="J67" s="2"/>
      <c r="K67" s="2"/>
      <c r="L67" s="2"/>
      <c r="M67" s="2"/>
      <c r="N67" s="4"/>
      <c r="O67" s="4"/>
      <c r="P67" s="4"/>
      <c r="Q67" s="4"/>
      <c r="R67" s="2"/>
      <c r="S67" s="2"/>
      <c r="T67" s="4"/>
      <c r="U67" s="4"/>
      <c r="V67" s="4"/>
    </row>
    <row r="68">
      <c r="H68" s="2"/>
      <c r="I68" s="2"/>
      <c r="J68" s="2"/>
      <c r="K68" s="2"/>
      <c r="L68" s="2"/>
      <c r="M68" s="2"/>
      <c r="N68" s="4"/>
      <c r="O68" s="4"/>
      <c r="P68" s="4"/>
      <c r="Q68" s="4"/>
      <c r="R68" s="2"/>
      <c r="S68" s="2"/>
      <c r="T68" s="4"/>
      <c r="U68" s="4"/>
      <c r="V68" s="4"/>
    </row>
    <row r="69">
      <c r="H69" s="2"/>
      <c r="I69" s="2"/>
      <c r="J69" s="2"/>
      <c r="K69" s="2"/>
      <c r="L69" s="2"/>
      <c r="M69" s="2"/>
      <c r="N69" s="4"/>
      <c r="O69" s="4"/>
      <c r="P69" s="4"/>
      <c r="Q69" s="4"/>
      <c r="R69" s="2"/>
      <c r="S69" s="2"/>
      <c r="T69" s="4"/>
      <c r="U69" s="4"/>
      <c r="V69" s="4"/>
    </row>
    <row r="70">
      <c r="H70" s="2"/>
      <c r="I70" s="2"/>
      <c r="J70" s="2"/>
      <c r="K70" s="2"/>
      <c r="L70" s="2"/>
      <c r="M70" s="2"/>
      <c r="N70" s="4"/>
      <c r="O70" s="4"/>
      <c r="P70" s="4"/>
      <c r="Q70" s="4"/>
      <c r="R70" s="2"/>
      <c r="S70" s="2"/>
      <c r="T70" s="4"/>
      <c r="U70" s="4"/>
      <c r="V70" s="4"/>
    </row>
    <row r="71">
      <c r="A71" s="181" t="s">
        <v>166</v>
      </c>
      <c r="B71" s="66">
        <f>D15*D14/D9</f>
        <v>2048</v>
      </c>
      <c r="H71" s="2"/>
      <c r="I71" s="2"/>
      <c r="J71" s="2"/>
      <c r="K71" s="2"/>
      <c r="L71" s="2"/>
      <c r="M71" s="2"/>
      <c r="N71" s="4"/>
      <c r="O71" s="4"/>
      <c r="P71" s="4"/>
      <c r="Q71" s="4"/>
      <c r="R71" s="2"/>
      <c r="S71" s="2"/>
      <c r="T71" s="4"/>
      <c r="U71" s="4"/>
      <c r="V71" s="4"/>
    </row>
    <row r="72">
      <c r="A72" s="181" t="s">
        <v>167</v>
      </c>
      <c r="B72" s="66">
        <f>C15/C9</f>
        <v>16</v>
      </c>
      <c r="H72" s="2"/>
      <c r="I72" s="2"/>
      <c r="J72" s="2"/>
      <c r="K72" s="2"/>
      <c r="L72" s="2"/>
      <c r="M72" s="2"/>
      <c r="N72" s="4"/>
      <c r="O72" s="4"/>
      <c r="P72" s="4"/>
      <c r="Q72" s="4"/>
      <c r="R72" s="2"/>
      <c r="S72" s="2"/>
      <c r="T72" s="4"/>
      <c r="U72" s="4"/>
      <c r="V72" s="4"/>
    </row>
    <row r="73">
      <c r="G73" s="203"/>
      <c r="H73" s="2"/>
      <c r="I73" s="2"/>
      <c r="J73" s="2"/>
      <c r="K73" s="2"/>
      <c r="L73" s="2"/>
      <c r="M73" s="2"/>
      <c r="N73" s="4"/>
      <c r="O73" s="4"/>
      <c r="P73" s="4"/>
      <c r="Q73" s="4"/>
      <c r="R73" s="2"/>
      <c r="S73" s="2"/>
      <c r="T73" s="4"/>
      <c r="U73" s="4"/>
      <c r="V73" s="4"/>
    </row>
    <row r="74">
      <c r="A74" s="4"/>
      <c r="B74" s="4"/>
      <c r="C74" s="5"/>
      <c r="D74" s="5"/>
      <c r="E74" s="4"/>
      <c r="H74" s="2"/>
      <c r="I74" s="2"/>
      <c r="J74" s="2"/>
      <c r="K74" s="2"/>
      <c r="L74" s="2"/>
      <c r="M74" s="2"/>
      <c r="N74" s="4"/>
      <c r="O74" s="4"/>
      <c r="P74" s="4"/>
      <c r="Q74" s="4"/>
      <c r="R74" s="2"/>
      <c r="S74" s="2"/>
      <c r="T74" s="4"/>
      <c r="U74" s="4"/>
      <c r="V74" s="4"/>
    </row>
    <row r="75">
      <c r="A75" s="4"/>
      <c r="B75" s="4"/>
      <c r="C75" s="5"/>
      <c r="D75" s="5"/>
      <c r="E75" s="4"/>
      <c r="G75" s="203"/>
      <c r="H75" s="2"/>
      <c r="I75" s="2"/>
      <c r="J75" s="2"/>
      <c r="K75" s="2"/>
      <c r="L75" s="2"/>
      <c r="M75" s="2"/>
      <c r="N75" s="4"/>
      <c r="O75" s="4"/>
      <c r="P75" s="4"/>
      <c r="Q75" s="4"/>
      <c r="R75" s="2"/>
      <c r="S75" s="2"/>
      <c r="T75" s="4"/>
      <c r="U75" s="4"/>
      <c r="V75" s="4"/>
    </row>
    <row r="76">
      <c r="A76" s="4"/>
      <c r="B76" s="4"/>
      <c r="C76" s="5"/>
      <c r="D76" s="5"/>
      <c r="E76" s="4"/>
      <c r="G76" s="2"/>
      <c r="H76" s="2"/>
      <c r="I76" s="2"/>
      <c r="J76" s="2"/>
      <c r="K76" s="2"/>
      <c r="L76" s="2"/>
      <c r="M76" s="2"/>
      <c r="N76" s="4"/>
      <c r="O76" s="4"/>
      <c r="P76" s="4"/>
      <c r="Q76" s="4"/>
      <c r="R76" s="2"/>
      <c r="S76" s="2"/>
      <c r="T76" s="4"/>
      <c r="U76" s="4"/>
      <c r="V76" s="4"/>
    </row>
    <row r="77">
      <c r="A77" s="4"/>
      <c r="B77" s="4"/>
      <c r="C77" s="5"/>
      <c r="D77" s="5"/>
      <c r="E77" s="4"/>
      <c r="N77" s="4"/>
      <c r="O77" s="4"/>
      <c r="P77" s="4"/>
      <c r="Q77" s="4"/>
      <c r="T77" s="4"/>
      <c r="U77" s="4"/>
      <c r="V77" s="4"/>
    </row>
    <row r="78">
      <c r="A78" s="4"/>
      <c r="B78" s="4"/>
      <c r="C78" s="5"/>
      <c r="D78" s="5"/>
      <c r="E78" s="4"/>
      <c r="N78" s="4"/>
      <c r="O78" s="4"/>
      <c r="P78" s="4"/>
      <c r="Q78" s="4"/>
      <c r="T78" s="4"/>
      <c r="U78" s="4"/>
      <c r="V78" s="4"/>
    </row>
    <row r="79">
      <c r="A79" s="4"/>
      <c r="B79" s="4"/>
      <c r="C79" s="5"/>
      <c r="D79" s="5"/>
      <c r="E79" s="4"/>
      <c r="N79" s="4"/>
      <c r="O79" s="4"/>
      <c r="P79" s="4"/>
      <c r="Q79" s="4"/>
      <c r="T79" s="4"/>
      <c r="U79" s="4"/>
      <c r="V79" s="4"/>
    </row>
    <row r="80">
      <c r="A80" s="4"/>
      <c r="B80" s="4"/>
      <c r="C80" s="5"/>
      <c r="D80" s="5"/>
      <c r="E80" s="4"/>
      <c r="O80" s="4"/>
      <c r="P80" s="113"/>
      <c r="Q80" s="113"/>
      <c r="T80" s="4"/>
      <c r="U80" s="4"/>
      <c r="V80" s="4"/>
    </row>
    <row r="81">
      <c r="A81" s="4"/>
      <c r="B81" s="4"/>
      <c r="C81" s="5"/>
      <c r="D81" s="5"/>
      <c r="E81" s="4"/>
      <c r="O81" s="4"/>
      <c r="P81" s="204"/>
      <c r="Q81" s="113"/>
      <c r="T81" s="4"/>
      <c r="U81" s="4"/>
      <c r="V81" s="4"/>
    </row>
    <row r="82">
      <c r="A82" s="4"/>
      <c r="B82" s="4"/>
      <c r="C82" s="5"/>
      <c r="D82" s="5"/>
      <c r="E82" s="4"/>
      <c r="O82" s="4"/>
      <c r="P82" s="204"/>
      <c r="Q82" s="113"/>
      <c r="T82" s="4"/>
      <c r="U82" s="4"/>
      <c r="V82" s="4"/>
    </row>
    <row r="83">
      <c r="A83" s="4"/>
      <c r="B83" s="4"/>
      <c r="C83" s="5"/>
      <c r="D83" s="5"/>
      <c r="E83" s="4"/>
      <c r="O83" s="4"/>
      <c r="P83" s="204"/>
      <c r="Q83" s="113"/>
      <c r="T83" s="4"/>
      <c r="U83" s="4"/>
      <c r="V83" s="4"/>
    </row>
    <row r="84">
      <c r="A84" s="4"/>
      <c r="B84" s="4"/>
      <c r="C84" s="5"/>
      <c r="D84" s="5"/>
      <c r="E84" s="4"/>
      <c r="O84" s="4"/>
      <c r="P84" s="204"/>
      <c r="Q84" s="113"/>
      <c r="T84" s="4"/>
      <c r="U84" s="4"/>
      <c r="V84" s="4"/>
    </row>
    <row r="85">
      <c r="A85" s="4"/>
      <c r="B85" s="4"/>
      <c r="C85" s="5"/>
      <c r="D85" s="5"/>
      <c r="E85" s="4"/>
      <c r="O85" s="4"/>
      <c r="P85" s="204"/>
      <c r="Q85" s="113"/>
      <c r="T85" s="4"/>
      <c r="U85" s="4"/>
      <c r="V85" s="4"/>
    </row>
    <row r="86">
      <c r="A86" s="4"/>
      <c r="B86" s="4"/>
      <c r="C86" s="5"/>
      <c r="D86" s="5"/>
      <c r="E86" s="4"/>
      <c r="O86" s="4"/>
      <c r="P86" s="204"/>
      <c r="Q86" s="113"/>
      <c r="T86" s="4"/>
      <c r="U86" s="4"/>
      <c r="V86" s="4"/>
    </row>
    <row r="87">
      <c r="A87" s="4"/>
      <c r="B87" s="4"/>
      <c r="C87" s="5"/>
      <c r="D87" s="5"/>
      <c r="E87" s="4"/>
      <c r="O87" s="4"/>
      <c r="P87" s="204"/>
      <c r="Q87" s="113"/>
      <c r="T87" s="4"/>
      <c r="U87" s="4"/>
      <c r="V87" s="4"/>
    </row>
    <row r="88">
      <c r="A88" s="4"/>
      <c r="B88" s="4"/>
      <c r="C88" s="5"/>
      <c r="D88" s="5"/>
      <c r="E88" s="4"/>
      <c r="O88" s="4"/>
      <c r="P88" s="204"/>
      <c r="Q88" s="113"/>
      <c r="T88" s="4"/>
      <c r="U88" s="4"/>
      <c r="V88" s="4"/>
    </row>
    <row r="89">
      <c r="A89" s="4"/>
      <c r="B89" s="4"/>
      <c r="C89" s="5"/>
      <c r="D89" s="5"/>
      <c r="E89" s="4"/>
      <c r="O89" s="4"/>
      <c r="P89" s="204"/>
      <c r="Q89" s="113"/>
      <c r="T89" s="4"/>
      <c r="U89" s="4"/>
      <c r="V89" s="4"/>
    </row>
    <row r="90">
      <c r="A90" s="4"/>
      <c r="B90" s="4"/>
      <c r="C90" s="5"/>
      <c r="D90" s="5"/>
      <c r="E90" s="4"/>
      <c r="O90" s="4"/>
      <c r="P90" s="204"/>
      <c r="Q90" s="113"/>
      <c r="T90" s="4"/>
      <c r="U90" s="4"/>
      <c r="V90" s="4"/>
    </row>
    <row r="91">
      <c r="A91" s="4"/>
      <c r="B91" s="4"/>
      <c r="C91" s="5"/>
      <c r="D91" s="5"/>
      <c r="E91" s="4"/>
      <c r="O91" s="4"/>
      <c r="P91" s="204"/>
      <c r="Q91" s="113"/>
      <c r="T91" s="4"/>
      <c r="U91" s="4"/>
      <c r="V91" s="4"/>
    </row>
    <row r="92">
      <c r="A92" s="4"/>
      <c r="B92" s="4"/>
      <c r="C92" s="5"/>
      <c r="D92" s="5"/>
      <c r="E92" s="4"/>
      <c r="O92" s="4"/>
      <c r="P92" s="204"/>
      <c r="Q92" s="113"/>
      <c r="T92" s="4"/>
      <c r="U92" s="4"/>
      <c r="V92" s="4"/>
    </row>
    <row r="93">
      <c r="A93" s="4"/>
      <c r="B93" s="4"/>
      <c r="C93" s="5"/>
      <c r="D93" s="5"/>
      <c r="E93" s="4"/>
      <c r="O93" s="4"/>
      <c r="P93" s="204"/>
      <c r="Q93" s="113"/>
      <c r="T93" s="4"/>
      <c r="U93" s="4"/>
      <c r="V93" s="4"/>
    </row>
    <row r="94">
      <c r="A94" s="4"/>
      <c r="B94" s="4"/>
      <c r="C94" s="5"/>
      <c r="D94" s="5"/>
      <c r="E94" s="4"/>
      <c r="O94" s="4"/>
      <c r="P94" s="204"/>
      <c r="Q94" s="4"/>
      <c r="T94" s="4"/>
      <c r="U94" s="4"/>
      <c r="V94" s="4"/>
    </row>
    <row r="95">
      <c r="A95" s="4"/>
      <c r="B95" s="4"/>
      <c r="C95" s="5"/>
      <c r="D95" s="5"/>
      <c r="E95" s="4"/>
      <c r="O95" s="4"/>
      <c r="P95" s="204"/>
      <c r="Q95" s="4"/>
      <c r="T95" s="4"/>
      <c r="U95" s="4"/>
      <c r="V95" s="4"/>
    </row>
    <row r="96">
      <c r="A96" s="4"/>
      <c r="B96" s="4"/>
      <c r="C96" s="5"/>
      <c r="D96" s="5"/>
      <c r="E96" s="4"/>
      <c r="O96" s="4"/>
      <c r="P96" s="204"/>
      <c r="Q96" s="4"/>
      <c r="T96" s="4"/>
      <c r="U96" s="4"/>
      <c r="V96" s="4"/>
    </row>
    <row r="97">
      <c r="A97" s="4"/>
      <c r="B97" s="4"/>
      <c r="C97" s="5"/>
      <c r="D97" s="5"/>
      <c r="E97" s="4"/>
      <c r="F97" s="2"/>
      <c r="G97" s="2"/>
      <c r="H97" s="5"/>
      <c r="I97" s="205"/>
      <c r="J97" s="2"/>
      <c r="K97" s="2"/>
      <c r="L97" s="206"/>
      <c r="M97" s="205"/>
      <c r="N97" s="4"/>
      <c r="O97" s="4"/>
      <c r="P97" s="204"/>
      <c r="Q97" s="4"/>
      <c r="R97" s="5"/>
      <c r="S97" s="205"/>
      <c r="T97" s="4"/>
      <c r="U97" s="4"/>
      <c r="V97" s="4"/>
    </row>
    <row r="98">
      <c r="A98" s="4"/>
      <c r="B98" s="4"/>
      <c r="C98" s="5"/>
      <c r="D98" s="5"/>
      <c r="E98" s="4"/>
      <c r="F98" s="2"/>
      <c r="G98" s="207"/>
      <c r="H98" s="5"/>
      <c r="I98" s="205"/>
      <c r="J98" s="2"/>
      <c r="K98" s="207"/>
      <c r="L98" s="207"/>
      <c r="M98" s="205"/>
      <c r="N98" s="4"/>
      <c r="O98" s="4"/>
      <c r="P98" s="4"/>
      <c r="Q98" s="4"/>
      <c r="R98" s="5"/>
      <c r="S98" s="205"/>
      <c r="T98" s="4"/>
      <c r="U98" s="4"/>
      <c r="V98" s="4"/>
    </row>
    <row r="99">
      <c r="A99" s="4"/>
      <c r="B99" s="4"/>
      <c r="C99" s="5"/>
      <c r="D99" s="5"/>
      <c r="E99" s="4"/>
      <c r="F99" s="2"/>
      <c r="G99" s="2"/>
      <c r="H99" s="5"/>
      <c r="I99" s="5"/>
      <c r="J99" s="2"/>
      <c r="K99" s="2"/>
      <c r="L99" s="2"/>
      <c r="M99" s="2"/>
      <c r="N99" s="4"/>
      <c r="O99" s="4"/>
      <c r="P99" s="4"/>
      <c r="Q99" s="4"/>
      <c r="R99" s="5"/>
      <c r="S99" s="5"/>
      <c r="T99" s="4"/>
      <c r="U99" s="4"/>
      <c r="V99" s="4"/>
    </row>
    <row r="100">
      <c r="A100" s="4"/>
      <c r="B100" s="4"/>
      <c r="C100" s="5"/>
      <c r="D100" s="5"/>
      <c r="E100" s="4"/>
      <c r="F100" s="2"/>
      <c r="G100" s="2"/>
      <c r="H100" s="5"/>
      <c r="I100" s="5"/>
      <c r="J100" s="2"/>
      <c r="K100" s="2"/>
      <c r="L100" s="2"/>
      <c r="M100" s="2"/>
      <c r="N100" s="4"/>
      <c r="O100" s="4"/>
      <c r="P100" s="4"/>
      <c r="Q100" s="4"/>
      <c r="R100" s="5"/>
      <c r="S100" s="5"/>
      <c r="T100" s="4"/>
      <c r="U100" s="4"/>
      <c r="V100" s="4"/>
    </row>
    <row r="101">
      <c r="A101" s="4"/>
      <c r="B101" s="4"/>
      <c r="C101" s="5"/>
      <c r="D101" s="5"/>
      <c r="E101" s="4"/>
      <c r="F101" s="2"/>
      <c r="G101" s="2"/>
      <c r="H101" s="5"/>
      <c r="I101" s="5"/>
      <c r="J101" s="2"/>
      <c r="K101" s="2"/>
      <c r="L101" s="2"/>
      <c r="M101" s="2"/>
      <c r="N101" s="4"/>
      <c r="O101" s="4"/>
      <c r="P101" s="4"/>
      <c r="Q101" s="4"/>
      <c r="R101" s="5"/>
      <c r="S101" s="5"/>
      <c r="T101" s="4"/>
      <c r="U101" s="4"/>
      <c r="V101" s="4"/>
    </row>
    <row r="102">
      <c r="A102" s="4"/>
      <c r="B102" s="4"/>
      <c r="C102" s="5"/>
      <c r="D102" s="5"/>
      <c r="E102" s="4"/>
      <c r="F102" s="2"/>
      <c r="G102" s="2"/>
      <c r="H102" s="5"/>
      <c r="I102" s="5"/>
      <c r="J102" s="2"/>
      <c r="K102" s="2"/>
      <c r="L102" s="2"/>
      <c r="M102" s="2"/>
      <c r="N102" s="4"/>
      <c r="O102" s="4"/>
      <c r="P102" s="4"/>
      <c r="Q102" s="4"/>
      <c r="R102" s="5"/>
      <c r="S102" s="5"/>
      <c r="T102" s="4"/>
      <c r="U102" s="4"/>
      <c r="V102" s="4"/>
    </row>
    <row r="103">
      <c r="A103" s="4"/>
      <c r="B103" s="4"/>
      <c r="C103" s="5"/>
      <c r="D103" s="5"/>
      <c r="E103" s="4"/>
      <c r="F103" s="2"/>
      <c r="G103" s="2"/>
      <c r="H103" s="5"/>
      <c r="I103" s="5"/>
      <c r="J103" s="2"/>
      <c r="K103" s="2"/>
      <c r="L103" s="2"/>
      <c r="M103" s="2"/>
      <c r="N103" s="4"/>
      <c r="O103" s="4"/>
      <c r="P103" s="4"/>
      <c r="Q103" s="4"/>
      <c r="R103" s="5"/>
      <c r="S103" s="5"/>
      <c r="T103" s="4"/>
      <c r="U103" s="4"/>
      <c r="V103" s="4"/>
    </row>
    <row r="104">
      <c r="A104" s="4"/>
      <c r="B104" s="4"/>
      <c r="C104" s="5"/>
      <c r="D104" s="5"/>
      <c r="E104" s="4"/>
      <c r="F104" s="2"/>
      <c r="G104" s="2"/>
      <c r="H104" s="5"/>
      <c r="I104" s="5"/>
      <c r="J104" s="2"/>
      <c r="K104" s="2"/>
      <c r="L104" s="2"/>
      <c r="M104" s="2"/>
      <c r="N104" s="4"/>
      <c r="O104" s="4"/>
      <c r="P104" s="4"/>
      <c r="Q104" s="4"/>
      <c r="R104" s="5"/>
      <c r="S104" s="5"/>
      <c r="T104" s="4"/>
      <c r="U104" s="4"/>
      <c r="V104" s="4"/>
    </row>
    <row r="105">
      <c r="A105" s="4"/>
      <c r="B105" s="4"/>
      <c r="C105" s="5"/>
      <c r="D105" s="5"/>
      <c r="E105" s="4"/>
      <c r="F105" s="2"/>
      <c r="G105" s="2"/>
      <c r="H105" s="5"/>
      <c r="I105" s="5"/>
      <c r="J105" s="2"/>
      <c r="K105" s="2"/>
      <c r="L105" s="2"/>
      <c r="M105" s="2"/>
      <c r="N105" s="4"/>
      <c r="O105" s="4"/>
      <c r="P105" s="4"/>
      <c r="Q105" s="4"/>
      <c r="R105" s="5"/>
      <c r="S105" s="5"/>
      <c r="T105" s="4"/>
      <c r="U105" s="4"/>
      <c r="V105" s="4"/>
    </row>
    <row r="106">
      <c r="A106" s="4"/>
      <c r="B106" s="4"/>
      <c r="C106" s="5"/>
      <c r="D106" s="5"/>
      <c r="E106" s="4"/>
      <c r="F106" s="2"/>
      <c r="G106" s="2"/>
      <c r="H106" s="5"/>
      <c r="I106" s="5"/>
      <c r="J106" s="2"/>
      <c r="K106" s="2"/>
      <c r="L106" s="2"/>
      <c r="M106" s="2"/>
      <c r="N106" s="4"/>
      <c r="O106" s="4"/>
      <c r="P106" s="4"/>
      <c r="Q106" s="4"/>
      <c r="R106" s="5"/>
      <c r="S106" s="5"/>
      <c r="T106" s="4"/>
      <c r="U106" s="4"/>
      <c r="V106" s="4"/>
    </row>
    <row r="107">
      <c r="A107" s="4"/>
      <c r="B107" s="4"/>
      <c r="C107" s="5"/>
      <c r="D107" s="5"/>
      <c r="E107" s="4"/>
      <c r="F107" s="2"/>
      <c r="G107" s="2"/>
      <c r="H107" s="5"/>
      <c r="I107" s="5"/>
      <c r="J107" s="2"/>
      <c r="K107" s="2"/>
      <c r="L107" s="2"/>
      <c r="M107" s="2"/>
      <c r="N107" s="4"/>
      <c r="O107" s="4"/>
      <c r="P107" s="4"/>
      <c r="Q107" s="4"/>
      <c r="R107" s="5"/>
      <c r="S107" s="5"/>
      <c r="T107" s="4"/>
      <c r="U107" s="4"/>
      <c r="V107" s="4"/>
    </row>
    <row r="108">
      <c r="A108" s="4"/>
      <c r="B108" s="4"/>
      <c r="C108" s="5"/>
      <c r="D108" s="5"/>
      <c r="E108" s="4"/>
      <c r="F108" s="2"/>
      <c r="G108" s="2"/>
      <c r="H108" s="5"/>
      <c r="I108" s="5"/>
      <c r="J108" s="2"/>
      <c r="K108" s="2"/>
      <c r="L108" s="2"/>
      <c r="M108" s="2"/>
      <c r="N108" s="4"/>
      <c r="O108" s="4"/>
      <c r="P108" s="4"/>
      <c r="Q108" s="4"/>
      <c r="R108" s="5"/>
      <c r="S108" s="5"/>
      <c r="T108" s="4"/>
      <c r="U108" s="4"/>
      <c r="V108" s="4"/>
    </row>
    <row r="109">
      <c r="A109" s="4"/>
      <c r="B109" s="4"/>
      <c r="C109" s="5"/>
      <c r="D109" s="5"/>
      <c r="E109" s="4"/>
      <c r="F109" s="2"/>
      <c r="G109" s="2"/>
      <c r="H109" s="5"/>
      <c r="I109" s="5"/>
      <c r="J109" s="2"/>
      <c r="K109" s="2"/>
      <c r="L109" s="2"/>
      <c r="M109" s="2"/>
      <c r="N109" s="4"/>
      <c r="O109" s="4"/>
      <c r="P109" s="4"/>
      <c r="Q109" s="4"/>
      <c r="R109" s="5"/>
      <c r="S109" s="5"/>
      <c r="T109" s="4"/>
      <c r="U109" s="4"/>
      <c r="V109" s="4"/>
    </row>
    <row r="110">
      <c r="A110" s="4"/>
      <c r="B110" s="4"/>
      <c r="C110" s="5"/>
      <c r="D110" s="5"/>
      <c r="E110" s="4"/>
      <c r="F110" s="2"/>
      <c r="G110" s="2"/>
      <c r="H110" s="5"/>
      <c r="I110" s="5"/>
      <c r="J110" s="2"/>
      <c r="K110" s="2"/>
      <c r="L110" s="2"/>
      <c r="M110" s="2"/>
      <c r="N110" s="4"/>
      <c r="O110" s="4"/>
      <c r="P110" s="4"/>
      <c r="Q110" s="4"/>
      <c r="R110" s="5"/>
      <c r="S110" s="5"/>
      <c r="T110" s="4"/>
      <c r="U110" s="4"/>
      <c r="V110" s="4"/>
    </row>
    <row r="111">
      <c r="A111" s="4"/>
      <c r="B111" s="4"/>
      <c r="C111" s="5"/>
      <c r="D111" s="5"/>
      <c r="E111" s="4"/>
      <c r="F111" s="2"/>
      <c r="G111" s="2"/>
      <c r="H111" s="5"/>
      <c r="I111" s="5"/>
      <c r="J111" s="2"/>
      <c r="K111" s="2"/>
      <c r="L111" s="2"/>
      <c r="M111" s="2"/>
      <c r="N111" s="4"/>
      <c r="O111" s="4"/>
      <c r="P111" s="4"/>
      <c r="Q111" s="4"/>
      <c r="R111" s="5"/>
      <c r="S111" s="5"/>
      <c r="T111" s="4"/>
      <c r="U111" s="4"/>
      <c r="V111" s="4"/>
    </row>
    <row r="112">
      <c r="A112" s="4"/>
      <c r="B112" s="4"/>
      <c r="C112" s="5"/>
      <c r="D112" s="5"/>
      <c r="E112" s="4"/>
      <c r="F112" s="2"/>
      <c r="G112" s="2"/>
      <c r="H112" s="5"/>
      <c r="I112" s="5"/>
      <c r="J112" s="2"/>
      <c r="K112" s="2"/>
      <c r="L112" s="2"/>
      <c r="M112" s="2"/>
      <c r="N112" s="4"/>
      <c r="O112" s="4"/>
      <c r="P112" s="4"/>
      <c r="Q112" s="4"/>
      <c r="R112" s="5"/>
      <c r="S112" s="5"/>
      <c r="T112" s="4"/>
      <c r="U112" s="4"/>
      <c r="V112" s="4"/>
    </row>
    <row r="113">
      <c r="A113" s="4"/>
      <c r="B113" s="4"/>
      <c r="C113" s="5"/>
      <c r="D113" s="5"/>
      <c r="E113" s="4"/>
      <c r="F113" s="2"/>
      <c r="G113" s="2"/>
      <c r="H113" s="5"/>
      <c r="I113" s="5"/>
      <c r="J113" s="2"/>
      <c r="K113" s="2"/>
      <c r="L113" s="2"/>
      <c r="M113" s="2"/>
      <c r="N113" s="4"/>
      <c r="O113" s="4"/>
      <c r="P113" s="4"/>
      <c r="Q113" s="4"/>
      <c r="R113" s="5"/>
      <c r="S113" s="5"/>
      <c r="T113" s="4"/>
      <c r="U113" s="4"/>
      <c r="V113" s="4"/>
    </row>
    <row r="114">
      <c r="A114" s="4"/>
      <c r="B114" s="4"/>
      <c r="C114" s="5"/>
      <c r="D114" s="5"/>
      <c r="E114" s="4"/>
      <c r="F114" s="2"/>
      <c r="G114" s="2"/>
      <c r="H114" s="5"/>
      <c r="I114" s="5"/>
      <c r="J114" s="2"/>
      <c r="K114" s="2"/>
      <c r="L114" s="2"/>
      <c r="M114" s="2"/>
      <c r="N114" s="4"/>
      <c r="O114" s="4"/>
      <c r="P114" s="4"/>
      <c r="Q114" s="4"/>
      <c r="R114" s="5"/>
      <c r="S114" s="5"/>
      <c r="T114" s="4"/>
      <c r="U114" s="4"/>
      <c r="V114" s="4"/>
    </row>
    <row r="115">
      <c r="A115" s="4"/>
      <c r="B115" s="4"/>
      <c r="C115" s="5"/>
      <c r="D115" s="5"/>
      <c r="E115" s="4"/>
      <c r="F115" s="2"/>
      <c r="G115" s="2"/>
      <c r="H115" s="5"/>
      <c r="I115" s="5"/>
      <c r="J115" s="2"/>
      <c r="K115" s="2"/>
      <c r="L115" s="2"/>
      <c r="M115" s="2"/>
      <c r="N115" s="4"/>
      <c r="O115" s="4"/>
      <c r="P115" s="4"/>
      <c r="Q115" s="4"/>
      <c r="R115" s="5"/>
      <c r="S115" s="5"/>
      <c r="T115" s="4"/>
      <c r="U115" s="4"/>
      <c r="V115" s="4"/>
    </row>
    <row r="116">
      <c r="A116" s="4"/>
      <c r="B116" s="4"/>
      <c r="C116" s="5"/>
      <c r="D116" s="5"/>
      <c r="E116" s="4"/>
      <c r="F116" s="2"/>
      <c r="G116" s="2"/>
      <c r="H116" s="5"/>
      <c r="I116" s="5"/>
      <c r="J116" s="2"/>
      <c r="K116" s="2"/>
      <c r="L116" s="2"/>
      <c r="M116" s="2"/>
      <c r="N116" s="4"/>
      <c r="O116" s="4"/>
      <c r="P116" s="4"/>
      <c r="Q116" s="4"/>
      <c r="R116" s="5"/>
      <c r="S116" s="5"/>
      <c r="T116" s="4"/>
      <c r="U116" s="4"/>
      <c r="V116" s="4"/>
    </row>
    <row r="117">
      <c r="A117" s="4"/>
      <c r="B117" s="4"/>
      <c r="C117" s="5"/>
      <c r="D117" s="5"/>
      <c r="E117" s="4"/>
      <c r="F117" s="2"/>
      <c r="G117" s="2"/>
      <c r="H117" s="5"/>
      <c r="I117" s="5"/>
      <c r="J117" s="2"/>
      <c r="K117" s="2"/>
      <c r="L117" s="2"/>
      <c r="M117" s="2"/>
      <c r="N117" s="4"/>
      <c r="O117" s="4"/>
      <c r="P117" s="4"/>
      <c r="Q117" s="4"/>
      <c r="R117" s="5"/>
      <c r="S117" s="5"/>
      <c r="T117" s="4"/>
      <c r="U117" s="4"/>
      <c r="V117" s="4"/>
    </row>
    <row r="118">
      <c r="A118" s="4"/>
      <c r="B118" s="4"/>
      <c r="C118" s="5"/>
      <c r="D118" s="5"/>
      <c r="E118" s="4"/>
      <c r="F118" s="2"/>
      <c r="G118" s="2"/>
      <c r="H118" s="5"/>
      <c r="I118" s="5"/>
      <c r="J118" s="2"/>
      <c r="K118" s="2"/>
      <c r="L118" s="2"/>
      <c r="M118" s="2"/>
      <c r="N118" s="4"/>
      <c r="O118" s="4"/>
      <c r="P118" s="4"/>
      <c r="Q118" s="4"/>
      <c r="R118" s="5"/>
      <c r="S118" s="5"/>
      <c r="T118" s="4"/>
      <c r="U118" s="4"/>
      <c r="V118" s="4"/>
    </row>
    <row r="119">
      <c r="A119" s="4"/>
      <c r="B119" s="4"/>
      <c r="C119" s="5"/>
      <c r="D119" s="5"/>
      <c r="E119" s="4"/>
      <c r="F119" s="2"/>
      <c r="G119" s="2"/>
      <c r="H119" s="5"/>
      <c r="I119" s="5"/>
      <c r="J119" s="2"/>
      <c r="K119" s="2"/>
      <c r="L119" s="2"/>
      <c r="M119" s="2"/>
      <c r="N119" s="4"/>
      <c r="O119" s="4"/>
      <c r="P119" s="4"/>
      <c r="Q119" s="4"/>
      <c r="R119" s="5"/>
      <c r="S119" s="5"/>
      <c r="T119" s="4"/>
      <c r="U119" s="4"/>
      <c r="V119" s="4"/>
    </row>
    <row r="120">
      <c r="A120" s="4"/>
      <c r="B120" s="4"/>
      <c r="C120" s="5"/>
      <c r="D120" s="5"/>
      <c r="E120" s="4"/>
      <c r="F120" s="2"/>
      <c r="G120" s="2"/>
      <c r="H120" s="5"/>
      <c r="I120" s="5"/>
      <c r="J120" s="2"/>
      <c r="K120" s="2"/>
      <c r="L120" s="2"/>
      <c r="M120" s="2"/>
      <c r="N120" s="4"/>
      <c r="O120" s="4"/>
      <c r="P120" s="4"/>
      <c r="Q120" s="4"/>
      <c r="R120" s="5"/>
      <c r="S120" s="5"/>
      <c r="T120" s="4"/>
      <c r="U120" s="4"/>
      <c r="V120" s="4"/>
    </row>
    <row r="121">
      <c r="A121" s="4"/>
      <c r="B121" s="4"/>
      <c r="C121" s="5"/>
      <c r="D121" s="5"/>
      <c r="E121" s="4"/>
      <c r="F121" s="2"/>
      <c r="G121" s="2"/>
      <c r="H121" s="5"/>
      <c r="I121" s="5"/>
      <c r="J121" s="2"/>
      <c r="K121" s="2"/>
      <c r="L121" s="2"/>
      <c r="M121" s="2"/>
      <c r="N121" s="4"/>
      <c r="O121" s="4"/>
      <c r="P121" s="4"/>
      <c r="Q121" s="4"/>
      <c r="R121" s="5"/>
      <c r="S121" s="5"/>
      <c r="T121" s="4"/>
      <c r="U121" s="4"/>
      <c r="V121" s="4"/>
    </row>
    <row r="122">
      <c r="A122" s="4"/>
      <c r="B122" s="4"/>
      <c r="C122" s="5"/>
      <c r="D122" s="5"/>
      <c r="E122" s="4"/>
      <c r="F122" s="2"/>
      <c r="G122" s="2"/>
      <c r="H122" s="5"/>
      <c r="I122" s="5"/>
      <c r="J122" s="2"/>
      <c r="K122" s="2"/>
      <c r="L122" s="2"/>
      <c r="M122" s="2"/>
      <c r="N122" s="4"/>
      <c r="O122" s="4"/>
      <c r="P122" s="4"/>
      <c r="Q122" s="4"/>
      <c r="R122" s="5"/>
      <c r="S122" s="5"/>
      <c r="T122" s="4"/>
      <c r="U122" s="4"/>
      <c r="V122" s="4"/>
    </row>
    <row r="123">
      <c r="A123" s="4"/>
      <c r="B123" s="4"/>
      <c r="C123" s="5"/>
      <c r="D123" s="5"/>
      <c r="E123" s="4"/>
      <c r="F123" s="2"/>
      <c r="G123" s="2"/>
      <c r="H123" s="5"/>
      <c r="I123" s="5"/>
      <c r="J123" s="2"/>
      <c r="K123" s="2"/>
      <c r="L123" s="2"/>
      <c r="M123" s="2"/>
      <c r="N123" s="4"/>
      <c r="O123" s="4"/>
      <c r="P123" s="4"/>
      <c r="Q123" s="4"/>
      <c r="R123" s="5"/>
      <c r="S123" s="5"/>
      <c r="T123" s="4"/>
      <c r="U123" s="4"/>
      <c r="V123" s="4"/>
    </row>
    <row r="124">
      <c r="A124" s="4"/>
      <c r="B124" s="4"/>
      <c r="C124" s="5"/>
      <c r="D124" s="5"/>
      <c r="E124" s="4"/>
      <c r="F124" s="2"/>
      <c r="G124" s="2"/>
      <c r="H124" s="5"/>
      <c r="I124" s="5"/>
      <c r="J124" s="2"/>
      <c r="K124" s="2"/>
      <c r="L124" s="2"/>
      <c r="M124" s="2"/>
      <c r="N124" s="4"/>
      <c r="O124" s="4"/>
      <c r="P124" s="4"/>
      <c r="Q124" s="4"/>
      <c r="R124" s="5"/>
      <c r="S124" s="5"/>
      <c r="T124" s="4"/>
      <c r="U124" s="4"/>
      <c r="V124" s="4"/>
    </row>
    <row r="125">
      <c r="A125" s="4"/>
      <c r="B125" s="4"/>
      <c r="C125" s="5"/>
      <c r="D125" s="5"/>
      <c r="E125" s="4"/>
      <c r="F125" s="2"/>
      <c r="G125" s="2"/>
      <c r="H125" s="5"/>
      <c r="I125" s="5"/>
      <c r="J125" s="2"/>
      <c r="K125" s="2"/>
      <c r="L125" s="2"/>
      <c r="M125" s="2"/>
      <c r="N125" s="4"/>
      <c r="O125" s="4"/>
      <c r="P125" s="4"/>
      <c r="Q125" s="4"/>
      <c r="R125" s="5"/>
      <c r="S125" s="5"/>
      <c r="T125" s="4"/>
      <c r="U125" s="4"/>
      <c r="V125" s="4"/>
    </row>
    <row r="126">
      <c r="A126" s="4"/>
      <c r="B126" s="4"/>
      <c r="C126" s="5"/>
      <c r="D126" s="5"/>
      <c r="E126" s="4"/>
      <c r="F126" s="2"/>
      <c r="G126" s="2"/>
      <c r="H126" s="5"/>
      <c r="I126" s="5"/>
      <c r="J126" s="2"/>
      <c r="K126" s="2"/>
      <c r="L126" s="2"/>
      <c r="M126" s="2"/>
      <c r="N126" s="4"/>
      <c r="O126" s="4"/>
      <c r="P126" s="4"/>
      <c r="Q126" s="4"/>
      <c r="R126" s="5"/>
      <c r="S126" s="5"/>
      <c r="T126" s="4"/>
      <c r="U126" s="4"/>
      <c r="V126" s="4"/>
    </row>
    <row r="127">
      <c r="A127" s="4"/>
      <c r="B127" s="4"/>
      <c r="C127" s="5"/>
      <c r="D127" s="5"/>
      <c r="E127" s="4"/>
      <c r="F127" s="2"/>
      <c r="G127" s="2"/>
      <c r="H127" s="5"/>
      <c r="I127" s="5"/>
      <c r="J127" s="2"/>
      <c r="K127" s="2"/>
      <c r="L127" s="2"/>
      <c r="M127" s="2"/>
      <c r="N127" s="4"/>
      <c r="O127" s="4"/>
      <c r="P127" s="4"/>
      <c r="Q127" s="4"/>
      <c r="R127" s="5"/>
      <c r="S127" s="5"/>
      <c r="T127" s="4"/>
      <c r="U127" s="4"/>
      <c r="V127" s="4"/>
    </row>
    <row r="128">
      <c r="A128" s="4"/>
      <c r="B128" s="4"/>
      <c r="C128" s="5"/>
      <c r="D128" s="5"/>
      <c r="E128" s="4"/>
      <c r="F128" s="2"/>
      <c r="G128" s="2"/>
      <c r="H128" s="5"/>
      <c r="I128" s="5"/>
      <c r="J128" s="2"/>
      <c r="K128" s="2"/>
      <c r="L128" s="2"/>
      <c r="M128" s="2"/>
      <c r="N128" s="4"/>
      <c r="O128" s="4"/>
      <c r="P128" s="4"/>
      <c r="Q128" s="4"/>
      <c r="R128" s="5"/>
      <c r="S128" s="5"/>
      <c r="T128" s="4"/>
      <c r="U128" s="4"/>
      <c r="V128" s="4"/>
    </row>
    <row r="129">
      <c r="A129" s="4"/>
      <c r="B129" s="4"/>
      <c r="C129" s="5"/>
      <c r="D129" s="5"/>
      <c r="E129" s="4"/>
      <c r="F129" s="2"/>
      <c r="G129" s="2"/>
      <c r="H129" s="5"/>
      <c r="I129" s="5"/>
      <c r="J129" s="2"/>
      <c r="K129" s="2"/>
      <c r="L129" s="2"/>
      <c r="M129" s="2"/>
      <c r="N129" s="4"/>
      <c r="O129" s="4"/>
      <c r="P129" s="4"/>
      <c r="Q129" s="4"/>
      <c r="R129" s="5"/>
      <c r="S129" s="5"/>
      <c r="T129" s="4"/>
      <c r="U129" s="4"/>
      <c r="V129" s="4"/>
    </row>
    <row r="130">
      <c r="A130" s="4"/>
      <c r="B130" s="4"/>
      <c r="C130" s="5"/>
      <c r="D130" s="5"/>
      <c r="E130" s="4"/>
      <c r="F130" s="2"/>
      <c r="G130" s="2"/>
      <c r="H130" s="5"/>
      <c r="I130" s="5"/>
      <c r="J130" s="2"/>
      <c r="K130" s="2"/>
      <c r="L130" s="2"/>
      <c r="M130" s="2"/>
      <c r="N130" s="4"/>
      <c r="O130" s="4"/>
      <c r="P130" s="4"/>
      <c r="Q130" s="4"/>
      <c r="R130" s="5"/>
      <c r="S130" s="5"/>
      <c r="T130" s="4"/>
      <c r="U130" s="4"/>
      <c r="V130" s="4"/>
    </row>
    <row r="131">
      <c r="A131" s="4"/>
      <c r="B131" s="4"/>
      <c r="C131" s="5"/>
      <c r="D131" s="5"/>
      <c r="E131" s="4"/>
      <c r="F131" s="2"/>
      <c r="G131" s="2"/>
      <c r="H131" s="5"/>
      <c r="I131" s="5"/>
      <c r="J131" s="2"/>
      <c r="K131" s="2"/>
      <c r="L131" s="2"/>
      <c r="M131" s="2"/>
      <c r="N131" s="4"/>
      <c r="O131" s="4"/>
      <c r="P131" s="4"/>
      <c r="Q131" s="4"/>
      <c r="R131" s="5"/>
      <c r="S131" s="5"/>
      <c r="T131" s="4"/>
      <c r="U131" s="4"/>
      <c r="V131" s="4"/>
    </row>
    <row r="132">
      <c r="A132" s="4"/>
      <c r="B132" s="4"/>
      <c r="C132" s="5"/>
      <c r="D132" s="5"/>
      <c r="E132" s="4"/>
      <c r="F132" s="2"/>
      <c r="G132" s="2"/>
      <c r="H132" s="5"/>
      <c r="I132" s="5"/>
      <c r="J132" s="2"/>
      <c r="K132" s="2"/>
      <c r="L132" s="2"/>
      <c r="M132" s="2"/>
      <c r="N132" s="4"/>
      <c r="O132" s="4"/>
      <c r="P132" s="4"/>
      <c r="Q132" s="4"/>
      <c r="R132" s="5"/>
      <c r="S132" s="5"/>
      <c r="T132" s="4"/>
      <c r="U132" s="4"/>
      <c r="V132" s="4"/>
    </row>
    <row r="133">
      <c r="A133" s="4"/>
      <c r="B133" s="4"/>
      <c r="C133" s="5"/>
      <c r="D133" s="5"/>
      <c r="E133" s="4"/>
      <c r="F133" s="2"/>
      <c r="G133" s="2"/>
      <c r="H133" s="5"/>
      <c r="I133" s="5"/>
      <c r="J133" s="2"/>
      <c r="K133" s="2"/>
      <c r="L133" s="2"/>
      <c r="M133" s="2"/>
      <c r="N133" s="4"/>
      <c r="O133" s="4"/>
      <c r="P133" s="4"/>
      <c r="Q133" s="4"/>
      <c r="R133" s="5"/>
      <c r="S133" s="5"/>
      <c r="T133" s="4"/>
      <c r="U133" s="4"/>
      <c r="V133" s="4"/>
    </row>
    <row r="134">
      <c r="A134" s="4"/>
      <c r="B134" s="4"/>
      <c r="C134" s="5"/>
      <c r="D134" s="5"/>
      <c r="E134" s="4"/>
      <c r="F134" s="2"/>
      <c r="G134" s="2"/>
      <c r="H134" s="5"/>
      <c r="I134" s="5"/>
      <c r="J134" s="2"/>
      <c r="K134" s="2"/>
      <c r="L134" s="2"/>
      <c r="M134" s="2"/>
      <c r="N134" s="4"/>
      <c r="O134" s="4"/>
      <c r="P134" s="4"/>
      <c r="Q134" s="4"/>
      <c r="R134" s="5"/>
      <c r="S134" s="5"/>
      <c r="T134" s="4"/>
      <c r="U134" s="4"/>
      <c r="V134" s="4"/>
    </row>
    <row r="135">
      <c r="A135" s="4"/>
      <c r="B135" s="4"/>
      <c r="C135" s="5"/>
      <c r="D135" s="5"/>
      <c r="E135" s="4"/>
      <c r="F135" s="2"/>
      <c r="G135" s="2"/>
      <c r="H135" s="5"/>
      <c r="I135" s="5"/>
      <c r="J135" s="2"/>
      <c r="K135" s="2"/>
      <c r="L135" s="2"/>
      <c r="M135" s="2"/>
      <c r="N135" s="4"/>
      <c r="O135" s="4"/>
      <c r="P135" s="4"/>
      <c r="Q135" s="4"/>
      <c r="R135" s="5"/>
      <c r="S135" s="5"/>
      <c r="T135" s="4"/>
      <c r="U135" s="4"/>
      <c r="V135" s="4"/>
    </row>
    <row r="136">
      <c r="A136" s="4"/>
      <c r="B136" s="4"/>
      <c r="C136" s="5"/>
      <c r="D136" s="5"/>
      <c r="E136" s="4"/>
      <c r="F136" s="2"/>
      <c r="G136" s="2"/>
      <c r="H136" s="5"/>
      <c r="I136" s="5"/>
      <c r="J136" s="2"/>
      <c r="K136" s="2"/>
      <c r="L136" s="2"/>
      <c r="M136" s="2"/>
      <c r="N136" s="4"/>
      <c r="O136" s="4"/>
      <c r="P136" s="4"/>
      <c r="Q136" s="4"/>
      <c r="R136" s="5"/>
      <c r="S136" s="5"/>
      <c r="T136" s="4"/>
      <c r="U136" s="4"/>
      <c r="V136" s="4"/>
    </row>
    <row r="137">
      <c r="A137" s="4"/>
      <c r="B137" s="4"/>
      <c r="C137" s="5"/>
      <c r="D137" s="5"/>
      <c r="E137" s="4"/>
      <c r="F137" s="2"/>
      <c r="G137" s="2"/>
      <c r="H137" s="5"/>
      <c r="I137" s="5"/>
      <c r="J137" s="2"/>
      <c r="K137" s="2"/>
      <c r="L137" s="2"/>
      <c r="M137" s="2"/>
      <c r="N137" s="4"/>
      <c r="O137" s="4"/>
      <c r="P137" s="4"/>
      <c r="Q137" s="4"/>
      <c r="R137" s="5"/>
      <c r="S137" s="5"/>
      <c r="T137" s="4"/>
      <c r="U137" s="4"/>
      <c r="V137" s="4"/>
    </row>
    <row r="138">
      <c r="A138" s="4"/>
      <c r="B138" s="4"/>
      <c r="C138" s="5"/>
      <c r="D138" s="5"/>
      <c r="E138" s="4"/>
      <c r="F138" s="2"/>
      <c r="G138" s="2"/>
      <c r="H138" s="5"/>
      <c r="I138" s="5"/>
      <c r="J138" s="2"/>
      <c r="K138" s="2"/>
      <c r="L138" s="2"/>
      <c r="M138" s="2"/>
      <c r="N138" s="4"/>
      <c r="O138" s="4"/>
      <c r="P138" s="4"/>
      <c r="Q138" s="4"/>
      <c r="R138" s="5"/>
      <c r="S138" s="5"/>
      <c r="T138" s="4"/>
      <c r="U138" s="4"/>
      <c r="V138" s="4"/>
    </row>
    <row r="139">
      <c r="A139" s="4"/>
      <c r="B139" s="4"/>
      <c r="C139" s="5"/>
      <c r="D139" s="5"/>
      <c r="E139" s="4"/>
      <c r="F139" s="2"/>
      <c r="G139" s="2"/>
      <c r="H139" s="5"/>
      <c r="I139" s="5"/>
      <c r="J139" s="2"/>
      <c r="K139" s="2"/>
      <c r="L139" s="2"/>
      <c r="M139" s="2"/>
      <c r="N139" s="4"/>
      <c r="O139" s="4"/>
      <c r="P139" s="4"/>
      <c r="Q139" s="4"/>
      <c r="R139" s="5"/>
      <c r="S139" s="5"/>
      <c r="T139" s="4"/>
      <c r="U139" s="4"/>
      <c r="V139" s="4"/>
    </row>
    <row r="140">
      <c r="A140" s="4"/>
      <c r="B140" s="4"/>
      <c r="C140" s="5"/>
      <c r="D140" s="5"/>
      <c r="E140" s="4"/>
      <c r="F140" s="2"/>
      <c r="G140" s="2"/>
      <c r="H140" s="5"/>
      <c r="I140" s="5"/>
      <c r="J140" s="2"/>
      <c r="K140" s="2"/>
      <c r="L140" s="2"/>
      <c r="M140" s="2"/>
      <c r="N140" s="4"/>
      <c r="O140" s="4"/>
      <c r="P140" s="4"/>
      <c r="Q140" s="4"/>
      <c r="R140" s="5"/>
      <c r="S140" s="5"/>
      <c r="T140" s="4"/>
      <c r="U140" s="4"/>
      <c r="V140" s="4"/>
    </row>
    <row r="141">
      <c r="A141" s="4"/>
      <c r="B141" s="4"/>
      <c r="C141" s="5"/>
      <c r="D141" s="5"/>
      <c r="E141" s="4"/>
      <c r="F141" s="2"/>
      <c r="G141" s="2"/>
      <c r="H141" s="5"/>
      <c r="I141" s="5"/>
      <c r="J141" s="2"/>
      <c r="K141" s="2"/>
      <c r="L141" s="2"/>
      <c r="M141" s="2"/>
      <c r="N141" s="4"/>
      <c r="O141" s="4"/>
      <c r="P141" s="4"/>
      <c r="Q141" s="4"/>
      <c r="R141" s="5"/>
      <c r="S141" s="5"/>
      <c r="T141" s="4"/>
      <c r="U141" s="4"/>
      <c r="V141" s="4"/>
    </row>
    <row r="142">
      <c r="A142" s="4"/>
      <c r="B142" s="4"/>
      <c r="C142" s="5"/>
      <c r="D142" s="5"/>
      <c r="E142" s="4"/>
      <c r="F142" s="2"/>
      <c r="G142" s="2"/>
      <c r="H142" s="5"/>
      <c r="I142" s="5"/>
      <c r="J142" s="2"/>
      <c r="K142" s="2"/>
      <c r="L142" s="2"/>
      <c r="M142" s="2"/>
      <c r="N142" s="4"/>
      <c r="O142" s="4"/>
      <c r="P142" s="4"/>
      <c r="Q142" s="4"/>
      <c r="R142" s="5"/>
      <c r="S142" s="5"/>
      <c r="T142" s="4"/>
      <c r="U142" s="4"/>
      <c r="V142" s="4"/>
    </row>
    <row r="143">
      <c r="A143" s="4"/>
      <c r="B143" s="4"/>
      <c r="C143" s="5"/>
      <c r="D143" s="5"/>
      <c r="E143" s="4"/>
      <c r="F143" s="2"/>
      <c r="G143" s="2"/>
      <c r="H143" s="5"/>
      <c r="I143" s="5"/>
      <c r="J143" s="2"/>
      <c r="K143" s="2"/>
      <c r="L143" s="2"/>
      <c r="M143" s="2"/>
      <c r="N143" s="4"/>
      <c r="O143" s="4"/>
      <c r="P143" s="4"/>
      <c r="Q143" s="4"/>
      <c r="R143" s="5"/>
      <c r="S143" s="5"/>
      <c r="T143" s="4"/>
      <c r="U143" s="4"/>
      <c r="V143" s="4"/>
    </row>
    <row r="144">
      <c r="A144" s="4"/>
      <c r="B144" s="4"/>
      <c r="C144" s="5"/>
      <c r="D144" s="5"/>
      <c r="E144" s="4"/>
      <c r="F144" s="2"/>
      <c r="G144" s="2"/>
      <c r="H144" s="5"/>
      <c r="I144" s="5"/>
      <c r="J144" s="2"/>
      <c r="K144" s="2"/>
      <c r="L144" s="2"/>
      <c r="M144" s="2"/>
      <c r="N144" s="4"/>
      <c r="O144" s="4"/>
      <c r="P144" s="4"/>
      <c r="Q144" s="4"/>
      <c r="R144" s="5"/>
      <c r="S144" s="5"/>
      <c r="T144" s="4"/>
      <c r="U144" s="4"/>
      <c r="V144" s="4"/>
    </row>
    <row r="145">
      <c r="A145" s="4"/>
      <c r="B145" s="4"/>
      <c r="C145" s="5"/>
      <c r="D145" s="5"/>
      <c r="E145" s="4"/>
      <c r="F145" s="2"/>
      <c r="G145" s="2"/>
      <c r="H145" s="5"/>
      <c r="I145" s="5"/>
      <c r="J145" s="2"/>
      <c r="K145" s="2"/>
      <c r="L145" s="2"/>
      <c r="M145" s="2"/>
      <c r="N145" s="4"/>
      <c r="O145" s="4"/>
      <c r="P145" s="4"/>
      <c r="Q145" s="4"/>
      <c r="R145" s="5"/>
      <c r="S145" s="5"/>
      <c r="T145" s="4"/>
      <c r="U145" s="4"/>
      <c r="V145" s="4"/>
    </row>
    <row r="146">
      <c r="A146" s="4"/>
      <c r="B146" s="4"/>
      <c r="C146" s="5"/>
      <c r="D146" s="5"/>
      <c r="E146" s="4"/>
      <c r="F146" s="2"/>
      <c r="G146" s="2"/>
      <c r="H146" s="5"/>
      <c r="I146" s="5"/>
      <c r="J146" s="2"/>
      <c r="K146" s="2"/>
      <c r="L146" s="2"/>
      <c r="M146" s="2"/>
      <c r="N146" s="4"/>
      <c r="O146" s="4"/>
      <c r="P146" s="4"/>
      <c r="Q146" s="4"/>
      <c r="R146" s="5"/>
      <c r="S146" s="5"/>
      <c r="T146" s="4"/>
      <c r="U146" s="4"/>
      <c r="V146" s="4"/>
    </row>
    <row r="147">
      <c r="A147" s="4"/>
      <c r="B147" s="4"/>
      <c r="C147" s="5"/>
      <c r="D147" s="5"/>
      <c r="E147" s="4"/>
      <c r="F147" s="2"/>
      <c r="G147" s="2"/>
      <c r="H147" s="5"/>
      <c r="I147" s="5"/>
      <c r="J147" s="2"/>
      <c r="K147" s="2"/>
      <c r="L147" s="2"/>
      <c r="M147" s="2"/>
      <c r="N147" s="4"/>
      <c r="O147" s="4"/>
      <c r="P147" s="4"/>
      <c r="Q147" s="4"/>
      <c r="R147" s="5"/>
      <c r="S147" s="5"/>
      <c r="T147" s="4"/>
      <c r="U147" s="4"/>
      <c r="V147" s="4"/>
    </row>
    <row r="148">
      <c r="A148" s="4"/>
      <c r="B148" s="4"/>
      <c r="C148" s="5"/>
      <c r="D148" s="5"/>
      <c r="E148" s="4"/>
      <c r="F148" s="2"/>
      <c r="G148" s="2"/>
      <c r="H148" s="5"/>
      <c r="I148" s="5"/>
      <c r="J148" s="2"/>
      <c r="K148" s="2"/>
      <c r="L148" s="2"/>
      <c r="M148" s="2"/>
      <c r="N148" s="4"/>
      <c r="O148" s="4"/>
      <c r="P148" s="4"/>
      <c r="Q148" s="4"/>
      <c r="R148" s="5"/>
      <c r="S148" s="5"/>
      <c r="T148" s="4"/>
      <c r="U148" s="4"/>
      <c r="V148" s="4"/>
    </row>
    <row r="149">
      <c r="A149" s="4"/>
      <c r="B149" s="4"/>
      <c r="C149" s="5"/>
      <c r="D149" s="5"/>
      <c r="E149" s="4"/>
      <c r="F149" s="2"/>
      <c r="G149" s="2"/>
      <c r="H149" s="5"/>
      <c r="I149" s="5"/>
      <c r="J149" s="2"/>
      <c r="K149" s="2"/>
      <c r="L149" s="2"/>
      <c r="M149" s="2"/>
      <c r="N149" s="4"/>
      <c r="O149" s="4"/>
      <c r="P149" s="4"/>
      <c r="Q149" s="4"/>
      <c r="R149" s="5"/>
      <c r="S149" s="5"/>
      <c r="T149" s="4"/>
      <c r="U149" s="4"/>
      <c r="V149" s="4"/>
    </row>
    <row r="150">
      <c r="A150" s="4"/>
      <c r="B150" s="4"/>
      <c r="C150" s="5"/>
      <c r="D150" s="5"/>
      <c r="E150" s="4"/>
      <c r="F150" s="2"/>
      <c r="G150" s="2"/>
      <c r="H150" s="5"/>
      <c r="I150" s="5"/>
      <c r="J150" s="2"/>
      <c r="K150" s="2"/>
      <c r="L150" s="2"/>
      <c r="M150" s="2"/>
      <c r="N150" s="4"/>
      <c r="O150" s="4"/>
      <c r="P150" s="4"/>
      <c r="Q150" s="4"/>
      <c r="R150" s="5"/>
      <c r="S150" s="5"/>
      <c r="T150" s="4"/>
      <c r="U150" s="4"/>
      <c r="V150" s="4"/>
    </row>
    <row r="151">
      <c r="A151" s="4"/>
      <c r="B151" s="4"/>
      <c r="C151" s="5"/>
      <c r="D151" s="5"/>
      <c r="E151" s="4"/>
      <c r="F151" s="2"/>
      <c r="G151" s="2"/>
      <c r="H151" s="5"/>
      <c r="I151" s="5"/>
      <c r="J151" s="2"/>
      <c r="K151" s="2"/>
      <c r="L151" s="2"/>
      <c r="M151" s="2"/>
      <c r="N151" s="4"/>
      <c r="O151" s="4"/>
      <c r="P151" s="4"/>
      <c r="Q151" s="4"/>
      <c r="R151" s="5"/>
      <c r="S151" s="5"/>
      <c r="T151" s="4"/>
      <c r="U151" s="4"/>
      <c r="V151" s="4"/>
    </row>
    <row r="152">
      <c r="A152" s="4"/>
      <c r="B152" s="4"/>
      <c r="C152" s="5"/>
      <c r="D152" s="5"/>
      <c r="E152" s="4"/>
      <c r="F152" s="2"/>
      <c r="G152" s="2"/>
      <c r="H152" s="5"/>
      <c r="I152" s="5"/>
      <c r="J152" s="2"/>
      <c r="K152" s="2"/>
      <c r="L152" s="2"/>
      <c r="M152" s="2"/>
      <c r="N152" s="4"/>
      <c r="O152" s="4"/>
      <c r="P152" s="4"/>
      <c r="Q152" s="4"/>
      <c r="R152" s="5"/>
      <c r="S152" s="5"/>
      <c r="T152" s="4"/>
      <c r="U152" s="4"/>
      <c r="V152" s="4"/>
    </row>
    <row r="153">
      <c r="A153" s="4"/>
      <c r="B153" s="4"/>
      <c r="C153" s="5"/>
      <c r="D153" s="5"/>
      <c r="E153" s="4"/>
      <c r="F153" s="2"/>
      <c r="G153" s="2"/>
      <c r="H153" s="5"/>
      <c r="I153" s="5"/>
      <c r="J153" s="2"/>
      <c r="K153" s="2"/>
      <c r="L153" s="2"/>
      <c r="M153" s="2"/>
      <c r="N153" s="4"/>
      <c r="O153" s="4"/>
      <c r="P153" s="4"/>
      <c r="Q153" s="4"/>
      <c r="R153" s="5"/>
      <c r="S153" s="5"/>
      <c r="T153" s="4"/>
      <c r="U153" s="4"/>
      <c r="V153" s="4"/>
    </row>
    <row r="154">
      <c r="A154" s="4"/>
      <c r="B154" s="4"/>
      <c r="C154" s="5"/>
      <c r="D154" s="5"/>
      <c r="E154" s="4"/>
      <c r="F154" s="2"/>
      <c r="G154" s="2"/>
      <c r="H154" s="5"/>
      <c r="I154" s="5"/>
      <c r="J154" s="2"/>
      <c r="K154" s="2"/>
      <c r="L154" s="2"/>
      <c r="M154" s="2"/>
      <c r="N154" s="4"/>
      <c r="O154" s="4"/>
      <c r="P154" s="4"/>
      <c r="Q154" s="4"/>
      <c r="R154" s="5"/>
      <c r="S154" s="5"/>
      <c r="T154" s="4"/>
      <c r="U154" s="4"/>
      <c r="V154" s="4"/>
    </row>
    <row r="155">
      <c r="A155" s="4"/>
      <c r="B155" s="4"/>
      <c r="C155" s="5"/>
      <c r="D155" s="5"/>
      <c r="E155" s="4"/>
      <c r="F155" s="2"/>
      <c r="G155" s="2"/>
      <c r="H155" s="5"/>
      <c r="I155" s="5"/>
      <c r="J155" s="2"/>
      <c r="K155" s="2"/>
      <c r="L155" s="2"/>
      <c r="M155" s="2"/>
      <c r="N155" s="4"/>
      <c r="O155" s="4"/>
      <c r="P155" s="4"/>
      <c r="Q155" s="4"/>
      <c r="R155" s="5"/>
      <c r="S155" s="5"/>
      <c r="T155" s="4"/>
      <c r="U155" s="4"/>
      <c r="V155" s="4"/>
    </row>
    <row r="156">
      <c r="A156" s="4"/>
      <c r="B156" s="4"/>
      <c r="C156" s="5"/>
      <c r="D156" s="5"/>
      <c r="E156" s="4"/>
      <c r="F156" s="2"/>
      <c r="G156" s="2"/>
      <c r="H156" s="5"/>
      <c r="I156" s="5"/>
      <c r="J156" s="2"/>
      <c r="K156" s="2"/>
      <c r="L156" s="2"/>
      <c r="M156" s="2"/>
      <c r="N156" s="4"/>
      <c r="O156" s="4"/>
      <c r="P156" s="4"/>
      <c r="Q156" s="4"/>
      <c r="R156" s="5"/>
      <c r="S156" s="5"/>
      <c r="T156" s="4"/>
      <c r="U156" s="4"/>
      <c r="V156" s="4"/>
    </row>
    <row r="157">
      <c r="A157" s="4"/>
      <c r="B157" s="4"/>
      <c r="C157" s="5"/>
      <c r="D157" s="5"/>
      <c r="E157" s="4"/>
      <c r="F157" s="2"/>
      <c r="G157" s="2"/>
      <c r="H157" s="5"/>
      <c r="I157" s="5"/>
      <c r="J157" s="2"/>
      <c r="K157" s="2"/>
      <c r="L157" s="2"/>
      <c r="M157" s="2"/>
      <c r="N157" s="4"/>
      <c r="O157" s="4"/>
      <c r="P157" s="4"/>
      <c r="Q157" s="4"/>
      <c r="R157" s="5"/>
      <c r="S157" s="5"/>
      <c r="T157" s="4"/>
      <c r="U157" s="4"/>
      <c r="V157" s="4"/>
    </row>
    <row r="158">
      <c r="A158" s="4"/>
      <c r="B158" s="4"/>
      <c r="C158" s="5"/>
      <c r="D158" s="5"/>
      <c r="E158" s="4"/>
      <c r="F158" s="2"/>
      <c r="G158" s="2"/>
      <c r="H158" s="5"/>
      <c r="I158" s="5"/>
      <c r="J158" s="2"/>
      <c r="K158" s="2"/>
      <c r="L158" s="2"/>
      <c r="M158" s="2"/>
      <c r="N158" s="4"/>
      <c r="O158" s="4"/>
      <c r="P158" s="4"/>
      <c r="Q158" s="4"/>
      <c r="R158" s="5"/>
      <c r="S158" s="5"/>
      <c r="T158" s="4"/>
      <c r="U158" s="4"/>
      <c r="V158" s="4"/>
    </row>
    <row r="159">
      <c r="A159" s="4"/>
      <c r="B159" s="4"/>
      <c r="C159" s="5"/>
      <c r="D159" s="5"/>
      <c r="E159" s="4"/>
      <c r="F159" s="2"/>
      <c r="G159" s="2"/>
      <c r="H159" s="5"/>
      <c r="I159" s="5"/>
      <c r="J159" s="2"/>
      <c r="K159" s="2"/>
      <c r="L159" s="2"/>
      <c r="M159" s="2"/>
      <c r="N159" s="4"/>
      <c r="O159" s="4"/>
      <c r="P159" s="4"/>
      <c r="Q159" s="4"/>
      <c r="R159" s="5"/>
      <c r="S159" s="5"/>
      <c r="T159" s="4"/>
      <c r="U159" s="4"/>
      <c r="V159" s="4"/>
    </row>
    <row r="160">
      <c r="A160" s="4"/>
      <c r="B160" s="4"/>
      <c r="C160" s="5"/>
      <c r="D160" s="5"/>
      <c r="E160" s="4"/>
      <c r="F160" s="2"/>
      <c r="G160" s="2"/>
      <c r="H160" s="5"/>
      <c r="I160" s="5"/>
      <c r="J160" s="2"/>
      <c r="K160" s="2"/>
      <c r="L160" s="2"/>
      <c r="M160" s="2"/>
      <c r="N160" s="4"/>
      <c r="O160" s="4"/>
      <c r="P160" s="4"/>
      <c r="Q160" s="4"/>
      <c r="R160" s="5"/>
      <c r="S160" s="5"/>
      <c r="T160" s="4"/>
      <c r="U160" s="4"/>
      <c r="V160" s="4"/>
    </row>
    <row r="161">
      <c r="A161" s="4"/>
      <c r="B161" s="4"/>
      <c r="C161" s="5"/>
      <c r="D161" s="5"/>
      <c r="E161" s="4"/>
      <c r="F161" s="2"/>
      <c r="G161" s="2"/>
      <c r="H161" s="5"/>
      <c r="I161" s="5"/>
      <c r="J161" s="2"/>
      <c r="K161" s="2"/>
      <c r="L161" s="2"/>
      <c r="M161" s="2"/>
      <c r="N161" s="4"/>
      <c r="O161" s="4"/>
      <c r="P161" s="4"/>
      <c r="Q161" s="4"/>
      <c r="R161" s="5"/>
      <c r="S161" s="5"/>
      <c r="T161" s="4"/>
      <c r="U161" s="4"/>
      <c r="V161" s="4"/>
    </row>
    <row r="162">
      <c r="A162" s="4"/>
      <c r="B162" s="4"/>
      <c r="C162" s="5"/>
      <c r="D162" s="5"/>
      <c r="E162" s="4"/>
      <c r="F162" s="2"/>
      <c r="G162" s="2"/>
      <c r="H162" s="5"/>
      <c r="I162" s="5"/>
      <c r="J162" s="2"/>
      <c r="K162" s="2"/>
      <c r="L162" s="2"/>
      <c r="M162" s="2"/>
      <c r="N162" s="4"/>
      <c r="O162" s="4"/>
      <c r="P162" s="4"/>
      <c r="Q162" s="4"/>
      <c r="R162" s="5"/>
      <c r="S162" s="5"/>
      <c r="T162" s="4"/>
      <c r="U162" s="4"/>
      <c r="V162" s="4"/>
    </row>
    <row r="163">
      <c r="A163" s="4"/>
      <c r="B163" s="4"/>
      <c r="C163" s="5"/>
      <c r="D163" s="5"/>
      <c r="E163" s="4"/>
      <c r="F163" s="2"/>
      <c r="G163" s="2"/>
      <c r="H163" s="5"/>
      <c r="I163" s="5"/>
      <c r="J163" s="2"/>
      <c r="K163" s="2"/>
      <c r="L163" s="2"/>
      <c r="M163" s="2"/>
      <c r="N163" s="4"/>
      <c r="O163" s="4"/>
      <c r="P163" s="4"/>
      <c r="Q163" s="4"/>
      <c r="R163" s="5"/>
      <c r="S163" s="5"/>
      <c r="T163" s="4"/>
      <c r="U163" s="4"/>
      <c r="V163" s="4"/>
    </row>
    <row r="164">
      <c r="A164" s="4"/>
      <c r="B164" s="4"/>
      <c r="C164" s="5"/>
      <c r="D164" s="5"/>
      <c r="E164" s="4"/>
      <c r="F164" s="2"/>
      <c r="G164" s="2"/>
      <c r="H164" s="5"/>
      <c r="I164" s="5"/>
      <c r="J164" s="2"/>
      <c r="K164" s="2"/>
      <c r="L164" s="2"/>
      <c r="M164" s="2"/>
      <c r="N164" s="4"/>
      <c r="O164" s="4"/>
      <c r="P164" s="4"/>
      <c r="Q164" s="4"/>
      <c r="R164" s="5"/>
      <c r="S164" s="5"/>
      <c r="T164" s="4"/>
      <c r="U164" s="4"/>
      <c r="V164" s="4"/>
    </row>
    <row r="165">
      <c r="A165" s="4"/>
      <c r="B165" s="4"/>
      <c r="C165" s="5"/>
      <c r="D165" s="5"/>
      <c r="E165" s="4"/>
      <c r="F165" s="2"/>
      <c r="G165" s="2"/>
      <c r="H165" s="5"/>
      <c r="I165" s="5"/>
      <c r="J165" s="2"/>
      <c r="K165" s="2"/>
      <c r="L165" s="2"/>
      <c r="M165" s="2"/>
      <c r="N165" s="4"/>
      <c r="O165" s="4"/>
      <c r="P165" s="4"/>
      <c r="Q165" s="4"/>
      <c r="R165" s="5"/>
      <c r="S165" s="5"/>
      <c r="T165" s="4"/>
      <c r="U165" s="4"/>
      <c r="V165" s="4"/>
    </row>
    <row r="166">
      <c r="A166" s="4"/>
      <c r="B166" s="4"/>
      <c r="C166" s="5"/>
      <c r="D166" s="5"/>
      <c r="E166" s="4"/>
      <c r="F166" s="2"/>
      <c r="G166" s="2"/>
      <c r="H166" s="5"/>
      <c r="I166" s="5"/>
      <c r="J166" s="2"/>
      <c r="K166" s="2"/>
      <c r="L166" s="2"/>
      <c r="M166" s="2"/>
      <c r="N166" s="4"/>
      <c r="O166" s="4"/>
      <c r="P166" s="4"/>
      <c r="Q166" s="4"/>
      <c r="R166" s="5"/>
      <c r="S166" s="5"/>
      <c r="T166" s="4"/>
      <c r="U166" s="4"/>
      <c r="V166" s="4"/>
    </row>
    <row r="167">
      <c r="A167" s="4"/>
      <c r="B167" s="4"/>
      <c r="C167" s="5"/>
      <c r="D167" s="5"/>
      <c r="E167" s="4"/>
      <c r="F167" s="2"/>
      <c r="G167" s="2"/>
      <c r="H167" s="5"/>
      <c r="I167" s="5"/>
      <c r="J167" s="2"/>
      <c r="K167" s="2"/>
      <c r="L167" s="2"/>
      <c r="M167" s="2"/>
      <c r="N167" s="4"/>
      <c r="O167" s="4"/>
      <c r="P167" s="4"/>
      <c r="Q167" s="4"/>
      <c r="R167" s="5"/>
      <c r="S167" s="5"/>
      <c r="T167" s="4"/>
      <c r="U167" s="4"/>
      <c r="V167" s="4"/>
    </row>
    <row r="168">
      <c r="A168" s="4"/>
      <c r="B168" s="4"/>
      <c r="C168" s="5"/>
      <c r="D168" s="5"/>
      <c r="E168" s="4"/>
      <c r="F168" s="2"/>
      <c r="G168" s="2"/>
      <c r="H168" s="5"/>
      <c r="I168" s="5"/>
      <c r="J168" s="2"/>
      <c r="K168" s="2"/>
      <c r="L168" s="2"/>
      <c r="M168" s="2"/>
      <c r="N168" s="4"/>
      <c r="O168" s="4"/>
      <c r="P168" s="4"/>
      <c r="Q168" s="4"/>
      <c r="R168" s="5"/>
      <c r="S168" s="5"/>
      <c r="T168" s="4"/>
      <c r="U168" s="4"/>
      <c r="V168" s="4"/>
    </row>
    <row r="169">
      <c r="A169" s="4"/>
      <c r="B169" s="4"/>
      <c r="C169" s="5"/>
      <c r="D169" s="5"/>
      <c r="E169" s="4"/>
      <c r="F169" s="2"/>
      <c r="G169" s="2"/>
      <c r="H169" s="5"/>
      <c r="I169" s="5"/>
      <c r="J169" s="2"/>
      <c r="K169" s="2"/>
      <c r="L169" s="2"/>
      <c r="M169" s="2"/>
      <c r="N169" s="4"/>
      <c r="O169" s="4"/>
      <c r="P169" s="4"/>
      <c r="Q169" s="4"/>
      <c r="R169" s="5"/>
      <c r="S169" s="5"/>
      <c r="T169" s="4"/>
      <c r="U169" s="4"/>
      <c r="V169" s="4"/>
    </row>
    <row r="170">
      <c r="A170" s="4"/>
      <c r="B170" s="4"/>
      <c r="C170" s="5"/>
      <c r="D170" s="5"/>
      <c r="E170" s="4"/>
      <c r="F170" s="2"/>
      <c r="G170" s="2"/>
      <c r="H170" s="5"/>
      <c r="I170" s="5"/>
      <c r="J170" s="2"/>
      <c r="K170" s="2"/>
      <c r="L170" s="2"/>
      <c r="M170" s="2"/>
      <c r="N170" s="4"/>
      <c r="O170" s="4"/>
      <c r="P170" s="4"/>
      <c r="Q170" s="4"/>
      <c r="R170" s="5"/>
      <c r="S170" s="5"/>
      <c r="T170" s="4"/>
      <c r="U170" s="4"/>
      <c r="V170" s="4"/>
    </row>
    <row r="171">
      <c r="A171" s="4"/>
      <c r="B171" s="4"/>
      <c r="C171" s="5"/>
      <c r="D171" s="5"/>
      <c r="E171" s="4"/>
      <c r="F171" s="2"/>
      <c r="G171" s="2"/>
      <c r="H171" s="5"/>
      <c r="I171" s="5"/>
      <c r="J171" s="2"/>
      <c r="K171" s="2"/>
      <c r="L171" s="2"/>
      <c r="M171" s="2"/>
      <c r="N171" s="4"/>
      <c r="O171" s="4"/>
      <c r="P171" s="4"/>
      <c r="Q171" s="4"/>
      <c r="R171" s="5"/>
      <c r="S171" s="5"/>
      <c r="T171" s="4"/>
      <c r="U171" s="4"/>
      <c r="V171" s="4"/>
    </row>
    <row r="172">
      <c r="A172" s="4"/>
      <c r="B172" s="4"/>
      <c r="C172" s="5"/>
      <c r="D172" s="5"/>
      <c r="E172" s="4"/>
      <c r="F172" s="2"/>
      <c r="G172" s="2"/>
      <c r="H172" s="5"/>
      <c r="I172" s="5"/>
      <c r="J172" s="2"/>
      <c r="K172" s="2"/>
      <c r="L172" s="2"/>
      <c r="M172" s="2"/>
      <c r="N172" s="4"/>
      <c r="O172" s="4"/>
      <c r="P172" s="4"/>
      <c r="Q172" s="4"/>
      <c r="R172" s="5"/>
      <c r="S172" s="5"/>
      <c r="T172" s="4"/>
      <c r="U172" s="4"/>
      <c r="V172" s="4"/>
    </row>
    <row r="173">
      <c r="A173" s="4"/>
      <c r="B173" s="4"/>
      <c r="C173" s="5"/>
      <c r="D173" s="5"/>
      <c r="E173" s="4"/>
      <c r="F173" s="2"/>
      <c r="G173" s="2"/>
      <c r="H173" s="5"/>
      <c r="I173" s="5"/>
      <c r="J173" s="2"/>
      <c r="K173" s="2"/>
      <c r="L173" s="2"/>
      <c r="M173" s="2"/>
      <c r="N173" s="4"/>
      <c r="O173" s="4"/>
      <c r="P173" s="4"/>
      <c r="Q173" s="4"/>
      <c r="R173" s="5"/>
      <c r="S173" s="5"/>
      <c r="T173" s="4"/>
      <c r="U173" s="4"/>
      <c r="V173" s="4"/>
    </row>
    <row r="174">
      <c r="A174" s="4"/>
      <c r="B174" s="4"/>
      <c r="C174" s="5"/>
      <c r="D174" s="5"/>
      <c r="E174" s="4"/>
      <c r="F174" s="2"/>
      <c r="G174" s="2"/>
      <c r="H174" s="5"/>
      <c r="I174" s="5"/>
      <c r="J174" s="2"/>
      <c r="K174" s="2"/>
      <c r="L174" s="2"/>
      <c r="M174" s="2"/>
      <c r="N174" s="4"/>
      <c r="O174" s="4"/>
      <c r="P174" s="4"/>
      <c r="Q174" s="4"/>
      <c r="R174" s="5"/>
      <c r="S174" s="5"/>
      <c r="T174" s="4"/>
      <c r="U174" s="4"/>
      <c r="V174" s="4"/>
    </row>
    <row r="175">
      <c r="A175" s="4"/>
      <c r="B175" s="4"/>
      <c r="C175" s="5"/>
      <c r="D175" s="5"/>
      <c r="E175" s="4"/>
      <c r="F175" s="2"/>
      <c r="G175" s="2"/>
      <c r="H175" s="5"/>
      <c r="I175" s="5"/>
      <c r="J175" s="2"/>
      <c r="K175" s="2"/>
      <c r="L175" s="2"/>
      <c r="M175" s="2"/>
      <c r="N175" s="4"/>
      <c r="O175" s="4"/>
      <c r="P175" s="4"/>
      <c r="Q175" s="4"/>
      <c r="R175" s="5"/>
      <c r="S175" s="5"/>
      <c r="T175" s="4"/>
      <c r="U175" s="4"/>
      <c r="V175" s="4"/>
    </row>
    <row r="176">
      <c r="A176" s="4"/>
      <c r="B176" s="4"/>
      <c r="C176" s="5"/>
      <c r="D176" s="5"/>
      <c r="E176" s="4"/>
      <c r="F176" s="2"/>
      <c r="G176" s="2"/>
      <c r="H176" s="5"/>
      <c r="I176" s="5"/>
      <c r="J176" s="2"/>
      <c r="K176" s="2"/>
      <c r="L176" s="2"/>
      <c r="M176" s="2"/>
      <c r="N176" s="4"/>
      <c r="O176" s="4"/>
      <c r="P176" s="4"/>
      <c r="Q176" s="4"/>
      <c r="R176" s="5"/>
      <c r="S176" s="5"/>
      <c r="T176" s="4"/>
      <c r="U176" s="4"/>
      <c r="V176" s="4"/>
    </row>
    <row r="177">
      <c r="A177" s="4"/>
      <c r="B177" s="4"/>
      <c r="C177" s="5"/>
      <c r="D177" s="5"/>
      <c r="E177" s="4"/>
      <c r="F177" s="2"/>
      <c r="G177" s="2"/>
      <c r="H177" s="5"/>
      <c r="I177" s="5"/>
      <c r="J177" s="2"/>
      <c r="K177" s="2"/>
      <c r="L177" s="2"/>
      <c r="M177" s="2"/>
      <c r="N177" s="4"/>
      <c r="O177" s="4"/>
      <c r="P177" s="4"/>
      <c r="Q177" s="4"/>
      <c r="R177" s="5"/>
      <c r="S177" s="5"/>
      <c r="T177" s="4"/>
      <c r="U177" s="4"/>
      <c r="V177" s="4"/>
    </row>
    <row r="178">
      <c r="A178" s="4"/>
      <c r="B178" s="4"/>
      <c r="C178" s="5"/>
      <c r="D178" s="5"/>
      <c r="E178" s="4"/>
      <c r="F178" s="2"/>
      <c r="G178" s="2"/>
      <c r="H178" s="5"/>
      <c r="I178" s="5"/>
      <c r="J178" s="2"/>
      <c r="K178" s="2"/>
      <c r="L178" s="2"/>
      <c r="M178" s="2"/>
      <c r="N178" s="4"/>
      <c r="O178" s="4"/>
      <c r="P178" s="4"/>
      <c r="Q178" s="4"/>
      <c r="R178" s="5"/>
      <c r="S178" s="5"/>
      <c r="T178" s="4"/>
      <c r="U178" s="4"/>
      <c r="V178" s="4"/>
    </row>
    <row r="179">
      <c r="A179" s="4"/>
      <c r="B179" s="4"/>
      <c r="C179" s="5"/>
      <c r="D179" s="5"/>
      <c r="E179" s="4"/>
      <c r="F179" s="2"/>
      <c r="G179" s="2"/>
      <c r="H179" s="5"/>
      <c r="I179" s="5"/>
      <c r="J179" s="2"/>
      <c r="K179" s="2"/>
      <c r="L179" s="2"/>
      <c r="M179" s="2"/>
      <c r="N179" s="4"/>
      <c r="O179" s="4"/>
      <c r="P179" s="4"/>
      <c r="Q179" s="4"/>
      <c r="R179" s="5"/>
      <c r="S179" s="5"/>
      <c r="T179" s="4"/>
      <c r="U179" s="4"/>
      <c r="V179" s="4"/>
    </row>
    <row r="180">
      <c r="A180" s="4"/>
      <c r="B180" s="4"/>
      <c r="C180" s="5"/>
      <c r="D180" s="5"/>
      <c r="E180" s="4"/>
      <c r="F180" s="2"/>
      <c r="G180" s="2"/>
      <c r="H180" s="5"/>
      <c r="I180" s="5"/>
      <c r="J180" s="2"/>
      <c r="K180" s="2"/>
      <c r="L180" s="2"/>
      <c r="M180" s="2"/>
      <c r="N180" s="4"/>
      <c r="O180" s="4"/>
      <c r="P180" s="4"/>
      <c r="Q180" s="4"/>
      <c r="R180" s="5"/>
      <c r="S180" s="5"/>
      <c r="T180" s="4"/>
      <c r="U180" s="4"/>
      <c r="V180" s="4"/>
    </row>
    <row r="181">
      <c r="A181" s="4"/>
      <c r="B181" s="4"/>
      <c r="C181" s="5"/>
      <c r="D181" s="5"/>
      <c r="E181" s="4"/>
      <c r="F181" s="2"/>
      <c r="G181" s="2"/>
      <c r="H181" s="5"/>
      <c r="I181" s="5"/>
      <c r="J181" s="2"/>
      <c r="K181" s="2"/>
      <c r="L181" s="2"/>
      <c r="M181" s="2"/>
      <c r="N181" s="4"/>
      <c r="O181" s="4"/>
      <c r="P181" s="4"/>
      <c r="Q181" s="4"/>
      <c r="R181" s="5"/>
      <c r="S181" s="5"/>
      <c r="T181" s="4"/>
      <c r="U181" s="4"/>
      <c r="V181" s="4"/>
    </row>
    <row r="182">
      <c r="A182" s="4"/>
      <c r="B182" s="4"/>
      <c r="C182" s="5"/>
      <c r="D182" s="5"/>
      <c r="E182" s="4"/>
      <c r="F182" s="2"/>
      <c r="G182" s="2"/>
      <c r="H182" s="5"/>
      <c r="I182" s="5"/>
      <c r="J182" s="2"/>
      <c r="K182" s="2"/>
      <c r="L182" s="2"/>
      <c r="M182" s="2"/>
      <c r="N182" s="4"/>
      <c r="O182" s="4"/>
      <c r="P182" s="4"/>
      <c r="Q182" s="4"/>
      <c r="R182" s="5"/>
      <c r="S182" s="5"/>
      <c r="T182" s="4"/>
      <c r="U182" s="4"/>
      <c r="V182" s="4"/>
    </row>
    <row r="183">
      <c r="A183" s="4"/>
      <c r="B183" s="4"/>
      <c r="C183" s="5"/>
      <c r="D183" s="5"/>
      <c r="E183" s="4"/>
      <c r="F183" s="2"/>
      <c r="G183" s="2"/>
      <c r="H183" s="5"/>
      <c r="I183" s="5"/>
      <c r="J183" s="2"/>
      <c r="K183" s="2"/>
      <c r="L183" s="2"/>
      <c r="M183" s="2"/>
      <c r="N183" s="4"/>
      <c r="O183" s="4"/>
      <c r="P183" s="4"/>
      <c r="Q183" s="4"/>
      <c r="R183" s="5"/>
      <c r="S183" s="5"/>
      <c r="T183" s="4"/>
      <c r="U183" s="4"/>
      <c r="V183" s="4"/>
    </row>
    <row r="184">
      <c r="A184" s="4"/>
      <c r="B184" s="4"/>
      <c r="C184" s="5"/>
      <c r="D184" s="5"/>
      <c r="E184" s="4"/>
      <c r="F184" s="2"/>
      <c r="G184" s="2"/>
      <c r="H184" s="5"/>
      <c r="I184" s="5"/>
      <c r="J184" s="2"/>
      <c r="K184" s="2"/>
      <c r="L184" s="2"/>
      <c r="M184" s="2"/>
      <c r="N184" s="4"/>
      <c r="O184" s="4"/>
      <c r="P184" s="4"/>
      <c r="Q184" s="4"/>
      <c r="R184" s="5"/>
      <c r="S184" s="5"/>
      <c r="T184" s="4"/>
      <c r="U184" s="4"/>
      <c r="V184" s="4"/>
    </row>
    <row r="185">
      <c r="A185" s="4"/>
      <c r="B185" s="4"/>
      <c r="C185" s="5"/>
      <c r="D185" s="5"/>
      <c r="E185" s="4"/>
      <c r="F185" s="2"/>
      <c r="G185" s="2"/>
      <c r="H185" s="5"/>
      <c r="I185" s="5"/>
      <c r="J185" s="2"/>
      <c r="K185" s="2"/>
      <c r="L185" s="2"/>
      <c r="M185" s="2"/>
      <c r="N185" s="4"/>
      <c r="O185" s="4"/>
      <c r="P185" s="4"/>
      <c r="Q185" s="4"/>
      <c r="R185" s="5"/>
      <c r="S185" s="5"/>
      <c r="T185" s="4"/>
      <c r="U185" s="4"/>
      <c r="V185" s="4"/>
    </row>
    <row r="186">
      <c r="A186" s="4"/>
      <c r="B186" s="4"/>
      <c r="C186" s="5"/>
      <c r="D186" s="5"/>
      <c r="E186" s="4"/>
      <c r="F186" s="2"/>
      <c r="G186" s="2"/>
      <c r="H186" s="5"/>
      <c r="I186" s="5"/>
      <c r="J186" s="2"/>
      <c r="K186" s="2"/>
      <c r="L186" s="2"/>
      <c r="M186" s="2"/>
      <c r="N186" s="4"/>
      <c r="O186" s="4"/>
      <c r="P186" s="4"/>
      <c r="Q186" s="4"/>
      <c r="R186" s="5"/>
      <c r="S186" s="5"/>
      <c r="T186" s="4"/>
      <c r="U186" s="4"/>
      <c r="V186" s="4"/>
    </row>
    <row r="187">
      <c r="A187" s="4"/>
      <c r="B187" s="4"/>
      <c r="C187" s="5"/>
      <c r="D187" s="5"/>
      <c r="E187" s="4"/>
      <c r="F187" s="2"/>
      <c r="G187" s="2"/>
      <c r="H187" s="5"/>
      <c r="I187" s="5"/>
      <c r="J187" s="2"/>
      <c r="K187" s="2"/>
      <c r="L187" s="2"/>
      <c r="M187" s="2"/>
      <c r="N187" s="4"/>
      <c r="O187" s="4"/>
      <c r="P187" s="4"/>
      <c r="Q187" s="4"/>
      <c r="R187" s="5"/>
      <c r="S187" s="5"/>
      <c r="T187" s="4"/>
      <c r="U187" s="4"/>
      <c r="V187" s="4"/>
    </row>
    <row r="188">
      <c r="A188" s="4"/>
      <c r="B188" s="4"/>
      <c r="C188" s="5"/>
      <c r="D188" s="5"/>
      <c r="E188" s="4"/>
      <c r="F188" s="2"/>
      <c r="G188" s="2"/>
      <c r="H188" s="5"/>
      <c r="I188" s="5"/>
      <c r="J188" s="2"/>
      <c r="K188" s="2"/>
      <c r="L188" s="2"/>
      <c r="M188" s="2"/>
      <c r="N188" s="4"/>
      <c r="O188" s="4"/>
      <c r="P188" s="4"/>
      <c r="Q188" s="4"/>
      <c r="R188" s="5"/>
      <c r="S188" s="5"/>
      <c r="T188" s="4"/>
      <c r="U188" s="4"/>
      <c r="V188" s="4"/>
    </row>
    <row r="189">
      <c r="A189" s="4"/>
      <c r="B189" s="4"/>
      <c r="C189" s="5"/>
      <c r="D189" s="5"/>
      <c r="E189" s="4"/>
      <c r="F189" s="2"/>
      <c r="G189" s="2"/>
      <c r="H189" s="5"/>
      <c r="I189" s="5"/>
      <c r="J189" s="2"/>
      <c r="K189" s="2"/>
      <c r="L189" s="2"/>
      <c r="M189" s="2"/>
      <c r="N189" s="4"/>
      <c r="O189" s="4"/>
      <c r="P189" s="4"/>
      <c r="Q189" s="4"/>
      <c r="R189" s="5"/>
      <c r="S189" s="5"/>
      <c r="T189" s="4"/>
      <c r="U189" s="4"/>
      <c r="V189" s="4"/>
    </row>
    <row r="190">
      <c r="A190" s="4"/>
      <c r="B190" s="4"/>
      <c r="C190" s="5"/>
      <c r="D190" s="5"/>
      <c r="E190" s="4"/>
      <c r="F190" s="2"/>
      <c r="G190" s="2"/>
      <c r="H190" s="5"/>
      <c r="I190" s="5"/>
      <c r="J190" s="2"/>
      <c r="K190" s="2"/>
      <c r="L190" s="2"/>
      <c r="M190" s="2"/>
      <c r="N190" s="4"/>
      <c r="O190" s="4"/>
      <c r="P190" s="4"/>
      <c r="Q190" s="4"/>
      <c r="R190" s="5"/>
      <c r="S190" s="5"/>
      <c r="T190" s="4"/>
      <c r="U190" s="4"/>
      <c r="V190" s="4"/>
    </row>
    <row r="191">
      <c r="A191" s="4"/>
      <c r="B191" s="4"/>
      <c r="C191" s="5"/>
      <c r="D191" s="5"/>
      <c r="E191" s="4"/>
      <c r="F191" s="2"/>
      <c r="G191" s="2"/>
      <c r="H191" s="5"/>
      <c r="I191" s="5"/>
      <c r="J191" s="2"/>
      <c r="K191" s="2"/>
      <c r="L191" s="2"/>
      <c r="M191" s="2"/>
      <c r="N191" s="4"/>
      <c r="O191" s="4"/>
      <c r="P191" s="4"/>
      <c r="Q191" s="4"/>
      <c r="R191" s="5"/>
      <c r="S191" s="5"/>
      <c r="T191" s="4"/>
      <c r="U191" s="4"/>
      <c r="V191" s="4"/>
    </row>
    <row r="192">
      <c r="A192" s="4"/>
      <c r="B192" s="4"/>
      <c r="C192" s="5"/>
      <c r="D192" s="5"/>
      <c r="E192" s="4"/>
      <c r="F192" s="2"/>
      <c r="G192" s="2"/>
      <c r="H192" s="5"/>
      <c r="I192" s="5"/>
      <c r="J192" s="2"/>
      <c r="K192" s="2"/>
      <c r="L192" s="2"/>
      <c r="M192" s="2"/>
      <c r="N192" s="4"/>
      <c r="O192" s="4"/>
      <c r="P192" s="4"/>
      <c r="Q192" s="4"/>
      <c r="R192" s="5"/>
      <c r="S192" s="5"/>
      <c r="T192" s="4"/>
      <c r="U192" s="4"/>
      <c r="V192" s="4"/>
    </row>
    <row r="193">
      <c r="A193" s="4"/>
      <c r="B193" s="4"/>
      <c r="C193" s="5"/>
      <c r="D193" s="5"/>
      <c r="E193" s="4"/>
      <c r="F193" s="2"/>
      <c r="G193" s="2"/>
      <c r="H193" s="5"/>
      <c r="I193" s="5"/>
      <c r="J193" s="2"/>
      <c r="K193" s="2"/>
      <c r="L193" s="2"/>
      <c r="M193" s="2"/>
      <c r="N193" s="4"/>
      <c r="O193" s="4"/>
      <c r="P193" s="4"/>
      <c r="Q193" s="4"/>
      <c r="R193" s="5"/>
      <c r="S193" s="5"/>
      <c r="T193" s="4"/>
      <c r="U193" s="4"/>
      <c r="V193" s="4"/>
    </row>
    <row r="194">
      <c r="A194" s="4"/>
      <c r="B194" s="4"/>
      <c r="C194" s="5"/>
      <c r="D194" s="5"/>
      <c r="E194" s="4"/>
      <c r="F194" s="2"/>
      <c r="G194" s="2"/>
      <c r="H194" s="5"/>
      <c r="I194" s="5"/>
      <c r="J194" s="2"/>
      <c r="K194" s="2"/>
      <c r="L194" s="2"/>
      <c r="M194" s="2"/>
      <c r="N194" s="4"/>
      <c r="O194" s="4"/>
      <c r="P194" s="4"/>
      <c r="Q194" s="4"/>
      <c r="R194" s="5"/>
      <c r="S194" s="5"/>
      <c r="T194" s="4"/>
      <c r="U194" s="4"/>
      <c r="V194" s="4"/>
    </row>
    <row r="195">
      <c r="A195" s="4"/>
      <c r="B195" s="4"/>
      <c r="C195" s="5"/>
      <c r="D195" s="5"/>
      <c r="E195" s="4"/>
      <c r="F195" s="2"/>
      <c r="G195" s="2"/>
      <c r="H195" s="5"/>
      <c r="I195" s="5"/>
      <c r="J195" s="2"/>
      <c r="K195" s="2"/>
      <c r="L195" s="2"/>
      <c r="M195" s="2"/>
      <c r="N195" s="4"/>
      <c r="O195" s="4"/>
      <c r="P195" s="4"/>
      <c r="Q195" s="4"/>
      <c r="R195" s="5"/>
      <c r="S195" s="5"/>
      <c r="T195" s="4"/>
      <c r="U195" s="4"/>
      <c r="V195" s="4"/>
    </row>
    <row r="196">
      <c r="A196" s="4"/>
      <c r="B196" s="4"/>
      <c r="C196" s="5"/>
      <c r="D196" s="5"/>
      <c r="E196" s="4"/>
      <c r="F196" s="2"/>
      <c r="G196" s="2"/>
      <c r="H196" s="5"/>
      <c r="I196" s="5"/>
      <c r="J196" s="2"/>
      <c r="K196" s="2"/>
      <c r="L196" s="2"/>
      <c r="M196" s="2"/>
      <c r="N196" s="4"/>
      <c r="O196" s="4"/>
      <c r="P196" s="4"/>
      <c r="Q196" s="4"/>
      <c r="R196" s="5"/>
      <c r="S196" s="5"/>
      <c r="T196" s="4"/>
      <c r="U196" s="4"/>
      <c r="V196" s="4"/>
    </row>
    <row r="197">
      <c r="A197" s="4"/>
      <c r="B197" s="4"/>
      <c r="C197" s="5"/>
      <c r="D197" s="5"/>
      <c r="E197" s="4"/>
      <c r="F197" s="2"/>
      <c r="G197" s="2"/>
      <c r="H197" s="5"/>
      <c r="I197" s="5"/>
      <c r="J197" s="2"/>
      <c r="K197" s="2"/>
      <c r="L197" s="2"/>
      <c r="M197" s="2"/>
      <c r="N197" s="4"/>
      <c r="O197" s="4"/>
      <c r="P197" s="4"/>
      <c r="Q197" s="4"/>
      <c r="R197" s="5"/>
      <c r="S197" s="5"/>
      <c r="T197" s="4"/>
      <c r="U197" s="4"/>
      <c r="V197" s="4"/>
    </row>
    <row r="198">
      <c r="A198" s="4"/>
      <c r="B198" s="4"/>
      <c r="C198" s="5"/>
      <c r="D198" s="5"/>
      <c r="E198" s="4"/>
      <c r="F198" s="2"/>
      <c r="G198" s="2"/>
      <c r="H198" s="5"/>
      <c r="I198" s="5"/>
      <c r="J198" s="2"/>
      <c r="K198" s="2"/>
      <c r="L198" s="2"/>
      <c r="M198" s="2"/>
      <c r="N198" s="4"/>
      <c r="O198" s="4"/>
      <c r="P198" s="4"/>
      <c r="Q198" s="4"/>
      <c r="R198" s="5"/>
      <c r="S198" s="5"/>
      <c r="T198" s="4"/>
      <c r="U198" s="4"/>
      <c r="V198" s="4"/>
    </row>
    <row r="199">
      <c r="A199" s="4"/>
      <c r="B199" s="4"/>
      <c r="C199" s="5"/>
      <c r="D199" s="5"/>
      <c r="E199" s="4"/>
      <c r="F199" s="2"/>
      <c r="G199" s="2"/>
      <c r="H199" s="5"/>
      <c r="I199" s="5"/>
      <c r="J199" s="2"/>
      <c r="K199" s="2"/>
      <c r="L199" s="2"/>
      <c r="M199" s="2"/>
      <c r="N199" s="4"/>
      <c r="O199" s="4"/>
      <c r="P199" s="4"/>
      <c r="Q199" s="4"/>
      <c r="R199" s="5"/>
      <c r="S199" s="5"/>
      <c r="T199" s="4"/>
      <c r="U199" s="4"/>
      <c r="V199" s="4"/>
    </row>
    <row r="200">
      <c r="A200" s="4"/>
      <c r="B200" s="4"/>
      <c r="C200" s="5"/>
      <c r="D200" s="5"/>
      <c r="E200" s="4"/>
      <c r="F200" s="2"/>
      <c r="G200" s="2"/>
      <c r="H200" s="5"/>
      <c r="I200" s="5"/>
      <c r="J200" s="2"/>
      <c r="K200" s="2"/>
      <c r="L200" s="2"/>
      <c r="M200" s="2"/>
      <c r="N200" s="4"/>
      <c r="O200" s="4"/>
      <c r="P200" s="4"/>
      <c r="Q200" s="4"/>
      <c r="R200" s="5"/>
      <c r="S200" s="5"/>
      <c r="T200" s="4"/>
      <c r="U200" s="4"/>
      <c r="V200" s="4"/>
    </row>
    <row r="201">
      <c r="A201" s="4"/>
      <c r="B201" s="4"/>
      <c r="C201" s="5"/>
      <c r="D201" s="5"/>
      <c r="E201" s="4"/>
      <c r="F201" s="2"/>
      <c r="G201" s="2"/>
      <c r="H201" s="5"/>
      <c r="I201" s="5"/>
      <c r="J201" s="2"/>
      <c r="K201" s="2"/>
      <c r="L201" s="2"/>
      <c r="M201" s="2"/>
      <c r="N201" s="4"/>
      <c r="O201" s="4"/>
      <c r="P201" s="4"/>
      <c r="Q201" s="4"/>
      <c r="R201" s="5"/>
      <c r="S201" s="5"/>
      <c r="T201" s="4"/>
      <c r="U201" s="4"/>
      <c r="V201" s="4"/>
    </row>
    <row r="202">
      <c r="A202" s="4"/>
      <c r="B202" s="4"/>
      <c r="C202" s="5"/>
      <c r="D202" s="5"/>
      <c r="E202" s="4"/>
      <c r="F202" s="2"/>
      <c r="G202" s="2"/>
      <c r="H202" s="5"/>
      <c r="I202" s="5"/>
      <c r="J202" s="2"/>
      <c r="K202" s="2"/>
      <c r="L202" s="2"/>
      <c r="M202" s="2"/>
      <c r="N202" s="4"/>
      <c r="O202" s="4"/>
      <c r="P202" s="4"/>
      <c r="Q202" s="4"/>
      <c r="R202" s="5"/>
      <c r="S202" s="5"/>
      <c r="T202" s="4"/>
      <c r="U202" s="4"/>
      <c r="V202" s="4"/>
    </row>
    <row r="203">
      <c r="A203" s="4"/>
      <c r="B203" s="4"/>
      <c r="C203" s="5"/>
      <c r="D203" s="5"/>
      <c r="E203" s="4"/>
      <c r="F203" s="2"/>
      <c r="G203" s="2"/>
      <c r="H203" s="5"/>
      <c r="I203" s="5"/>
      <c r="J203" s="2"/>
      <c r="K203" s="2"/>
      <c r="L203" s="2"/>
      <c r="M203" s="2"/>
      <c r="N203" s="4"/>
      <c r="O203" s="4"/>
      <c r="P203" s="4"/>
      <c r="Q203" s="4"/>
      <c r="R203" s="5"/>
      <c r="S203" s="5"/>
      <c r="T203" s="4"/>
      <c r="U203" s="4"/>
      <c r="V203" s="4"/>
    </row>
    <row r="204">
      <c r="A204" s="4"/>
      <c r="B204" s="4"/>
      <c r="C204" s="5"/>
      <c r="D204" s="5"/>
      <c r="E204" s="4"/>
      <c r="F204" s="2"/>
      <c r="G204" s="2"/>
      <c r="H204" s="5"/>
      <c r="I204" s="5"/>
      <c r="J204" s="2"/>
      <c r="K204" s="2"/>
      <c r="L204" s="2"/>
      <c r="M204" s="2"/>
      <c r="N204" s="4"/>
      <c r="O204" s="4"/>
      <c r="P204" s="4"/>
      <c r="Q204" s="4"/>
      <c r="R204" s="5"/>
      <c r="S204" s="5"/>
      <c r="T204" s="4"/>
      <c r="U204" s="4"/>
      <c r="V204" s="4"/>
    </row>
    <row r="205">
      <c r="A205" s="4"/>
      <c r="B205" s="4"/>
      <c r="C205" s="5"/>
      <c r="D205" s="5"/>
      <c r="E205" s="4"/>
      <c r="F205" s="2"/>
      <c r="G205" s="2"/>
      <c r="H205" s="5"/>
      <c r="I205" s="5"/>
      <c r="J205" s="2"/>
      <c r="K205" s="2"/>
      <c r="L205" s="2"/>
      <c r="M205" s="2"/>
      <c r="N205" s="4"/>
      <c r="O205" s="4"/>
      <c r="P205" s="4"/>
      <c r="Q205" s="4"/>
      <c r="R205" s="5"/>
      <c r="S205" s="5"/>
      <c r="T205" s="4"/>
      <c r="U205" s="4"/>
      <c r="V205" s="4"/>
    </row>
    <row r="206">
      <c r="A206" s="4"/>
      <c r="B206" s="4"/>
      <c r="C206" s="5"/>
      <c r="D206" s="5"/>
      <c r="E206" s="4"/>
      <c r="F206" s="2"/>
      <c r="G206" s="2"/>
      <c r="H206" s="5"/>
      <c r="I206" s="5"/>
      <c r="J206" s="2"/>
      <c r="K206" s="2"/>
      <c r="L206" s="2"/>
      <c r="M206" s="2"/>
      <c r="N206" s="4"/>
      <c r="O206" s="4"/>
      <c r="P206" s="4"/>
      <c r="Q206" s="4"/>
      <c r="R206" s="5"/>
      <c r="S206" s="5"/>
      <c r="T206" s="4"/>
      <c r="U206" s="4"/>
      <c r="V206" s="4"/>
    </row>
    <row r="207">
      <c r="A207" s="4"/>
      <c r="B207" s="4"/>
      <c r="C207" s="5"/>
      <c r="D207" s="5"/>
      <c r="E207" s="4"/>
      <c r="F207" s="2"/>
      <c r="G207" s="2"/>
      <c r="H207" s="5"/>
      <c r="I207" s="5"/>
      <c r="J207" s="2"/>
      <c r="K207" s="2"/>
      <c r="L207" s="2"/>
      <c r="M207" s="2"/>
      <c r="N207" s="4"/>
      <c r="O207" s="4"/>
      <c r="P207" s="4"/>
      <c r="Q207" s="4"/>
      <c r="R207" s="5"/>
      <c r="S207" s="5"/>
      <c r="T207" s="4"/>
      <c r="U207" s="4"/>
      <c r="V207" s="4"/>
    </row>
    <row r="208">
      <c r="A208" s="4"/>
      <c r="B208" s="4"/>
      <c r="C208" s="5"/>
      <c r="D208" s="5"/>
      <c r="E208" s="4"/>
      <c r="F208" s="2"/>
      <c r="G208" s="2"/>
      <c r="H208" s="5"/>
      <c r="I208" s="5"/>
      <c r="J208" s="2"/>
      <c r="K208" s="2"/>
      <c r="L208" s="2"/>
      <c r="M208" s="2"/>
      <c r="N208" s="4"/>
      <c r="O208" s="4"/>
      <c r="P208" s="4"/>
      <c r="Q208" s="4"/>
      <c r="R208" s="5"/>
      <c r="S208" s="5"/>
      <c r="T208" s="4"/>
      <c r="U208" s="4"/>
      <c r="V208" s="4"/>
    </row>
    <row r="209">
      <c r="A209" s="4"/>
      <c r="B209" s="4"/>
      <c r="C209" s="5"/>
      <c r="D209" s="5"/>
      <c r="E209" s="4"/>
      <c r="F209" s="2"/>
      <c r="G209" s="2"/>
      <c r="H209" s="5"/>
      <c r="I209" s="5"/>
      <c r="J209" s="2"/>
      <c r="K209" s="2"/>
      <c r="L209" s="2"/>
      <c r="M209" s="2"/>
      <c r="N209" s="4"/>
      <c r="O209" s="4"/>
      <c r="P209" s="4"/>
      <c r="Q209" s="4"/>
      <c r="R209" s="5"/>
      <c r="S209" s="5"/>
      <c r="T209" s="4"/>
      <c r="U209" s="4"/>
      <c r="V209" s="4"/>
    </row>
    <row r="210">
      <c r="A210" s="4"/>
      <c r="B210" s="4"/>
      <c r="C210" s="5"/>
      <c r="D210" s="5"/>
      <c r="E210" s="4"/>
      <c r="F210" s="2"/>
      <c r="G210" s="2"/>
      <c r="H210" s="5"/>
      <c r="I210" s="5"/>
      <c r="J210" s="2"/>
      <c r="K210" s="2"/>
      <c r="L210" s="2"/>
      <c r="M210" s="2"/>
      <c r="N210" s="4"/>
      <c r="O210" s="4"/>
      <c r="P210" s="4"/>
      <c r="Q210" s="4"/>
      <c r="R210" s="5"/>
      <c r="S210" s="5"/>
      <c r="T210" s="4"/>
      <c r="U210" s="4"/>
      <c r="V210" s="4"/>
    </row>
    <row r="211">
      <c r="A211" s="4"/>
      <c r="B211" s="4"/>
      <c r="C211" s="5"/>
      <c r="D211" s="5"/>
      <c r="E211" s="4"/>
      <c r="F211" s="2"/>
      <c r="G211" s="2"/>
      <c r="H211" s="5"/>
      <c r="I211" s="5"/>
      <c r="J211" s="2"/>
      <c r="K211" s="2"/>
      <c r="L211" s="2"/>
      <c r="M211" s="2"/>
      <c r="N211" s="4"/>
      <c r="O211" s="4"/>
      <c r="P211" s="4"/>
      <c r="Q211" s="4"/>
      <c r="R211" s="5"/>
      <c r="S211" s="5"/>
      <c r="T211" s="4"/>
      <c r="U211" s="4"/>
      <c r="V211" s="4"/>
    </row>
    <row r="212">
      <c r="A212" s="4"/>
      <c r="B212" s="4"/>
      <c r="C212" s="5"/>
      <c r="D212" s="5"/>
      <c r="E212" s="4"/>
      <c r="F212" s="2"/>
      <c r="G212" s="2"/>
      <c r="H212" s="5"/>
      <c r="I212" s="5"/>
      <c r="J212" s="2"/>
      <c r="K212" s="2"/>
      <c r="L212" s="2"/>
      <c r="M212" s="2"/>
      <c r="N212" s="4"/>
      <c r="O212" s="4"/>
      <c r="P212" s="4"/>
      <c r="Q212" s="4"/>
      <c r="R212" s="5"/>
      <c r="S212" s="5"/>
      <c r="T212" s="4"/>
      <c r="U212" s="4"/>
      <c r="V212" s="4"/>
    </row>
    <row r="213">
      <c r="A213" s="4"/>
      <c r="B213" s="4"/>
      <c r="C213" s="5"/>
      <c r="D213" s="5"/>
      <c r="E213" s="4"/>
      <c r="F213" s="2"/>
      <c r="G213" s="2"/>
      <c r="H213" s="5"/>
      <c r="I213" s="5"/>
      <c r="J213" s="2"/>
      <c r="K213" s="2"/>
      <c r="L213" s="2"/>
      <c r="M213" s="2"/>
      <c r="N213" s="4"/>
      <c r="O213" s="4"/>
      <c r="P213" s="4"/>
      <c r="Q213" s="4"/>
      <c r="R213" s="5"/>
      <c r="S213" s="5"/>
      <c r="T213" s="4"/>
      <c r="U213" s="4"/>
      <c r="V213" s="4"/>
    </row>
    <row r="214">
      <c r="A214" s="4"/>
      <c r="B214" s="4"/>
      <c r="C214" s="5"/>
      <c r="D214" s="5"/>
      <c r="E214" s="4"/>
      <c r="F214" s="2"/>
      <c r="G214" s="2"/>
      <c r="H214" s="5"/>
      <c r="I214" s="5"/>
      <c r="J214" s="2"/>
      <c r="K214" s="2"/>
      <c r="L214" s="2"/>
      <c r="M214" s="2"/>
      <c r="N214" s="4"/>
      <c r="O214" s="4"/>
      <c r="P214" s="4"/>
      <c r="Q214" s="4"/>
      <c r="R214" s="5"/>
      <c r="S214" s="5"/>
      <c r="T214" s="4"/>
      <c r="U214" s="4"/>
      <c r="V214" s="4"/>
    </row>
    <row r="215">
      <c r="A215" s="4"/>
      <c r="B215" s="4"/>
      <c r="C215" s="5"/>
      <c r="D215" s="5"/>
      <c r="E215" s="4"/>
      <c r="F215" s="2"/>
      <c r="G215" s="2"/>
      <c r="H215" s="5"/>
      <c r="I215" s="5"/>
      <c r="J215" s="2"/>
      <c r="K215" s="2"/>
      <c r="L215" s="2"/>
      <c r="M215" s="2"/>
      <c r="N215" s="4"/>
      <c r="O215" s="4"/>
      <c r="P215" s="4"/>
      <c r="Q215" s="4"/>
      <c r="R215" s="5"/>
      <c r="S215" s="5"/>
      <c r="T215" s="4"/>
      <c r="U215" s="4"/>
      <c r="V215" s="4"/>
    </row>
    <row r="216">
      <c r="A216" s="4"/>
      <c r="B216" s="4"/>
      <c r="C216" s="5"/>
      <c r="D216" s="5"/>
      <c r="E216" s="4"/>
      <c r="F216" s="2"/>
      <c r="G216" s="2"/>
      <c r="H216" s="5"/>
      <c r="I216" s="5"/>
      <c r="J216" s="2"/>
      <c r="K216" s="2"/>
      <c r="L216" s="2"/>
      <c r="M216" s="2"/>
      <c r="N216" s="4"/>
      <c r="O216" s="4"/>
      <c r="P216" s="4"/>
      <c r="Q216" s="4"/>
      <c r="R216" s="5"/>
      <c r="S216" s="5"/>
      <c r="T216" s="4"/>
      <c r="U216" s="4"/>
      <c r="V216" s="4"/>
    </row>
    <row r="217">
      <c r="A217" s="4"/>
      <c r="B217" s="4"/>
      <c r="C217" s="5"/>
      <c r="D217" s="5"/>
      <c r="E217" s="4"/>
      <c r="F217" s="2"/>
      <c r="G217" s="2"/>
      <c r="H217" s="5"/>
      <c r="I217" s="5"/>
      <c r="J217" s="2"/>
      <c r="K217" s="2"/>
      <c r="L217" s="2"/>
      <c r="M217" s="2"/>
      <c r="N217" s="4"/>
      <c r="O217" s="4"/>
      <c r="P217" s="4"/>
      <c r="Q217" s="4"/>
      <c r="R217" s="5"/>
      <c r="S217" s="5"/>
      <c r="T217" s="4"/>
      <c r="U217" s="4"/>
      <c r="V217" s="4"/>
    </row>
    <row r="218">
      <c r="A218" s="4"/>
      <c r="B218" s="4"/>
      <c r="C218" s="5"/>
      <c r="D218" s="5"/>
      <c r="E218" s="4"/>
      <c r="F218" s="2"/>
      <c r="G218" s="2"/>
      <c r="H218" s="5"/>
      <c r="I218" s="5"/>
      <c r="J218" s="2"/>
      <c r="K218" s="2"/>
      <c r="L218" s="2"/>
      <c r="M218" s="2"/>
      <c r="N218" s="4"/>
      <c r="O218" s="4"/>
      <c r="P218" s="4"/>
      <c r="Q218" s="4"/>
      <c r="R218" s="5"/>
      <c r="S218" s="5"/>
      <c r="T218" s="4"/>
      <c r="U218" s="4"/>
      <c r="V218" s="4"/>
    </row>
    <row r="219">
      <c r="A219" s="4"/>
      <c r="B219" s="4"/>
      <c r="C219" s="5"/>
      <c r="D219" s="5"/>
      <c r="E219" s="4"/>
      <c r="F219" s="2"/>
      <c r="G219" s="2"/>
      <c r="H219" s="5"/>
      <c r="I219" s="5"/>
      <c r="J219" s="2"/>
      <c r="K219" s="2"/>
      <c r="L219" s="2"/>
      <c r="M219" s="2"/>
      <c r="N219" s="4"/>
      <c r="O219" s="4"/>
      <c r="P219" s="4"/>
      <c r="Q219" s="4"/>
      <c r="R219" s="5"/>
      <c r="S219" s="5"/>
      <c r="T219" s="4"/>
      <c r="U219" s="4"/>
      <c r="V219" s="4"/>
    </row>
    <row r="220">
      <c r="A220" s="4"/>
      <c r="B220" s="4"/>
      <c r="C220" s="5"/>
      <c r="D220" s="5"/>
      <c r="E220" s="4"/>
      <c r="F220" s="2"/>
      <c r="G220" s="2"/>
      <c r="H220" s="5"/>
      <c r="I220" s="5"/>
      <c r="J220" s="2"/>
      <c r="K220" s="2"/>
      <c r="L220" s="2"/>
      <c r="M220" s="2"/>
      <c r="N220" s="4"/>
      <c r="O220" s="4"/>
      <c r="P220" s="4"/>
      <c r="Q220" s="4"/>
      <c r="R220" s="5"/>
      <c r="S220" s="5"/>
      <c r="T220" s="4"/>
      <c r="U220" s="4"/>
      <c r="V220" s="4"/>
    </row>
    <row r="221">
      <c r="A221" s="4"/>
      <c r="B221" s="4"/>
      <c r="C221" s="5"/>
      <c r="D221" s="5"/>
      <c r="E221" s="4"/>
      <c r="F221" s="2"/>
      <c r="G221" s="2"/>
      <c r="H221" s="5"/>
      <c r="I221" s="5"/>
      <c r="J221" s="2"/>
      <c r="K221" s="2"/>
      <c r="L221" s="2"/>
      <c r="M221" s="2"/>
      <c r="N221" s="4"/>
      <c r="O221" s="4"/>
      <c r="P221" s="4"/>
      <c r="Q221" s="4"/>
      <c r="R221" s="5"/>
      <c r="S221" s="5"/>
      <c r="T221" s="4"/>
      <c r="U221" s="4"/>
      <c r="V221" s="4"/>
    </row>
    <row r="222">
      <c r="A222" s="4"/>
      <c r="B222" s="4"/>
      <c r="C222" s="5"/>
      <c r="D222" s="5"/>
      <c r="E222" s="4"/>
      <c r="F222" s="2"/>
      <c r="G222" s="2"/>
      <c r="H222" s="5"/>
      <c r="I222" s="5"/>
      <c r="J222" s="2"/>
      <c r="K222" s="2"/>
      <c r="L222" s="2"/>
      <c r="M222" s="2"/>
      <c r="N222" s="4"/>
      <c r="O222" s="4"/>
      <c r="P222" s="4"/>
      <c r="Q222" s="4"/>
      <c r="R222" s="5"/>
      <c r="S222" s="5"/>
      <c r="T222" s="4"/>
      <c r="U222" s="4"/>
      <c r="V222" s="4"/>
    </row>
    <row r="223">
      <c r="A223" s="4"/>
      <c r="B223" s="4"/>
      <c r="C223" s="5"/>
      <c r="D223" s="5"/>
      <c r="E223" s="4"/>
      <c r="F223" s="2"/>
      <c r="G223" s="2"/>
      <c r="H223" s="5"/>
      <c r="I223" s="5"/>
      <c r="J223" s="2"/>
      <c r="K223" s="2"/>
      <c r="L223" s="2"/>
      <c r="M223" s="2"/>
      <c r="N223" s="4"/>
      <c r="O223" s="4"/>
      <c r="P223" s="4"/>
      <c r="Q223" s="4"/>
      <c r="R223" s="5"/>
      <c r="S223" s="5"/>
      <c r="T223" s="4"/>
      <c r="U223" s="4"/>
      <c r="V223" s="4"/>
    </row>
    <row r="224">
      <c r="A224" s="4"/>
      <c r="B224" s="4"/>
      <c r="C224" s="5"/>
      <c r="D224" s="5"/>
      <c r="E224" s="4"/>
      <c r="F224" s="2"/>
      <c r="G224" s="2"/>
      <c r="H224" s="5"/>
      <c r="I224" s="5"/>
      <c r="J224" s="2"/>
      <c r="K224" s="2"/>
      <c r="L224" s="2"/>
      <c r="M224" s="2"/>
      <c r="N224" s="4"/>
      <c r="O224" s="4"/>
      <c r="P224" s="4"/>
      <c r="Q224" s="4"/>
      <c r="R224" s="5"/>
      <c r="S224" s="5"/>
      <c r="T224" s="4"/>
      <c r="U224" s="4"/>
      <c r="V224" s="4"/>
    </row>
    <row r="225">
      <c r="A225" s="4"/>
      <c r="B225" s="4"/>
      <c r="C225" s="5"/>
      <c r="D225" s="5"/>
      <c r="E225" s="4"/>
      <c r="F225" s="2"/>
      <c r="G225" s="2"/>
      <c r="H225" s="5"/>
      <c r="I225" s="5"/>
      <c r="J225" s="2"/>
      <c r="K225" s="2"/>
      <c r="L225" s="2"/>
      <c r="M225" s="2"/>
      <c r="N225" s="4"/>
      <c r="O225" s="4"/>
      <c r="P225" s="4"/>
      <c r="Q225" s="4"/>
      <c r="R225" s="5"/>
      <c r="S225" s="5"/>
      <c r="T225" s="4"/>
      <c r="U225" s="4"/>
      <c r="V225" s="4"/>
    </row>
    <row r="226">
      <c r="A226" s="4"/>
      <c r="B226" s="4"/>
      <c r="C226" s="5"/>
      <c r="D226" s="5"/>
      <c r="E226" s="4"/>
      <c r="F226" s="2"/>
      <c r="G226" s="2"/>
      <c r="H226" s="5"/>
      <c r="I226" s="5"/>
      <c r="J226" s="2"/>
      <c r="K226" s="2"/>
      <c r="L226" s="2"/>
      <c r="M226" s="2"/>
      <c r="N226" s="4"/>
      <c r="O226" s="4"/>
      <c r="P226" s="4"/>
      <c r="Q226" s="4"/>
      <c r="R226" s="5"/>
      <c r="S226" s="5"/>
      <c r="T226" s="4"/>
      <c r="U226" s="4"/>
      <c r="V226" s="4"/>
    </row>
    <row r="227">
      <c r="A227" s="4"/>
      <c r="B227" s="4"/>
      <c r="C227" s="5"/>
      <c r="D227" s="5"/>
      <c r="E227" s="4"/>
      <c r="F227" s="2"/>
      <c r="G227" s="2"/>
      <c r="H227" s="5"/>
      <c r="I227" s="5"/>
      <c r="J227" s="2"/>
      <c r="K227" s="2"/>
      <c r="L227" s="2"/>
      <c r="M227" s="2"/>
      <c r="N227" s="4"/>
      <c r="O227" s="4"/>
      <c r="P227" s="4"/>
      <c r="Q227" s="4"/>
      <c r="R227" s="5"/>
      <c r="S227" s="5"/>
      <c r="T227" s="4"/>
      <c r="U227" s="4"/>
      <c r="V227" s="4"/>
    </row>
    <row r="228">
      <c r="A228" s="4"/>
      <c r="B228" s="4"/>
      <c r="C228" s="5"/>
      <c r="D228" s="5"/>
      <c r="E228" s="4"/>
      <c r="F228" s="2"/>
      <c r="G228" s="2"/>
      <c r="H228" s="5"/>
      <c r="I228" s="5"/>
      <c r="J228" s="2"/>
      <c r="K228" s="2"/>
      <c r="L228" s="2"/>
      <c r="M228" s="2"/>
      <c r="N228" s="4"/>
      <c r="O228" s="4"/>
      <c r="P228" s="4"/>
      <c r="Q228" s="4"/>
      <c r="R228" s="5"/>
      <c r="S228" s="5"/>
      <c r="T228" s="4"/>
      <c r="U228" s="4"/>
      <c r="V228" s="4"/>
    </row>
    <row r="229">
      <c r="A229" s="4"/>
      <c r="B229" s="4"/>
      <c r="C229" s="5"/>
      <c r="D229" s="5"/>
      <c r="E229" s="4"/>
      <c r="F229" s="2"/>
      <c r="G229" s="2"/>
      <c r="H229" s="5"/>
      <c r="I229" s="5"/>
      <c r="J229" s="2"/>
      <c r="K229" s="2"/>
      <c r="L229" s="2"/>
      <c r="M229" s="2"/>
      <c r="N229" s="4"/>
      <c r="O229" s="4"/>
      <c r="P229" s="4"/>
      <c r="Q229" s="4"/>
      <c r="R229" s="5"/>
      <c r="S229" s="5"/>
      <c r="T229" s="4"/>
      <c r="U229" s="4"/>
      <c r="V229" s="4"/>
    </row>
    <row r="230">
      <c r="A230" s="4"/>
      <c r="B230" s="4"/>
      <c r="C230" s="5"/>
      <c r="D230" s="5"/>
      <c r="E230" s="4"/>
      <c r="F230" s="2"/>
      <c r="G230" s="2"/>
      <c r="H230" s="5"/>
      <c r="I230" s="5"/>
      <c r="J230" s="2"/>
      <c r="K230" s="2"/>
      <c r="L230" s="2"/>
      <c r="M230" s="2"/>
      <c r="N230" s="4"/>
      <c r="O230" s="4"/>
      <c r="P230" s="4"/>
      <c r="Q230" s="4"/>
      <c r="R230" s="5"/>
      <c r="S230" s="5"/>
      <c r="T230" s="4"/>
      <c r="U230" s="4"/>
      <c r="V230" s="4"/>
    </row>
    <row r="231">
      <c r="A231" s="4"/>
      <c r="B231" s="4"/>
      <c r="C231" s="5"/>
      <c r="D231" s="5"/>
      <c r="E231" s="4"/>
      <c r="F231" s="2"/>
      <c r="G231" s="2"/>
      <c r="H231" s="5"/>
      <c r="I231" s="5"/>
      <c r="J231" s="2"/>
      <c r="K231" s="2"/>
      <c r="L231" s="2"/>
      <c r="M231" s="2"/>
      <c r="N231" s="4"/>
      <c r="O231" s="4"/>
      <c r="P231" s="4"/>
      <c r="Q231" s="4"/>
      <c r="R231" s="5"/>
      <c r="S231" s="5"/>
      <c r="T231" s="4"/>
      <c r="U231" s="4"/>
      <c r="V231" s="4"/>
    </row>
    <row r="232">
      <c r="A232" s="4"/>
      <c r="B232" s="4"/>
      <c r="C232" s="5"/>
      <c r="D232" s="5"/>
      <c r="E232" s="4"/>
      <c r="F232" s="2"/>
      <c r="G232" s="2"/>
      <c r="H232" s="5"/>
      <c r="I232" s="5"/>
      <c r="J232" s="2"/>
      <c r="K232" s="2"/>
      <c r="L232" s="2"/>
      <c r="M232" s="2"/>
      <c r="N232" s="4"/>
      <c r="O232" s="4"/>
      <c r="P232" s="4"/>
      <c r="Q232" s="4"/>
      <c r="R232" s="5"/>
      <c r="S232" s="5"/>
      <c r="T232" s="4"/>
      <c r="U232" s="4"/>
      <c r="V232" s="4"/>
    </row>
    <row r="233">
      <c r="A233" s="4"/>
      <c r="B233" s="4"/>
      <c r="C233" s="5"/>
      <c r="D233" s="5"/>
      <c r="E233" s="4"/>
      <c r="F233" s="2"/>
      <c r="G233" s="2"/>
      <c r="H233" s="5"/>
      <c r="I233" s="5"/>
      <c r="J233" s="2"/>
      <c r="K233" s="2"/>
      <c r="L233" s="2"/>
      <c r="M233" s="2"/>
      <c r="N233" s="4"/>
      <c r="O233" s="4"/>
      <c r="P233" s="4"/>
      <c r="Q233" s="4"/>
      <c r="R233" s="5"/>
      <c r="S233" s="5"/>
      <c r="T233" s="4"/>
      <c r="U233" s="4"/>
      <c r="V233" s="4"/>
    </row>
    <row r="234">
      <c r="A234" s="4"/>
      <c r="B234" s="4"/>
      <c r="C234" s="5"/>
      <c r="D234" s="5"/>
      <c r="E234" s="4"/>
      <c r="F234" s="2"/>
      <c r="G234" s="2"/>
      <c r="H234" s="5"/>
      <c r="I234" s="5"/>
      <c r="J234" s="2"/>
      <c r="K234" s="2"/>
      <c r="L234" s="2"/>
      <c r="M234" s="2"/>
      <c r="N234" s="4"/>
      <c r="O234" s="4"/>
      <c r="P234" s="4"/>
      <c r="Q234" s="4"/>
      <c r="R234" s="5"/>
      <c r="S234" s="5"/>
      <c r="T234" s="4"/>
      <c r="U234" s="4"/>
      <c r="V234" s="4"/>
    </row>
    <row r="235">
      <c r="A235" s="4"/>
      <c r="B235" s="4"/>
      <c r="C235" s="5"/>
      <c r="D235" s="5"/>
      <c r="E235" s="4"/>
      <c r="F235" s="2"/>
      <c r="G235" s="2"/>
      <c r="H235" s="5"/>
      <c r="I235" s="5"/>
      <c r="J235" s="2"/>
      <c r="K235" s="2"/>
      <c r="L235" s="2"/>
      <c r="M235" s="2"/>
      <c r="N235" s="4"/>
      <c r="O235" s="4"/>
      <c r="P235" s="4"/>
      <c r="Q235" s="4"/>
      <c r="R235" s="5"/>
      <c r="S235" s="5"/>
      <c r="T235" s="4"/>
      <c r="U235" s="4"/>
      <c r="V235" s="4"/>
    </row>
    <row r="236">
      <c r="A236" s="4"/>
      <c r="B236" s="4"/>
      <c r="C236" s="5"/>
      <c r="D236" s="5"/>
      <c r="E236" s="4"/>
      <c r="F236" s="2"/>
      <c r="G236" s="2"/>
      <c r="H236" s="5"/>
      <c r="I236" s="5"/>
      <c r="J236" s="2"/>
      <c r="K236" s="2"/>
      <c r="L236" s="2"/>
      <c r="M236" s="2"/>
      <c r="N236" s="4"/>
      <c r="O236" s="4"/>
      <c r="P236" s="4"/>
      <c r="Q236" s="4"/>
      <c r="R236" s="5"/>
      <c r="S236" s="5"/>
      <c r="T236" s="4"/>
      <c r="U236" s="4"/>
      <c r="V236" s="4"/>
    </row>
    <row r="237">
      <c r="A237" s="4"/>
      <c r="B237" s="4"/>
      <c r="C237" s="5"/>
      <c r="D237" s="5"/>
      <c r="E237" s="4"/>
      <c r="F237" s="2"/>
      <c r="G237" s="2"/>
      <c r="H237" s="5"/>
      <c r="I237" s="5"/>
      <c r="J237" s="2"/>
      <c r="K237" s="2"/>
      <c r="L237" s="2"/>
      <c r="M237" s="2"/>
      <c r="N237" s="4"/>
      <c r="O237" s="4"/>
      <c r="P237" s="4"/>
      <c r="Q237" s="4"/>
      <c r="R237" s="5"/>
      <c r="S237" s="5"/>
      <c r="T237" s="4"/>
      <c r="U237" s="4"/>
      <c r="V237" s="4"/>
    </row>
    <row r="238">
      <c r="A238" s="4"/>
      <c r="B238" s="4"/>
      <c r="C238" s="5"/>
      <c r="D238" s="5"/>
      <c r="E238" s="4"/>
      <c r="F238" s="2"/>
      <c r="G238" s="2"/>
      <c r="H238" s="5"/>
      <c r="I238" s="5"/>
      <c r="J238" s="2"/>
      <c r="K238" s="2"/>
      <c r="L238" s="2"/>
      <c r="M238" s="2"/>
      <c r="N238" s="4"/>
      <c r="O238" s="4"/>
      <c r="P238" s="4"/>
      <c r="Q238" s="4"/>
      <c r="R238" s="5"/>
      <c r="S238" s="5"/>
      <c r="T238" s="4"/>
      <c r="U238" s="4"/>
      <c r="V238" s="4"/>
    </row>
    <row r="239">
      <c r="A239" s="4"/>
      <c r="B239" s="4"/>
      <c r="C239" s="5"/>
      <c r="D239" s="5"/>
      <c r="E239" s="4"/>
      <c r="F239" s="2"/>
      <c r="G239" s="2"/>
      <c r="H239" s="5"/>
      <c r="I239" s="5"/>
      <c r="J239" s="2"/>
      <c r="K239" s="2"/>
      <c r="L239" s="2"/>
      <c r="M239" s="2"/>
      <c r="N239" s="4"/>
      <c r="O239" s="4"/>
      <c r="P239" s="4"/>
      <c r="Q239" s="4"/>
      <c r="R239" s="5"/>
      <c r="S239" s="5"/>
      <c r="T239" s="4"/>
      <c r="U239" s="4"/>
      <c r="V239" s="4"/>
    </row>
    <row r="240">
      <c r="A240" s="4"/>
      <c r="B240" s="4"/>
      <c r="C240" s="5"/>
      <c r="D240" s="5"/>
      <c r="E240" s="4"/>
      <c r="F240" s="2"/>
      <c r="G240" s="2"/>
      <c r="H240" s="5"/>
      <c r="I240" s="5"/>
      <c r="J240" s="2"/>
      <c r="K240" s="2"/>
      <c r="L240" s="2"/>
      <c r="M240" s="2"/>
      <c r="N240" s="4"/>
      <c r="O240" s="4"/>
      <c r="P240" s="4"/>
      <c r="Q240" s="4"/>
      <c r="R240" s="5"/>
      <c r="S240" s="5"/>
      <c r="T240" s="4"/>
      <c r="U240" s="4"/>
      <c r="V240" s="4"/>
    </row>
    <row r="241">
      <c r="A241" s="4"/>
      <c r="B241" s="4"/>
      <c r="C241" s="5"/>
      <c r="D241" s="5"/>
      <c r="E241" s="4"/>
      <c r="F241" s="2"/>
      <c r="G241" s="2"/>
      <c r="H241" s="5"/>
      <c r="I241" s="5"/>
      <c r="J241" s="2"/>
      <c r="K241" s="2"/>
      <c r="L241" s="2"/>
      <c r="M241" s="2"/>
      <c r="N241" s="4"/>
      <c r="O241" s="4"/>
      <c r="P241" s="4"/>
      <c r="Q241" s="4"/>
      <c r="R241" s="5"/>
      <c r="S241" s="5"/>
      <c r="T241" s="4"/>
      <c r="U241" s="4"/>
      <c r="V241" s="4"/>
    </row>
    <row r="242">
      <c r="A242" s="4"/>
      <c r="B242" s="4"/>
      <c r="C242" s="5"/>
      <c r="D242" s="5"/>
      <c r="E242" s="4"/>
      <c r="F242" s="2"/>
      <c r="G242" s="2"/>
      <c r="H242" s="5"/>
      <c r="I242" s="5"/>
      <c r="J242" s="2"/>
      <c r="K242" s="2"/>
      <c r="L242" s="2"/>
      <c r="M242" s="2"/>
      <c r="N242" s="4"/>
      <c r="O242" s="4"/>
      <c r="P242" s="4"/>
      <c r="Q242" s="4"/>
      <c r="R242" s="5"/>
      <c r="S242" s="5"/>
      <c r="T242" s="4"/>
      <c r="U242" s="4"/>
      <c r="V242" s="4"/>
    </row>
    <row r="243">
      <c r="A243" s="4"/>
      <c r="B243" s="4"/>
      <c r="C243" s="5"/>
      <c r="D243" s="5"/>
      <c r="E243" s="4"/>
      <c r="F243" s="2"/>
      <c r="G243" s="2"/>
      <c r="H243" s="5"/>
      <c r="I243" s="5"/>
      <c r="J243" s="2"/>
      <c r="K243" s="2"/>
      <c r="L243" s="2"/>
      <c r="M243" s="2"/>
      <c r="N243" s="4"/>
      <c r="O243" s="4"/>
      <c r="P243" s="4"/>
      <c r="Q243" s="4"/>
      <c r="R243" s="5"/>
      <c r="S243" s="5"/>
      <c r="T243" s="4"/>
      <c r="U243" s="4"/>
      <c r="V243" s="4"/>
    </row>
    <row r="244">
      <c r="A244" s="4"/>
      <c r="B244" s="4"/>
      <c r="C244" s="5"/>
      <c r="D244" s="5"/>
      <c r="E244" s="4"/>
      <c r="F244" s="2"/>
      <c r="G244" s="2"/>
      <c r="H244" s="5"/>
      <c r="I244" s="5"/>
      <c r="J244" s="2"/>
      <c r="K244" s="2"/>
      <c r="L244" s="2"/>
      <c r="M244" s="2"/>
      <c r="N244" s="4"/>
      <c r="O244" s="4"/>
      <c r="P244" s="4"/>
      <c r="Q244" s="4"/>
      <c r="R244" s="5"/>
      <c r="S244" s="5"/>
      <c r="T244" s="4"/>
      <c r="U244" s="4"/>
      <c r="V244" s="4"/>
    </row>
    <row r="245">
      <c r="A245" s="4"/>
      <c r="B245" s="4"/>
      <c r="C245" s="5"/>
      <c r="D245" s="5"/>
      <c r="E245" s="4"/>
      <c r="F245" s="2"/>
      <c r="G245" s="2"/>
      <c r="H245" s="5"/>
      <c r="I245" s="5"/>
      <c r="J245" s="2"/>
      <c r="K245" s="2"/>
      <c r="L245" s="2"/>
      <c r="M245" s="2"/>
      <c r="N245" s="4"/>
      <c r="O245" s="4"/>
      <c r="P245" s="4"/>
      <c r="Q245" s="4"/>
      <c r="R245" s="5"/>
      <c r="S245" s="5"/>
      <c r="T245" s="4"/>
      <c r="U245" s="4"/>
      <c r="V245" s="4"/>
    </row>
    <row r="246">
      <c r="A246" s="4"/>
      <c r="B246" s="4"/>
      <c r="C246" s="5"/>
      <c r="D246" s="5"/>
      <c r="E246" s="4"/>
      <c r="F246" s="2"/>
      <c r="G246" s="2"/>
      <c r="H246" s="5"/>
      <c r="I246" s="5"/>
      <c r="J246" s="2"/>
      <c r="K246" s="2"/>
      <c r="L246" s="2"/>
      <c r="M246" s="2"/>
      <c r="N246" s="4"/>
      <c r="O246" s="4"/>
      <c r="P246" s="4"/>
      <c r="Q246" s="4"/>
      <c r="R246" s="5"/>
      <c r="S246" s="5"/>
      <c r="T246" s="4"/>
      <c r="U246" s="4"/>
      <c r="V246" s="4"/>
    </row>
    <row r="247">
      <c r="A247" s="4"/>
      <c r="B247" s="4"/>
      <c r="C247" s="5"/>
      <c r="D247" s="5"/>
      <c r="E247" s="4"/>
      <c r="F247" s="2"/>
      <c r="G247" s="2"/>
      <c r="H247" s="5"/>
      <c r="I247" s="5"/>
      <c r="J247" s="2"/>
      <c r="K247" s="2"/>
      <c r="L247" s="2"/>
      <c r="M247" s="2"/>
      <c r="N247" s="4"/>
      <c r="O247" s="4"/>
      <c r="P247" s="4"/>
      <c r="Q247" s="4"/>
      <c r="R247" s="5"/>
      <c r="S247" s="5"/>
      <c r="T247" s="4"/>
      <c r="U247" s="4"/>
      <c r="V247" s="4"/>
    </row>
    <row r="248">
      <c r="A248" s="4"/>
      <c r="B248" s="4"/>
      <c r="C248" s="5"/>
      <c r="D248" s="5"/>
      <c r="E248" s="4"/>
      <c r="F248" s="2"/>
      <c r="G248" s="2"/>
      <c r="H248" s="5"/>
      <c r="I248" s="5"/>
      <c r="J248" s="2"/>
      <c r="K248" s="2"/>
      <c r="L248" s="2"/>
      <c r="M248" s="2"/>
      <c r="N248" s="4"/>
      <c r="O248" s="4"/>
      <c r="P248" s="4"/>
      <c r="Q248" s="4"/>
      <c r="R248" s="5"/>
      <c r="S248" s="5"/>
      <c r="T248" s="4"/>
      <c r="U248" s="4"/>
      <c r="V248" s="4"/>
    </row>
    <row r="249">
      <c r="A249" s="4"/>
      <c r="B249" s="4"/>
      <c r="C249" s="5"/>
      <c r="D249" s="5"/>
      <c r="E249" s="4"/>
      <c r="F249" s="2"/>
      <c r="G249" s="2"/>
      <c r="H249" s="5"/>
      <c r="I249" s="5"/>
      <c r="J249" s="2"/>
      <c r="K249" s="2"/>
      <c r="L249" s="2"/>
      <c r="M249" s="2"/>
      <c r="N249" s="4"/>
      <c r="O249" s="4"/>
      <c r="P249" s="4"/>
      <c r="Q249" s="4"/>
      <c r="R249" s="5"/>
      <c r="S249" s="5"/>
      <c r="T249" s="4"/>
      <c r="U249" s="4"/>
      <c r="V249" s="4"/>
    </row>
    <row r="250">
      <c r="A250" s="4"/>
      <c r="B250" s="4"/>
      <c r="C250" s="5"/>
      <c r="D250" s="5"/>
      <c r="E250" s="4"/>
      <c r="F250" s="2"/>
      <c r="G250" s="2"/>
      <c r="H250" s="5"/>
      <c r="I250" s="5"/>
      <c r="J250" s="2"/>
      <c r="K250" s="2"/>
      <c r="L250" s="2"/>
      <c r="M250" s="2"/>
      <c r="N250" s="4"/>
      <c r="O250" s="4"/>
      <c r="P250" s="4"/>
      <c r="Q250" s="4"/>
      <c r="R250" s="5"/>
      <c r="S250" s="5"/>
      <c r="T250" s="4"/>
      <c r="U250" s="4"/>
      <c r="V250" s="4"/>
    </row>
    <row r="251">
      <c r="A251" s="4"/>
      <c r="B251" s="4"/>
      <c r="C251" s="5"/>
      <c r="D251" s="5"/>
      <c r="E251" s="4"/>
      <c r="F251" s="2"/>
      <c r="G251" s="2"/>
      <c r="H251" s="5"/>
      <c r="I251" s="5"/>
      <c r="J251" s="2"/>
      <c r="K251" s="2"/>
      <c r="L251" s="2"/>
      <c r="M251" s="2"/>
      <c r="N251" s="4"/>
      <c r="O251" s="4"/>
      <c r="P251" s="4"/>
      <c r="Q251" s="4"/>
      <c r="R251" s="5"/>
      <c r="S251" s="5"/>
      <c r="T251" s="4"/>
      <c r="U251" s="4"/>
      <c r="V251" s="4"/>
    </row>
    <row r="252">
      <c r="A252" s="4"/>
      <c r="B252" s="4"/>
      <c r="C252" s="5"/>
      <c r="D252" s="5"/>
      <c r="E252" s="4"/>
      <c r="F252" s="2"/>
      <c r="G252" s="2"/>
      <c r="H252" s="5"/>
      <c r="I252" s="5"/>
      <c r="J252" s="2"/>
      <c r="K252" s="2"/>
      <c r="L252" s="2"/>
      <c r="M252" s="2"/>
      <c r="N252" s="4"/>
      <c r="O252" s="4"/>
      <c r="P252" s="4"/>
      <c r="Q252" s="4"/>
      <c r="R252" s="5"/>
      <c r="S252" s="5"/>
      <c r="T252" s="4"/>
      <c r="U252" s="4"/>
      <c r="V252" s="4"/>
    </row>
    <row r="253">
      <c r="A253" s="4"/>
      <c r="B253" s="4"/>
      <c r="C253" s="5"/>
      <c r="D253" s="5"/>
      <c r="E253" s="4"/>
      <c r="F253" s="2"/>
      <c r="G253" s="2"/>
      <c r="H253" s="5"/>
      <c r="I253" s="5"/>
      <c r="J253" s="2"/>
      <c r="K253" s="2"/>
      <c r="L253" s="2"/>
      <c r="M253" s="2"/>
      <c r="N253" s="4"/>
      <c r="O253" s="4"/>
      <c r="P253" s="4"/>
      <c r="Q253" s="4"/>
      <c r="R253" s="5"/>
      <c r="S253" s="5"/>
      <c r="T253" s="4"/>
      <c r="U253" s="4"/>
      <c r="V253" s="4"/>
    </row>
    <row r="254">
      <c r="A254" s="4"/>
      <c r="B254" s="4"/>
      <c r="C254" s="5"/>
      <c r="D254" s="5"/>
      <c r="E254" s="4"/>
      <c r="F254" s="2"/>
      <c r="G254" s="2"/>
      <c r="H254" s="5"/>
      <c r="I254" s="5"/>
      <c r="J254" s="2"/>
      <c r="K254" s="2"/>
      <c r="L254" s="2"/>
      <c r="M254" s="2"/>
      <c r="N254" s="4"/>
      <c r="O254" s="4"/>
      <c r="P254" s="4"/>
      <c r="Q254" s="4"/>
      <c r="R254" s="5"/>
      <c r="S254" s="5"/>
      <c r="T254" s="4"/>
      <c r="U254" s="4"/>
      <c r="V254" s="4"/>
    </row>
    <row r="255">
      <c r="A255" s="4"/>
      <c r="B255" s="4"/>
      <c r="C255" s="5"/>
      <c r="D255" s="5"/>
      <c r="E255" s="4"/>
      <c r="F255" s="2"/>
      <c r="G255" s="2"/>
      <c r="H255" s="5"/>
      <c r="I255" s="5"/>
      <c r="J255" s="2"/>
      <c r="K255" s="2"/>
      <c r="L255" s="2"/>
      <c r="M255" s="2"/>
      <c r="N255" s="4"/>
      <c r="O255" s="4"/>
      <c r="P255" s="4"/>
      <c r="Q255" s="4"/>
      <c r="R255" s="5"/>
      <c r="S255" s="5"/>
      <c r="T255" s="4"/>
      <c r="U255" s="4"/>
      <c r="V255" s="4"/>
    </row>
    <row r="256">
      <c r="A256" s="4"/>
      <c r="B256" s="4"/>
      <c r="C256" s="5"/>
      <c r="D256" s="5"/>
      <c r="E256" s="4"/>
      <c r="F256" s="2"/>
      <c r="G256" s="2"/>
      <c r="H256" s="5"/>
      <c r="I256" s="5"/>
      <c r="J256" s="2"/>
      <c r="K256" s="2"/>
      <c r="L256" s="2"/>
      <c r="M256" s="2"/>
      <c r="N256" s="4"/>
      <c r="O256" s="4"/>
      <c r="P256" s="4"/>
      <c r="Q256" s="4"/>
      <c r="R256" s="5"/>
      <c r="S256" s="5"/>
      <c r="T256" s="4"/>
      <c r="U256" s="4"/>
      <c r="V256" s="4"/>
    </row>
    <row r="257">
      <c r="A257" s="4"/>
      <c r="B257" s="4"/>
      <c r="C257" s="5"/>
      <c r="D257" s="5"/>
      <c r="E257" s="4"/>
      <c r="F257" s="2"/>
      <c r="G257" s="2"/>
      <c r="H257" s="5"/>
      <c r="I257" s="5"/>
      <c r="J257" s="2"/>
      <c r="K257" s="2"/>
      <c r="L257" s="2"/>
      <c r="M257" s="2"/>
      <c r="N257" s="4"/>
      <c r="O257" s="4"/>
      <c r="P257" s="4"/>
      <c r="Q257" s="4"/>
      <c r="R257" s="5"/>
      <c r="S257" s="5"/>
      <c r="T257" s="4"/>
      <c r="U257" s="4"/>
      <c r="V257" s="4"/>
    </row>
    <row r="258">
      <c r="A258" s="4"/>
      <c r="B258" s="4"/>
      <c r="C258" s="5"/>
      <c r="D258" s="5"/>
      <c r="E258" s="4"/>
      <c r="F258" s="2"/>
      <c r="G258" s="2"/>
      <c r="H258" s="5"/>
      <c r="I258" s="5"/>
      <c r="J258" s="2"/>
      <c r="K258" s="2"/>
      <c r="L258" s="2"/>
      <c r="M258" s="2"/>
      <c r="N258" s="4"/>
      <c r="O258" s="4"/>
      <c r="P258" s="4"/>
      <c r="Q258" s="4"/>
      <c r="R258" s="5"/>
      <c r="S258" s="5"/>
      <c r="T258" s="4"/>
      <c r="U258" s="4"/>
      <c r="V258" s="4"/>
    </row>
    <row r="259">
      <c r="A259" s="4"/>
      <c r="B259" s="4"/>
      <c r="C259" s="5"/>
      <c r="D259" s="5"/>
      <c r="E259" s="4"/>
      <c r="F259" s="2"/>
      <c r="G259" s="2"/>
      <c r="H259" s="5"/>
      <c r="I259" s="5"/>
      <c r="J259" s="2"/>
      <c r="K259" s="2"/>
      <c r="L259" s="2"/>
      <c r="M259" s="2"/>
      <c r="N259" s="4"/>
      <c r="O259" s="4"/>
      <c r="P259" s="4"/>
      <c r="Q259" s="4"/>
      <c r="R259" s="5"/>
      <c r="S259" s="5"/>
      <c r="T259" s="4"/>
      <c r="U259" s="4"/>
      <c r="V259" s="4"/>
    </row>
    <row r="260">
      <c r="A260" s="4"/>
      <c r="B260" s="4"/>
      <c r="C260" s="5"/>
      <c r="D260" s="5"/>
      <c r="E260" s="4"/>
      <c r="F260" s="2"/>
      <c r="G260" s="2"/>
      <c r="H260" s="5"/>
      <c r="I260" s="5"/>
      <c r="J260" s="2"/>
      <c r="K260" s="2"/>
      <c r="L260" s="2"/>
      <c r="M260" s="2"/>
      <c r="N260" s="4"/>
      <c r="O260" s="4"/>
      <c r="P260" s="4"/>
      <c r="Q260" s="4"/>
      <c r="R260" s="5"/>
      <c r="S260" s="5"/>
      <c r="T260" s="4"/>
      <c r="U260" s="4"/>
      <c r="V260" s="4"/>
    </row>
    <row r="261">
      <c r="A261" s="4"/>
      <c r="B261" s="4"/>
      <c r="C261" s="5"/>
      <c r="D261" s="5"/>
      <c r="E261" s="4"/>
      <c r="F261" s="2"/>
      <c r="G261" s="2"/>
      <c r="H261" s="5"/>
      <c r="I261" s="5"/>
      <c r="J261" s="2"/>
      <c r="K261" s="2"/>
      <c r="L261" s="2"/>
      <c r="M261" s="2"/>
      <c r="N261" s="4"/>
      <c r="O261" s="4"/>
      <c r="P261" s="4"/>
      <c r="Q261" s="4"/>
      <c r="R261" s="5"/>
      <c r="S261" s="5"/>
      <c r="T261" s="4"/>
      <c r="U261" s="4"/>
      <c r="V261" s="4"/>
    </row>
    <row r="262">
      <c r="A262" s="4"/>
      <c r="B262" s="4"/>
      <c r="C262" s="5"/>
      <c r="D262" s="5"/>
      <c r="E262" s="4"/>
      <c r="F262" s="2"/>
      <c r="G262" s="2"/>
      <c r="H262" s="5"/>
      <c r="I262" s="5"/>
      <c r="J262" s="2"/>
      <c r="K262" s="2"/>
      <c r="L262" s="2"/>
      <c r="M262" s="2"/>
      <c r="N262" s="4"/>
      <c r="O262" s="4"/>
      <c r="P262" s="4"/>
      <c r="Q262" s="4"/>
      <c r="R262" s="5"/>
      <c r="S262" s="5"/>
      <c r="T262" s="4"/>
      <c r="U262" s="4"/>
      <c r="V262" s="4"/>
    </row>
    <row r="263">
      <c r="A263" s="4"/>
      <c r="B263" s="4"/>
      <c r="C263" s="5"/>
      <c r="D263" s="5"/>
      <c r="E263" s="4"/>
      <c r="F263" s="2"/>
      <c r="G263" s="2"/>
      <c r="H263" s="5"/>
      <c r="I263" s="5"/>
      <c r="J263" s="2"/>
      <c r="K263" s="2"/>
      <c r="L263" s="2"/>
      <c r="M263" s="2"/>
      <c r="N263" s="4"/>
      <c r="O263" s="4"/>
      <c r="P263" s="4"/>
      <c r="Q263" s="4"/>
      <c r="R263" s="5"/>
      <c r="S263" s="5"/>
      <c r="T263" s="4"/>
      <c r="U263" s="4"/>
      <c r="V263" s="4"/>
    </row>
    <row r="264">
      <c r="A264" s="4"/>
      <c r="B264" s="4"/>
      <c r="C264" s="5"/>
      <c r="D264" s="5"/>
      <c r="E264" s="4"/>
      <c r="F264" s="2"/>
      <c r="G264" s="2"/>
      <c r="H264" s="5"/>
      <c r="I264" s="5"/>
      <c r="J264" s="2"/>
      <c r="K264" s="2"/>
      <c r="L264" s="2"/>
      <c r="M264" s="2"/>
      <c r="N264" s="4"/>
      <c r="O264" s="4"/>
      <c r="P264" s="4"/>
      <c r="Q264" s="4"/>
      <c r="R264" s="5"/>
      <c r="S264" s="5"/>
      <c r="T264" s="4"/>
      <c r="U264" s="4"/>
      <c r="V264" s="4"/>
    </row>
    <row r="265">
      <c r="A265" s="4"/>
      <c r="B265" s="4"/>
      <c r="C265" s="5"/>
      <c r="D265" s="5"/>
      <c r="E265" s="4"/>
      <c r="F265" s="2"/>
      <c r="G265" s="2"/>
      <c r="H265" s="5"/>
      <c r="I265" s="5"/>
      <c r="J265" s="2"/>
      <c r="K265" s="2"/>
      <c r="L265" s="2"/>
      <c r="M265" s="2"/>
      <c r="N265" s="4"/>
      <c r="O265" s="4"/>
      <c r="P265" s="4"/>
      <c r="Q265" s="4"/>
      <c r="R265" s="5"/>
      <c r="S265" s="5"/>
      <c r="T265" s="4"/>
      <c r="U265" s="4"/>
      <c r="V265" s="4"/>
    </row>
    <row r="266">
      <c r="A266" s="4"/>
      <c r="B266" s="4"/>
      <c r="C266" s="5"/>
      <c r="D266" s="5"/>
      <c r="E266" s="4"/>
      <c r="F266" s="2"/>
      <c r="G266" s="2"/>
      <c r="H266" s="5"/>
      <c r="I266" s="5"/>
      <c r="J266" s="2"/>
      <c r="K266" s="2"/>
      <c r="L266" s="2"/>
      <c r="M266" s="2"/>
      <c r="N266" s="4"/>
      <c r="O266" s="4"/>
      <c r="P266" s="4"/>
      <c r="Q266" s="4"/>
      <c r="R266" s="5"/>
      <c r="S266" s="5"/>
      <c r="T266" s="4"/>
      <c r="U266" s="4"/>
      <c r="V266" s="4"/>
    </row>
    <row r="267">
      <c r="A267" s="4"/>
      <c r="B267" s="4"/>
      <c r="C267" s="5"/>
      <c r="D267" s="5"/>
      <c r="E267" s="4"/>
      <c r="F267" s="2"/>
      <c r="G267" s="2"/>
      <c r="H267" s="5"/>
      <c r="I267" s="5"/>
      <c r="J267" s="2"/>
      <c r="K267" s="2"/>
      <c r="L267" s="2"/>
      <c r="M267" s="2"/>
      <c r="N267" s="4"/>
      <c r="O267" s="4"/>
      <c r="P267" s="4"/>
      <c r="Q267" s="4"/>
      <c r="R267" s="5"/>
      <c r="S267" s="5"/>
      <c r="T267" s="4"/>
      <c r="U267" s="4"/>
      <c r="V267" s="4"/>
    </row>
    <row r="268">
      <c r="A268" s="4"/>
      <c r="B268" s="4"/>
      <c r="C268" s="5"/>
      <c r="D268" s="5"/>
      <c r="E268" s="4"/>
      <c r="F268" s="2"/>
      <c r="G268" s="2"/>
      <c r="H268" s="5"/>
      <c r="I268" s="5"/>
      <c r="J268" s="2"/>
      <c r="K268" s="2"/>
      <c r="L268" s="2"/>
      <c r="M268" s="2"/>
      <c r="N268" s="4"/>
      <c r="O268" s="4"/>
      <c r="P268" s="4"/>
      <c r="Q268" s="4"/>
      <c r="R268" s="5"/>
      <c r="S268" s="5"/>
      <c r="T268" s="4"/>
      <c r="U268" s="4"/>
      <c r="V268" s="4"/>
    </row>
    <row r="269">
      <c r="A269" s="4"/>
      <c r="B269" s="4"/>
      <c r="C269" s="5"/>
      <c r="D269" s="5"/>
      <c r="E269" s="4"/>
      <c r="F269" s="2"/>
      <c r="G269" s="2"/>
      <c r="H269" s="5"/>
      <c r="I269" s="5"/>
      <c r="J269" s="2"/>
      <c r="K269" s="2"/>
      <c r="L269" s="2"/>
      <c r="M269" s="2"/>
      <c r="N269" s="4"/>
      <c r="O269" s="4"/>
      <c r="P269" s="4"/>
      <c r="Q269" s="4"/>
      <c r="R269" s="5"/>
      <c r="S269" s="5"/>
      <c r="T269" s="4"/>
      <c r="U269" s="4"/>
      <c r="V269" s="4"/>
    </row>
    <row r="270">
      <c r="A270" s="4"/>
      <c r="B270" s="4"/>
      <c r="C270" s="5"/>
      <c r="D270" s="5"/>
      <c r="E270" s="4"/>
      <c r="F270" s="2"/>
      <c r="G270" s="2"/>
      <c r="H270" s="5"/>
      <c r="I270" s="5"/>
      <c r="J270" s="2"/>
      <c r="K270" s="2"/>
      <c r="L270" s="2"/>
      <c r="M270" s="2"/>
      <c r="N270" s="4"/>
      <c r="O270" s="4"/>
      <c r="P270" s="4"/>
      <c r="Q270" s="4"/>
      <c r="R270" s="5"/>
      <c r="S270" s="5"/>
      <c r="T270" s="4"/>
      <c r="U270" s="4"/>
      <c r="V270" s="4"/>
    </row>
    <row r="271">
      <c r="A271" s="4"/>
      <c r="B271" s="4"/>
      <c r="C271" s="5"/>
      <c r="D271" s="5"/>
      <c r="E271" s="4"/>
      <c r="F271" s="2"/>
      <c r="G271" s="2"/>
      <c r="H271" s="5"/>
      <c r="I271" s="5"/>
      <c r="J271" s="2"/>
      <c r="K271" s="2"/>
      <c r="L271" s="2"/>
      <c r="M271" s="2"/>
      <c r="N271" s="4"/>
      <c r="O271" s="4"/>
      <c r="P271" s="4"/>
      <c r="Q271" s="4"/>
      <c r="R271" s="5"/>
      <c r="S271" s="5"/>
      <c r="T271" s="4"/>
      <c r="U271" s="4"/>
      <c r="V271" s="4"/>
    </row>
    <row r="272">
      <c r="A272" s="4"/>
      <c r="B272" s="4"/>
      <c r="C272" s="5"/>
      <c r="D272" s="5"/>
      <c r="E272" s="4"/>
      <c r="F272" s="2"/>
      <c r="G272" s="2"/>
      <c r="H272" s="5"/>
      <c r="I272" s="5"/>
      <c r="J272" s="2"/>
      <c r="K272" s="2"/>
      <c r="L272" s="2"/>
      <c r="M272" s="2"/>
      <c r="N272" s="4"/>
      <c r="O272" s="4"/>
      <c r="P272" s="4"/>
      <c r="Q272" s="4"/>
      <c r="R272" s="5"/>
      <c r="S272" s="5"/>
      <c r="T272" s="4"/>
      <c r="U272" s="4"/>
      <c r="V272" s="4"/>
    </row>
    <row r="273">
      <c r="A273" s="4"/>
      <c r="B273" s="4"/>
      <c r="C273" s="5"/>
      <c r="D273" s="5"/>
      <c r="E273" s="4"/>
      <c r="F273" s="2"/>
      <c r="G273" s="2"/>
      <c r="H273" s="5"/>
      <c r="I273" s="5"/>
      <c r="J273" s="2"/>
      <c r="K273" s="2"/>
      <c r="L273" s="2"/>
      <c r="M273" s="2"/>
      <c r="N273" s="4"/>
      <c r="O273" s="4"/>
      <c r="P273" s="4"/>
      <c r="Q273" s="4"/>
      <c r="R273" s="5"/>
      <c r="S273" s="5"/>
      <c r="T273" s="4"/>
      <c r="U273" s="4"/>
      <c r="V273" s="4"/>
    </row>
    <row r="274">
      <c r="A274" s="4"/>
      <c r="B274" s="4"/>
      <c r="C274" s="5"/>
      <c r="D274" s="5"/>
      <c r="E274" s="4"/>
      <c r="F274" s="2"/>
      <c r="G274" s="2"/>
      <c r="H274" s="5"/>
      <c r="I274" s="5"/>
      <c r="J274" s="2"/>
      <c r="K274" s="2"/>
      <c r="L274" s="2"/>
      <c r="M274" s="2"/>
      <c r="N274" s="4"/>
      <c r="O274" s="4"/>
      <c r="P274" s="4"/>
      <c r="Q274" s="4"/>
      <c r="R274" s="5"/>
      <c r="S274" s="5"/>
      <c r="T274" s="4"/>
      <c r="U274" s="4"/>
      <c r="V274" s="4"/>
    </row>
    <row r="275">
      <c r="A275" s="4"/>
      <c r="B275" s="4"/>
      <c r="C275" s="5"/>
      <c r="D275" s="5"/>
      <c r="E275" s="4"/>
      <c r="F275" s="2"/>
      <c r="G275" s="2"/>
      <c r="H275" s="5"/>
      <c r="I275" s="5"/>
      <c r="J275" s="2"/>
      <c r="K275" s="2"/>
      <c r="L275" s="2"/>
      <c r="M275" s="2"/>
      <c r="N275" s="4"/>
      <c r="O275" s="4"/>
      <c r="P275" s="4"/>
      <c r="Q275" s="4"/>
      <c r="R275" s="5"/>
      <c r="S275" s="5"/>
      <c r="T275" s="4"/>
      <c r="U275" s="4"/>
      <c r="V275" s="4"/>
    </row>
    <row r="276">
      <c r="A276" s="4"/>
      <c r="B276" s="4"/>
      <c r="C276" s="5"/>
      <c r="D276" s="5"/>
      <c r="E276" s="4"/>
      <c r="F276" s="2"/>
      <c r="G276" s="2"/>
      <c r="H276" s="5"/>
      <c r="I276" s="5"/>
      <c r="J276" s="2"/>
      <c r="K276" s="2"/>
      <c r="L276" s="2"/>
      <c r="M276" s="2"/>
      <c r="N276" s="4"/>
      <c r="O276" s="4"/>
      <c r="P276" s="4"/>
      <c r="Q276" s="4"/>
      <c r="R276" s="5"/>
      <c r="S276" s="5"/>
      <c r="T276" s="4"/>
      <c r="U276" s="4"/>
      <c r="V276" s="4"/>
    </row>
    <row r="277">
      <c r="A277" s="4"/>
      <c r="B277" s="4"/>
      <c r="C277" s="5"/>
      <c r="D277" s="5"/>
      <c r="E277" s="4"/>
      <c r="F277" s="2"/>
      <c r="G277" s="2"/>
      <c r="H277" s="5"/>
      <c r="I277" s="5"/>
      <c r="J277" s="2"/>
      <c r="K277" s="2"/>
      <c r="L277" s="2"/>
      <c r="M277" s="2"/>
      <c r="N277" s="4"/>
      <c r="O277" s="4"/>
      <c r="P277" s="4"/>
      <c r="Q277" s="4"/>
      <c r="R277" s="5"/>
      <c r="S277" s="5"/>
      <c r="T277" s="4"/>
      <c r="U277" s="4"/>
      <c r="V277" s="4"/>
    </row>
    <row r="278">
      <c r="A278" s="4"/>
      <c r="B278" s="4"/>
      <c r="C278" s="5"/>
      <c r="D278" s="5"/>
      <c r="E278" s="4"/>
      <c r="F278" s="2"/>
      <c r="G278" s="2"/>
      <c r="H278" s="5"/>
      <c r="I278" s="5"/>
      <c r="J278" s="2"/>
      <c r="K278" s="2"/>
      <c r="L278" s="2"/>
      <c r="M278" s="2"/>
      <c r="N278" s="4"/>
      <c r="O278" s="4"/>
      <c r="P278" s="4"/>
      <c r="Q278" s="4"/>
      <c r="R278" s="5"/>
      <c r="S278" s="5"/>
      <c r="T278" s="4"/>
      <c r="U278" s="4"/>
      <c r="V278" s="4"/>
    </row>
    <row r="279">
      <c r="A279" s="4"/>
      <c r="B279" s="4"/>
      <c r="C279" s="5"/>
      <c r="D279" s="5"/>
      <c r="E279" s="4"/>
      <c r="F279" s="2"/>
      <c r="G279" s="2"/>
      <c r="H279" s="5"/>
      <c r="I279" s="5"/>
      <c r="J279" s="2"/>
      <c r="K279" s="2"/>
      <c r="L279" s="2"/>
      <c r="M279" s="2"/>
      <c r="N279" s="4"/>
      <c r="O279" s="4"/>
      <c r="P279" s="4"/>
      <c r="Q279" s="4"/>
      <c r="R279" s="5"/>
      <c r="S279" s="5"/>
      <c r="T279" s="4"/>
      <c r="U279" s="4"/>
      <c r="V279" s="4"/>
    </row>
    <row r="280">
      <c r="A280" s="4"/>
      <c r="B280" s="4"/>
      <c r="C280" s="5"/>
      <c r="D280" s="5"/>
      <c r="E280" s="4"/>
      <c r="F280" s="2"/>
      <c r="G280" s="2"/>
      <c r="H280" s="5"/>
      <c r="I280" s="5"/>
      <c r="J280" s="2"/>
      <c r="K280" s="2"/>
      <c r="L280" s="2"/>
      <c r="M280" s="2"/>
      <c r="N280" s="4"/>
      <c r="O280" s="4"/>
      <c r="P280" s="4"/>
      <c r="Q280" s="4"/>
      <c r="R280" s="5"/>
      <c r="S280" s="5"/>
      <c r="T280" s="4"/>
      <c r="U280" s="4"/>
      <c r="V280" s="4"/>
    </row>
    <row r="281">
      <c r="A281" s="4"/>
      <c r="B281" s="4"/>
      <c r="C281" s="5"/>
      <c r="D281" s="5"/>
      <c r="E281" s="4"/>
      <c r="F281" s="2"/>
      <c r="G281" s="2"/>
      <c r="H281" s="5"/>
      <c r="I281" s="5"/>
      <c r="J281" s="2"/>
      <c r="K281" s="2"/>
      <c r="L281" s="2"/>
      <c r="M281" s="2"/>
      <c r="N281" s="4"/>
      <c r="O281" s="4"/>
      <c r="P281" s="4"/>
      <c r="Q281" s="4"/>
      <c r="R281" s="5"/>
      <c r="S281" s="5"/>
      <c r="T281" s="4"/>
      <c r="U281" s="4"/>
      <c r="V281" s="4"/>
    </row>
    <row r="282">
      <c r="A282" s="4"/>
      <c r="B282" s="4"/>
      <c r="C282" s="5"/>
      <c r="D282" s="5"/>
      <c r="E282" s="4"/>
      <c r="F282" s="2"/>
      <c r="G282" s="2"/>
      <c r="H282" s="5"/>
      <c r="I282" s="5"/>
      <c r="J282" s="2"/>
      <c r="K282" s="2"/>
      <c r="L282" s="2"/>
      <c r="M282" s="2"/>
      <c r="N282" s="4"/>
      <c r="O282" s="4"/>
      <c r="P282" s="4"/>
      <c r="Q282" s="4"/>
      <c r="R282" s="5"/>
      <c r="S282" s="5"/>
      <c r="T282" s="4"/>
      <c r="U282" s="4"/>
      <c r="V282" s="4"/>
    </row>
    <row r="283">
      <c r="A283" s="4"/>
      <c r="B283" s="4"/>
      <c r="C283" s="5"/>
      <c r="D283" s="5"/>
      <c r="E283" s="4"/>
      <c r="F283" s="2"/>
      <c r="G283" s="2"/>
      <c r="H283" s="5"/>
      <c r="I283" s="5"/>
      <c r="J283" s="2"/>
      <c r="K283" s="2"/>
      <c r="L283" s="2"/>
      <c r="M283" s="2"/>
      <c r="N283" s="4"/>
      <c r="O283" s="4"/>
      <c r="P283" s="4"/>
      <c r="Q283" s="4"/>
      <c r="R283" s="5"/>
      <c r="S283" s="5"/>
      <c r="T283" s="4"/>
      <c r="U283" s="4"/>
      <c r="V283" s="4"/>
    </row>
    <row r="284">
      <c r="A284" s="4"/>
      <c r="B284" s="4"/>
      <c r="C284" s="5"/>
      <c r="D284" s="5"/>
      <c r="E284" s="4"/>
      <c r="F284" s="2"/>
      <c r="G284" s="2"/>
      <c r="H284" s="5"/>
      <c r="I284" s="5"/>
      <c r="J284" s="2"/>
      <c r="K284" s="2"/>
      <c r="L284" s="2"/>
      <c r="M284" s="2"/>
      <c r="N284" s="4"/>
      <c r="O284" s="4"/>
      <c r="P284" s="4"/>
      <c r="Q284" s="4"/>
      <c r="R284" s="5"/>
      <c r="S284" s="5"/>
      <c r="T284" s="4"/>
      <c r="U284" s="4"/>
      <c r="V284" s="4"/>
    </row>
    <row r="285">
      <c r="A285" s="4"/>
      <c r="B285" s="4"/>
      <c r="C285" s="5"/>
      <c r="D285" s="5"/>
      <c r="E285" s="4"/>
      <c r="F285" s="2"/>
      <c r="G285" s="2"/>
      <c r="H285" s="5"/>
      <c r="I285" s="5"/>
      <c r="J285" s="2"/>
      <c r="K285" s="2"/>
      <c r="L285" s="2"/>
      <c r="M285" s="2"/>
      <c r="N285" s="4"/>
      <c r="O285" s="4"/>
      <c r="P285" s="4"/>
      <c r="Q285" s="4"/>
      <c r="R285" s="5"/>
      <c r="S285" s="5"/>
      <c r="T285" s="4"/>
      <c r="U285" s="4"/>
      <c r="V285" s="4"/>
    </row>
    <row r="286">
      <c r="A286" s="4"/>
      <c r="B286" s="4"/>
      <c r="C286" s="5"/>
      <c r="D286" s="5"/>
      <c r="E286" s="4"/>
      <c r="F286" s="2"/>
      <c r="G286" s="2"/>
      <c r="H286" s="5"/>
      <c r="I286" s="5"/>
      <c r="J286" s="2"/>
      <c r="K286" s="2"/>
      <c r="L286" s="2"/>
      <c r="M286" s="2"/>
      <c r="N286" s="4"/>
      <c r="O286" s="4"/>
      <c r="P286" s="4"/>
      <c r="Q286" s="4"/>
      <c r="R286" s="5"/>
      <c r="S286" s="5"/>
      <c r="T286" s="4"/>
      <c r="U286" s="4"/>
      <c r="V286" s="4"/>
    </row>
    <row r="287">
      <c r="A287" s="4"/>
      <c r="B287" s="4"/>
      <c r="C287" s="5"/>
      <c r="D287" s="5"/>
      <c r="E287" s="4"/>
      <c r="F287" s="2"/>
      <c r="G287" s="2"/>
      <c r="H287" s="5"/>
      <c r="I287" s="5"/>
      <c r="J287" s="2"/>
      <c r="K287" s="2"/>
      <c r="L287" s="2"/>
      <c r="M287" s="2"/>
      <c r="N287" s="4"/>
      <c r="O287" s="4"/>
      <c r="P287" s="4"/>
      <c r="Q287" s="4"/>
      <c r="R287" s="5"/>
      <c r="S287" s="5"/>
      <c r="T287" s="4"/>
      <c r="U287" s="4"/>
      <c r="V287" s="4"/>
    </row>
    <row r="288">
      <c r="A288" s="4"/>
      <c r="B288" s="4"/>
      <c r="C288" s="5"/>
      <c r="D288" s="5"/>
      <c r="E288" s="4"/>
      <c r="F288" s="2"/>
      <c r="G288" s="2"/>
      <c r="H288" s="5"/>
      <c r="I288" s="5"/>
      <c r="J288" s="2"/>
      <c r="K288" s="2"/>
      <c r="L288" s="2"/>
      <c r="M288" s="2"/>
      <c r="N288" s="4"/>
      <c r="O288" s="4"/>
      <c r="P288" s="4"/>
      <c r="Q288" s="4"/>
      <c r="R288" s="5"/>
      <c r="S288" s="5"/>
      <c r="T288" s="4"/>
      <c r="U288" s="4"/>
      <c r="V288" s="4"/>
    </row>
    <row r="289">
      <c r="A289" s="4"/>
      <c r="B289" s="4"/>
      <c r="C289" s="5"/>
      <c r="D289" s="5"/>
      <c r="E289" s="4"/>
      <c r="F289" s="2"/>
      <c r="G289" s="2"/>
      <c r="H289" s="5"/>
      <c r="I289" s="5"/>
      <c r="J289" s="2"/>
      <c r="K289" s="2"/>
      <c r="L289" s="2"/>
      <c r="M289" s="2"/>
      <c r="N289" s="4"/>
      <c r="O289" s="4"/>
      <c r="P289" s="4"/>
      <c r="Q289" s="4"/>
      <c r="R289" s="5"/>
      <c r="S289" s="5"/>
      <c r="T289" s="4"/>
      <c r="U289" s="4"/>
      <c r="V289" s="4"/>
    </row>
    <row r="290">
      <c r="A290" s="4"/>
      <c r="B290" s="4"/>
      <c r="C290" s="5"/>
      <c r="D290" s="5"/>
      <c r="E290" s="4"/>
      <c r="F290" s="2"/>
      <c r="G290" s="2"/>
      <c r="H290" s="5"/>
      <c r="I290" s="5"/>
      <c r="J290" s="2"/>
      <c r="K290" s="2"/>
      <c r="L290" s="2"/>
      <c r="M290" s="2"/>
      <c r="N290" s="4"/>
      <c r="O290" s="4"/>
      <c r="P290" s="4"/>
      <c r="Q290" s="4"/>
      <c r="R290" s="5"/>
      <c r="S290" s="5"/>
      <c r="T290" s="4"/>
      <c r="U290" s="4"/>
      <c r="V290" s="4"/>
    </row>
    <row r="291">
      <c r="A291" s="4"/>
      <c r="B291" s="4"/>
      <c r="C291" s="5"/>
      <c r="D291" s="5"/>
      <c r="E291" s="4"/>
      <c r="F291" s="2"/>
      <c r="G291" s="2"/>
      <c r="H291" s="5"/>
      <c r="I291" s="5"/>
      <c r="J291" s="2"/>
      <c r="K291" s="2"/>
      <c r="L291" s="2"/>
      <c r="M291" s="2"/>
      <c r="N291" s="4"/>
      <c r="O291" s="4"/>
      <c r="P291" s="4"/>
      <c r="Q291" s="4"/>
      <c r="R291" s="5"/>
      <c r="S291" s="5"/>
      <c r="T291" s="4"/>
      <c r="U291" s="4"/>
      <c r="V291" s="4"/>
    </row>
    <row r="292">
      <c r="A292" s="4"/>
      <c r="B292" s="4"/>
      <c r="C292" s="5"/>
      <c r="D292" s="5"/>
      <c r="E292" s="4"/>
      <c r="F292" s="2"/>
      <c r="G292" s="2"/>
      <c r="H292" s="5"/>
      <c r="I292" s="5"/>
      <c r="J292" s="2"/>
      <c r="K292" s="2"/>
      <c r="L292" s="2"/>
      <c r="M292" s="2"/>
      <c r="N292" s="4"/>
      <c r="O292" s="4"/>
      <c r="P292" s="4"/>
      <c r="Q292" s="4"/>
      <c r="R292" s="5"/>
      <c r="S292" s="5"/>
      <c r="T292" s="4"/>
      <c r="U292" s="4"/>
      <c r="V292" s="4"/>
    </row>
    <row r="293">
      <c r="A293" s="4"/>
      <c r="B293" s="4"/>
      <c r="C293" s="5"/>
      <c r="D293" s="5"/>
      <c r="E293" s="4"/>
      <c r="F293" s="2"/>
      <c r="G293" s="2"/>
      <c r="H293" s="5"/>
      <c r="I293" s="5"/>
      <c r="J293" s="2"/>
      <c r="K293" s="2"/>
      <c r="L293" s="2"/>
      <c r="M293" s="2"/>
      <c r="N293" s="4"/>
      <c r="O293" s="4"/>
      <c r="P293" s="4"/>
      <c r="Q293" s="4"/>
      <c r="R293" s="5"/>
      <c r="S293" s="5"/>
      <c r="T293" s="4"/>
      <c r="U293" s="4"/>
      <c r="V293" s="4"/>
    </row>
    <row r="294">
      <c r="A294" s="4"/>
      <c r="B294" s="4"/>
      <c r="C294" s="5"/>
      <c r="D294" s="5"/>
      <c r="E294" s="4"/>
      <c r="F294" s="2"/>
      <c r="G294" s="2"/>
      <c r="H294" s="5"/>
      <c r="I294" s="5"/>
      <c r="J294" s="2"/>
      <c r="K294" s="2"/>
      <c r="L294" s="2"/>
      <c r="M294" s="2"/>
      <c r="N294" s="4"/>
      <c r="O294" s="4"/>
      <c r="P294" s="4"/>
      <c r="Q294" s="4"/>
      <c r="R294" s="5"/>
      <c r="S294" s="5"/>
      <c r="T294" s="4"/>
      <c r="U294" s="4"/>
      <c r="V294" s="4"/>
    </row>
    <row r="295">
      <c r="A295" s="4"/>
      <c r="B295" s="4"/>
      <c r="C295" s="5"/>
      <c r="D295" s="5"/>
      <c r="E295" s="4"/>
      <c r="F295" s="2"/>
      <c r="G295" s="2"/>
      <c r="H295" s="5"/>
      <c r="I295" s="5"/>
      <c r="J295" s="2"/>
      <c r="K295" s="2"/>
      <c r="L295" s="2"/>
      <c r="M295" s="2"/>
      <c r="N295" s="4"/>
      <c r="O295" s="4"/>
      <c r="P295" s="4"/>
      <c r="Q295" s="4"/>
      <c r="R295" s="5"/>
      <c r="S295" s="5"/>
      <c r="T295" s="4"/>
      <c r="U295" s="4"/>
      <c r="V295" s="4"/>
    </row>
    <row r="296">
      <c r="A296" s="4"/>
      <c r="B296" s="4"/>
      <c r="C296" s="5"/>
      <c r="D296" s="5"/>
      <c r="E296" s="4"/>
      <c r="F296" s="2"/>
      <c r="G296" s="2"/>
      <c r="H296" s="5"/>
      <c r="I296" s="5"/>
      <c r="J296" s="2"/>
      <c r="K296" s="2"/>
      <c r="L296" s="2"/>
      <c r="M296" s="2"/>
      <c r="N296" s="4"/>
      <c r="O296" s="4"/>
      <c r="P296" s="4"/>
      <c r="Q296" s="4"/>
      <c r="R296" s="5"/>
      <c r="S296" s="5"/>
      <c r="T296" s="4"/>
      <c r="U296" s="4"/>
      <c r="V296" s="4"/>
    </row>
    <row r="297">
      <c r="A297" s="4"/>
      <c r="B297" s="4"/>
      <c r="C297" s="5"/>
      <c r="D297" s="5"/>
      <c r="E297" s="4"/>
      <c r="F297" s="2"/>
      <c r="G297" s="2"/>
      <c r="H297" s="5"/>
      <c r="I297" s="5"/>
      <c r="J297" s="2"/>
      <c r="K297" s="2"/>
      <c r="L297" s="2"/>
      <c r="M297" s="2"/>
      <c r="N297" s="4"/>
      <c r="O297" s="4"/>
      <c r="P297" s="4"/>
      <c r="Q297" s="4"/>
      <c r="R297" s="5"/>
      <c r="S297" s="5"/>
      <c r="T297" s="4"/>
      <c r="U297" s="4"/>
      <c r="V297" s="4"/>
    </row>
    <row r="298">
      <c r="A298" s="4"/>
      <c r="B298" s="4"/>
      <c r="C298" s="5"/>
      <c r="D298" s="5"/>
      <c r="E298" s="4"/>
      <c r="F298" s="2"/>
      <c r="G298" s="2"/>
      <c r="H298" s="5"/>
      <c r="I298" s="5"/>
      <c r="J298" s="2"/>
      <c r="K298" s="2"/>
      <c r="L298" s="2"/>
      <c r="M298" s="2"/>
      <c r="N298" s="4"/>
      <c r="O298" s="4"/>
      <c r="P298" s="4"/>
      <c r="Q298" s="4"/>
      <c r="R298" s="5"/>
      <c r="S298" s="5"/>
      <c r="T298" s="4"/>
      <c r="U298" s="4"/>
      <c r="V298" s="4"/>
    </row>
    <row r="299">
      <c r="A299" s="4"/>
      <c r="B299" s="4"/>
      <c r="C299" s="5"/>
      <c r="D299" s="5"/>
      <c r="E299" s="4"/>
      <c r="F299" s="2"/>
      <c r="G299" s="2"/>
      <c r="H299" s="5"/>
      <c r="I299" s="5"/>
      <c r="J299" s="2"/>
      <c r="K299" s="2"/>
      <c r="L299" s="2"/>
      <c r="M299" s="2"/>
      <c r="N299" s="4"/>
      <c r="O299" s="4"/>
      <c r="P299" s="4"/>
      <c r="Q299" s="4"/>
      <c r="R299" s="5"/>
      <c r="S299" s="5"/>
      <c r="T299" s="4"/>
      <c r="U299" s="4"/>
      <c r="V299" s="4"/>
    </row>
    <row r="300">
      <c r="A300" s="4"/>
      <c r="B300" s="4"/>
      <c r="C300" s="5"/>
      <c r="D300" s="5"/>
      <c r="E300" s="4"/>
      <c r="F300" s="2"/>
      <c r="G300" s="2"/>
      <c r="H300" s="5"/>
      <c r="I300" s="5"/>
      <c r="J300" s="2"/>
      <c r="K300" s="2"/>
      <c r="L300" s="2"/>
      <c r="M300" s="2"/>
      <c r="N300" s="4"/>
      <c r="O300" s="4"/>
      <c r="P300" s="4"/>
      <c r="Q300" s="4"/>
      <c r="R300" s="5"/>
      <c r="S300" s="5"/>
      <c r="T300" s="4"/>
      <c r="U300" s="4"/>
      <c r="V300" s="4"/>
    </row>
    <row r="301">
      <c r="A301" s="4"/>
      <c r="B301" s="4"/>
      <c r="C301" s="5"/>
      <c r="D301" s="5"/>
      <c r="E301" s="4"/>
      <c r="F301" s="2"/>
      <c r="G301" s="2"/>
      <c r="H301" s="5"/>
      <c r="I301" s="5"/>
      <c r="J301" s="2"/>
      <c r="K301" s="2"/>
      <c r="L301" s="2"/>
      <c r="M301" s="2"/>
      <c r="N301" s="4"/>
      <c r="O301" s="4"/>
      <c r="P301" s="4"/>
      <c r="Q301" s="4"/>
      <c r="R301" s="5"/>
      <c r="S301" s="5"/>
      <c r="T301" s="4"/>
      <c r="U301" s="4"/>
      <c r="V301" s="4"/>
    </row>
    <row r="302">
      <c r="A302" s="4"/>
      <c r="B302" s="4"/>
      <c r="C302" s="5"/>
      <c r="D302" s="5"/>
      <c r="E302" s="4"/>
      <c r="F302" s="2"/>
      <c r="G302" s="2"/>
      <c r="H302" s="5"/>
      <c r="I302" s="5"/>
      <c r="J302" s="2"/>
      <c r="K302" s="2"/>
      <c r="L302" s="2"/>
      <c r="M302" s="2"/>
      <c r="N302" s="4"/>
      <c r="O302" s="4"/>
      <c r="P302" s="4"/>
      <c r="Q302" s="4"/>
      <c r="R302" s="5"/>
      <c r="S302" s="5"/>
      <c r="T302" s="4"/>
      <c r="U302" s="4"/>
      <c r="V302" s="4"/>
    </row>
    <row r="303">
      <c r="A303" s="4"/>
      <c r="B303" s="4"/>
      <c r="C303" s="5"/>
      <c r="D303" s="5"/>
      <c r="E303" s="4"/>
      <c r="F303" s="2"/>
      <c r="G303" s="2"/>
      <c r="H303" s="5"/>
      <c r="I303" s="5"/>
      <c r="J303" s="2"/>
      <c r="K303" s="2"/>
      <c r="L303" s="2"/>
      <c r="M303" s="2"/>
      <c r="N303" s="4"/>
      <c r="O303" s="4"/>
      <c r="P303" s="4"/>
      <c r="Q303" s="4"/>
      <c r="R303" s="5"/>
      <c r="S303" s="5"/>
      <c r="T303" s="4"/>
      <c r="U303" s="4"/>
      <c r="V303" s="4"/>
    </row>
    <row r="304">
      <c r="A304" s="4"/>
      <c r="B304" s="4"/>
      <c r="C304" s="5"/>
      <c r="D304" s="5"/>
      <c r="E304" s="4"/>
      <c r="F304" s="2"/>
      <c r="G304" s="2"/>
      <c r="H304" s="5"/>
      <c r="I304" s="5"/>
      <c r="J304" s="2"/>
      <c r="K304" s="2"/>
      <c r="L304" s="2"/>
      <c r="M304" s="2"/>
      <c r="N304" s="4"/>
      <c r="O304" s="4"/>
      <c r="P304" s="4"/>
      <c r="Q304" s="4"/>
      <c r="R304" s="5"/>
      <c r="S304" s="5"/>
      <c r="T304" s="4"/>
      <c r="U304" s="4"/>
      <c r="V304" s="4"/>
    </row>
    <row r="305">
      <c r="A305" s="4"/>
      <c r="B305" s="4"/>
      <c r="C305" s="5"/>
      <c r="D305" s="5"/>
      <c r="E305" s="4"/>
      <c r="F305" s="2"/>
      <c r="G305" s="2"/>
      <c r="H305" s="5"/>
      <c r="I305" s="5"/>
      <c r="J305" s="2"/>
      <c r="K305" s="2"/>
      <c r="L305" s="2"/>
      <c r="M305" s="2"/>
      <c r="N305" s="4"/>
      <c r="O305" s="4"/>
      <c r="P305" s="4"/>
      <c r="Q305" s="4"/>
      <c r="R305" s="5"/>
      <c r="S305" s="5"/>
      <c r="T305" s="4"/>
      <c r="U305" s="4"/>
      <c r="V305" s="4"/>
    </row>
    <row r="306">
      <c r="A306" s="4"/>
      <c r="B306" s="4"/>
      <c r="C306" s="5"/>
      <c r="D306" s="5"/>
      <c r="E306" s="4"/>
      <c r="F306" s="2"/>
      <c r="G306" s="2"/>
      <c r="H306" s="5"/>
      <c r="I306" s="5"/>
      <c r="J306" s="2"/>
      <c r="K306" s="2"/>
      <c r="L306" s="2"/>
      <c r="M306" s="2"/>
      <c r="N306" s="4"/>
      <c r="O306" s="4"/>
      <c r="P306" s="4"/>
      <c r="Q306" s="4"/>
      <c r="R306" s="5"/>
      <c r="S306" s="5"/>
      <c r="T306" s="4"/>
      <c r="U306" s="4"/>
      <c r="V306" s="4"/>
    </row>
    <row r="307">
      <c r="A307" s="4"/>
      <c r="B307" s="4"/>
      <c r="C307" s="5"/>
      <c r="D307" s="5"/>
      <c r="E307" s="4"/>
      <c r="F307" s="2"/>
      <c r="G307" s="2"/>
      <c r="H307" s="5"/>
      <c r="I307" s="5"/>
      <c r="J307" s="2"/>
      <c r="K307" s="2"/>
      <c r="L307" s="2"/>
      <c r="M307" s="2"/>
      <c r="N307" s="4"/>
      <c r="O307" s="4"/>
      <c r="P307" s="4"/>
      <c r="Q307" s="4"/>
      <c r="R307" s="5"/>
      <c r="S307" s="5"/>
      <c r="T307" s="4"/>
      <c r="U307" s="4"/>
      <c r="V307" s="4"/>
    </row>
    <row r="308">
      <c r="A308" s="4"/>
      <c r="B308" s="4"/>
      <c r="C308" s="5"/>
      <c r="D308" s="5"/>
      <c r="E308" s="4"/>
      <c r="F308" s="2"/>
      <c r="G308" s="2"/>
      <c r="H308" s="5"/>
      <c r="I308" s="5"/>
      <c r="J308" s="2"/>
      <c r="K308" s="2"/>
      <c r="L308" s="2"/>
      <c r="M308" s="2"/>
      <c r="N308" s="4"/>
      <c r="O308" s="4"/>
      <c r="P308" s="4"/>
      <c r="Q308" s="4"/>
      <c r="R308" s="5"/>
      <c r="S308" s="5"/>
      <c r="T308" s="4"/>
      <c r="U308" s="4"/>
      <c r="V308" s="4"/>
    </row>
    <row r="309">
      <c r="A309" s="4"/>
      <c r="B309" s="4"/>
      <c r="C309" s="5"/>
      <c r="D309" s="5"/>
      <c r="E309" s="4"/>
      <c r="F309" s="2"/>
      <c r="G309" s="2"/>
      <c r="H309" s="5"/>
      <c r="I309" s="5"/>
      <c r="J309" s="2"/>
      <c r="K309" s="2"/>
      <c r="L309" s="2"/>
      <c r="M309" s="2"/>
      <c r="N309" s="4"/>
      <c r="O309" s="4"/>
      <c r="P309" s="4"/>
      <c r="Q309" s="4"/>
      <c r="R309" s="5"/>
      <c r="S309" s="5"/>
      <c r="T309" s="4"/>
      <c r="U309" s="4"/>
      <c r="V309" s="4"/>
    </row>
    <row r="310">
      <c r="A310" s="4"/>
      <c r="B310" s="4"/>
      <c r="C310" s="5"/>
      <c r="D310" s="5"/>
      <c r="E310" s="4"/>
      <c r="F310" s="2"/>
      <c r="G310" s="2"/>
      <c r="H310" s="5"/>
      <c r="I310" s="5"/>
      <c r="J310" s="2"/>
      <c r="K310" s="2"/>
      <c r="L310" s="2"/>
      <c r="M310" s="2"/>
      <c r="N310" s="4"/>
      <c r="O310" s="4"/>
      <c r="P310" s="4"/>
      <c r="Q310" s="4"/>
      <c r="R310" s="5"/>
      <c r="S310" s="5"/>
      <c r="T310" s="4"/>
      <c r="U310" s="4"/>
      <c r="V310" s="4"/>
    </row>
    <row r="311">
      <c r="A311" s="4"/>
      <c r="B311" s="4"/>
      <c r="C311" s="5"/>
      <c r="D311" s="5"/>
      <c r="E311" s="4"/>
      <c r="F311" s="2"/>
      <c r="G311" s="2"/>
      <c r="H311" s="5"/>
      <c r="I311" s="5"/>
      <c r="J311" s="2"/>
      <c r="K311" s="2"/>
      <c r="L311" s="2"/>
      <c r="M311" s="2"/>
      <c r="N311" s="4"/>
      <c r="O311" s="4"/>
      <c r="P311" s="4"/>
      <c r="Q311" s="4"/>
      <c r="R311" s="5"/>
      <c r="S311" s="5"/>
      <c r="T311" s="4"/>
      <c r="U311" s="4"/>
      <c r="V311" s="4"/>
    </row>
    <row r="312">
      <c r="A312" s="4"/>
      <c r="B312" s="4"/>
      <c r="C312" s="5"/>
      <c r="D312" s="5"/>
      <c r="E312" s="4"/>
      <c r="F312" s="2"/>
      <c r="G312" s="2"/>
      <c r="H312" s="5"/>
      <c r="I312" s="5"/>
      <c r="J312" s="2"/>
      <c r="K312" s="2"/>
      <c r="L312" s="2"/>
      <c r="M312" s="2"/>
      <c r="N312" s="4"/>
      <c r="O312" s="4"/>
      <c r="P312" s="4"/>
      <c r="Q312" s="4"/>
      <c r="R312" s="5"/>
      <c r="S312" s="5"/>
      <c r="T312" s="4"/>
      <c r="U312" s="4"/>
      <c r="V312" s="4"/>
    </row>
    <row r="313">
      <c r="A313" s="4"/>
      <c r="B313" s="4"/>
      <c r="C313" s="5"/>
      <c r="D313" s="5"/>
      <c r="E313" s="4"/>
      <c r="F313" s="2"/>
      <c r="G313" s="2"/>
      <c r="H313" s="5"/>
      <c r="I313" s="5"/>
      <c r="J313" s="2"/>
      <c r="K313" s="2"/>
      <c r="L313" s="2"/>
      <c r="M313" s="2"/>
      <c r="N313" s="4"/>
      <c r="O313" s="4"/>
      <c r="P313" s="4"/>
      <c r="Q313" s="4"/>
      <c r="R313" s="5"/>
      <c r="S313" s="5"/>
      <c r="T313" s="4"/>
      <c r="U313" s="4"/>
      <c r="V313" s="4"/>
    </row>
    <row r="314">
      <c r="A314" s="4"/>
      <c r="B314" s="4"/>
      <c r="C314" s="5"/>
      <c r="D314" s="5"/>
      <c r="E314" s="4"/>
      <c r="F314" s="2"/>
      <c r="G314" s="2"/>
      <c r="H314" s="5"/>
      <c r="I314" s="5"/>
      <c r="J314" s="2"/>
      <c r="K314" s="2"/>
      <c r="L314" s="2"/>
      <c r="M314" s="2"/>
      <c r="N314" s="4"/>
      <c r="O314" s="4"/>
      <c r="P314" s="4"/>
      <c r="Q314" s="4"/>
      <c r="R314" s="5"/>
      <c r="S314" s="5"/>
      <c r="T314" s="4"/>
      <c r="U314" s="4"/>
      <c r="V314" s="4"/>
    </row>
    <row r="315">
      <c r="A315" s="4"/>
      <c r="B315" s="4"/>
      <c r="C315" s="5"/>
      <c r="D315" s="5"/>
      <c r="E315" s="4"/>
      <c r="F315" s="2"/>
      <c r="G315" s="2"/>
      <c r="H315" s="5"/>
      <c r="I315" s="5"/>
      <c r="J315" s="2"/>
      <c r="K315" s="2"/>
      <c r="L315" s="2"/>
      <c r="M315" s="2"/>
      <c r="N315" s="4"/>
      <c r="O315" s="4"/>
      <c r="P315" s="4"/>
      <c r="Q315" s="4"/>
      <c r="R315" s="5"/>
      <c r="S315" s="5"/>
      <c r="T315" s="4"/>
      <c r="U315" s="4"/>
      <c r="V315" s="4"/>
    </row>
    <row r="316">
      <c r="A316" s="4"/>
      <c r="B316" s="4"/>
      <c r="C316" s="5"/>
      <c r="D316" s="5"/>
      <c r="E316" s="4"/>
      <c r="F316" s="2"/>
      <c r="G316" s="2"/>
      <c r="H316" s="5"/>
      <c r="I316" s="5"/>
      <c r="J316" s="2"/>
      <c r="K316" s="2"/>
      <c r="L316" s="2"/>
      <c r="M316" s="2"/>
      <c r="N316" s="4"/>
      <c r="O316" s="4"/>
      <c r="P316" s="4"/>
      <c r="Q316" s="4"/>
      <c r="R316" s="5"/>
      <c r="S316" s="5"/>
      <c r="T316" s="4"/>
      <c r="U316" s="4"/>
      <c r="V316" s="4"/>
    </row>
    <row r="317">
      <c r="A317" s="4"/>
      <c r="B317" s="4"/>
      <c r="C317" s="5"/>
      <c r="D317" s="5"/>
      <c r="E317" s="4"/>
      <c r="F317" s="2"/>
      <c r="G317" s="2"/>
      <c r="H317" s="5"/>
      <c r="I317" s="5"/>
      <c r="J317" s="2"/>
      <c r="K317" s="2"/>
      <c r="L317" s="2"/>
      <c r="M317" s="2"/>
      <c r="N317" s="4"/>
      <c r="O317" s="4"/>
      <c r="P317" s="4"/>
      <c r="Q317" s="4"/>
      <c r="R317" s="5"/>
      <c r="S317" s="5"/>
      <c r="T317" s="4"/>
      <c r="U317" s="4"/>
      <c r="V317" s="4"/>
    </row>
    <row r="318">
      <c r="A318" s="4"/>
      <c r="B318" s="4"/>
      <c r="C318" s="5"/>
      <c r="D318" s="5"/>
      <c r="E318" s="4"/>
      <c r="F318" s="2"/>
      <c r="G318" s="2"/>
      <c r="H318" s="5"/>
      <c r="I318" s="5"/>
      <c r="J318" s="2"/>
      <c r="K318" s="2"/>
      <c r="L318" s="2"/>
      <c r="M318" s="2"/>
      <c r="N318" s="4"/>
      <c r="O318" s="4"/>
      <c r="P318" s="4"/>
      <c r="Q318" s="4"/>
      <c r="R318" s="5"/>
      <c r="S318" s="5"/>
      <c r="T318" s="4"/>
      <c r="U318" s="4"/>
      <c r="V318" s="4"/>
    </row>
    <row r="319">
      <c r="A319" s="4"/>
      <c r="B319" s="4"/>
      <c r="C319" s="5"/>
      <c r="D319" s="5"/>
      <c r="E319" s="4"/>
      <c r="F319" s="2"/>
      <c r="G319" s="2"/>
      <c r="H319" s="5"/>
      <c r="I319" s="5"/>
      <c r="J319" s="2"/>
      <c r="K319" s="2"/>
      <c r="L319" s="2"/>
      <c r="M319" s="2"/>
      <c r="N319" s="4"/>
      <c r="O319" s="4"/>
      <c r="P319" s="4"/>
      <c r="Q319" s="4"/>
      <c r="R319" s="5"/>
      <c r="S319" s="5"/>
      <c r="T319" s="4"/>
      <c r="U319" s="4"/>
      <c r="V319" s="4"/>
    </row>
    <row r="320">
      <c r="A320" s="4"/>
      <c r="B320" s="4"/>
      <c r="C320" s="5"/>
      <c r="D320" s="5"/>
      <c r="E320" s="4"/>
      <c r="F320" s="2"/>
      <c r="G320" s="2"/>
      <c r="H320" s="5"/>
      <c r="I320" s="5"/>
      <c r="J320" s="2"/>
      <c r="K320" s="2"/>
      <c r="L320" s="2"/>
      <c r="M320" s="2"/>
      <c r="N320" s="4"/>
      <c r="O320" s="4"/>
      <c r="P320" s="4"/>
      <c r="Q320" s="4"/>
      <c r="R320" s="5"/>
      <c r="S320" s="5"/>
      <c r="T320" s="4"/>
      <c r="U320" s="4"/>
      <c r="V320" s="4"/>
    </row>
    <row r="321">
      <c r="A321" s="4"/>
      <c r="B321" s="4"/>
      <c r="C321" s="5"/>
      <c r="D321" s="5"/>
      <c r="E321" s="4"/>
      <c r="F321" s="2"/>
      <c r="G321" s="2"/>
      <c r="H321" s="5"/>
      <c r="I321" s="5"/>
      <c r="J321" s="2"/>
      <c r="K321" s="2"/>
      <c r="L321" s="2"/>
      <c r="M321" s="2"/>
      <c r="N321" s="4"/>
      <c r="O321" s="4"/>
      <c r="P321" s="4"/>
      <c r="Q321" s="4"/>
      <c r="R321" s="5"/>
      <c r="S321" s="5"/>
      <c r="T321" s="4"/>
      <c r="U321" s="4"/>
      <c r="V321" s="4"/>
    </row>
    <row r="322">
      <c r="A322" s="4"/>
      <c r="B322" s="4"/>
      <c r="C322" s="5"/>
      <c r="D322" s="5"/>
      <c r="E322" s="4"/>
      <c r="F322" s="2"/>
      <c r="G322" s="2"/>
      <c r="H322" s="5"/>
      <c r="I322" s="5"/>
      <c r="J322" s="2"/>
      <c r="K322" s="2"/>
      <c r="L322" s="2"/>
      <c r="M322" s="2"/>
      <c r="N322" s="4"/>
      <c r="O322" s="4"/>
      <c r="P322" s="4"/>
      <c r="Q322" s="4"/>
      <c r="R322" s="5"/>
      <c r="S322" s="5"/>
      <c r="T322" s="4"/>
      <c r="U322" s="4"/>
      <c r="V322" s="4"/>
    </row>
    <row r="323">
      <c r="A323" s="4"/>
      <c r="B323" s="4"/>
      <c r="C323" s="5"/>
      <c r="D323" s="5"/>
      <c r="E323" s="4"/>
      <c r="F323" s="2"/>
      <c r="G323" s="2"/>
      <c r="H323" s="5"/>
      <c r="I323" s="5"/>
      <c r="J323" s="2"/>
      <c r="K323" s="2"/>
      <c r="L323" s="2"/>
      <c r="M323" s="2"/>
      <c r="N323" s="4"/>
      <c r="O323" s="4"/>
      <c r="P323" s="4"/>
      <c r="Q323" s="4"/>
      <c r="R323" s="5"/>
      <c r="S323" s="5"/>
      <c r="T323" s="4"/>
      <c r="U323" s="4"/>
      <c r="V323" s="4"/>
    </row>
    <row r="324">
      <c r="A324" s="4"/>
      <c r="B324" s="4"/>
      <c r="C324" s="5"/>
      <c r="D324" s="5"/>
      <c r="E324" s="4"/>
      <c r="F324" s="2"/>
      <c r="G324" s="2"/>
      <c r="H324" s="5"/>
      <c r="I324" s="5"/>
      <c r="J324" s="2"/>
      <c r="K324" s="2"/>
      <c r="L324" s="2"/>
      <c r="M324" s="2"/>
      <c r="N324" s="4"/>
      <c r="O324" s="4"/>
      <c r="P324" s="4"/>
      <c r="Q324" s="4"/>
      <c r="R324" s="5"/>
      <c r="S324" s="5"/>
      <c r="T324" s="4"/>
      <c r="U324" s="4"/>
      <c r="V324" s="4"/>
    </row>
    <row r="325">
      <c r="A325" s="4"/>
      <c r="B325" s="4"/>
      <c r="C325" s="5"/>
      <c r="D325" s="5"/>
      <c r="E325" s="4"/>
      <c r="F325" s="2"/>
      <c r="G325" s="2"/>
      <c r="H325" s="5"/>
      <c r="I325" s="5"/>
      <c r="J325" s="2"/>
      <c r="K325" s="2"/>
      <c r="L325" s="2"/>
      <c r="M325" s="2"/>
      <c r="N325" s="4"/>
      <c r="O325" s="4"/>
      <c r="P325" s="4"/>
      <c r="Q325" s="4"/>
      <c r="R325" s="5"/>
      <c r="S325" s="5"/>
      <c r="T325" s="4"/>
      <c r="U325" s="4"/>
      <c r="V325" s="4"/>
    </row>
    <row r="326">
      <c r="A326" s="4"/>
      <c r="B326" s="4"/>
      <c r="C326" s="5"/>
      <c r="D326" s="5"/>
      <c r="E326" s="4"/>
      <c r="F326" s="2"/>
      <c r="G326" s="2"/>
      <c r="H326" s="5"/>
      <c r="I326" s="5"/>
      <c r="J326" s="2"/>
      <c r="K326" s="2"/>
      <c r="L326" s="2"/>
      <c r="M326" s="2"/>
      <c r="N326" s="4"/>
      <c r="O326" s="4"/>
      <c r="P326" s="4"/>
      <c r="Q326" s="4"/>
      <c r="R326" s="5"/>
      <c r="S326" s="5"/>
      <c r="T326" s="4"/>
      <c r="U326" s="4"/>
      <c r="V326" s="4"/>
    </row>
    <row r="327">
      <c r="A327" s="4"/>
      <c r="B327" s="4"/>
      <c r="C327" s="5"/>
      <c r="D327" s="5"/>
      <c r="E327" s="4"/>
      <c r="F327" s="2"/>
      <c r="G327" s="2"/>
      <c r="H327" s="5"/>
      <c r="I327" s="5"/>
      <c r="J327" s="2"/>
      <c r="K327" s="2"/>
      <c r="L327" s="2"/>
      <c r="M327" s="2"/>
      <c r="N327" s="4"/>
      <c r="O327" s="4"/>
      <c r="P327" s="4"/>
      <c r="Q327" s="4"/>
      <c r="R327" s="5"/>
      <c r="S327" s="5"/>
      <c r="T327" s="4"/>
      <c r="U327" s="4"/>
      <c r="V327" s="4"/>
    </row>
    <row r="328">
      <c r="A328" s="4"/>
      <c r="B328" s="4"/>
      <c r="C328" s="5"/>
      <c r="D328" s="5"/>
      <c r="E328" s="4"/>
      <c r="F328" s="2"/>
      <c r="G328" s="2"/>
      <c r="H328" s="5"/>
      <c r="I328" s="5"/>
      <c r="J328" s="2"/>
      <c r="K328" s="2"/>
      <c r="L328" s="2"/>
      <c r="M328" s="2"/>
      <c r="N328" s="4"/>
      <c r="O328" s="4"/>
      <c r="P328" s="4"/>
      <c r="Q328" s="4"/>
      <c r="R328" s="5"/>
      <c r="S328" s="5"/>
      <c r="T328" s="4"/>
      <c r="U328" s="4"/>
      <c r="V328" s="4"/>
    </row>
    <row r="329">
      <c r="A329" s="4"/>
      <c r="B329" s="4"/>
      <c r="C329" s="5"/>
      <c r="D329" s="5"/>
      <c r="E329" s="4"/>
      <c r="F329" s="2"/>
      <c r="G329" s="2"/>
      <c r="H329" s="5"/>
      <c r="I329" s="5"/>
      <c r="J329" s="2"/>
      <c r="K329" s="2"/>
      <c r="L329" s="2"/>
      <c r="M329" s="2"/>
      <c r="N329" s="4"/>
      <c r="O329" s="4"/>
      <c r="P329" s="4"/>
      <c r="Q329" s="4"/>
      <c r="R329" s="5"/>
      <c r="S329" s="5"/>
      <c r="T329" s="4"/>
      <c r="U329" s="4"/>
      <c r="V329" s="4"/>
    </row>
    <row r="330">
      <c r="A330" s="4"/>
      <c r="B330" s="4"/>
      <c r="C330" s="5"/>
      <c r="D330" s="5"/>
      <c r="E330" s="4"/>
      <c r="F330" s="2"/>
      <c r="G330" s="2"/>
      <c r="H330" s="5"/>
      <c r="I330" s="5"/>
      <c r="J330" s="2"/>
      <c r="K330" s="2"/>
      <c r="L330" s="2"/>
      <c r="M330" s="2"/>
      <c r="N330" s="4"/>
      <c r="O330" s="4"/>
      <c r="P330" s="4"/>
      <c r="Q330" s="4"/>
      <c r="R330" s="5"/>
      <c r="S330" s="5"/>
      <c r="T330" s="4"/>
      <c r="U330" s="4"/>
      <c r="V330" s="4"/>
    </row>
    <row r="331">
      <c r="A331" s="4"/>
      <c r="B331" s="4"/>
      <c r="C331" s="5"/>
      <c r="D331" s="5"/>
      <c r="E331" s="4"/>
      <c r="F331" s="2"/>
      <c r="G331" s="2"/>
      <c r="H331" s="5"/>
      <c r="I331" s="5"/>
      <c r="J331" s="2"/>
      <c r="K331" s="2"/>
      <c r="L331" s="2"/>
      <c r="M331" s="2"/>
      <c r="N331" s="4"/>
      <c r="O331" s="4"/>
      <c r="P331" s="4"/>
      <c r="Q331" s="4"/>
      <c r="R331" s="5"/>
      <c r="S331" s="5"/>
      <c r="T331" s="4"/>
      <c r="U331" s="4"/>
      <c r="V331" s="4"/>
    </row>
    <row r="332">
      <c r="A332" s="4"/>
      <c r="B332" s="4"/>
      <c r="C332" s="5"/>
      <c r="D332" s="5"/>
      <c r="E332" s="4"/>
      <c r="F332" s="2"/>
      <c r="G332" s="2"/>
      <c r="H332" s="5"/>
      <c r="I332" s="5"/>
      <c r="J332" s="2"/>
      <c r="K332" s="2"/>
      <c r="L332" s="2"/>
      <c r="M332" s="2"/>
      <c r="N332" s="4"/>
      <c r="O332" s="4"/>
      <c r="P332" s="4"/>
      <c r="Q332" s="4"/>
      <c r="R332" s="5"/>
      <c r="S332" s="5"/>
      <c r="T332" s="4"/>
      <c r="U332" s="4"/>
      <c r="V332" s="4"/>
    </row>
    <row r="333">
      <c r="A333" s="4"/>
      <c r="B333" s="4"/>
      <c r="C333" s="5"/>
      <c r="D333" s="5"/>
      <c r="E333" s="4"/>
      <c r="F333" s="2"/>
      <c r="G333" s="2"/>
      <c r="H333" s="5"/>
      <c r="I333" s="5"/>
      <c r="J333" s="2"/>
      <c r="K333" s="2"/>
      <c r="L333" s="2"/>
      <c r="M333" s="2"/>
      <c r="N333" s="4"/>
      <c r="O333" s="4"/>
      <c r="P333" s="4"/>
      <c r="Q333" s="4"/>
      <c r="R333" s="5"/>
      <c r="S333" s="5"/>
      <c r="T333" s="4"/>
      <c r="U333" s="4"/>
      <c r="V333" s="4"/>
    </row>
    <row r="334">
      <c r="A334" s="4"/>
      <c r="B334" s="4"/>
      <c r="C334" s="5"/>
      <c r="D334" s="5"/>
      <c r="E334" s="4"/>
      <c r="F334" s="2"/>
      <c r="G334" s="2"/>
      <c r="H334" s="5"/>
      <c r="I334" s="5"/>
      <c r="J334" s="2"/>
      <c r="K334" s="2"/>
      <c r="L334" s="2"/>
      <c r="M334" s="2"/>
      <c r="N334" s="4"/>
      <c r="O334" s="4"/>
      <c r="P334" s="4"/>
      <c r="Q334" s="4"/>
      <c r="R334" s="5"/>
      <c r="S334" s="5"/>
      <c r="T334" s="4"/>
      <c r="U334" s="4"/>
      <c r="V334" s="4"/>
    </row>
    <row r="335">
      <c r="A335" s="4"/>
      <c r="B335" s="4"/>
      <c r="C335" s="5"/>
      <c r="D335" s="5"/>
      <c r="E335" s="4"/>
      <c r="F335" s="2"/>
      <c r="G335" s="2"/>
      <c r="H335" s="5"/>
      <c r="I335" s="5"/>
      <c r="J335" s="2"/>
      <c r="K335" s="2"/>
      <c r="L335" s="2"/>
      <c r="M335" s="2"/>
      <c r="N335" s="4"/>
      <c r="O335" s="4"/>
      <c r="P335" s="4"/>
      <c r="Q335" s="4"/>
      <c r="R335" s="5"/>
      <c r="S335" s="5"/>
      <c r="T335" s="4"/>
      <c r="U335" s="4"/>
      <c r="V335" s="4"/>
    </row>
    <row r="336">
      <c r="A336" s="4"/>
      <c r="B336" s="4"/>
      <c r="C336" s="5"/>
      <c r="D336" s="5"/>
      <c r="E336" s="4"/>
      <c r="F336" s="2"/>
      <c r="G336" s="2"/>
      <c r="H336" s="5"/>
      <c r="I336" s="5"/>
      <c r="J336" s="2"/>
      <c r="K336" s="2"/>
      <c r="L336" s="2"/>
      <c r="M336" s="2"/>
      <c r="N336" s="4"/>
      <c r="O336" s="4"/>
      <c r="P336" s="4"/>
      <c r="Q336" s="4"/>
      <c r="R336" s="5"/>
      <c r="S336" s="5"/>
      <c r="T336" s="4"/>
      <c r="U336" s="4"/>
      <c r="V336" s="4"/>
    </row>
    <row r="337">
      <c r="A337" s="4"/>
      <c r="B337" s="4"/>
      <c r="C337" s="5"/>
      <c r="D337" s="5"/>
      <c r="E337" s="4"/>
      <c r="F337" s="2"/>
      <c r="G337" s="2"/>
      <c r="H337" s="5"/>
      <c r="I337" s="5"/>
      <c r="J337" s="2"/>
      <c r="K337" s="2"/>
      <c r="L337" s="2"/>
      <c r="M337" s="2"/>
      <c r="N337" s="4"/>
      <c r="O337" s="4"/>
      <c r="P337" s="4"/>
      <c r="Q337" s="4"/>
      <c r="R337" s="5"/>
      <c r="S337" s="5"/>
      <c r="T337" s="4"/>
      <c r="U337" s="4"/>
      <c r="V337" s="4"/>
    </row>
    <row r="338">
      <c r="A338" s="4"/>
      <c r="B338" s="4"/>
      <c r="C338" s="5"/>
      <c r="D338" s="5"/>
      <c r="E338" s="4"/>
      <c r="F338" s="2"/>
      <c r="G338" s="2"/>
      <c r="H338" s="5"/>
      <c r="I338" s="5"/>
      <c r="J338" s="2"/>
      <c r="K338" s="2"/>
      <c r="L338" s="2"/>
      <c r="M338" s="2"/>
      <c r="N338" s="4"/>
      <c r="O338" s="4"/>
      <c r="P338" s="4"/>
      <c r="Q338" s="4"/>
      <c r="R338" s="5"/>
      <c r="S338" s="5"/>
      <c r="T338" s="4"/>
      <c r="U338" s="4"/>
      <c r="V338" s="4"/>
    </row>
    <row r="339">
      <c r="A339" s="4"/>
      <c r="B339" s="4"/>
      <c r="C339" s="5"/>
      <c r="D339" s="5"/>
      <c r="E339" s="4"/>
      <c r="F339" s="2"/>
      <c r="G339" s="2"/>
      <c r="H339" s="5"/>
      <c r="I339" s="5"/>
      <c r="J339" s="2"/>
      <c r="K339" s="2"/>
      <c r="L339" s="2"/>
      <c r="M339" s="2"/>
      <c r="N339" s="4"/>
      <c r="O339" s="4"/>
      <c r="P339" s="4"/>
      <c r="Q339" s="4"/>
      <c r="R339" s="5"/>
      <c r="S339" s="5"/>
      <c r="T339" s="4"/>
      <c r="U339" s="4"/>
      <c r="V339" s="4"/>
    </row>
    <row r="340">
      <c r="A340" s="4"/>
      <c r="B340" s="4"/>
      <c r="C340" s="5"/>
      <c r="D340" s="5"/>
      <c r="E340" s="4"/>
      <c r="F340" s="2"/>
      <c r="G340" s="2"/>
      <c r="H340" s="5"/>
      <c r="I340" s="5"/>
      <c r="J340" s="2"/>
      <c r="K340" s="2"/>
      <c r="L340" s="2"/>
      <c r="M340" s="2"/>
      <c r="N340" s="4"/>
      <c r="O340" s="4"/>
      <c r="P340" s="4"/>
      <c r="Q340" s="4"/>
      <c r="R340" s="5"/>
      <c r="S340" s="5"/>
      <c r="T340" s="4"/>
      <c r="U340" s="4"/>
      <c r="V340" s="4"/>
    </row>
    <row r="341">
      <c r="A341" s="4"/>
      <c r="B341" s="4"/>
      <c r="C341" s="5"/>
      <c r="D341" s="5"/>
      <c r="E341" s="4"/>
      <c r="F341" s="2"/>
      <c r="G341" s="2"/>
      <c r="H341" s="5"/>
      <c r="I341" s="5"/>
      <c r="J341" s="2"/>
      <c r="K341" s="2"/>
      <c r="L341" s="2"/>
      <c r="M341" s="2"/>
      <c r="N341" s="4"/>
      <c r="O341" s="4"/>
      <c r="P341" s="4"/>
      <c r="Q341" s="4"/>
      <c r="R341" s="5"/>
      <c r="S341" s="5"/>
      <c r="T341" s="4"/>
      <c r="U341" s="4"/>
      <c r="V341" s="4"/>
    </row>
    <row r="342">
      <c r="A342" s="4"/>
      <c r="B342" s="4"/>
      <c r="C342" s="5"/>
      <c r="D342" s="5"/>
      <c r="E342" s="4"/>
      <c r="F342" s="2"/>
      <c r="G342" s="2"/>
      <c r="H342" s="5"/>
      <c r="I342" s="5"/>
      <c r="J342" s="2"/>
      <c r="K342" s="2"/>
      <c r="L342" s="2"/>
      <c r="M342" s="2"/>
      <c r="N342" s="4"/>
      <c r="O342" s="4"/>
      <c r="P342" s="4"/>
      <c r="Q342" s="4"/>
      <c r="R342" s="5"/>
      <c r="S342" s="5"/>
      <c r="T342" s="4"/>
      <c r="U342" s="4"/>
      <c r="V342" s="4"/>
    </row>
    <row r="343">
      <c r="A343" s="4"/>
      <c r="B343" s="4"/>
      <c r="C343" s="5"/>
      <c r="D343" s="5"/>
      <c r="E343" s="4"/>
      <c r="F343" s="2"/>
      <c r="G343" s="2"/>
      <c r="H343" s="5"/>
      <c r="I343" s="5"/>
      <c r="J343" s="2"/>
      <c r="K343" s="2"/>
      <c r="L343" s="2"/>
      <c r="M343" s="2"/>
      <c r="N343" s="4"/>
      <c r="O343" s="4"/>
      <c r="P343" s="4"/>
      <c r="Q343" s="4"/>
      <c r="R343" s="5"/>
      <c r="S343" s="5"/>
      <c r="T343" s="4"/>
      <c r="U343" s="4"/>
      <c r="V343" s="4"/>
    </row>
    <row r="344">
      <c r="A344" s="4"/>
      <c r="B344" s="4"/>
      <c r="C344" s="5"/>
      <c r="D344" s="5"/>
      <c r="E344" s="4"/>
      <c r="F344" s="2"/>
      <c r="G344" s="2"/>
      <c r="H344" s="5"/>
      <c r="I344" s="5"/>
      <c r="J344" s="2"/>
      <c r="K344" s="2"/>
      <c r="L344" s="2"/>
      <c r="M344" s="2"/>
      <c r="N344" s="4"/>
      <c r="O344" s="4"/>
      <c r="P344" s="4"/>
      <c r="Q344" s="4"/>
      <c r="R344" s="5"/>
      <c r="S344" s="5"/>
      <c r="T344" s="4"/>
      <c r="U344" s="4"/>
      <c r="V344" s="4"/>
    </row>
    <row r="345">
      <c r="A345" s="4"/>
      <c r="B345" s="4"/>
      <c r="C345" s="5"/>
      <c r="D345" s="5"/>
      <c r="E345" s="4"/>
      <c r="F345" s="2"/>
      <c r="G345" s="2"/>
      <c r="H345" s="5"/>
      <c r="I345" s="5"/>
      <c r="J345" s="2"/>
      <c r="K345" s="2"/>
      <c r="L345" s="2"/>
      <c r="M345" s="2"/>
      <c r="N345" s="4"/>
      <c r="O345" s="4"/>
      <c r="P345" s="4"/>
      <c r="Q345" s="4"/>
      <c r="R345" s="5"/>
      <c r="S345" s="5"/>
      <c r="T345" s="4"/>
      <c r="U345" s="4"/>
      <c r="V345" s="4"/>
    </row>
    <row r="346">
      <c r="A346" s="4"/>
      <c r="B346" s="4"/>
      <c r="C346" s="5"/>
      <c r="D346" s="5"/>
      <c r="E346" s="4"/>
      <c r="F346" s="2"/>
      <c r="G346" s="2"/>
      <c r="H346" s="5"/>
      <c r="I346" s="5"/>
      <c r="J346" s="2"/>
      <c r="K346" s="2"/>
      <c r="L346" s="2"/>
      <c r="M346" s="2"/>
      <c r="N346" s="4"/>
      <c r="O346" s="4"/>
      <c r="P346" s="4"/>
      <c r="Q346" s="4"/>
      <c r="R346" s="5"/>
      <c r="S346" s="5"/>
      <c r="T346" s="4"/>
      <c r="U346" s="4"/>
      <c r="V346" s="4"/>
    </row>
    <row r="347">
      <c r="A347" s="4"/>
      <c r="B347" s="4"/>
      <c r="C347" s="5"/>
      <c r="D347" s="5"/>
      <c r="E347" s="4"/>
      <c r="F347" s="2"/>
      <c r="G347" s="2"/>
      <c r="H347" s="5"/>
      <c r="I347" s="5"/>
      <c r="J347" s="2"/>
      <c r="K347" s="2"/>
      <c r="L347" s="2"/>
      <c r="M347" s="2"/>
      <c r="N347" s="4"/>
      <c r="O347" s="4"/>
      <c r="P347" s="4"/>
      <c r="Q347" s="4"/>
      <c r="R347" s="5"/>
      <c r="S347" s="5"/>
      <c r="T347" s="4"/>
      <c r="U347" s="4"/>
      <c r="V347" s="4"/>
    </row>
    <row r="348">
      <c r="A348" s="4"/>
      <c r="B348" s="4"/>
      <c r="C348" s="5"/>
      <c r="D348" s="5"/>
      <c r="E348" s="4"/>
      <c r="F348" s="2"/>
      <c r="G348" s="2"/>
      <c r="H348" s="5"/>
      <c r="I348" s="5"/>
      <c r="J348" s="2"/>
      <c r="K348" s="2"/>
      <c r="L348" s="2"/>
      <c r="M348" s="2"/>
      <c r="N348" s="4"/>
      <c r="O348" s="4"/>
      <c r="P348" s="4"/>
      <c r="Q348" s="4"/>
      <c r="R348" s="5"/>
      <c r="S348" s="5"/>
      <c r="T348" s="4"/>
      <c r="U348" s="4"/>
      <c r="V348" s="4"/>
    </row>
    <row r="349">
      <c r="A349" s="4"/>
      <c r="B349" s="4"/>
      <c r="C349" s="5"/>
      <c r="D349" s="5"/>
      <c r="E349" s="4"/>
      <c r="F349" s="2"/>
      <c r="G349" s="2"/>
      <c r="H349" s="5"/>
      <c r="I349" s="5"/>
      <c r="J349" s="2"/>
      <c r="K349" s="2"/>
      <c r="L349" s="2"/>
      <c r="M349" s="2"/>
      <c r="N349" s="4"/>
      <c r="O349" s="4"/>
      <c r="P349" s="4"/>
      <c r="Q349" s="4"/>
      <c r="R349" s="5"/>
      <c r="S349" s="5"/>
      <c r="T349" s="4"/>
      <c r="U349" s="4"/>
      <c r="V349" s="4"/>
    </row>
    <row r="350">
      <c r="A350" s="4"/>
      <c r="B350" s="4"/>
      <c r="C350" s="5"/>
      <c r="D350" s="5"/>
      <c r="E350" s="4"/>
      <c r="F350" s="2"/>
      <c r="G350" s="2"/>
      <c r="H350" s="5"/>
      <c r="I350" s="5"/>
      <c r="J350" s="2"/>
      <c r="K350" s="2"/>
      <c r="L350" s="2"/>
      <c r="M350" s="2"/>
      <c r="N350" s="4"/>
      <c r="O350" s="4"/>
      <c r="P350" s="4"/>
      <c r="Q350" s="4"/>
      <c r="R350" s="5"/>
      <c r="S350" s="5"/>
      <c r="T350" s="4"/>
      <c r="U350" s="4"/>
      <c r="V350" s="4"/>
    </row>
    <row r="351">
      <c r="A351" s="4"/>
      <c r="B351" s="4"/>
      <c r="C351" s="5"/>
      <c r="D351" s="5"/>
      <c r="E351" s="4"/>
      <c r="F351" s="2"/>
      <c r="G351" s="2"/>
      <c r="H351" s="5"/>
      <c r="I351" s="5"/>
      <c r="J351" s="2"/>
      <c r="K351" s="2"/>
      <c r="L351" s="2"/>
      <c r="M351" s="2"/>
      <c r="N351" s="4"/>
      <c r="O351" s="4"/>
      <c r="P351" s="4"/>
      <c r="Q351" s="4"/>
      <c r="R351" s="5"/>
      <c r="S351" s="5"/>
      <c r="T351" s="4"/>
      <c r="U351" s="4"/>
      <c r="V351" s="4"/>
    </row>
    <row r="352">
      <c r="A352" s="4"/>
      <c r="B352" s="4"/>
      <c r="C352" s="5"/>
      <c r="D352" s="5"/>
      <c r="E352" s="4"/>
      <c r="F352" s="2"/>
      <c r="G352" s="2"/>
      <c r="H352" s="5"/>
      <c r="I352" s="5"/>
      <c r="J352" s="2"/>
      <c r="K352" s="2"/>
      <c r="L352" s="2"/>
      <c r="M352" s="2"/>
      <c r="N352" s="4"/>
      <c r="O352" s="4"/>
      <c r="P352" s="4"/>
      <c r="Q352" s="4"/>
      <c r="R352" s="5"/>
      <c r="S352" s="5"/>
      <c r="T352" s="4"/>
      <c r="U352" s="4"/>
      <c r="V352" s="4"/>
    </row>
    <row r="353">
      <c r="A353" s="4"/>
      <c r="B353" s="4"/>
      <c r="C353" s="5"/>
      <c r="D353" s="5"/>
      <c r="E353" s="4"/>
      <c r="F353" s="2"/>
      <c r="G353" s="2"/>
      <c r="H353" s="5"/>
      <c r="I353" s="5"/>
      <c r="J353" s="2"/>
      <c r="K353" s="2"/>
      <c r="L353" s="2"/>
      <c r="M353" s="2"/>
      <c r="N353" s="4"/>
      <c r="O353" s="4"/>
      <c r="P353" s="4"/>
      <c r="Q353" s="4"/>
      <c r="R353" s="5"/>
      <c r="S353" s="5"/>
      <c r="T353" s="4"/>
      <c r="U353" s="4"/>
      <c r="V353" s="4"/>
    </row>
    <row r="354">
      <c r="A354" s="4"/>
      <c r="B354" s="4"/>
      <c r="C354" s="5"/>
      <c r="D354" s="5"/>
      <c r="E354" s="4"/>
      <c r="F354" s="2"/>
      <c r="G354" s="2"/>
      <c r="H354" s="5"/>
      <c r="I354" s="5"/>
      <c r="J354" s="2"/>
      <c r="K354" s="2"/>
      <c r="L354" s="2"/>
      <c r="M354" s="2"/>
      <c r="N354" s="4"/>
      <c r="O354" s="4"/>
      <c r="P354" s="4"/>
      <c r="Q354" s="4"/>
      <c r="R354" s="5"/>
      <c r="S354" s="5"/>
      <c r="T354" s="4"/>
      <c r="U354" s="4"/>
      <c r="V354" s="4"/>
    </row>
    <row r="355">
      <c r="A355" s="4"/>
      <c r="B355" s="4"/>
      <c r="C355" s="5"/>
      <c r="D355" s="5"/>
      <c r="E355" s="4"/>
      <c r="F355" s="2"/>
      <c r="G355" s="2"/>
      <c r="H355" s="5"/>
      <c r="I355" s="5"/>
      <c r="J355" s="2"/>
      <c r="K355" s="2"/>
      <c r="L355" s="2"/>
      <c r="M355" s="2"/>
      <c r="N355" s="4"/>
      <c r="O355" s="4"/>
      <c r="P355" s="4"/>
      <c r="Q355" s="4"/>
      <c r="R355" s="5"/>
      <c r="S355" s="5"/>
      <c r="T355" s="4"/>
      <c r="U355" s="4"/>
      <c r="V355" s="4"/>
    </row>
    <row r="356">
      <c r="A356" s="4"/>
      <c r="B356" s="4"/>
      <c r="C356" s="5"/>
      <c r="D356" s="5"/>
      <c r="E356" s="4"/>
      <c r="F356" s="2"/>
      <c r="G356" s="2"/>
      <c r="H356" s="5"/>
      <c r="I356" s="5"/>
      <c r="J356" s="2"/>
      <c r="K356" s="2"/>
      <c r="L356" s="2"/>
      <c r="M356" s="2"/>
      <c r="N356" s="4"/>
      <c r="O356" s="4"/>
      <c r="P356" s="4"/>
      <c r="Q356" s="4"/>
      <c r="R356" s="5"/>
      <c r="S356" s="5"/>
      <c r="T356" s="4"/>
      <c r="U356" s="4"/>
      <c r="V356" s="4"/>
    </row>
    <row r="357">
      <c r="A357" s="4"/>
      <c r="B357" s="4"/>
      <c r="C357" s="5"/>
      <c r="D357" s="5"/>
      <c r="E357" s="4"/>
      <c r="F357" s="2"/>
      <c r="G357" s="2"/>
      <c r="H357" s="5"/>
      <c r="I357" s="5"/>
      <c r="J357" s="2"/>
      <c r="K357" s="2"/>
      <c r="L357" s="2"/>
      <c r="M357" s="2"/>
      <c r="N357" s="4"/>
      <c r="O357" s="4"/>
      <c r="P357" s="4"/>
      <c r="Q357" s="4"/>
      <c r="R357" s="5"/>
      <c r="S357" s="5"/>
      <c r="T357" s="4"/>
      <c r="U357" s="4"/>
      <c r="V357" s="4"/>
    </row>
    <row r="358">
      <c r="A358" s="4"/>
      <c r="B358" s="4"/>
      <c r="C358" s="5"/>
      <c r="D358" s="5"/>
      <c r="E358" s="4"/>
      <c r="F358" s="2"/>
      <c r="G358" s="2"/>
      <c r="H358" s="5"/>
      <c r="I358" s="5"/>
      <c r="J358" s="2"/>
      <c r="K358" s="2"/>
      <c r="L358" s="2"/>
      <c r="M358" s="2"/>
      <c r="N358" s="4"/>
      <c r="O358" s="4"/>
      <c r="P358" s="4"/>
      <c r="Q358" s="4"/>
      <c r="R358" s="5"/>
      <c r="S358" s="5"/>
      <c r="T358" s="4"/>
      <c r="U358" s="4"/>
      <c r="V358" s="4"/>
    </row>
    <row r="359">
      <c r="A359" s="4"/>
      <c r="B359" s="4"/>
      <c r="C359" s="5"/>
      <c r="D359" s="5"/>
      <c r="E359" s="4"/>
      <c r="F359" s="2"/>
      <c r="G359" s="2"/>
      <c r="H359" s="5"/>
      <c r="I359" s="5"/>
      <c r="J359" s="2"/>
      <c r="K359" s="2"/>
      <c r="L359" s="2"/>
      <c r="M359" s="2"/>
      <c r="N359" s="4"/>
      <c r="O359" s="4"/>
      <c r="P359" s="4"/>
      <c r="Q359" s="4"/>
      <c r="R359" s="5"/>
      <c r="S359" s="5"/>
      <c r="T359" s="4"/>
      <c r="U359" s="4"/>
      <c r="V359" s="4"/>
    </row>
    <row r="360">
      <c r="A360" s="4"/>
      <c r="B360" s="4"/>
      <c r="C360" s="5"/>
      <c r="D360" s="5"/>
      <c r="E360" s="4"/>
      <c r="F360" s="2"/>
      <c r="G360" s="2"/>
      <c r="H360" s="5"/>
      <c r="I360" s="5"/>
      <c r="J360" s="2"/>
      <c r="K360" s="2"/>
      <c r="L360" s="2"/>
      <c r="M360" s="2"/>
      <c r="N360" s="4"/>
      <c r="O360" s="4"/>
      <c r="P360" s="4"/>
      <c r="Q360" s="4"/>
      <c r="R360" s="5"/>
      <c r="S360" s="5"/>
      <c r="T360" s="4"/>
      <c r="U360" s="4"/>
      <c r="V360" s="4"/>
    </row>
    <row r="361">
      <c r="A361" s="4"/>
      <c r="B361" s="4"/>
      <c r="C361" s="5"/>
      <c r="D361" s="5"/>
      <c r="E361" s="4"/>
      <c r="F361" s="2"/>
      <c r="G361" s="2"/>
      <c r="H361" s="5"/>
      <c r="I361" s="5"/>
      <c r="J361" s="2"/>
      <c r="K361" s="2"/>
      <c r="L361" s="2"/>
      <c r="M361" s="2"/>
      <c r="N361" s="4"/>
      <c r="O361" s="4"/>
      <c r="P361" s="4"/>
      <c r="Q361" s="4"/>
      <c r="R361" s="5"/>
      <c r="S361" s="5"/>
      <c r="T361" s="4"/>
      <c r="U361" s="4"/>
      <c r="V361" s="4"/>
    </row>
    <row r="362">
      <c r="A362" s="4"/>
      <c r="B362" s="4"/>
      <c r="C362" s="5"/>
      <c r="D362" s="5"/>
      <c r="E362" s="4"/>
      <c r="F362" s="2"/>
      <c r="G362" s="2"/>
      <c r="H362" s="5"/>
      <c r="I362" s="5"/>
      <c r="J362" s="2"/>
      <c r="K362" s="2"/>
      <c r="L362" s="2"/>
      <c r="M362" s="2"/>
      <c r="N362" s="4"/>
      <c r="O362" s="4"/>
      <c r="P362" s="4"/>
      <c r="Q362" s="4"/>
      <c r="R362" s="5"/>
      <c r="S362" s="5"/>
      <c r="T362" s="4"/>
      <c r="U362" s="4"/>
      <c r="V362" s="4"/>
    </row>
    <row r="363">
      <c r="A363" s="4"/>
      <c r="B363" s="4"/>
      <c r="C363" s="5"/>
      <c r="D363" s="5"/>
      <c r="E363" s="4"/>
      <c r="F363" s="2"/>
      <c r="G363" s="2"/>
      <c r="H363" s="5"/>
      <c r="I363" s="5"/>
      <c r="J363" s="2"/>
      <c r="K363" s="2"/>
      <c r="L363" s="2"/>
      <c r="M363" s="2"/>
      <c r="N363" s="4"/>
      <c r="O363" s="4"/>
      <c r="P363" s="4"/>
      <c r="Q363" s="4"/>
      <c r="R363" s="5"/>
      <c r="S363" s="5"/>
      <c r="T363" s="4"/>
      <c r="U363" s="4"/>
      <c r="V363" s="4"/>
    </row>
    <row r="364">
      <c r="A364" s="4"/>
      <c r="B364" s="4"/>
      <c r="C364" s="5"/>
      <c r="D364" s="5"/>
      <c r="E364" s="4"/>
      <c r="F364" s="2"/>
      <c r="G364" s="2"/>
      <c r="H364" s="5"/>
      <c r="I364" s="5"/>
      <c r="J364" s="2"/>
      <c r="K364" s="2"/>
      <c r="L364" s="2"/>
      <c r="M364" s="2"/>
      <c r="N364" s="4"/>
      <c r="O364" s="4"/>
      <c r="P364" s="4"/>
      <c r="Q364" s="4"/>
      <c r="R364" s="5"/>
      <c r="S364" s="5"/>
      <c r="T364" s="4"/>
      <c r="U364" s="4"/>
      <c r="V364" s="4"/>
    </row>
    <row r="365">
      <c r="A365" s="4"/>
      <c r="B365" s="4"/>
      <c r="C365" s="5"/>
      <c r="D365" s="5"/>
      <c r="E365" s="4"/>
      <c r="F365" s="2"/>
      <c r="G365" s="2"/>
      <c r="H365" s="5"/>
      <c r="I365" s="5"/>
      <c r="J365" s="2"/>
      <c r="K365" s="2"/>
      <c r="L365" s="2"/>
      <c r="M365" s="2"/>
      <c r="N365" s="4"/>
      <c r="O365" s="4"/>
      <c r="P365" s="4"/>
      <c r="Q365" s="4"/>
      <c r="R365" s="5"/>
      <c r="S365" s="5"/>
      <c r="T365" s="4"/>
      <c r="U365" s="4"/>
      <c r="V365" s="4"/>
    </row>
    <row r="366">
      <c r="A366" s="4"/>
      <c r="B366" s="4"/>
      <c r="C366" s="5"/>
      <c r="D366" s="5"/>
      <c r="E366" s="4"/>
      <c r="F366" s="2"/>
      <c r="G366" s="2"/>
      <c r="H366" s="5"/>
      <c r="I366" s="5"/>
      <c r="J366" s="2"/>
      <c r="K366" s="2"/>
      <c r="L366" s="2"/>
      <c r="M366" s="2"/>
      <c r="N366" s="4"/>
      <c r="O366" s="4"/>
      <c r="P366" s="4"/>
      <c r="Q366" s="4"/>
      <c r="R366" s="5"/>
      <c r="S366" s="5"/>
      <c r="T366" s="4"/>
      <c r="U366" s="4"/>
      <c r="V366" s="4"/>
    </row>
    <row r="367">
      <c r="A367" s="4"/>
      <c r="B367" s="4"/>
      <c r="C367" s="5"/>
      <c r="D367" s="5"/>
      <c r="E367" s="4"/>
      <c r="F367" s="2"/>
      <c r="G367" s="2"/>
      <c r="H367" s="5"/>
      <c r="I367" s="5"/>
      <c r="J367" s="2"/>
      <c r="K367" s="2"/>
      <c r="L367" s="2"/>
      <c r="M367" s="2"/>
      <c r="N367" s="4"/>
      <c r="O367" s="4"/>
      <c r="P367" s="4"/>
      <c r="Q367" s="4"/>
      <c r="R367" s="5"/>
      <c r="S367" s="5"/>
      <c r="T367" s="4"/>
      <c r="U367" s="4"/>
      <c r="V367" s="4"/>
    </row>
    <row r="368">
      <c r="A368" s="4"/>
      <c r="B368" s="4"/>
      <c r="C368" s="5"/>
      <c r="D368" s="5"/>
      <c r="E368" s="4"/>
      <c r="F368" s="2"/>
      <c r="G368" s="2"/>
      <c r="H368" s="5"/>
      <c r="I368" s="5"/>
      <c r="J368" s="2"/>
      <c r="K368" s="2"/>
      <c r="L368" s="2"/>
      <c r="M368" s="2"/>
      <c r="N368" s="4"/>
      <c r="O368" s="4"/>
      <c r="P368" s="4"/>
      <c r="Q368" s="4"/>
      <c r="R368" s="5"/>
      <c r="S368" s="5"/>
      <c r="T368" s="4"/>
      <c r="U368" s="4"/>
      <c r="V368" s="4"/>
    </row>
    <row r="369">
      <c r="A369" s="4"/>
      <c r="B369" s="4"/>
      <c r="C369" s="5"/>
      <c r="D369" s="5"/>
      <c r="E369" s="4"/>
      <c r="F369" s="2"/>
      <c r="G369" s="2"/>
      <c r="H369" s="5"/>
      <c r="I369" s="5"/>
      <c r="J369" s="2"/>
      <c r="K369" s="2"/>
      <c r="L369" s="2"/>
      <c r="M369" s="2"/>
      <c r="N369" s="4"/>
      <c r="O369" s="4"/>
      <c r="P369" s="4"/>
      <c r="Q369" s="4"/>
      <c r="R369" s="5"/>
      <c r="S369" s="5"/>
      <c r="T369" s="4"/>
      <c r="U369" s="4"/>
      <c r="V369" s="4"/>
    </row>
    <row r="370">
      <c r="A370" s="4"/>
      <c r="B370" s="4"/>
      <c r="C370" s="5"/>
      <c r="D370" s="5"/>
      <c r="E370" s="4"/>
      <c r="F370" s="2"/>
      <c r="G370" s="2"/>
      <c r="H370" s="5"/>
      <c r="I370" s="5"/>
      <c r="J370" s="2"/>
      <c r="K370" s="2"/>
      <c r="L370" s="2"/>
      <c r="M370" s="2"/>
      <c r="N370" s="4"/>
      <c r="O370" s="4"/>
      <c r="P370" s="4"/>
      <c r="Q370" s="4"/>
      <c r="R370" s="5"/>
      <c r="S370" s="5"/>
      <c r="T370" s="4"/>
      <c r="U370" s="4"/>
      <c r="V370" s="4"/>
    </row>
    <row r="371">
      <c r="A371" s="4"/>
      <c r="B371" s="4"/>
      <c r="C371" s="5"/>
      <c r="D371" s="5"/>
      <c r="E371" s="4"/>
      <c r="F371" s="2"/>
      <c r="G371" s="2"/>
      <c r="H371" s="5"/>
      <c r="I371" s="5"/>
      <c r="J371" s="2"/>
      <c r="K371" s="2"/>
      <c r="L371" s="2"/>
      <c r="M371" s="2"/>
      <c r="N371" s="4"/>
      <c r="O371" s="4"/>
      <c r="P371" s="4"/>
      <c r="Q371" s="4"/>
      <c r="R371" s="5"/>
      <c r="S371" s="5"/>
      <c r="T371" s="4"/>
      <c r="U371" s="4"/>
      <c r="V371" s="4"/>
    </row>
    <row r="372">
      <c r="A372" s="4"/>
      <c r="B372" s="4"/>
      <c r="C372" s="5"/>
      <c r="D372" s="5"/>
      <c r="E372" s="4"/>
      <c r="F372" s="2"/>
      <c r="G372" s="2"/>
      <c r="H372" s="5"/>
      <c r="I372" s="5"/>
      <c r="J372" s="2"/>
      <c r="K372" s="2"/>
      <c r="L372" s="2"/>
      <c r="M372" s="2"/>
      <c r="N372" s="4"/>
      <c r="O372" s="4"/>
      <c r="P372" s="4"/>
      <c r="Q372" s="4"/>
      <c r="R372" s="5"/>
      <c r="S372" s="5"/>
      <c r="T372" s="4"/>
      <c r="U372" s="4"/>
      <c r="V372" s="4"/>
    </row>
    <row r="373">
      <c r="A373" s="4"/>
      <c r="B373" s="4"/>
      <c r="C373" s="5"/>
      <c r="D373" s="5"/>
      <c r="E373" s="4"/>
      <c r="F373" s="2"/>
      <c r="G373" s="2"/>
      <c r="H373" s="5"/>
      <c r="I373" s="5"/>
      <c r="J373" s="2"/>
      <c r="K373" s="2"/>
      <c r="L373" s="2"/>
      <c r="M373" s="2"/>
      <c r="N373" s="4"/>
      <c r="O373" s="4"/>
      <c r="P373" s="4"/>
      <c r="Q373" s="4"/>
      <c r="R373" s="5"/>
      <c r="S373" s="5"/>
      <c r="T373" s="4"/>
      <c r="U373" s="4"/>
      <c r="V373" s="4"/>
    </row>
    <row r="374">
      <c r="A374" s="4"/>
      <c r="B374" s="4"/>
      <c r="C374" s="5"/>
      <c r="D374" s="5"/>
      <c r="E374" s="4"/>
      <c r="F374" s="2"/>
      <c r="G374" s="2"/>
      <c r="H374" s="5"/>
      <c r="I374" s="5"/>
      <c r="J374" s="2"/>
      <c r="K374" s="2"/>
      <c r="L374" s="2"/>
      <c r="M374" s="2"/>
      <c r="N374" s="4"/>
      <c r="O374" s="4"/>
      <c r="P374" s="4"/>
      <c r="Q374" s="4"/>
      <c r="R374" s="5"/>
      <c r="S374" s="5"/>
      <c r="T374" s="4"/>
      <c r="U374" s="4"/>
      <c r="V374" s="4"/>
    </row>
    <row r="375">
      <c r="A375" s="4"/>
      <c r="B375" s="4"/>
      <c r="C375" s="5"/>
      <c r="D375" s="5"/>
      <c r="E375" s="4"/>
      <c r="F375" s="2"/>
      <c r="G375" s="2"/>
      <c r="H375" s="5"/>
      <c r="I375" s="5"/>
      <c r="J375" s="2"/>
      <c r="K375" s="2"/>
      <c r="L375" s="2"/>
      <c r="M375" s="2"/>
      <c r="N375" s="4"/>
      <c r="O375" s="4"/>
      <c r="P375" s="4"/>
      <c r="Q375" s="4"/>
      <c r="R375" s="5"/>
      <c r="S375" s="5"/>
      <c r="T375" s="4"/>
      <c r="U375" s="4"/>
      <c r="V375" s="4"/>
    </row>
    <row r="376">
      <c r="A376" s="4"/>
      <c r="B376" s="4"/>
      <c r="C376" s="5"/>
      <c r="D376" s="5"/>
      <c r="E376" s="4"/>
      <c r="F376" s="2"/>
      <c r="G376" s="2"/>
      <c r="H376" s="5"/>
      <c r="I376" s="5"/>
      <c r="J376" s="2"/>
      <c r="K376" s="2"/>
      <c r="L376" s="2"/>
      <c r="M376" s="2"/>
      <c r="N376" s="4"/>
      <c r="O376" s="4"/>
      <c r="P376" s="4"/>
      <c r="Q376" s="4"/>
      <c r="R376" s="5"/>
      <c r="S376" s="5"/>
      <c r="T376" s="4"/>
      <c r="U376" s="4"/>
      <c r="V376" s="4"/>
    </row>
    <row r="377">
      <c r="A377" s="4"/>
      <c r="B377" s="4"/>
      <c r="C377" s="5"/>
      <c r="D377" s="5"/>
      <c r="E377" s="4"/>
      <c r="F377" s="2"/>
      <c r="G377" s="2"/>
      <c r="H377" s="5"/>
      <c r="I377" s="5"/>
      <c r="J377" s="2"/>
      <c r="K377" s="2"/>
      <c r="L377" s="2"/>
      <c r="M377" s="2"/>
      <c r="N377" s="4"/>
      <c r="O377" s="4"/>
      <c r="P377" s="4"/>
      <c r="Q377" s="4"/>
      <c r="R377" s="5"/>
      <c r="S377" s="5"/>
      <c r="T377" s="4"/>
      <c r="U377" s="4"/>
      <c r="V377" s="4"/>
    </row>
    <row r="378">
      <c r="A378" s="4"/>
      <c r="B378" s="4"/>
      <c r="C378" s="5"/>
      <c r="D378" s="5"/>
      <c r="E378" s="4"/>
      <c r="F378" s="2"/>
      <c r="G378" s="2"/>
      <c r="H378" s="5"/>
      <c r="I378" s="5"/>
      <c r="J378" s="2"/>
      <c r="K378" s="2"/>
      <c r="L378" s="2"/>
      <c r="M378" s="2"/>
      <c r="N378" s="4"/>
      <c r="O378" s="4"/>
      <c r="P378" s="4"/>
      <c r="Q378" s="4"/>
      <c r="R378" s="5"/>
      <c r="S378" s="5"/>
      <c r="T378" s="4"/>
      <c r="U378" s="4"/>
      <c r="V378" s="4"/>
    </row>
    <row r="379">
      <c r="A379" s="4"/>
      <c r="B379" s="4"/>
      <c r="C379" s="5"/>
      <c r="D379" s="5"/>
      <c r="E379" s="4"/>
      <c r="F379" s="2"/>
      <c r="G379" s="2"/>
      <c r="H379" s="5"/>
      <c r="I379" s="5"/>
      <c r="J379" s="2"/>
      <c r="K379" s="2"/>
      <c r="L379" s="2"/>
      <c r="M379" s="2"/>
      <c r="N379" s="4"/>
      <c r="O379" s="4"/>
      <c r="P379" s="4"/>
      <c r="Q379" s="4"/>
      <c r="R379" s="5"/>
      <c r="S379" s="5"/>
      <c r="T379" s="4"/>
      <c r="U379" s="4"/>
      <c r="V379" s="4"/>
    </row>
    <row r="380">
      <c r="A380" s="4"/>
      <c r="B380" s="4"/>
      <c r="C380" s="5"/>
      <c r="D380" s="5"/>
      <c r="E380" s="4"/>
      <c r="F380" s="2"/>
      <c r="G380" s="2"/>
      <c r="H380" s="5"/>
      <c r="I380" s="5"/>
      <c r="J380" s="2"/>
      <c r="K380" s="2"/>
      <c r="L380" s="2"/>
      <c r="M380" s="2"/>
      <c r="N380" s="4"/>
      <c r="O380" s="4"/>
      <c r="P380" s="4"/>
      <c r="Q380" s="4"/>
      <c r="R380" s="5"/>
      <c r="S380" s="5"/>
      <c r="T380" s="4"/>
      <c r="U380" s="4"/>
      <c r="V380" s="4"/>
    </row>
    <row r="381">
      <c r="A381" s="4"/>
      <c r="B381" s="4"/>
      <c r="C381" s="5"/>
      <c r="D381" s="5"/>
      <c r="E381" s="4"/>
      <c r="F381" s="2"/>
      <c r="G381" s="2"/>
      <c r="H381" s="5"/>
      <c r="I381" s="5"/>
      <c r="J381" s="2"/>
      <c r="K381" s="2"/>
      <c r="L381" s="2"/>
      <c r="M381" s="2"/>
      <c r="N381" s="4"/>
      <c r="O381" s="4"/>
      <c r="P381" s="4"/>
      <c r="Q381" s="4"/>
      <c r="R381" s="5"/>
      <c r="S381" s="5"/>
      <c r="T381" s="4"/>
      <c r="U381" s="4"/>
      <c r="V381" s="4"/>
    </row>
    <row r="382">
      <c r="A382" s="4"/>
      <c r="B382" s="4"/>
      <c r="C382" s="5"/>
      <c r="D382" s="5"/>
      <c r="E382" s="4"/>
      <c r="F382" s="2"/>
      <c r="G382" s="2"/>
      <c r="H382" s="5"/>
      <c r="I382" s="5"/>
      <c r="J382" s="2"/>
      <c r="K382" s="2"/>
      <c r="L382" s="2"/>
      <c r="M382" s="2"/>
      <c r="N382" s="4"/>
      <c r="O382" s="4"/>
      <c r="P382" s="4"/>
      <c r="Q382" s="4"/>
      <c r="R382" s="5"/>
      <c r="S382" s="5"/>
      <c r="T382" s="4"/>
      <c r="U382" s="4"/>
      <c r="V382" s="4"/>
    </row>
    <row r="383">
      <c r="A383" s="4"/>
      <c r="B383" s="4"/>
      <c r="C383" s="5"/>
      <c r="D383" s="5"/>
      <c r="E383" s="4"/>
      <c r="F383" s="2"/>
      <c r="G383" s="2"/>
      <c r="H383" s="5"/>
      <c r="I383" s="5"/>
      <c r="J383" s="2"/>
      <c r="K383" s="2"/>
      <c r="L383" s="2"/>
      <c r="M383" s="2"/>
      <c r="N383" s="4"/>
      <c r="O383" s="4"/>
      <c r="P383" s="4"/>
      <c r="Q383" s="4"/>
      <c r="R383" s="5"/>
      <c r="S383" s="5"/>
      <c r="T383" s="4"/>
      <c r="U383" s="4"/>
      <c r="V383" s="4"/>
    </row>
    <row r="384">
      <c r="A384" s="4"/>
      <c r="B384" s="4"/>
      <c r="C384" s="5"/>
      <c r="D384" s="5"/>
      <c r="E384" s="4"/>
      <c r="F384" s="2"/>
      <c r="G384" s="2"/>
      <c r="H384" s="5"/>
      <c r="I384" s="5"/>
      <c r="J384" s="2"/>
      <c r="K384" s="2"/>
      <c r="L384" s="2"/>
      <c r="M384" s="2"/>
      <c r="N384" s="4"/>
      <c r="O384" s="4"/>
      <c r="P384" s="4"/>
      <c r="Q384" s="4"/>
      <c r="R384" s="5"/>
      <c r="S384" s="5"/>
      <c r="T384" s="4"/>
      <c r="U384" s="4"/>
      <c r="V384" s="4"/>
    </row>
    <row r="385">
      <c r="A385" s="4"/>
      <c r="B385" s="4"/>
      <c r="C385" s="5"/>
      <c r="D385" s="5"/>
      <c r="E385" s="4"/>
      <c r="F385" s="2"/>
      <c r="G385" s="2"/>
      <c r="H385" s="5"/>
      <c r="I385" s="5"/>
      <c r="J385" s="2"/>
      <c r="K385" s="2"/>
      <c r="L385" s="2"/>
      <c r="M385" s="2"/>
      <c r="N385" s="4"/>
      <c r="O385" s="4"/>
      <c r="P385" s="4"/>
      <c r="Q385" s="4"/>
      <c r="R385" s="5"/>
      <c r="S385" s="5"/>
      <c r="T385" s="4"/>
      <c r="U385" s="4"/>
      <c r="V385" s="4"/>
    </row>
    <row r="386">
      <c r="A386" s="4"/>
      <c r="B386" s="4"/>
      <c r="C386" s="5"/>
      <c r="D386" s="5"/>
      <c r="E386" s="4"/>
      <c r="F386" s="2"/>
      <c r="G386" s="2"/>
      <c r="H386" s="5"/>
      <c r="I386" s="5"/>
      <c r="J386" s="2"/>
      <c r="K386" s="2"/>
      <c r="L386" s="2"/>
      <c r="M386" s="2"/>
      <c r="N386" s="4"/>
      <c r="O386" s="4"/>
      <c r="P386" s="4"/>
      <c r="Q386" s="4"/>
      <c r="R386" s="5"/>
      <c r="S386" s="5"/>
      <c r="T386" s="4"/>
      <c r="U386" s="4"/>
      <c r="V386" s="4"/>
    </row>
    <row r="387">
      <c r="A387" s="4"/>
      <c r="B387" s="4"/>
      <c r="C387" s="5"/>
      <c r="D387" s="5"/>
      <c r="E387" s="4"/>
      <c r="F387" s="2"/>
      <c r="G387" s="2"/>
      <c r="H387" s="5"/>
      <c r="I387" s="5"/>
      <c r="J387" s="2"/>
      <c r="K387" s="2"/>
      <c r="L387" s="2"/>
      <c r="M387" s="2"/>
      <c r="N387" s="4"/>
      <c r="O387" s="4"/>
      <c r="P387" s="4"/>
      <c r="Q387" s="4"/>
      <c r="R387" s="5"/>
      <c r="S387" s="5"/>
      <c r="T387" s="4"/>
      <c r="U387" s="4"/>
      <c r="V387" s="4"/>
    </row>
    <row r="388">
      <c r="A388" s="4"/>
      <c r="B388" s="4"/>
      <c r="C388" s="5"/>
      <c r="D388" s="5"/>
      <c r="E388" s="4"/>
      <c r="F388" s="2"/>
      <c r="G388" s="2"/>
      <c r="H388" s="5"/>
      <c r="I388" s="5"/>
      <c r="J388" s="2"/>
      <c r="K388" s="2"/>
      <c r="L388" s="2"/>
      <c r="M388" s="2"/>
      <c r="N388" s="4"/>
      <c r="O388" s="4"/>
      <c r="P388" s="4"/>
      <c r="Q388" s="4"/>
      <c r="R388" s="5"/>
      <c r="S388" s="5"/>
      <c r="T388" s="4"/>
      <c r="U388" s="4"/>
      <c r="V388" s="4"/>
    </row>
    <row r="389">
      <c r="A389" s="4"/>
      <c r="B389" s="4"/>
      <c r="C389" s="5"/>
      <c r="D389" s="5"/>
      <c r="E389" s="4"/>
      <c r="F389" s="2"/>
      <c r="G389" s="2"/>
      <c r="H389" s="5"/>
      <c r="I389" s="5"/>
      <c r="J389" s="2"/>
      <c r="K389" s="2"/>
      <c r="L389" s="2"/>
      <c r="M389" s="2"/>
      <c r="N389" s="4"/>
      <c r="O389" s="4"/>
      <c r="P389" s="4"/>
      <c r="Q389" s="4"/>
      <c r="R389" s="5"/>
      <c r="S389" s="5"/>
      <c r="T389" s="4"/>
      <c r="U389" s="4"/>
      <c r="V389" s="4"/>
    </row>
    <row r="390">
      <c r="A390" s="4"/>
      <c r="B390" s="4"/>
      <c r="C390" s="5"/>
      <c r="D390" s="5"/>
      <c r="E390" s="4"/>
      <c r="F390" s="2"/>
      <c r="G390" s="2"/>
      <c r="H390" s="5"/>
      <c r="I390" s="5"/>
      <c r="J390" s="2"/>
      <c r="K390" s="2"/>
      <c r="L390" s="2"/>
      <c r="M390" s="2"/>
      <c r="N390" s="4"/>
      <c r="O390" s="4"/>
      <c r="P390" s="4"/>
      <c r="Q390" s="4"/>
      <c r="R390" s="5"/>
      <c r="S390" s="5"/>
      <c r="T390" s="4"/>
      <c r="U390" s="4"/>
      <c r="V390" s="4"/>
    </row>
    <row r="391">
      <c r="A391" s="4"/>
      <c r="B391" s="4"/>
      <c r="C391" s="5"/>
      <c r="D391" s="5"/>
      <c r="E391" s="4"/>
      <c r="F391" s="2"/>
      <c r="G391" s="2"/>
      <c r="H391" s="5"/>
      <c r="I391" s="5"/>
      <c r="J391" s="2"/>
      <c r="K391" s="2"/>
      <c r="L391" s="2"/>
      <c r="M391" s="2"/>
      <c r="N391" s="4"/>
      <c r="O391" s="4"/>
      <c r="P391" s="4"/>
      <c r="Q391" s="4"/>
      <c r="R391" s="5"/>
      <c r="S391" s="5"/>
      <c r="T391" s="4"/>
      <c r="U391" s="4"/>
      <c r="V391" s="4"/>
    </row>
    <row r="392">
      <c r="A392" s="4"/>
      <c r="B392" s="4"/>
      <c r="C392" s="5"/>
      <c r="D392" s="5"/>
      <c r="E392" s="4"/>
      <c r="F392" s="2"/>
      <c r="G392" s="2"/>
      <c r="H392" s="5"/>
      <c r="I392" s="5"/>
      <c r="J392" s="2"/>
      <c r="K392" s="2"/>
      <c r="L392" s="2"/>
      <c r="M392" s="2"/>
      <c r="N392" s="4"/>
      <c r="O392" s="4"/>
      <c r="P392" s="4"/>
      <c r="Q392" s="4"/>
      <c r="R392" s="5"/>
      <c r="S392" s="5"/>
      <c r="T392" s="4"/>
      <c r="U392" s="4"/>
      <c r="V392" s="4"/>
    </row>
    <row r="393">
      <c r="A393" s="4"/>
      <c r="B393" s="4"/>
      <c r="C393" s="5"/>
      <c r="D393" s="5"/>
      <c r="E393" s="4"/>
      <c r="F393" s="2"/>
      <c r="G393" s="2"/>
      <c r="H393" s="5"/>
      <c r="I393" s="5"/>
      <c r="J393" s="2"/>
      <c r="K393" s="2"/>
      <c r="L393" s="2"/>
      <c r="M393" s="2"/>
      <c r="N393" s="4"/>
      <c r="O393" s="4"/>
      <c r="P393" s="4"/>
      <c r="Q393" s="4"/>
      <c r="R393" s="5"/>
      <c r="S393" s="5"/>
      <c r="T393" s="4"/>
      <c r="U393" s="4"/>
      <c r="V393" s="4"/>
    </row>
    <row r="394">
      <c r="A394" s="4"/>
      <c r="B394" s="4"/>
      <c r="C394" s="5"/>
      <c r="D394" s="5"/>
      <c r="E394" s="4"/>
      <c r="F394" s="2"/>
      <c r="G394" s="2"/>
      <c r="H394" s="5"/>
      <c r="I394" s="5"/>
      <c r="J394" s="2"/>
      <c r="K394" s="2"/>
      <c r="L394" s="2"/>
      <c r="M394" s="2"/>
      <c r="N394" s="4"/>
      <c r="O394" s="4"/>
      <c r="P394" s="4"/>
      <c r="Q394" s="4"/>
      <c r="R394" s="5"/>
      <c r="S394" s="5"/>
      <c r="T394" s="4"/>
      <c r="U394" s="4"/>
      <c r="V394" s="4"/>
    </row>
    <row r="395">
      <c r="A395" s="4"/>
      <c r="B395" s="4"/>
      <c r="C395" s="5"/>
      <c r="D395" s="5"/>
      <c r="E395" s="4"/>
      <c r="F395" s="2"/>
      <c r="G395" s="2"/>
      <c r="H395" s="5"/>
      <c r="I395" s="5"/>
      <c r="J395" s="2"/>
      <c r="K395" s="2"/>
      <c r="L395" s="2"/>
      <c r="M395" s="2"/>
      <c r="N395" s="4"/>
      <c r="O395" s="4"/>
      <c r="P395" s="4"/>
      <c r="Q395" s="4"/>
      <c r="R395" s="5"/>
      <c r="S395" s="5"/>
      <c r="T395" s="4"/>
      <c r="U395" s="4"/>
      <c r="V395" s="4"/>
    </row>
    <row r="396">
      <c r="A396" s="4"/>
      <c r="B396" s="4"/>
      <c r="C396" s="5"/>
      <c r="D396" s="5"/>
      <c r="E396" s="4"/>
      <c r="F396" s="2"/>
      <c r="G396" s="2"/>
      <c r="H396" s="5"/>
      <c r="I396" s="5"/>
      <c r="J396" s="2"/>
      <c r="K396" s="2"/>
      <c r="L396" s="2"/>
      <c r="M396" s="2"/>
      <c r="N396" s="4"/>
      <c r="O396" s="4"/>
      <c r="P396" s="4"/>
      <c r="Q396" s="4"/>
      <c r="R396" s="5"/>
      <c r="S396" s="5"/>
      <c r="T396" s="4"/>
      <c r="U396" s="4"/>
      <c r="V396" s="4"/>
    </row>
    <row r="397">
      <c r="A397" s="4"/>
      <c r="B397" s="4"/>
      <c r="C397" s="5"/>
      <c r="D397" s="5"/>
      <c r="E397" s="4"/>
      <c r="F397" s="2"/>
      <c r="G397" s="2"/>
      <c r="H397" s="5"/>
      <c r="I397" s="5"/>
      <c r="J397" s="2"/>
      <c r="K397" s="2"/>
      <c r="L397" s="2"/>
      <c r="M397" s="2"/>
      <c r="N397" s="4"/>
      <c r="O397" s="4"/>
      <c r="P397" s="4"/>
      <c r="Q397" s="4"/>
      <c r="R397" s="5"/>
      <c r="S397" s="5"/>
      <c r="T397" s="4"/>
      <c r="U397" s="4"/>
      <c r="V397" s="4"/>
    </row>
    <row r="398">
      <c r="A398" s="4"/>
      <c r="B398" s="4"/>
      <c r="C398" s="5"/>
      <c r="D398" s="5"/>
      <c r="E398" s="4"/>
      <c r="F398" s="2"/>
      <c r="G398" s="2"/>
      <c r="H398" s="5"/>
      <c r="I398" s="5"/>
      <c r="J398" s="2"/>
      <c r="K398" s="2"/>
      <c r="L398" s="2"/>
      <c r="M398" s="2"/>
      <c r="N398" s="4"/>
      <c r="O398" s="4"/>
      <c r="P398" s="4"/>
      <c r="Q398" s="4"/>
      <c r="R398" s="5"/>
      <c r="S398" s="5"/>
      <c r="T398" s="4"/>
      <c r="U398" s="4"/>
      <c r="V398" s="4"/>
    </row>
    <row r="399">
      <c r="A399" s="4"/>
      <c r="B399" s="4"/>
      <c r="C399" s="5"/>
      <c r="D399" s="5"/>
      <c r="E399" s="4"/>
      <c r="F399" s="2"/>
      <c r="G399" s="2"/>
      <c r="H399" s="5"/>
      <c r="I399" s="5"/>
      <c r="J399" s="2"/>
      <c r="K399" s="2"/>
      <c r="L399" s="2"/>
      <c r="M399" s="2"/>
      <c r="N399" s="4"/>
      <c r="O399" s="4"/>
      <c r="P399" s="4"/>
      <c r="Q399" s="4"/>
      <c r="R399" s="5"/>
      <c r="S399" s="5"/>
      <c r="T399" s="4"/>
      <c r="U399" s="4"/>
      <c r="V399" s="4"/>
    </row>
    <row r="400">
      <c r="A400" s="4"/>
      <c r="B400" s="4"/>
      <c r="C400" s="5"/>
      <c r="D400" s="5"/>
      <c r="E400" s="4"/>
      <c r="F400" s="2"/>
      <c r="G400" s="2"/>
      <c r="H400" s="5"/>
      <c r="I400" s="5"/>
      <c r="J400" s="2"/>
      <c r="K400" s="2"/>
      <c r="L400" s="2"/>
      <c r="M400" s="2"/>
      <c r="N400" s="4"/>
      <c r="O400" s="4"/>
      <c r="P400" s="4"/>
      <c r="Q400" s="4"/>
      <c r="R400" s="5"/>
      <c r="S400" s="5"/>
      <c r="T400" s="4"/>
      <c r="U400" s="4"/>
      <c r="V400" s="4"/>
    </row>
    <row r="401">
      <c r="A401" s="4"/>
      <c r="B401" s="4"/>
      <c r="C401" s="5"/>
      <c r="D401" s="5"/>
      <c r="E401" s="4"/>
      <c r="F401" s="2"/>
      <c r="G401" s="2"/>
      <c r="H401" s="5"/>
      <c r="I401" s="5"/>
      <c r="J401" s="2"/>
      <c r="K401" s="2"/>
      <c r="L401" s="2"/>
      <c r="M401" s="2"/>
      <c r="N401" s="4"/>
      <c r="O401" s="4"/>
      <c r="P401" s="4"/>
      <c r="Q401" s="4"/>
      <c r="R401" s="5"/>
      <c r="S401" s="5"/>
      <c r="T401" s="4"/>
      <c r="U401" s="4"/>
      <c r="V401" s="4"/>
    </row>
    <row r="402">
      <c r="A402" s="4"/>
      <c r="B402" s="4"/>
      <c r="C402" s="5"/>
      <c r="D402" s="5"/>
      <c r="E402" s="4"/>
      <c r="F402" s="2"/>
      <c r="G402" s="2"/>
      <c r="H402" s="5"/>
      <c r="I402" s="5"/>
      <c r="J402" s="2"/>
      <c r="K402" s="2"/>
      <c r="L402" s="2"/>
      <c r="M402" s="2"/>
      <c r="N402" s="4"/>
      <c r="O402" s="4"/>
      <c r="P402" s="4"/>
      <c r="Q402" s="4"/>
      <c r="R402" s="5"/>
      <c r="S402" s="5"/>
      <c r="T402" s="4"/>
      <c r="U402" s="4"/>
      <c r="V402" s="4"/>
    </row>
    <row r="403">
      <c r="A403" s="4"/>
      <c r="B403" s="4"/>
      <c r="C403" s="5"/>
      <c r="D403" s="5"/>
      <c r="E403" s="4"/>
      <c r="F403" s="2"/>
      <c r="G403" s="2"/>
      <c r="H403" s="5"/>
      <c r="I403" s="5"/>
      <c r="J403" s="2"/>
      <c r="K403" s="2"/>
      <c r="L403" s="2"/>
      <c r="M403" s="2"/>
      <c r="N403" s="4"/>
      <c r="O403" s="4"/>
      <c r="P403" s="4"/>
      <c r="Q403" s="4"/>
      <c r="R403" s="5"/>
      <c r="S403" s="5"/>
      <c r="T403" s="4"/>
      <c r="U403" s="4"/>
      <c r="V403" s="4"/>
    </row>
    <row r="404">
      <c r="A404" s="4"/>
      <c r="B404" s="4"/>
      <c r="C404" s="5"/>
      <c r="D404" s="5"/>
      <c r="E404" s="4"/>
      <c r="F404" s="2"/>
      <c r="G404" s="2"/>
      <c r="H404" s="5"/>
      <c r="I404" s="5"/>
      <c r="J404" s="2"/>
      <c r="K404" s="2"/>
      <c r="L404" s="2"/>
      <c r="M404" s="2"/>
      <c r="N404" s="4"/>
      <c r="O404" s="4"/>
      <c r="P404" s="4"/>
      <c r="Q404" s="4"/>
      <c r="R404" s="5"/>
      <c r="S404" s="5"/>
      <c r="T404" s="4"/>
      <c r="U404" s="4"/>
      <c r="V404" s="4"/>
    </row>
    <row r="405">
      <c r="A405" s="4"/>
      <c r="B405" s="4"/>
      <c r="C405" s="5"/>
      <c r="D405" s="5"/>
      <c r="E405" s="4"/>
      <c r="F405" s="2"/>
      <c r="G405" s="2"/>
      <c r="H405" s="5"/>
      <c r="I405" s="5"/>
      <c r="J405" s="2"/>
      <c r="K405" s="2"/>
      <c r="L405" s="2"/>
      <c r="M405" s="2"/>
      <c r="N405" s="4"/>
      <c r="O405" s="4"/>
      <c r="P405" s="4"/>
      <c r="Q405" s="4"/>
      <c r="R405" s="5"/>
      <c r="S405" s="5"/>
      <c r="T405" s="4"/>
      <c r="U405" s="4"/>
      <c r="V405" s="4"/>
    </row>
    <row r="406">
      <c r="A406" s="4"/>
      <c r="B406" s="4"/>
      <c r="C406" s="5"/>
      <c r="D406" s="5"/>
      <c r="E406" s="4"/>
      <c r="F406" s="2"/>
      <c r="G406" s="2"/>
      <c r="H406" s="5"/>
      <c r="I406" s="5"/>
      <c r="J406" s="2"/>
      <c r="K406" s="2"/>
      <c r="L406" s="2"/>
      <c r="M406" s="2"/>
      <c r="N406" s="4"/>
      <c r="O406" s="4"/>
      <c r="P406" s="4"/>
      <c r="Q406" s="4"/>
      <c r="R406" s="5"/>
      <c r="S406" s="5"/>
      <c r="T406" s="4"/>
      <c r="U406" s="4"/>
      <c r="V406" s="4"/>
    </row>
    <row r="407">
      <c r="A407" s="4"/>
      <c r="B407" s="4"/>
      <c r="C407" s="5"/>
      <c r="D407" s="5"/>
      <c r="E407" s="4"/>
      <c r="F407" s="2"/>
      <c r="G407" s="2"/>
      <c r="H407" s="5"/>
      <c r="I407" s="5"/>
      <c r="J407" s="2"/>
      <c r="K407" s="2"/>
      <c r="L407" s="2"/>
      <c r="M407" s="2"/>
      <c r="N407" s="4"/>
      <c r="O407" s="4"/>
      <c r="P407" s="4"/>
      <c r="Q407" s="4"/>
      <c r="R407" s="5"/>
      <c r="S407" s="5"/>
      <c r="T407" s="4"/>
      <c r="U407" s="4"/>
      <c r="V407" s="4"/>
    </row>
    <row r="408">
      <c r="A408" s="4"/>
      <c r="B408" s="4"/>
      <c r="C408" s="5"/>
      <c r="D408" s="5"/>
      <c r="E408" s="4"/>
      <c r="F408" s="2"/>
      <c r="G408" s="2"/>
      <c r="H408" s="5"/>
      <c r="I408" s="5"/>
      <c r="J408" s="2"/>
      <c r="K408" s="2"/>
      <c r="L408" s="2"/>
      <c r="M408" s="2"/>
      <c r="N408" s="4"/>
      <c r="O408" s="4"/>
      <c r="P408" s="4"/>
      <c r="Q408" s="4"/>
      <c r="R408" s="5"/>
      <c r="S408" s="5"/>
      <c r="T408" s="4"/>
      <c r="U408" s="4"/>
      <c r="V408" s="4"/>
    </row>
    <row r="409">
      <c r="A409" s="4"/>
      <c r="B409" s="4"/>
      <c r="C409" s="5"/>
      <c r="D409" s="5"/>
      <c r="E409" s="4"/>
      <c r="F409" s="2"/>
      <c r="G409" s="2"/>
      <c r="H409" s="5"/>
      <c r="I409" s="5"/>
      <c r="J409" s="2"/>
      <c r="K409" s="2"/>
      <c r="L409" s="2"/>
      <c r="M409" s="2"/>
      <c r="N409" s="4"/>
      <c r="O409" s="4"/>
      <c r="P409" s="4"/>
      <c r="Q409" s="4"/>
      <c r="R409" s="5"/>
      <c r="S409" s="5"/>
      <c r="T409" s="4"/>
      <c r="U409" s="4"/>
      <c r="V409" s="4"/>
    </row>
    <row r="410">
      <c r="A410" s="4"/>
      <c r="B410" s="4"/>
      <c r="C410" s="5"/>
      <c r="D410" s="5"/>
      <c r="E410" s="4"/>
      <c r="F410" s="2"/>
      <c r="G410" s="2"/>
      <c r="H410" s="5"/>
      <c r="I410" s="5"/>
      <c r="J410" s="2"/>
      <c r="K410" s="2"/>
      <c r="L410" s="2"/>
      <c r="M410" s="2"/>
      <c r="N410" s="4"/>
      <c r="O410" s="4"/>
      <c r="P410" s="4"/>
      <c r="Q410" s="4"/>
      <c r="R410" s="5"/>
      <c r="S410" s="5"/>
      <c r="T410" s="4"/>
      <c r="U410" s="4"/>
      <c r="V410" s="4"/>
    </row>
    <row r="411">
      <c r="A411" s="4"/>
      <c r="B411" s="4"/>
      <c r="C411" s="5"/>
      <c r="D411" s="5"/>
      <c r="E411" s="4"/>
      <c r="F411" s="2"/>
      <c r="G411" s="2"/>
      <c r="H411" s="5"/>
      <c r="I411" s="5"/>
      <c r="J411" s="2"/>
      <c r="K411" s="2"/>
      <c r="L411" s="2"/>
      <c r="M411" s="2"/>
      <c r="N411" s="4"/>
      <c r="O411" s="4"/>
      <c r="P411" s="4"/>
      <c r="Q411" s="4"/>
      <c r="R411" s="5"/>
      <c r="S411" s="5"/>
      <c r="T411" s="4"/>
      <c r="U411" s="4"/>
      <c r="V411" s="4"/>
    </row>
    <row r="412">
      <c r="A412" s="4"/>
      <c r="B412" s="4"/>
      <c r="C412" s="5"/>
      <c r="D412" s="5"/>
      <c r="E412" s="4"/>
      <c r="F412" s="2"/>
      <c r="G412" s="2"/>
      <c r="H412" s="5"/>
      <c r="I412" s="5"/>
      <c r="J412" s="2"/>
      <c r="K412" s="2"/>
      <c r="L412" s="2"/>
      <c r="M412" s="2"/>
      <c r="N412" s="4"/>
      <c r="O412" s="4"/>
      <c r="P412" s="4"/>
      <c r="Q412" s="4"/>
      <c r="R412" s="5"/>
      <c r="S412" s="5"/>
      <c r="T412" s="4"/>
      <c r="U412" s="4"/>
      <c r="V412" s="4"/>
    </row>
    <row r="413">
      <c r="A413" s="4"/>
      <c r="B413" s="4"/>
      <c r="C413" s="5"/>
      <c r="D413" s="5"/>
      <c r="E413" s="4"/>
      <c r="F413" s="2"/>
      <c r="G413" s="2"/>
      <c r="H413" s="5"/>
      <c r="I413" s="5"/>
      <c r="J413" s="2"/>
      <c r="K413" s="2"/>
      <c r="L413" s="2"/>
      <c r="M413" s="2"/>
      <c r="N413" s="4"/>
      <c r="O413" s="4"/>
      <c r="P413" s="4"/>
      <c r="Q413" s="4"/>
      <c r="R413" s="5"/>
      <c r="S413" s="5"/>
      <c r="T413" s="4"/>
      <c r="U413" s="4"/>
      <c r="V413" s="4"/>
    </row>
    <row r="414">
      <c r="A414" s="4"/>
      <c r="B414" s="4"/>
      <c r="C414" s="5"/>
      <c r="D414" s="5"/>
      <c r="E414" s="4"/>
      <c r="F414" s="2"/>
      <c r="G414" s="2"/>
      <c r="H414" s="5"/>
      <c r="I414" s="5"/>
      <c r="J414" s="2"/>
      <c r="K414" s="2"/>
      <c r="L414" s="2"/>
      <c r="M414" s="2"/>
      <c r="N414" s="4"/>
      <c r="O414" s="4"/>
      <c r="P414" s="4"/>
      <c r="Q414" s="4"/>
      <c r="R414" s="5"/>
      <c r="S414" s="5"/>
      <c r="T414" s="4"/>
      <c r="U414" s="4"/>
      <c r="V414" s="4"/>
    </row>
    <row r="415">
      <c r="A415" s="4"/>
      <c r="B415" s="4"/>
      <c r="C415" s="5"/>
      <c r="D415" s="5"/>
      <c r="E415" s="4"/>
      <c r="F415" s="2"/>
      <c r="G415" s="2"/>
      <c r="H415" s="5"/>
      <c r="I415" s="5"/>
      <c r="J415" s="2"/>
      <c r="K415" s="2"/>
      <c r="L415" s="2"/>
      <c r="M415" s="2"/>
      <c r="N415" s="4"/>
      <c r="O415" s="4"/>
      <c r="P415" s="4"/>
      <c r="Q415" s="4"/>
      <c r="R415" s="5"/>
      <c r="S415" s="5"/>
      <c r="T415" s="4"/>
      <c r="U415" s="4"/>
      <c r="V415" s="4"/>
    </row>
    <row r="416">
      <c r="A416" s="4"/>
      <c r="B416" s="4"/>
      <c r="C416" s="5"/>
      <c r="D416" s="5"/>
      <c r="E416" s="4"/>
      <c r="F416" s="2"/>
      <c r="G416" s="2"/>
      <c r="H416" s="5"/>
      <c r="I416" s="5"/>
      <c r="J416" s="2"/>
      <c r="K416" s="2"/>
      <c r="L416" s="2"/>
      <c r="M416" s="2"/>
      <c r="N416" s="4"/>
      <c r="O416" s="4"/>
      <c r="P416" s="4"/>
      <c r="Q416" s="4"/>
      <c r="R416" s="5"/>
      <c r="S416" s="5"/>
      <c r="T416" s="4"/>
      <c r="U416" s="4"/>
      <c r="V416" s="4"/>
    </row>
    <row r="417">
      <c r="A417" s="4"/>
      <c r="B417" s="4"/>
      <c r="C417" s="5"/>
      <c r="D417" s="5"/>
      <c r="E417" s="4"/>
      <c r="F417" s="2"/>
      <c r="G417" s="2"/>
      <c r="H417" s="5"/>
      <c r="I417" s="5"/>
      <c r="J417" s="2"/>
      <c r="K417" s="2"/>
      <c r="L417" s="2"/>
      <c r="M417" s="2"/>
      <c r="N417" s="4"/>
      <c r="O417" s="4"/>
      <c r="P417" s="4"/>
      <c r="Q417" s="4"/>
      <c r="R417" s="5"/>
      <c r="S417" s="5"/>
      <c r="T417" s="4"/>
      <c r="U417" s="4"/>
      <c r="V417" s="4"/>
    </row>
    <row r="418">
      <c r="A418" s="4"/>
      <c r="B418" s="4"/>
      <c r="C418" s="5"/>
      <c r="D418" s="5"/>
      <c r="E418" s="4"/>
      <c r="F418" s="2"/>
      <c r="G418" s="2"/>
      <c r="H418" s="5"/>
      <c r="I418" s="5"/>
      <c r="J418" s="2"/>
      <c r="K418" s="2"/>
      <c r="L418" s="2"/>
      <c r="M418" s="2"/>
      <c r="N418" s="4"/>
      <c r="O418" s="4"/>
      <c r="P418" s="4"/>
      <c r="Q418" s="4"/>
      <c r="R418" s="5"/>
      <c r="S418" s="5"/>
      <c r="T418" s="4"/>
      <c r="U418" s="4"/>
      <c r="V418" s="4"/>
    </row>
    <row r="419">
      <c r="A419" s="4"/>
      <c r="B419" s="4"/>
      <c r="C419" s="5"/>
      <c r="D419" s="5"/>
      <c r="E419" s="4"/>
      <c r="F419" s="2"/>
      <c r="G419" s="2"/>
      <c r="H419" s="5"/>
      <c r="I419" s="5"/>
      <c r="J419" s="2"/>
      <c r="K419" s="2"/>
      <c r="L419" s="2"/>
      <c r="M419" s="2"/>
      <c r="N419" s="4"/>
      <c r="O419" s="4"/>
      <c r="P419" s="4"/>
      <c r="Q419" s="4"/>
      <c r="R419" s="5"/>
      <c r="S419" s="5"/>
      <c r="T419" s="4"/>
      <c r="U419" s="4"/>
      <c r="V419" s="4"/>
    </row>
    <row r="420">
      <c r="A420" s="4"/>
      <c r="B420" s="4"/>
      <c r="C420" s="5"/>
      <c r="D420" s="5"/>
      <c r="E420" s="4"/>
      <c r="F420" s="2"/>
      <c r="G420" s="2"/>
      <c r="H420" s="5"/>
      <c r="I420" s="5"/>
      <c r="J420" s="2"/>
      <c r="K420" s="2"/>
      <c r="L420" s="2"/>
      <c r="M420" s="2"/>
      <c r="N420" s="4"/>
      <c r="O420" s="4"/>
      <c r="P420" s="4"/>
      <c r="Q420" s="4"/>
      <c r="R420" s="5"/>
      <c r="S420" s="5"/>
      <c r="T420" s="4"/>
      <c r="U420" s="4"/>
      <c r="V420" s="4"/>
    </row>
    <row r="421">
      <c r="A421" s="4"/>
      <c r="B421" s="4"/>
      <c r="C421" s="5"/>
      <c r="D421" s="5"/>
      <c r="E421" s="4"/>
      <c r="F421" s="2"/>
      <c r="G421" s="2"/>
      <c r="H421" s="5"/>
      <c r="I421" s="5"/>
      <c r="J421" s="2"/>
      <c r="K421" s="2"/>
      <c r="L421" s="2"/>
      <c r="M421" s="2"/>
      <c r="N421" s="4"/>
      <c r="O421" s="4"/>
      <c r="P421" s="4"/>
      <c r="Q421" s="4"/>
      <c r="R421" s="5"/>
      <c r="S421" s="5"/>
      <c r="T421" s="4"/>
      <c r="U421" s="4"/>
      <c r="V421" s="4"/>
    </row>
    <row r="422">
      <c r="A422" s="4"/>
      <c r="B422" s="4"/>
      <c r="C422" s="5"/>
      <c r="D422" s="5"/>
      <c r="E422" s="4"/>
      <c r="F422" s="2"/>
      <c r="G422" s="2"/>
      <c r="H422" s="5"/>
      <c r="I422" s="5"/>
      <c r="J422" s="2"/>
      <c r="K422" s="2"/>
      <c r="L422" s="2"/>
      <c r="M422" s="2"/>
      <c r="N422" s="4"/>
      <c r="O422" s="4"/>
      <c r="P422" s="4"/>
      <c r="Q422" s="4"/>
      <c r="R422" s="5"/>
      <c r="S422" s="5"/>
      <c r="T422" s="4"/>
      <c r="U422" s="4"/>
      <c r="V422" s="4"/>
    </row>
    <row r="423">
      <c r="A423" s="4"/>
      <c r="B423" s="4"/>
      <c r="C423" s="5"/>
      <c r="D423" s="5"/>
      <c r="E423" s="4"/>
      <c r="F423" s="2"/>
      <c r="G423" s="2"/>
      <c r="H423" s="5"/>
      <c r="I423" s="5"/>
      <c r="J423" s="2"/>
      <c r="K423" s="2"/>
      <c r="L423" s="2"/>
      <c r="M423" s="2"/>
      <c r="N423" s="4"/>
      <c r="O423" s="4"/>
      <c r="P423" s="4"/>
      <c r="Q423" s="4"/>
      <c r="R423" s="5"/>
      <c r="S423" s="5"/>
      <c r="T423" s="4"/>
      <c r="U423" s="4"/>
      <c r="V423" s="4"/>
    </row>
    <row r="424">
      <c r="A424" s="4"/>
      <c r="B424" s="4"/>
      <c r="C424" s="5"/>
      <c r="D424" s="5"/>
      <c r="E424" s="4"/>
      <c r="F424" s="2"/>
      <c r="G424" s="2"/>
      <c r="H424" s="5"/>
      <c r="I424" s="5"/>
      <c r="J424" s="2"/>
      <c r="K424" s="2"/>
      <c r="L424" s="2"/>
      <c r="M424" s="2"/>
      <c r="N424" s="4"/>
      <c r="O424" s="4"/>
      <c r="P424" s="4"/>
      <c r="Q424" s="4"/>
      <c r="R424" s="5"/>
      <c r="S424" s="5"/>
      <c r="T424" s="4"/>
      <c r="U424" s="4"/>
      <c r="V424" s="4"/>
    </row>
    <row r="425">
      <c r="A425" s="4"/>
      <c r="B425" s="4"/>
      <c r="C425" s="5"/>
      <c r="D425" s="5"/>
      <c r="E425" s="4"/>
      <c r="F425" s="2"/>
      <c r="G425" s="2"/>
      <c r="H425" s="5"/>
      <c r="I425" s="5"/>
      <c r="J425" s="2"/>
      <c r="K425" s="2"/>
      <c r="L425" s="2"/>
      <c r="M425" s="2"/>
      <c r="N425" s="4"/>
      <c r="O425" s="4"/>
      <c r="P425" s="4"/>
      <c r="Q425" s="4"/>
      <c r="R425" s="5"/>
      <c r="S425" s="5"/>
      <c r="T425" s="4"/>
      <c r="U425" s="4"/>
      <c r="V425" s="4"/>
    </row>
    <row r="426">
      <c r="A426" s="4"/>
      <c r="B426" s="4"/>
      <c r="C426" s="5"/>
      <c r="D426" s="5"/>
      <c r="E426" s="4"/>
      <c r="F426" s="2"/>
      <c r="G426" s="2"/>
      <c r="H426" s="5"/>
      <c r="I426" s="5"/>
      <c r="J426" s="2"/>
      <c r="K426" s="2"/>
      <c r="L426" s="2"/>
      <c r="M426" s="2"/>
      <c r="N426" s="4"/>
      <c r="O426" s="4"/>
      <c r="P426" s="4"/>
      <c r="Q426" s="4"/>
      <c r="R426" s="5"/>
      <c r="S426" s="5"/>
      <c r="T426" s="4"/>
      <c r="U426" s="4"/>
      <c r="V426" s="4"/>
    </row>
    <row r="427">
      <c r="A427" s="4"/>
      <c r="B427" s="4"/>
      <c r="C427" s="5"/>
      <c r="D427" s="5"/>
      <c r="E427" s="4"/>
      <c r="F427" s="2"/>
      <c r="G427" s="2"/>
      <c r="H427" s="5"/>
      <c r="I427" s="5"/>
      <c r="J427" s="2"/>
      <c r="K427" s="2"/>
      <c r="L427" s="2"/>
      <c r="M427" s="2"/>
      <c r="N427" s="4"/>
      <c r="O427" s="4"/>
      <c r="P427" s="4"/>
      <c r="Q427" s="4"/>
      <c r="R427" s="5"/>
      <c r="S427" s="5"/>
      <c r="T427" s="4"/>
      <c r="U427" s="4"/>
      <c r="V427" s="4"/>
    </row>
    <row r="428">
      <c r="A428" s="4"/>
      <c r="B428" s="4"/>
      <c r="C428" s="5"/>
      <c r="D428" s="5"/>
      <c r="E428" s="4"/>
      <c r="F428" s="2"/>
      <c r="G428" s="2"/>
      <c r="H428" s="5"/>
      <c r="I428" s="5"/>
      <c r="J428" s="2"/>
      <c r="K428" s="2"/>
      <c r="L428" s="2"/>
      <c r="M428" s="2"/>
      <c r="N428" s="4"/>
      <c r="O428" s="4"/>
      <c r="P428" s="4"/>
      <c r="Q428" s="4"/>
      <c r="R428" s="5"/>
      <c r="S428" s="5"/>
      <c r="T428" s="4"/>
      <c r="U428" s="4"/>
      <c r="V428" s="4"/>
    </row>
    <row r="429">
      <c r="A429" s="4"/>
      <c r="B429" s="4"/>
      <c r="C429" s="5"/>
      <c r="D429" s="5"/>
      <c r="E429" s="4"/>
      <c r="F429" s="2"/>
      <c r="G429" s="2"/>
      <c r="H429" s="5"/>
      <c r="I429" s="5"/>
      <c r="J429" s="2"/>
      <c r="K429" s="2"/>
      <c r="L429" s="2"/>
      <c r="M429" s="2"/>
      <c r="N429" s="4"/>
      <c r="O429" s="4"/>
      <c r="P429" s="4"/>
      <c r="Q429" s="4"/>
      <c r="R429" s="5"/>
      <c r="S429" s="5"/>
      <c r="T429" s="4"/>
      <c r="U429" s="4"/>
      <c r="V429" s="4"/>
    </row>
    <row r="430">
      <c r="A430" s="4"/>
      <c r="B430" s="4"/>
      <c r="C430" s="5"/>
      <c r="D430" s="5"/>
      <c r="E430" s="4"/>
      <c r="F430" s="2"/>
      <c r="G430" s="2"/>
      <c r="H430" s="5"/>
      <c r="I430" s="5"/>
      <c r="J430" s="2"/>
      <c r="K430" s="2"/>
      <c r="L430" s="2"/>
      <c r="M430" s="2"/>
      <c r="N430" s="4"/>
      <c r="O430" s="4"/>
      <c r="P430" s="4"/>
      <c r="Q430" s="4"/>
      <c r="R430" s="5"/>
      <c r="S430" s="5"/>
      <c r="T430" s="4"/>
      <c r="U430" s="4"/>
      <c r="V430" s="4"/>
    </row>
    <row r="431">
      <c r="A431" s="4"/>
      <c r="B431" s="4"/>
      <c r="C431" s="5"/>
      <c r="D431" s="5"/>
      <c r="E431" s="4"/>
      <c r="F431" s="2"/>
      <c r="G431" s="2"/>
      <c r="H431" s="5"/>
      <c r="I431" s="5"/>
      <c r="J431" s="2"/>
      <c r="K431" s="2"/>
      <c r="L431" s="2"/>
      <c r="M431" s="2"/>
      <c r="N431" s="4"/>
      <c r="O431" s="4"/>
      <c r="P431" s="4"/>
      <c r="Q431" s="4"/>
      <c r="R431" s="5"/>
      <c r="S431" s="5"/>
      <c r="T431" s="4"/>
      <c r="U431" s="4"/>
      <c r="V431" s="4"/>
    </row>
    <row r="432">
      <c r="A432" s="4"/>
      <c r="B432" s="4"/>
      <c r="C432" s="5"/>
      <c r="D432" s="5"/>
      <c r="E432" s="4"/>
      <c r="F432" s="2"/>
      <c r="G432" s="2"/>
      <c r="H432" s="5"/>
      <c r="I432" s="5"/>
      <c r="J432" s="2"/>
      <c r="K432" s="2"/>
      <c r="L432" s="2"/>
      <c r="M432" s="2"/>
      <c r="N432" s="4"/>
      <c r="O432" s="4"/>
      <c r="P432" s="4"/>
      <c r="Q432" s="4"/>
      <c r="R432" s="5"/>
      <c r="S432" s="5"/>
      <c r="T432" s="4"/>
      <c r="U432" s="4"/>
      <c r="V432" s="4"/>
    </row>
    <row r="433">
      <c r="A433" s="4"/>
      <c r="B433" s="4"/>
      <c r="C433" s="5"/>
      <c r="D433" s="5"/>
      <c r="E433" s="4"/>
      <c r="F433" s="2"/>
      <c r="G433" s="2"/>
      <c r="H433" s="5"/>
      <c r="I433" s="5"/>
      <c r="J433" s="2"/>
      <c r="K433" s="2"/>
      <c r="L433" s="2"/>
      <c r="M433" s="2"/>
      <c r="N433" s="4"/>
      <c r="O433" s="4"/>
      <c r="P433" s="4"/>
      <c r="Q433" s="4"/>
      <c r="R433" s="5"/>
      <c r="S433" s="5"/>
      <c r="T433" s="4"/>
      <c r="U433" s="4"/>
      <c r="V433" s="4"/>
    </row>
    <row r="434">
      <c r="A434" s="4"/>
      <c r="B434" s="4"/>
      <c r="C434" s="5"/>
      <c r="D434" s="5"/>
      <c r="E434" s="4"/>
      <c r="F434" s="2"/>
      <c r="G434" s="2"/>
      <c r="H434" s="5"/>
      <c r="I434" s="5"/>
      <c r="J434" s="2"/>
      <c r="K434" s="2"/>
      <c r="L434" s="2"/>
      <c r="M434" s="2"/>
      <c r="N434" s="4"/>
      <c r="O434" s="4"/>
      <c r="P434" s="4"/>
      <c r="Q434" s="4"/>
      <c r="R434" s="5"/>
      <c r="S434" s="5"/>
      <c r="T434" s="4"/>
      <c r="U434" s="4"/>
      <c r="V434" s="4"/>
    </row>
    <row r="435">
      <c r="A435" s="4"/>
      <c r="B435" s="4"/>
      <c r="C435" s="5"/>
      <c r="D435" s="5"/>
      <c r="E435" s="4"/>
      <c r="F435" s="2"/>
      <c r="G435" s="2"/>
      <c r="H435" s="5"/>
      <c r="I435" s="5"/>
      <c r="J435" s="2"/>
      <c r="K435" s="2"/>
      <c r="L435" s="2"/>
      <c r="M435" s="2"/>
      <c r="N435" s="4"/>
      <c r="O435" s="4"/>
      <c r="P435" s="4"/>
      <c r="Q435" s="4"/>
      <c r="R435" s="5"/>
      <c r="S435" s="5"/>
      <c r="T435" s="4"/>
      <c r="U435" s="4"/>
      <c r="V435" s="4"/>
    </row>
    <row r="436">
      <c r="A436" s="4"/>
      <c r="B436" s="4"/>
      <c r="C436" s="5"/>
      <c r="D436" s="5"/>
      <c r="E436" s="4"/>
      <c r="F436" s="2"/>
      <c r="G436" s="2"/>
      <c r="H436" s="5"/>
      <c r="I436" s="5"/>
      <c r="J436" s="2"/>
      <c r="K436" s="2"/>
      <c r="L436" s="2"/>
      <c r="M436" s="2"/>
      <c r="N436" s="4"/>
      <c r="O436" s="4"/>
      <c r="P436" s="4"/>
      <c r="Q436" s="4"/>
      <c r="R436" s="5"/>
      <c r="S436" s="5"/>
      <c r="T436" s="4"/>
      <c r="U436" s="4"/>
      <c r="V436" s="4"/>
    </row>
    <row r="437">
      <c r="A437" s="4"/>
      <c r="B437" s="4"/>
      <c r="C437" s="5"/>
      <c r="D437" s="5"/>
      <c r="E437" s="4"/>
      <c r="F437" s="2"/>
      <c r="G437" s="2"/>
      <c r="H437" s="5"/>
      <c r="I437" s="5"/>
      <c r="J437" s="2"/>
      <c r="K437" s="2"/>
      <c r="L437" s="2"/>
      <c r="M437" s="2"/>
      <c r="N437" s="4"/>
      <c r="O437" s="4"/>
      <c r="P437" s="4"/>
      <c r="Q437" s="4"/>
      <c r="R437" s="5"/>
      <c r="S437" s="5"/>
      <c r="T437" s="4"/>
      <c r="U437" s="4"/>
      <c r="V437" s="4"/>
    </row>
    <row r="438">
      <c r="A438" s="4"/>
      <c r="B438" s="4"/>
      <c r="C438" s="5"/>
      <c r="D438" s="5"/>
      <c r="E438" s="4"/>
      <c r="F438" s="2"/>
      <c r="G438" s="2"/>
      <c r="H438" s="5"/>
      <c r="I438" s="5"/>
      <c r="J438" s="2"/>
      <c r="K438" s="2"/>
      <c r="L438" s="2"/>
      <c r="M438" s="2"/>
      <c r="N438" s="4"/>
      <c r="O438" s="4"/>
      <c r="P438" s="4"/>
      <c r="Q438" s="4"/>
      <c r="R438" s="5"/>
      <c r="S438" s="5"/>
      <c r="T438" s="4"/>
      <c r="U438" s="4"/>
      <c r="V438" s="4"/>
    </row>
    <row r="439">
      <c r="A439" s="4"/>
      <c r="B439" s="4"/>
      <c r="C439" s="5"/>
      <c r="D439" s="5"/>
      <c r="E439" s="4"/>
      <c r="F439" s="2"/>
      <c r="G439" s="2"/>
      <c r="H439" s="5"/>
      <c r="I439" s="5"/>
      <c r="J439" s="2"/>
      <c r="K439" s="2"/>
      <c r="L439" s="2"/>
      <c r="M439" s="2"/>
      <c r="N439" s="4"/>
      <c r="O439" s="4"/>
      <c r="P439" s="4"/>
      <c r="Q439" s="4"/>
      <c r="R439" s="5"/>
      <c r="S439" s="5"/>
      <c r="T439" s="4"/>
      <c r="U439" s="4"/>
      <c r="V439" s="4"/>
    </row>
    <row r="440">
      <c r="A440" s="4"/>
      <c r="B440" s="4"/>
      <c r="C440" s="5"/>
      <c r="D440" s="5"/>
      <c r="E440" s="4"/>
      <c r="F440" s="2"/>
      <c r="G440" s="2"/>
      <c r="H440" s="5"/>
      <c r="I440" s="5"/>
      <c r="J440" s="2"/>
      <c r="K440" s="2"/>
      <c r="L440" s="2"/>
      <c r="M440" s="2"/>
      <c r="N440" s="4"/>
      <c r="O440" s="4"/>
      <c r="P440" s="4"/>
      <c r="Q440" s="4"/>
      <c r="R440" s="5"/>
      <c r="S440" s="5"/>
      <c r="T440" s="4"/>
      <c r="U440" s="4"/>
      <c r="V440" s="4"/>
    </row>
    <row r="441">
      <c r="A441" s="4"/>
      <c r="B441" s="4"/>
      <c r="C441" s="5"/>
      <c r="D441" s="5"/>
      <c r="E441" s="4"/>
      <c r="F441" s="2"/>
      <c r="G441" s="2"/>
      <c r="H441" s="5"/>
      <c r="I441" s="5"/>
      <c r="J441" s="2"/>
      <c r="K441" s="2"/>
      <c r="L441" s="2"/>
      <c r="M441" s="2"/>
      <c r="N441" s="4"/>
      <c r="O441" s="4"/>
      <c r="P441" s="4"/>
      <c r="Q441" s="4"/>
      <c r="R441" s="5"/>
      <c r="S441" s="5"/>
      <c r="T441" s="4"/>
      <c r="U441" s="4"/>
      <c r="V441" s="4"/>
    </row>
    <row r="442">
      <c r="A442" s="4"/>
      <c r="B442" s="4"/>
      <c r="C442" s="5"/>
      <c r="D442" s="5"/>
      <c r="E442" s="4"/>
      <c r="F442" s="2"/>
      <c r="G442" s="2"/>
      <c r="H442" s="5"/>
      <c r="I442" s="5"/>
      <c r="J442" s="2"/>
      <c r="K442" s="2"/>
      <c r="L442" s="2"/>
      <c r="M442" s="2"/>
      <c r="N442" s="4"/>
      <c r="O442" s="4"/>
      <c r="P442" s="4"/>
      <c r="Q442" s="4"/>
      <c r="R442" s="5"/>
      <c r="S442" s="5"/>
      <c r="T442" s="4"/>
      <c r="U442" s="4"/>
      <c r="V442" s="4"/>
    </row>
    <row r="443">
      <c r="A443" s="4"/>
      <c r="B443" s="4"/>
      <c r="C443" s="5"/>
      <c r="D443" s="5"/>
      <c r="E443" s="4"/>
      <c r="F443" s="2"/>
      <c r="G443" s="2"/>
      <c r="H443" s="5"/>
      <c r="I443" s="5"/>
      <c r="J443" s="2"/>
      <c r="K443" s="2"/>
      <c r="L443" s="2"/>
      <c r="M443" s="2"/>
      <c r="N443" s="4"/>
      <c r="O443" s="4"/>
      <c r="P443" s="4"/>
      <c r="Q443" s="4"/>
      <c r="R443" s="5"/>
      <c r="S443" s="5"/>
      <c r="T443" s="4"/>
      <c r="U443" s="4"/>
      <c r="V443" s="4"/>
    </row>
    <row r="444">
      <c r="A444" s="4"/>
      <c r="B444" s="4"/>
      <c r="C444" s="5"/>
      <c r="D444" s="5"/>
      <c r="E444" s="4"/>
      <c r="F444" s="2"/>
      <c r="G444" s="2"/>
      <c r="H444" s="5"/>
      <c r="I444" s="5"/>
      <c r="J444" s="2"/>
      <c r="K444" s="2"/>
      <c r="L444" s="2"/>
      <c r="M444" s="2"/>
      <c r="N444" s="4"/>
      <c r="O444" s="4"/>
      <c r="P444" s="4"/>
      <c r="Q444" s="4"/>
      <c r="R444" s="5"/>
      <c r="S444" s="5"/>
      <c r="T444" s="4"/>
      <c r="U444" s="4"/>
      <c r="V444" s="4"/>
    </row>
    <row r="445">
      <c r="A445" s="4"/>
      <c r="B445" s="4"/>
      <c r="C445" s="5"/>
      <c r="D445" s="5"/>
      <c r="E445" s="4"/>
      <c r="F445" s="2"/>
      <c r="G445" s="2"/>
      <c r="H445" s="5"/>
      <c r="I445" s="5"/>
      <c r="J445" s="2"/>
      <c r="K445" s="2"/>
      <c r="L445" s="2"/>
      <c r="M445" s="2"/>
      <c r="N445" s="4"/>
      <c r="O445" s="4"/>
      <c r="P445" s="4"/>
      <c r="Q445" s="4"/>
      <c r="R445" s="5"/>
      <c r="S445" s="5"/>
      <c r="T445" s="4"/>
      <c r="U445" s="4"/>
      <c r="V445" s="4"/>
    </row>
    <row r="446">
      <c r="A446" s="4"/>
      <c r="B446" s="4"/>
      <c r="C446" s="5"/>
      <c r="D446" s="5"/>
      <c r="E446" s="4"/>
      <c r="F446" s="2"/>
      <c r="G446" s="2"/>
      <c r="H446" s="5"/>
      <c r="I446" s="5"/>
      <c r="J446" s="2"/>
      <c r="K446" s="2"/>
      <c r="L446" s="2"/>
      <c r="M446" s="2"/>
      <c r="N446" s="4"/>
      <c r="O446" s="4"/>
      <c r="P446" s="4"/>
      <c r="Q446" s="4"/>
      <c r="R446" s="5"/>
      <c r="S446" s="5"/>
      <c r="T446" s="4"/>
      <c r="U446" s="4"/>
      <c r="V446" s="4"/>
    </row>
    <row r="447">
      <c r="A447" s="4"/>
      <c r="B447" s="4"/>
      <c r="C447" s="5"/>
      <c r="D447" s="5"/>
      <c r="E447" s="4"/>
      <c r="F447" s="2"/>
      <c r="G447" s="2"/>
      <c r="H447" s="5"/>
      <c r="I447" s="5"/>
      <c r="J447" s="2"/>
      <c r="K447" s="2"/>
      <c r="L447" s="2"/>
      <c r="M447" s="2"/>
      <c r="N447" s="4"/>
      <c r="O447" s="4"/>
      <c r="P447" s="4"/>
      <c r="Q447" s="4"/>
      <c r="R447" s="5"/>
      <c r="S447" s="5"/>
      <c r="T447" s="4"/>
      <c r="U447" s="4"/>
      <c r="V447" s="4"/>
    </row>
    <row r="448">
      <c r="A448" s="4"/>
      <c r="B448" s="4"/>
      <c r="C448" s="5"/>
      <c r="D448" s="5"/>
      <c r="E448" s="4"/>
      <c r="F448" s="2"/>
      <c r="G448" s="2"/>
      <c r="H448" s="5"/>
      <c r="I448" s="5"/>
      <c r="J448" s="2"/>
      <c r="K448" s="2"/>
      <c r="L448" s="2"/>
      <c r="M448" s="2"/>
      <c r="N448" s="4"/>
      <c r="O448" s="4"/>
      <c r="P448" s="4"/>
      <c r="Q448" s="4"/>
      <c r="R448" s="5"/>
      <c r="S448" s="5"/>
      <c r="T448" s="4"/>
      <c r="U448" s="4"/>
      <c r="V448" s="4"/>
    </row>
    <row r="449">
      <c r="A449" s="4"/>
      <c r="B449" s="4"/>
      <c r="C449" s="5"/>
      <c r="D449" s="5"/>
      <c r="E449" s="4"/>
      <c r="F449" s="2"/>
      <c r="G449" s="2"/>
      <c r="H449" s="5"/>
      <c r="I449" s="5"/>
      <c r="J449" s="2"/>
      <c r="K449" s="2"/>
      <c r="L449" s="2"/>
      <c r="M449" s="2"/>
      <c r="N449" s="4"/>
      <c r="O449" s="4"/>
      <c r="P449" s="4"/>
      <c r="Q449" s="4"/>
      <c r="R449" s="5"/>
      <c r="S449" s="5"/>
      <c r="T449" s="4"/>
      <c r="U449" s="4"/>
      <c r="V449" s="4"/>
    </row>
    <row r="450">
      <c r="A450" s="4"/>
      <c r="B450" s="4"/>
      <c r="C450" s="5"/>
      <c r="D450" s="5"/>
      <c r="E450" s="4"/>
      <c r="F450" s="2"/>
      <c r="G450" s="2"/>
      <c r="H450" s="5"/>
      <c r="I450" s="5"/>
      <c r="J450" s="2"/>
      <c r="K450" s="2"/>
      <c r="L450" s="2"/>
      <c r="M450" s="2"/>
      <c r="N450" s="4"/>
      <c r="O450" s="4"/>
      <c r="P450" s="4"/>
      <c r="Q450" s="4"/>
      <c r="R450" s="5"/>
      <c r="S450" s="5"/>
      <c r="T450" s="4"/>
      <c r="U450" s="4"/>
      <c r="V450" s="4"/>
    </row>
    <row r="451">
      <c r="A451" s="4"/>
      <c r="B451" s="4"/>
      <c r="C451" s="5"/>
      <c r="D451" s="5"/>
      <c r="E451" s="4"/>
      <c r="F451" s="2"/>
      <c r="G451" s="2"/>
      <c r="H451" s="5"/>
      <c r="I451" s="5"/>
      <c r="J451" s="2"/>
      <c r="K451" s="2"/>
      <c r="L451" s="2"/>
      <c r="M451" s="2"/>
      <c r="N451" s="4"/>
      <c r="O451" s="4"/>
      <c r="P451" s="4"/>
      <c r="Q451" s="4"/>
      <c r="R451" s="5"/>
      <c r="S451" s="5"/>
      <c r="T451" s="4"/>
      <c r="U451" s="4"/>
      <c r="V451" s="4"/>
    </row>
    <row r="452">
      <c r="A452" s="4"/>
      <c r="B452" s="4"/>
      <c r="C452" s="5"/>
      <c r="D452" s="5"/>
      <c r="E452" s="4"/>
      <c r="F452" s="2"/>
      <c r="G452" s="2"/>
      <c r="H452" s="5"/>
      <c r="I452" s="5"/>
      <c r="J452" s="2"/>
      <c r="K452" s="2"/>
      <c r="L452" s="2"/>
      <c r="M452" s="2"/>
      <c r="N452" s="4"/>
      <c r="O452" s="4"/>
      <c r="P452" s="4"/>
      <c r="Q452" s="4"/>
      <c r="R452" s="5"/>
      <c r="S452" s="5"/>
      <c r="T452" s="4"/>
      <c r="U452" s="4"/>
      <c r="V452" s="4"/>
    </row>
    <row r="453">
      <c r="A453" s="4"/>
      <c r="B453" s="4"/>
      <c r="C453" s="5"/>
      <c r="D453" s="5"/>
      <c r="E453" s="4"/>
      <c r="F453" s="2"/>
      <c r="G453" s="2"/>
      <c r="H453" s="5"/>
      <c r="I453" s="5"/>
      <c r="J453" s="2"/>
      <c r="K453" s="2"/>
      <c r="L453" s="2"/>
      <c r="M453" s="2"/>
      <c r="N453" s="4"/>
      <c r="O453" s="4"/>
      <c r="P453" s="4"/>
      <c r="Q453" s="4"/>
      <c r="R453" s="5"/>
      <c r="S453" s="5"/>
      <c r="T453" s="4"/>
      <c r="U453" s="4"/>
      <c r="V453" s="4"/>
    </row>
    <row r="454">
      <c r="A454" s="4"/>
      <c r="B454" s="4"/>
      <c r="C454" s="5"/>
      <c r="D454" s="5"/>
      <c r="E454" s="4"/>
      <c r="F454" s="2"/>
      <c r="G454" s="2"/>
      <c r="H454" s="5"/>
      <c r="I454" s="5"/>
      <c r="J454" s="2"/>
      <c r="K454" s="2"/>
      <c r="L454" s="2"/>
      <c r="M454" s="2"/>
      <c r="N454" s="4"/>
      <c r="O454" s="4"/>
      <c r="P454" s="4"/>
      <c r="Q454" s="4"/>
      <c r="R454" s="5"/>
      <c r="S454" s="5"/>
      <c r="T454" s="4"/>
      <c r="U454" s="4"/>
      <c r="V454" s="4"/>
    </row>
    <row r="455">
      <c r="A455" s="4"/>
      <c r="B455" s="4"/>
      <c r="C455" s="5"/>
      <c r="D455" s="5"/>
      <c r="E455" s="4"/>
      <c r="F455" s="2"/>
      <c r="G455" s="2"/>
      <c r="H455" s="5"/>
      <c r="I455" s="5"/>
      <c r="J455" s="2"/>
      <c r="K455" s="2"/>
      <c r="L455" s="2"/>
      <c r="M455" s="2"/>
      <c r="N455" s="4"/>
      <c r="O455" s="4"/>
      <c r="P455" s="4"/>
      <c r="Q455" s="4"/>
      <c r="R455" s="5"/>
      <c r="S455" s="5"/>
      <c r="T455" s="4"/>
      <c r="U455" s="4"/>
      <c r="V455" s="4"/>
    </row>
    <row r="456">
      <c r="A456" s="4"/>
      <c r="B456" s="4"/>
      <c r="C456" s="5"/>
      <c r="D456" s="5"/>
      <c r="E456" s="4"/>
      <c r="F456" s="2"/>
      <c r="G456" s="2"/>
      <c r="H456" s="5"/>
      <c r="I456" s="5"/>
      <c r="J456" s="2"/>
      <c r="K456" s="2"/>
      <c r="L456" s="2"/>
      <c r="M456" s="2"/>
      <c r="N456" s="4"/>
      <c r="O456" s="4"/>
      <c r="P456" s="4"/>
      <c r="Q456" s="4"/>
      <c r="R456" s="5"/>
      <c r="S456" s="5"/>
      <c r="T456" s="4"/>
      <c r="U456" s="4"/>
      <c r="V456" s="4"/>
    </row>
    <row r="457">
      <c r="A457" s="4"/>
      <c r="B457" s="4"/>
      <c r="C457" s="5"/>
      <c r="D457" s="5"/>
      <c r="E457" s="4"/>
      <c r="F457" s="2"/>
      <c r="G457" s="2"/>
      <c r="H457" s="5"/>
      <c r="I457" s="5"/>
      <c r="J457" s="2"/>
      <c r="K457" s="2"/>
      <c r="L457" s="2"/>
      <c r="M457" s="2"/>
      <c r="N457" s="4"/>
      <c r="O457" s="4"/>
      <c r="P457" s="4"/>
      <c r="Q457" s="4"/>
      <c r="R457" s="5"/>
      <c r="S457" s="5"/>
      <c r="T457" s="4"/>
      <c r="U457" s="4"/>
      <c r="V457" s="4"/>
    </row>
    <row r="458">
      <c r="A458" s="4"/>
      <c r="B458" s="4"/>
      <c r="C458" s="5"/>
      <c r="D458" s="5"/>
      <c r="E458" s="4"/>
      <c r="F458" s="2"/>
      <c r="G458" s="2"/>
      <c r="H458" s="5"/>
      <c r="I458" s="5"/>
      <c r="J458" s="2"/>
      <c r="K458" s="2"/>
      <c r="L458" s="2"/>
      <c r="M458" s="2"/>
      <c r="N458" s="4"/>
      <c r="O458" s="4"/>
      <c r="P458" s="4"/>
      <c r="Q458" s="4"/>
      <c r="R458" s="5"/>
      <c r="S458" s="5"/>
      <c r="T458" s="4"/>
      <c r="U458" s="4"/>
      <c r="V458" s="4"/>
    </row>
    <row r="459">
      <c r="A459" s="4"/>
      <c r="B459" s="4"/>
      <c r="C459" s="5"/>
      <c r="D459" s="5"/>
      <c r="E459" s="4"/>
      <c r="F459" s="2"/>
      <c r="G459" s="2"/>
      <c r="H459" s="5"/>
      <c r="I459" s="5"/>
      <c r="J459" s="2"/>
      <c r="K459" s="2"/>
      <c r="L459" s="2"/>
      <c r="M459" s="2"/>
      <c r="N459" s="4"/>
      <c r="O459" s="4"/>
      <c r="P459" s="4"/>
      <c r="Q459" s="4"/>
      <c r="R459" s="5"/>
      <c r="S459" s="5"/>
      <c r="T459" s="4"/>
      <c r="U459" s="4"/>
      <c r="V459" s="4"/>
    </row>
    <row r="460">
      <c r="A460" s="4"/>
      <c r="B460" s="4"/>
      <c r="C460" s="5"/>
      <c r="D460" s="5"/>
      <c r="E460" s="4"/>
      <c r="F460" s="2"/>
      <c r="G460" s="2"/>
      <c r="H460" s="5"/>
      <c r="I460" s="5"/>
      <c r="J460" s="2"/>
      <c r="K460" s="2"/>
      <c r="L460" s="2"/>
      <c r="M460" s="2"/>
      <c r="N460" s="4"/>
      <c r="O460" s="4"/>
      <c r="P460" s="4"/>
      <c r="Q460" s="4"/>
      <c r="R460" s="5"/>
      <c r="S460" s="5"/>
      <c r="T460" s="4"/>
      <c r="U460" s="4"/>
      <c r="V460" s="4"/>
    </row>
    <row r="461">
      <c r="A461" s="4"/>
      <c r="B461" s="4"/>
      <c r="C461" s="5"/>
      <c r="D461" s="5"/>
      <c r="E461" s="4"/>
      <c r="F461" s="2"/>
      <c r="G461" s="2"/>
      <c r="H461" s="5"/>
      <c r="I461" s="5"/>
      <c r="J461" s="2"/>
      <c r="K461" s="2"/>
      <c r="L461" s="2"/>
      <c r="M461" s="2"/>
      <c r="N461" s="4"/>
      <c r="O461" s="4"/>
      <c r="P461" s="4"/>
      <c r="Q461" s="4"/>
      <c r="R461" s="5"/>
      <c r="S461" s="5"/>
      <c r="T461" s="4"/>
      <c r="U461" s="4"/>
      <c r="V461" s="4"/>
    </row>
    <row r="462">
      <c r="A462" s="4"/>
      <c r="B462" s="4"/>
      <c r="C462" s="5"/>
      <c r="D462" s="5"/>
      <c r="E462" s="4"/>
      <c r="F462" s="2"/>
      <c r="G462" s="2"/>
      <c r="H462" s="5"/>
      <c r="I462" s="5"/>
      <c r="J462" s="2"/>
      <c r="K462" s="2"/>
      <c r="L462" s="2"/>
      <c r="M462" s="2"/>
      <c r="N462" s="4"/>
      <c r="O462" s="4"/>
      <c r="P462" s="4"/>
      <c r="Q462" s="4"/>
      <c r="R462" s="5"/>
      <c r="S462" s="5"/>
      <c r="T462" s="4"/>
      <c r="U462" s="4"/>
      <c r="V462" s="4"/>
    </row>
    <row r="463">
      <c r="A463" s="4"/>
      <c r="B463" s="4"/>
      <c r="C463" s="5"/>
      <c r="D463" s="5"/>
      <c r="E463" s="4"/>
      <c r="F463" s="2"/>
      <c r="G463" s="2"/>
      <c r="H463" s="5"/>
      <c r="I463" s="5"/>
      <c r="J463" s="2"/>
      <c r="K463" s="2"/>
      <c r="L463" s="2"/>
      <c r="M463" s="2"/>
      <c r="N463" s="4"/>
      <c r="O463" s="4"/>
      <c r="P463" s="4"/>
      <c r="Q463" s="4"/>
      <c r="R463" s="5"/>
      <c r="S463" s="5"/>
      <c r="T463" s="4"/>
      <c r="U463" s="4"/>
      <c r="V463" s="4"/>
    </row>
    <row r="464">
      <c r="A464" s="4"/>
      <c r="B464" s="4"/>
      <c r="C464" s="5"/>
      <c r="D464" s="5"/>
      <c r="E464" s="4"/>
      <c r="F464" s="2"/>
      <c r="G464" s="2"/>
      <c r="H464" s="5"/>
      <c r="I464" s="5"/>
      <c r="J464" s="2"/>
      <c r="K464" s="2"/>
      <c r="L464" s="2"/>
      <c r="M464" s="2"/>
      <c r="N464" s="4"/>
      <c r="O464" s="4"/>
      <c r="P464" s="4"/>
      <c r="Q464" s="4"/>
      <c r="R464" s="5"/>
      <c r="S464" s="5"/>
      <c r="T464" s="4"/>
      <c r="U464" s="4"/>
      <c r="V464" s="4"/>
    </row>
    <row r="465">
      <c r="A465" s="4"/>
      <c r="B465" s="4"/>
      <c r="C465" s="5"/>
      <c r="D465" s="5"/>
      <c r="E465" s="4"/>
      <c r="F465" s="2"/>
      <c r="G465" s="2"/>
      <c r="H465" s="5"/>
      <c r="I465" s="5"/>
      <c r="J465" s="2"/>
      <c r="K465" s="2"/>
      <c r="L465" s="2"/>
      <c r="M465" s="2"/>
      <c r="N465" s="4"/>
      <c r="O465" s="4"/>
      <c r="P465" s="4"/>
      <c r="Q465" s="4"/>
      <c r="R465" s="5"/>
      <c r="S465" s="5"/>
      <c r="T465" s="4"/>
      <c r="U465" s="4"/>
      <c r="V465" s="4"/>
    </row>
    <row r="466">
      <c r="A466" s="4"/>
      <c r="B466" s="4"/>
      <c r="C466" s="5"/>
      <c r="D466" s="5"/>
      <c r="E466" s="4"/>
      <c r="F466" s="2"/>
      <c r="G466" s="2"/>
      <c r="H466" s="5"/>
      <c r="I466" s="5"/>
      <c r="J466" s="2"/>
      <c r="K466" s="2"/>
      <c r="L466" s="2"/>
      <c r="M466" s="2"/>
      <c r="N466" s="4"/>
      <c r="O466" s="4"/>
      <c r="P466" s="4"/>
      <c r="Q466" s="4"/>
      <c r="R466" s="5"/>
      <c r="S466" s="5"/>
      <c r="T466" s="4"/>
      <c r="U466" s="4"/>
      <c r="V466" s="4"/>
    </row>
    <row r="467">
      <c r="A467" s="4"/>
      <c r="B467" s="4"/>
      <c r="C467" s="5"/>
      <c r="D467" s="5"/>
      <c r="E467" s="4"/>
      <c r="F467" s="2"/>
      <c r="G467" s="2"/>
      <c r="H467" s="5"/>
      <c r="I467" s="5"/>
      <c r="J467" s="2"/>
      <c r="K467" s="2"/>
      <c r="L467" s="2"/>
      <c r="M467" s="2"/>
      <c r="N467" s="4"/>
      <c r="O467" s="4"/>
      <c r="P467" s="4"/>
      <c r="Q467" s="4"/>
      <c r="R467" s="5"/>
      <c r="S467" s="5"/>
      <c r="T467" s="4"/>
      <c r="U467" s="4"/>
      <c r="V467" s="4"/>
    </row>
    <row r="468">
      <c r="A468" s="4"/>
      <c r="B468" s="4"/>
      <c r="C468" s="5"/>
      <c r="D468" s="5"/>
      <c r="E468" s="4"/>
      <c r="F468" s="2"/>
      <c r="G468" s="2"/>
      <c r="H468" s="5"/>
      <c r="I468" s="5"/>
      <c r="J468" s="2"/>
      <c r="K468" s="2"/>
      <c r="L468" s="2"/>
      <c r="M468" s="2"/>
      <c r="N468" s="4"/>
      <c r="O468" s="4"/>
      <c r="P468" s="4"/>
      <c r="Q468" s="4"/>
      <c r="R468" s="5"/>
      <c r="S468" s="5"/>
      <c r="T468" s="4"/>
      <c r="U468" s="4"/>
      <c r="V468" s="4"/>
    </row>
    <row r="469">
      <c r="A469" s="4"/>
      <c r="B469" s="4"/>
      <c r="C469" s="5"/>
      <c r="D469" s="5"/>
      <c r="E469" s="4"/>
      <c r="F469" s="2"/>
      <c r="G469" s="2"/>
      <c r="H469" s="5"/>
      <c r="I469" s="5"/>
      <c r="J469" s="2"/>
      <c r="K469" s="2"/>
      <c r="L469" s="2"/>
      <c r="M469" s="2"/>
      <c r="N469" s="4"/>
      <c r="O469" s="4"/>
      <c r="P469" s="4"/>
      <c r="Q469" s="4"/>
      <c r="R469" s="5"/>
      <c r="S469" s="5"/>
      <c r="T469" s="4"/>
      <c r="U469" s="4"/>
      <c r="V469" s="4"/>
    </row>
    <row r="470">
      <c r="A470" s="4"/>
      <c r="B470" s="4"/>
      <c r="C470" s="5"/>
      <c r="D470" s="5"/>
      <c r="E470" s="4"/>
      <c r="F470" s="2"/>
      <c r="G470" s="2"/>
      <c r="H470" s="5"/>
      <c r="I470" s="5"/>
      <c r="J470" s="2"/>
      <c r="K470" s="2"/>
      <c r="L470" s="2"/>
      <c r="M470" s="2"/>
      <c r="N470" s="4"/>
      <c r="O470" s="4"/>
      <c r="P470" s="4"/>
      <c r="Q470" s="4"/>
      <c r="R470" s="5"/>
      <c r="S470" s="5"/>
      <c r="T470" s="4"/>
      <c r="U470" s="4"/>
      <c r="V470" s="4"/>
    </row>
    <row r="471">
      <c r="A471" s="4"/>
      <c r="B471" s="4"/>
      <c r="C471" s="5"/>
      <c r="D471" s="5"/>
      <c r="E471" s="4"/>
      <c r="F471" s="2"/>
      <c r="G471" s="2"/>
      <c r="H471" s="5"/>
      <c r="I471" s="5"/>
      <c r="J471" s="2"/>
      <c r="K471" s="2"/>
      <c r="L471" s="2"/>
      <c r="M471" s="2"/>
      <c r="N471" s="4"/>
      <c r="O471" s="4"/>
      <c r="P471" s="4"/>
      <c r="Q471" s="4"/>
      <c r="R471" s="5"/>
      <c r="S471" s="5"/>
      <c r="T471" s="4"/>
      <c r="U471" s="4"/>
      <c r="V471" s="4"/>
    </row>
    <row r="472">
      <c r="A472" s="4"/>
      <c r="B472" s="4"/>
      <c r="C472" s="5"/>
      <c r="D472" s="5"/>
      <c r="E472" s="4"/>
      <c r="F472" s="2"/>
      <c r="G472" s="2"/>
      <c r="H472" s="5"/>
      <c r="I472" s="5"/>
      <c r="J472" s="2"/>
      <c r="K472" s="2"/>
      <c r="L472" s="2"/>
      <c r="M472" s="2"/>
      <c r="N472" s="4"/>
      <c r="O472" s="4"/>
      <c r="P472" s="4"/>
      <c r="Q472" s="4"/>
      <c r="R472" s="5"/>
      <c r="S472" s="5"/>
      <c r="T472" s="4"/>
      <c r="U472" s="4"/>
      <c r="V472" s="4"/>
    </row>
    <row r="473">
      <c r="A473" s="4"/>
      <c r="B473" s="4"/>
      <c r="C473" s="5"/>
      <c r="D473" s="5"/>
      <c r="E473" s="4"/>
      <c r="F473" s="2"/>
      <c r="G473" s="2"/>
      <c r="H473" s="5"/>
      <c r="I473" s="5"/>
      <c r="J473" s="2"/>
      <c r="K473" s="2"/>
      <c r="L473" s="2"/>
      <c r="M473" s="2"/>
      <c r="N473" s="4"/>
      <c r="O473" s="4"/>
      <c r="P473" s="4"/>
      <c r="Q473" s="4"/>
      <c r="R473" s="5"/>
      <c r="S473" s="5"/>
      <c r="T473" s="4"/>
      <c r="U473" s="4"/>
      <c r="V473" s="4"/>
    </row>
    <row r="474">
      <c r="A474" s="4"/>
      <c r="B474" s="4"/>
      <c r="C474" s="5"/>
      <c r="D474" s="5"/>
      <c r="E474" s="4"/>
      <c r="F474" s="2"/>
      <c r="G474" s="2"/>
      <c r="H474" s="5"/>
      <c r="I474" s="5"/>
      <c r="J474" s="2"/>
      <c r="K474" s="2"/>
      <c r="L474" s="2"/>
      <c r="M474" s="2"/>
      <c r="N474" s="4"/>
      <c r="O474" s="4"/>
      <c r="P474" s="4"/>
      <c r="Q474" s="4"/>
      <c r="R474" s="5"/>
      <c r="S474" s="5"/>
      <c r="T474" s="4"/>
      <c r="U474" s="4"/>
      <c r="V474" s="4"/>
    </row>
    <row r="475">
      <c r="A475" s="4"/>
      <c r="B475" s="4"/>
      <c r="C475" s="5"/>
      <c r="D475" s="5"/>
      <c r="E475" s="4"/>
      <c r="F475" s="2"/>
      <c r="G475" s="2"/>
      <c r="H475" s="5"/>
      <c r="I475" s="5"/>
      <c r="J475" s="2"/>
      <c r="K475" s="2"/>
      <c r="L475" s="2"/>
      <c r="M475" s="2"/>
      <c r="N475" s="4"/>
      <c r="O475" s="4"/>
      <c r="P475" s="4"/>
      <c r="Q475" s="4"/>
      <c r="R475" s="5"/>
      <c r="S475" s="5"/>
      <c r="T475" s="4"/>
      <c r="U475" s="4"/>
      <c r="V475" s="4"/>
    </row>
    <row r="476">
      <c r="A476" s="4"/>
      <c r="B476" s="4"/>
      <c r="C476" s="5"/>
      <c r="D476" s="5"/>
      <c r="E476" s="4"/>
      <c r="F476" s="2"/>
      <c r="G476" s="2"/>
      <c r="H476" s="5"/>
      <c r="I476" s="5"/>
      <c r="J476" s="2"/>
      <c r="K476" s="2"/>
      <c r="L476" s="2"/>
      <c r="M476" s="2"/>
      <c r="N476" s="4"/>
      <c r="O476" s="4"/>
      <c r="P476" s="4"/>
      <c r="Q476" s="4"/>
      <c r="R476" s="5"/>
      <c r="S476" s="5"/>
      <c r="T476" s="4"/>
      <c r="U476" s="4"/>
      <c r="V476" s="4"/>
    </row>
    <row r="477">
      <c r="A477" s="4"/>
      <c r="B477" s="4"/>
      <c r="C477" s="5"/>
      <c r="D477" s="5"/>
      <c r="E477" s="4"/>
      <c r="F477" s="2"/>
      <c r="G477" s="2"/>
      <c r="H477" s="5"/>
      <c r="I477" s="5"/>
      <c r="J477" s="2"/>
      <c r="K477" s="2"/>
      <c r="L477" s="2"/>
      <c r="M477" s="2"/>
      <c r="N477" s="4"/>
      <c r="O477" s="4"/>
      <c r="P477" s="4"/>
      <c r="Q477" s="4"/>
      <c r="R477" s="5"/>
      <c r="S477" s="5"/>
      <c r="T477" s="4"/>
      <c r="U477" s="4"/>
      <c r="V477" s="4"/>
    </row>
    <row r="478">
      <c r="A478" s="4"/>
      <c r="B478" s="4"/>
      <c r="C478" s="5"/>
      <c r="D478" s="5"/>
      <c r="E478" s="4"/>
      <c r="F478" s="2"/>
      <c r="G478" s="2"/>
      <c r="H478" s="5"/>
      <c r="I478" s="5"/>
      <c r="J478" s="2"/>
      <c r="K478" s="2"/>
      <c r="L478" s="2"/>
      <c r="M478" s="2"/>
      <c r="N478" s="4"/>
      <c r="O478" s="4"/>
      <c r="P478" s="4"/>
      <c r="Q478" s="4"/>
      <c r="R478" s="5"/>
      <c r="S478" s="5"/>
      <c r="T478" s="4"/>
      <c r="U478" s="4"/>
      <c r="V478" s="4"/>
    </row>
    <row r="479">
      <c r="A479" s="4"/>
      <c r="B479" s="4"/>
      <c r="C479" s="5"/>
      <c r="D479" s="5"/>
      <c r="E479" s="4"/>
      <c r="F479" s="2"/>
      <c r="G479" s="2"/>
      <c r="H479" s="5"/>
      <c r="I479" s="5"/>
      <c r="J479" s="2"/>
      <c r="K479" s="2"/>
      <c r="L479" s="2"/>
      <c r="M479" s="2"/>
      <c r="N479" s="4"/>
      <c r="O479" s="4"/>
      <c r="P479" s="4"/>
      <c r="Q479" s="4"/>
      <c r="R479" s="5"/>
      <c r="S479" s="5"/>
      <c r="T479" s="4"/>
      <c r="U479" s="4"/>
      <c r="V479" s="4"/>
    </row>
    <row r="480">
      <c r="A480" s="4"/>
      <c r="B480" s="4"/>
      <c r="C480" s="5"/>
      <c r="D480" s="5"/>
      <c r="E480" s="4"/>
      <c r="F480" s="2"/>
      <c r="G480" s="2"/>
      <c r="H480" s="5"/>
      <c r="I480" s="5"/>
      <c r="J480" s="2"/>
      <c r="K480" s="2"/>
      <c r="L480" s="2"/>
      <c r="M480" s="2"/>
      <c r="N480" s="4"/>
      <c r="O480" s="4"/>
      <c r="P480" s="4"/>
      <c r="Q480" s="4"/>
      <c r="R480" s="5"/>
      <c r="S480" s="5"/>
      <c r="T480" s="4"/>
      <c r="U480" s="4"/>
      <c r="V480" s="4"/>
    </row>
    <row r="481">
      <c r="A481" s="4"/>
      <c r="B481" s="4"/>
      <c r="C481" s="5"/>
      <c r="D481" s="5"/>
      <c r="E481" s="4"/>
      <c r="F481" s="2"/>
      <c r="G481" s="2"/>
      <c r="H481" s="5"/>
      <c r="I481" s="5"/>
      <c r="J481" s="2"/>
      <c r="K481" s="2"/>
      <c r="L481" s="2"/>
      <c r="M481" s="2"/>
      <c r="N481" s="4"/>
      <c r="O481" s="4"/>
      <c r="P481" s="4"/>
      <c r="Q481" s="4"/>
      <c r="R481" s="5"/>
      <c r="S481" s="5"/>
      <c r="T481" s="4"/>
      <c r="U481" s="4"/>
      <c r="V481" s="4"/>
    </row>
    <row r="482">
      <c r="A482" s="4"/>
      <c r="B482" s="4"/>
      <c r="C482" s="5"/>
      <c r="D482" s="5"/>
      <c r="E482" s="4"/>
      <c r="F482" s="2"/>
      <c r="G482" s="2"/>
      <c r="H482" s="5"/>
      <c r="I482" s="5"/>
      <c r="J482" s="2"/>
      <c r="K482" s="2"/>
      <c r="L482" s="2"/>
      <c r="M482" s="2"/>
      <c r="N482" s="4"/>
      <c r="O482" s="4"/>
      <c r="P482" s="4"/>
      <c r="Q482" s="4"/>
      <c r="R482" s="5"/>
      <c r="S482" s="5"/>
      <c r="T482" s="4"/>
      <c r="U482" s="4"/>
      <c r="V482" s="4"/>
    </row>
    <row r="483">
      <c r="A483" s="4"/>
      <c r="B483" s="4"/>
      <c r="C483" s="5"/>
      <c r="D483" s="5"/>
      <c r="E483" s="4"/>
      <c r="F483" s="2"/>
      <c r="G483" s="2"/>
      <c r="H483" s="5"/>
      <c r="I483" s="5"/>
      <c r="J483" s="2"/>
      <c r="K483" s="2"/>
      <c r="L483" s="2"/>
      <c r="M483" s="2"/>
      <c r="N483" s="4"/>
      <c r="O483" s="4"/>
      <c r="P483" s="4"/>
      <c r="Q483" s="4"/>
      <c r="R483" s="5"/>
      <c r="S483" s="5"/>
      <c r="T483" s="4"/>
      <c r="U483" s="4"/>
      <c r="V483" s="4"/>
    </row>
    <row r="484">
      <c r="A484" s="4"/>
      <c r="B484" s="4"/>
      <c r="C484" s="5"/>
      <c r="D484" s="5"/>
      <c r="E484" s="4"/>
      <c r="F484" s="2"/>
      <c r="G484" s="2"/>
      <c r="H484" s="5"/>
      <c r="I484" s="5"/>
      <c r="J484" s="2"/>
      <c r="K484" s="2"/>
      <c r="L484" s="2"/>
      <c r="M484" s="2"/>
      <c r="N484" s="4"/>
      <c r="O484" s="4"/>
      <c r="P484" s="4"/>
      <c r="Q484" s="4"/>
      <c r="R484" s="5"/>
      <c r="S484" s="5"/>
      <c r="T484" s="4"/>
      <c r="U484" s="4"/>
      <c r="V484" s="4"/>
    </row>
    <row r="485">
      <c r="A485" s="4"/>
      <c r="B485" s="4"/>
      <c r="C485" s="5"/>
      <c r="D485" s="5"/>
      <c r="E485" s="4"/>
      <c r="F485" s="2"/>
      <c r="G485" s="2"/>
      <c r="H485" s="5"/>
      <c r="I485" s="5"/>
      <c r="J485" s="2"/>
      <c r="K485" s="2"/>
      <c r="L485" s="2"/>
      <c r="M485" s="2"/>
      <c r="N485" s="4"/>
      <c r="O485" s="4"/>
      <c r="P485" s="4"/>
      <c r="Q485" s="4"/>
      <c r="R485" s="5"/>
      <c r="S485" s="5"/>
      <c r="T485" s="4"/>
      <c r="U485" s="4"/>
      <c r="V485" s="4"/>
    </row>
    <row r="486">
      <c r="A486" s="4"/>
      <c r="B486" s="4"/>
      <c r="C486" s="5"/>
      <c r="D486" s="5"/>
      <c r="E486" s="4"/>
      <c r="F486" s="2"/>
      <c r="G486" s="2"/>
      <c r="H486" s="5"/>
      <c r="I486" s="5"/>
      <c r="J486" s="2"/>
      <c r="K486" s="2"/>
      <c r="L486" s="2"/>
      <c r="M486" s="2"/>
      <c r="N486" s="4"/>
      <c r="O486" s="4"/>
      <c r="P486" s="4"/>
      <c r="Q486" s="4"/>
      <c r="R486" s="5"/>
      <c r="S486" s="5"/>
      <c r="T486" s="4"/>
      <c r="U486" s="4"/>
      <c r="V486" s="4"/>
    </row>
    <row r="487">
      <c r="A487" s="4"/>
      <c r="B487" s="4"/>
      <c r="C487" s="5"/>
      <c r="D487" s="5"/>
      <c r="E487" s="4"/>
      <c r="F487" s="2"/>
      <c r="G487" s="2"/>
      <c r="H487" s="5"/>
      <c r="I487" s="5"/>
      <c r="J487" s="2"/>
      <c r="K487" s="2"/>
      <c r="L487" s="2"/>
      <c r="M487" s="2"/>
      <c r="N487" s="4"/>
      <c r="O487" s="4"/>
      <c r="P487" s="4"/>
      <c r="Q487" s="4"/>
      <c r="R487" s="5"/>
      <c r="S487" s="5"/>
      <c r="T487" s="4"/>
      <c r="U487" s="4"/>
      <c r="V487" s="4"/>
    </row>
    <row r="488">
      <c r="A488" s="4"/>
      <c r="B488" s="4"/>
      <c r="C488" s="5"/>
      <c r="D488" s="5"/>
      <c r="E488" s="4"/>
      <c r="F488" s="2"/>
      <c r="G488" s="2"/>
      <c r="H488" s="5"/>
      <c r="I488" s="5"/>
      <c r="J488" s="2"/>
      <c r="K488" s="2"/>
      <c r="L488" s="2"/>
      <c r="M488" s="2"/>
      <c r="N488" s="4"/>
      <c r="O488" s="4"/>
      <c r="P488" s="4"/>
      <c r="Q488" s="4"/>
      <c r="R488" s="5"/>
      <c r="S488" s="5"/>
      <c r="T488" s="4"/>
      <c r="U488" s="4"/>
      <c r="V488" s="4"/>
    </row>
    <row r="489">
      <c r="A489" s="4"/>
      <c r="B489" s="4"/>
      <c r="C489" s="5"/>
      <c r="D489" s="5"/>
      <c r="E489" s="4"/>
      <c r="F489" s="2"/>
      <c r="G489" s="2"/>
      <c r="H489" s="5"/>
      <c r="I489" s="5"/>
      <c r="J489" s="2"/>
      <c r="K489" s="2"/>
      <c r="L489" s="2"/>
      <c r="M489" s="2"/>
      <c r="N489" s="4"/>
      <c r="O489" s="4"/>
      <c r="P489" s="4"/>
      <c r="Q489" s="4"/>
      <c r="R489" s="5"/>
      <c r="S489" s="5"/>
      <c r="T489" s="4"/>
      <c r="U489" s="4"/>
      <c r="V489" s="4"/>
    </row>
    <row r="490">
      <c r="A490" s="4"/>
      <c r="B490" s="4"/>
      <c r="C490" s="5"/>
      <c r="D490" s="5"/>
      <c r="E490" s="4"/>
      <c r="F490" s="2"/>
      <c r="G490" s="2"/>
      <c r="H490" s="5"/>
      <c r="I490" s="5"/>
      <c r="J490" s="2"/>
      <c r="K490" s="2"/>
      <c r="L490" s="2"/>
      <c r="M490" s="2"/>
      <c r="N490" s="4"/>
      <c r="O490" s="4"/>
      <c r="P490" s="4"/>
      <c r="Q490" s="4"/>
      <c r="R490" s="5"/>
      <c r="S490" s="5"/>
      <c r="T490" s="4"/>
      <c r="U490" s="4"/>
      <c r="V490" s="4"/>
    </row>
    <row r="491">
      <c r="A491" s="4"/>
      <c r="B491" s="4"/>
      <c r="C491" s="5"/>
      <c r="D491" s="5"/>
      <c r="E491" s="4"/>
      <c r="F491" s="2"/>
      <c r="G491" s="2"/>
      <c r="H491" s="5"/>
      <c r="I491" s="5"/>
      <c r="J491" s="2"/>
      <c r="K491" s="2"/>
      <c r="L491" s="2"/>
      <c r="M491" s="2"/>
      <c r="N491" s="4"/>
      <c r="O491" s="4"/>
      <c r="P491" s="4"/>
      <c r="Q491" s="4"/>
      <c r="R491" s="5"/>
      <c r="S491" s="5"/>
      <c r="T491" s="4"/>
      <c r="U491" s="4"/>
      <c r="V491" s="4"/>
    </row>
    <row r="492">
      <c r="A492" s="4"/>
      <c r="B492" s="4"/>
      <c r="C492" s="5"/>
      <c r="D492" s="5"/>
      <c r="E492" s="4"/>
      <c r="F492" s="2"/>
      <c r="G492" s="2"/>
      <c r="H492" s="5"/>
      <c r="I492" s="5"/>
      <c r="J492" s="2"/>
      <c r="K492" s="2"/>
      <c r="L492" s="2"/>
      <c r="M492" s="2"/>
      <c r="N492" s="4"/>
      <c r="O492" s="4"/>
      <c r="P492" s="4"/>
      <c r="Q492" s="4"/>
      <c r="R492" s="5"/>
      <c r="S492" s="5"/>
      <c r="T492" s="4"/>
      <c r="U492" s="4"/>
      <c r="V492" s="4"/>
    </row>
    <row r="493">
      <c r="A493" s="4"/>
      <c r="B493" s="4"/>
      <c r="C493" s="5"/>
      <c r="D493" s="5"/>
      <c r="E493" s="4"/>
      <c r="F493" s="2"/>
      <c r="G493" s="2"/>
      <c r="H493" s="5"/>
      <c r="I493" s="5"/>
      <c r="J493" s="2"/>
      <c r="K493" s="2"/>
      <c r="L493" s="2"/>
      <c r="M493" s="2"/>
      <c r="N493" s="4"/>
      <c r="O493" s="4"/>
      <c r="P493" s="4"/>
      <c r="Q493" s="4"/>
      <c r="R493" s="5"/>
      <c r="S493" s="5"/>
      <c r="T493" s="4"/>
      <c r="U493" s="4"/>
      <c r="V493" s="4"/>
    </row>
    <row r="494">
      <c r="A494" s="4"/>
      <c r="B494" s="4"/>
      <c r="C494" s="5"/>
      <c r="D494" s="5"/>
      <c r="E494" s="4"/>
      <c r="F494" s="2"/>
      <c r="G494" s="2"/>
      <c r="H494" s="5"/>
      <c r="I494" s="5"/>
      <c r="J494" s="2"/>
      <c r="K494" s="2"/>
      <c r="L494" s="2"/>
      <c r="M494" s="2"/>
      <c r="N494" s="4"/>
      <c r="O494" s="4"/>
      <c r="P494" s="4"/>
      <c r="Q494" s="4"/>
      <c r="R494" s="5"/>
      <c r="S494" s="5"/>
      <c r="T494" s="4"/>
      <c r="U494" s="4"/>
      <c r="V494" s="4"/>
    </row>
    <row r="495">
      <c r="A495" s="4"/>
      <c r="B495" s="4"/>
      <c r="C495" s="5"/>
      <c r="D495" s="5"/>
      <c r="E495" s="4"/>
      <c r="F495" s="2"/>
      <c r="G495" s="2"/>
      <c r="H495" s="5"/>
      <c r="I495" s="5"/>
      <c r="J495" s="2"/>
      <c r="K495" s="2"/>
      <c r="L495" s="2"/>
      <c r="M495" s="2"/>
      <c r="N495" s="4"/>
      <c r="O495" s="4"/>
      <c r="P495" s="4"/>
      <c r="Q495" s="4"/>
      <c r="R495" s="5"/>
      <c r="S495" s="5"/>
      <c r="T495" s="4"/>
      <c r="U495" s="4"/>
      <c r="V495" s="4"/>
    </row>
    <row r="496">
      <c r="A496" s="4"/>
      <c r="B496" s="4"/>
      <c r="C496" s="5"/>
      <c r="D496" s="5"/>
      <c r="E496" s="4"/>
      <c r="F496" s="2"/>
      <c r="G496" s="2"/>
      <c r="H496" s="5"/>
      <c r="I496" s="5"/>
      <c r="J496" s="2"/>
      <c r="K496" s="2"/>
      <c r="L496" s="2"/>
      <c r="M496" s="2"/>
      <c r="N496" s="4"/>
      <c r="O496" s="4"/>
      <c r="P496" s="4"/>
      <c r="Q496" s="4"/>
      <c r="R496" s="5"/>
      <c r="S496" s="5"/>
      <c r="T496" s="4"/>
      <c r="U496" s="4"/>
      <c r="V496" s="4"/>
    </row>
    <row r="497">
      <c r="A497" s="4"/>
      <c r="B497" s="4"/>
      <c r="C497" s="5"/>
      <c r="D497" s="5"/>
      <c r="E497" s="4"/>
      <c r="F497" s="2"/>
      <c r="G497" s="2"/>
      <c r="H497" s="5"/>
      <c r="I497" s="5"/>
      <c r="J497" s="2"/>
      <c r="K497" s="2"/>
      <c r="L497" s="2"/>
      <c r="M497" s="2"/>
      <c r="N497" s="4"/>
      <c r="O497" s="4"/>
      <c r="P497" s="4"/>
      <c r="Q497" s="4"/>
      <c r="R497" s="5"/>
      <c r="S497" s="5"/>
      <c r="T497" s="4"/>
      <c r="U497" s="4"/>
      <c r="V497" s="4"/>
    </row>
    <row r="498">
      <c r="A498" s="4"/>
      <c r="B498" s="4"/>
      <c r="C498" s="5"/>
      <c r="D498" s="5"/>
      <c r="E498" s="4"/>
      <c r="F498" s="2"/>
      <c r="G498" s="2"/>
      <c r="H498" s="5"/>
      <c r="I498" s="5"/>
      <c r="J498" s="2"/>
      <c r="K498" s="2"/>
      <c r="L498" s="2"/>
      <c r="M498" s="2"/>
      <c r="N498" s="4"/>
      <c r="O498" s="4"/>
      <c r="P498" s="4"/>
      <c r="Q498" s="4"/>
      <c r="R498" s="5"/>
      <c r="S498" s="5"/>
      <c r="T498" s="4"/>
      <c r="U498" s="4"/>
      <c r="V498" s="4"/>
    </row>
    <row r="499">
      <c r="A499" s="4"/>
      <c r="B499" s="4"/>
      <c r="C499" s="5"/>
      <c r="D499" s="5"/>
      <c r="E499" s="4"/>
      <c r="F499" s="2"/>
      <c r="G499" s="2"/>
      <c r="H499" s="5"/>
      <c r="I499" s="5"/>
      <c r="J499" s="2"/>
      <c r="K499" s="2"/>
      <c r="L499" s="2"/>
      <c r="M499" s="2"/>
      <c r="N499" s="4"/>
      <c r="O499" s="4"/>
      <c r="P499" s="4"/>
      <c r="Q499" s="4"/>
      <c r="R499" s="5"/>
      <c r="S499" s="5"/>
      <c r="T499" s="4"/>
      <c r="U499" s="4"/>
      <c r="V499" s="4"/>
    </row>
    <row r="500">
      <c r="A500" s="4"/>
      <c r="B500" s="4"/>
      <c r="C500" s="5"/>
      <c r="D500" s="5"/>
      <c r="E500" s="4"/>
      <c r="F500" s="2"/>
      <c r="G500" s="2"/>
      <c r="H500" s="5"/>
      <c r="I500" s="5"/>
      <c r="J500" s="2"/>
      <c r="K500" s="2"/>
      <c r="L500" s="2"/>
      <c r="M500" s="2"/>
      <c r="N500" s="4"/>
      <c r="O500" s="4"/>
      <c r="P500" s="4"/>
      <c r="Q500" s="4"/>
      <c r="R500" s="5"/>
      <c r="S500" s="5"/>
      <c r="T500" s="4"/>
      <c r="U500" s="4"/>
      <c r="V500" s="4"/>
    </row>
    <row r="501">
      <c r="A501" s="4"/>
      <c r="B501" s="4"/>
      <c r="C501" s="5"/>
      <c r="D501" s="5"/>
      <c r="E501" s="4"/>
      <c r="F501" s="2"/>
      <c r="G501" s="2"/>
      <c r="H501" s="5"/>
      <c r="I501" s="5"/>
      <c r="J501" s="2"/>
      <c r="K501" s="2"/>
      <c r="L501" s="2"/>
      <c r="M501" s="2"/>
      <c r="N501" s="4"/>
      <c r="O501" s="4"/>
      <c r="P501" s="4"/>
      <c r="Q501" s="4"/>
      <c r="R501" s="5"/>
      <c r="S501" s="5"/>
      <c r="T501" s="4"/>
      <c r="U501" s="4"/>
      <c r="V501" s="4"/>
    </row>
    <row r="502">
      <c r="A502" s="4"/>
      <c r="B502" s="4"/>
      <c r="C502" s="5"/>
      <c r="D502" s="5"/>
      <c r="E502" s="4"/>
      <c r="F502" s="2"/>
      <c r="G502" s="2"/>
      <c r="H502" s="5"/>
      <c r="I502" s="5"/>
      <c r="J502" s="2"/>
      <c r="K502" s="2"/>
      <c r="L502" s="2"/>
      <c r="M502" s="2"/>
      <c r="N502" s="4"/>
      <c r="O502" s="4"/>
      <c r="P502" s="4"/>
      <c r="Q502" s="4"/>
      <c r="R502" s="5"/>
      <c r="S502" s="5"/>
      <c r="T502" s="4"/>
      <c r="U502" s="4"/>
      <c r="V502" s="4"/>
    </row>
    <row r="503">
      <c r="A503" s="4"/>
      <c r="B503" s="4"/>
      <c r="C503" s="5"/>
      <c r="D503" s="5"/>
      <c r="E503" s="4"/>
      <c r="F503" s="2"/>
      <c r="G503" s="2"/>
      <c r="H503" s="5"/>
      <c r="I503" s="5"/>
      <c r="J503" s="2"/>
      <c r="K503" s="2"/>
      <c r="L503" s="2"/>
      <c r="M503" s="2"/>
      <c r="N503" s="4"/>
      <c r="O503" s="4"/>
      <c r="P503" s="4"/>
      <c r="Q503" s="4"/>
      <c r="R503" s="5"/>
      <c r="S503" s="5"/>
      <c r="T503" s="4"/>
      <c r="U503" s="4"/>
      <c r="V503" s="4"/>
    </row>
    <row r="504">
      <c r="A504" s="4"/>
      <c r="B504" s="4"/>
      <c r="C504" s="5"/>
      <c r="D504" s="5"/>
      <c r="E504" s="4"/>
      <c r="F504" s="2"/>
      <c r="G504" s="2"/>
      <c r="H504" s="5"/>
      <c r="I504" s="5"/>
      <c r="J504" s="2"/>
      <c r="K504" s="2"/>
      <c r="L504" s="2"/>
      <c r="M504" s="2"/>
      <c r="N504" s="4"/>
      <c r="O504" s="4"/>
      <c r="P504" s="4"/>
      <c r="Q504" s="4"/>
      <c r="R504" s="5"/>
      <c r="S504" s="5"/>
      <c r="T504" s="4"/>
      <c r="U504" s="4"/>
      <c r="V504" s="4"/>
    </row>
    <row r="505">
      <c r="A505" s="4"/>
      <c r="B505" s="4"/>
      <c r="C505" s="5"/>
      <c r="D505" s="5"/>
      <c r="E505" s="4"/>
      <c r="F505" s="2"/>
      <c r="G505" s="2"/>
      <c r="H505" s="5"/>
      <c r="I505" s="5"/>
      <c r="J505" s="2"/>
      <c r="K505" s="2"/>
      <c r="L505" s="2"/>
      <c r="M505" s="2"/>
      <c r="N505" s="4"/>
      <c r="O505" s="4"/>
      <c r="P505" s="4"/>
      <c r="Q505" s="4"/>
      <c r="R505" s="5"/>
      <c r="S505" s="5"/>
      <c r="T505" s="4"/>
      <c r="U505" s="4"/>
      <c r="V505" s="4"/>
    </row>
    <row r="506">
      <c r="A506" s="4"/>
      <c r="B506" s="4"/>
      <c r="C506" s="5"/>
      <c r="D506" s="5"/>
      <c r="E506" s="4"/>
      <c r="F506" s="2"/>
      <c r="G506" s="2"/>
      <c r="H506" s="5"/>
      <c r="I506" s="5"/>
      <c r="J506" s="2"/>
      <c r="K506" s="2"/>
      <c r="L506" s="2"/>
      <c r="M506" s="2"/>
      <c r="N506" s="4"/>
      <c r="O506" s="4"/>
      <c r="P506" s="4"/>
      <c r="Q506" s="4"/>
      <c r="R506" s="5"/>
      <c r="S506" s="5"/>
      <c r="T506" s="4"/>
      <c r="U506" s="4"/>
      <c r="V506" s="4"/>
    </row>
    <row r="507">
      <c r="A507" s="4"/>
      <c r="B507" s="4"/>
      <c r="C507" s="5"/>
      <c r="D507" s="5"/>
      <c r="E507" s="4"/>
      <c r="F507" s="2"/>
      <c r="G507" s="2"/>
      <c r="H507" s="5"/>
      <c r="I507" s="5"/>
      <c r="J507" s="2"/>
      <c r="K507" s="2"/>
      <c r="L507" s="2"/>
      <c r="M507" s="2"/>
      <c r="N507" s="4"/>
      <c r="O507" s="4"/>
      <c r="P507" s="4"/>
      <c r="Q507" s="4"/>
      <c r="R507" s="5"/>
      <c r="S507" s="5"/>
      <c r="T507" s="4"/>
      <c r="U507" s="4"/>
      <c r="V507" s="4"/>
    </row>
    <row r="508">
      <c r="A508" s="4"/>
      <c r="B508" s="4"/>
      <c r="C508" s="5"/>
      <c r="D508" s="5"/>
      <c r="E508" s="4"/>
      <c r="F508" s="2"/>
      <c r="G508" s="2"/>
      <c r="H508" s="5"/>
      <c r="I508" s="5"/>
      <c r="J508" s="2"/>
      <c r="K508" s="2"/>
      <c r="L508" s="2"/>
      <c r="M508" s="2"/>
      <c r="N508" s="4"/>
      <c r="O508" s="4"/>
      <c r="P508" s="4"/>
      <c r="Q508" s="4"/>
      <c r="R508" s="5"/>
      <c r="S508" s="5"/>
      <c r="T508" s="4"/>
      <c r="U508" s="4"/>
      <c r="V508" s="4"/>
    </row>
    <row r="509">
      <c r="A509" s="4"/>
      <c r="B509" s="4"/>
      <c r="C509" s="5"/>
      <c r="D509" s="5"/>
      <c r="E509" s="4"/>
      <c r="F509" s="2"/>
      <c r="G509" s="2"/>
      <c r="H509" s="5"/>
      <c r="I509" s="5"/>
      <c r="J509" s="2"/>
      <c r="K509" s="2"/>
      <c r="L509" s="2"/>
      <c r="M509" s="2"/>
      <c r="N509" s="4"/>
      <c r="O509" s="4"/>
      <c r="P509" s="4"/>
      <c r="Q509" s="4"/>
      <c r="R509" s="5"/>
      <c r="S509" s="5"/>
      <c r="T509" s="4"/>
      <c r="U509" s="4"/>
      <c r="V509" s="4"/>
    </row>
    <row r="510">
      <c r="A510" s="4"/>
      <c r="B510" s="4"/>
      <c r="C510" s="5"/>
      <c r="D510" s="5"/>
      <c r="E510" s="4"/>
      <c r="F510" s="2"/>
      <c r="G510" s="2"/>
      <c r="H510" s="5"/>
      <c r="I510" s="5"/>
      <c r="J510" s="2"/>
      <c r="K510" s="2"/>
      <c r="L510" s="2"/>
      <c r="M510" s="2"/>
      <c r="N510" s="4"/>
      <c r="O510" s="4"/>
      <c r="P510" s="4"/>
      <c r="Q510" s="4"/>
      <c r="R510" s="5"/>
      <c r="S510" s="5"/>
      <c r="T510" s="4"/>
      <c r="U510" s="4"/>
      <c r="V510" s="4"/>
    </row>
    <row r="511">
      <c r="A511" s="4"/>
      <c r="B511" s="4"/>
      <c r="C511" s="5"/>
      <c r="D511" s="5"/>
      <c r="E511" s="4"/>
      <c r="F511" s="2"/>
      <c r="G511" s="2"/>
      <c r="H511" s="5"/>
      <c r="I511" s="5"/>
      <c r="J511" s="2"/>
      <c r="K511" s="2"/>
      <c r="L511" s="2"/>
      <c r="M511" s="2"/>
      <c r="N511" s="4"/>
      <c r="O511" s="4"/>
      <c r="P511" s="4"/>
      <c r="Q511" s="4"/>
      <c r="R511" s="5"/>
      <c r="S511" s="5"/>
      <c r="T511" s="4"/>
      <c r="U511" s="4"/>
      <c r="V511" s="4"/>
    </row>
    <row r="512">
      <c r="A512" s="4"/>
      <c r="B512" s="4"/>
      <c r="C512" s="5"/>
      <c r="D512" s="5"/>
      <c r="E512" s="4"/>
      <c r="F512" s="2"/>
      <c r="G512" s="2"/>
      <c r="H512" s="5"/>
      <c r="I512" s="5"/>
      <c r="J512" s="2"/>
      <c r="K512" s="2"/>
      <c r="L512" s="2"/>
      <c r="M512" s="2"/>
      <c r="N512" s="4"/>
      <c r="O512" s="4"/>
      <c r="P512" s="4"/>
      <c r="Q512" s="4"/>
      <c r="R512" s="5"/>
      <c r="S512" s="5"/>
      <c r="T512" s="4"/>
      <c r="U512" s="4"/>
      <c r="V512" s="4"/>
    </row>
    <row r="513">
      <c r="A513" s="4"/>
      <c r="B513" s="4"/>
      <c r="C513" s="5"/>
      <c r="D513" s="5"/>
      <c r="E513" s="4"/>
      <c r="F513" s="2"/>
      <c r="G513" s="2"/>
      <c r="H513" s="5"/>
      <c r="I513" s="5"/>
      <c r="J513" s="2"/>
      <c r="K513" s="2"/>
      <c r="L513" s="2"/>
      <c r="M513" s="2"/>
      <c r="N513" s="4"/>
      <c r="O513" s="4"/>
      <c r="P513" s="4"/>
      <c r="Q513" s="4"/>
      <c r="R513" s="5"/>
      <c r="S513" s="5"/>
      <c r="T513" s="4"/>
      <c r="U513" s="4"/>
      <c r="V513" s="4"/>
    </row>
    <row r="514">
      <c r="A514" s="4"/>
      <c r="B514" s="4"/>
      <c r="C514" s="5"/>
      <c r="D514" s="5"/>
      <c r="E514" s="4"/>
      <c r="F514" s="2"/>
      <c r="G514" s="2"/>
      <c r="H514" s="5"/>
      <c r="I514" s="5"/>
      <c r="J514" s="2"/>
      <c r="K514" s="2"/>
      <c r="L514" s="2"/>
      <c r="M514" s="2"/>
      <c r="N514" s="4"/>
      <c r="O514" s="4"/>
      <c r="P514" s="4"/>
      <c r="Q514" s="4"/>
      <c r="R514" s="5"/>
      <c r="S514" s="5"/>
      <c r="T514" s="4"/>
      <c r="U514" s="4"/>
      <c r="V514" s="4"/>
    </row>
    <row r="515">
      <c r="A515" s="4"/>
      <c r="B515" s="4"/>
      <c r="C515" s="5"/>
      <c r="D515" s="5"/>
      <c r="E515" s="4"/>
      <c r="F515" s="2"/>
      <c r="G515" s="2"/>
      <c r="H515" s="5"/>
      <c r="I515" s="5"/>
      <c r="J515" s="2"/>
      <c r="K515" s="2"/>
      <c r="L515" s="2"/>
      <c r="M515" s="2"/>
      <c r="N515" s="4"/>
      <c r="O515" s="4"/>
      <c r="P515" s="4"/>
      <c r="Q515" s="4"/>
      <c r="R515" s="5"/>
      <c r="S515" s="5"/>
      <c r="T515" s="4"/>
      <c r="U515" s="4"/>
      <c r="V515" s="4"/>
    </row>
    <row r="516">
      <c r="A516" s="4"/>
      <c r="B516" s="4"/>
      <c r="C516" s="5"/>
      <c r="D516" s="5"/>
      <c r="E516" s="4"/>
      <c r="F516" s="2"/>
      <c r="G516" s="2"/>
      <c r="H516" s="5"/>
      <c r="I516" s="5"/>
      <c r="J516" s="2"/>
      <c r="K516" s="2"/>
      <c r="L516" s="2"/>
      <c r="M516" s="2"/>
      <c r="N516" s="4"/>
      <c r="O516" s="4"/>
      <c r="P516" s="4"/>
      <c r="Q516" s="4"/>
      <c r="R516" s="5"/>
      <c r="S516" s="5"/>
      <c r="T516" s="4"/>
      <c r="U516" s="4"/>
      <c r="V516" s="4"/>
    </row>
    <row r="517">
      <c r="A517" s="4"/>
      <c r="B517" s="4"/>
      <c r="C517" s="5"/>
      <c r="D517" s="5"/>
      <c r="E517" s="4"/>
      <c r="F517" s="2"/>
      <c r="G517" s="2"/>
      <c r="H517" s="5"/>
      <c r="I517" s="5"/>
      <c r="J517" s="2"/>
      <c r="K517" s="2"/>
      <c r="L517" s="2"/>
      <c r="M517" s="2"/>
      <c r="N517" s="4"/>
      <c r="O517" s="4"/>
      <c r="P517" s="4"/>
      <c r="Q517" s="4"/>
      <c r="R517" s="5"/>
      <c r="S517" s="5"/>
      <c r="T517" s="4"/>
      <c r="U517" s="4"/>
      <c r="V517" s="4"/>
    </row>
    <row r="518">
      <c r="A518" s="4"/>
      <c r="B518" s="4"/>
      <c r="C518" s="5"/>
      <c r="D518" s="5"/>
      <c r="E518" s="4"/>
      <c r="F518" s="2"/>
      <c r="G518" s="2"/>
      <c r="H518" s="5"/>
      <c r="I518" s="5"/>
      <c r="J518" s="2"/>
      <c r="K518" s="2"/>
      <c r="L518" s="2"/>
      <c r="M518" s="2"/>
      <c r="N518" s="4"/>
      <c r="O518" s="4"/>
      <c r="P518" s="4"/>
      <c r="Q518" s="4"/>
      <c r="R518" s="5"/>
      <c r="S518" s="5"/>
      <c r="T518" s="4"/>
      <c r="U518" s="4"/>
      <c r="V518" s="4"/>
    </row>
    <row r="519">
      <c r="A519" s="4"/>
      <c r="B519" s="4"/>
      <c r="C519" s="5"/>
      <c r="D519" s="5"/>
      <c r="E519" s="4"/>
      <c r="F519" s="2"/>
      <c r="G519" s="2"/>
      <c r="H519" s="5"/>
      <c r="I519" s="5"/>
      <c r="J519" s="2"/>
      <c r="K519" s="2"/>
      <c r="L519" s="2"/>
      <c r="M519" s="2"/>
      <c r="N519" s="4"/>
      <c r="O519" s="4"/>
      <c r="P519" s="4"/>
      <c r="Q519" s="4"/>
      <c r="R519" s="5"/>
      <c r="S519" s="5"/>
      <c r="T519" s="4"/>
      <c r="U519" s="4"/>
      <c r="V519" s="4"/>
    </row>
    <row r="520">
      <c r="A520" s="4"/>
      <c r="B520" s="4"/>
      <c r="C520" s="5"/>
      <c r="D520" s="5"/>
      <c r="E520" s="4"/>
      <c r="F520" s="2"/>
      <c r="G520" s="2"/>
      <c r="H520" s="5"/>
      <c r="I520" s="5"/>
      <c r="J520" s="2"/>
      <c r="K520" s="2"/>
      <c r="L520" s="2"/>
      <c r="M520" s="2"/>
      <c r="N520" s="4"/>
      <c r="O520" s="4"/>
      <c r="P520" s="4"/>
      <c r="Q520" s="4"/>
      <c r="R520" s="5"/>
      <c r="S520" s="5"/>
      <c r="T520" s="4"/>
      <c r="U520" s="4"/>
      <c r="V520" s="4"/>
    </row>
    <row r="521">
      <c r="A521" s="4"/>
      <c r="B521" s="4"/>
      <c r="C521" s="5"/>
      <c r="D521" s="5"/>
      <c r="E521" s="4"/>
      <c r="F521" s="2"/>
      <c r="G521" s="2"/>
      <c r="H521" s="5"/>
      <c r="I521" s="5"/>
      <c r="J521" s="2"/>
      <c r="K521" s="2"/>
      <c r="L521" s="2"/>
      <c r="M521" s="2"/>
      <c r="N521" s="4"/>
      <c r="O521" s="4"/>
      <c r="P521" s="4"/>
      <c r="Q521" s="4"/>
      <c r="R521" s="5"/>
      <c r="S521" s="5"/>
      <c r="T521" s="4"/>
      <c r="U521" s="4"/>
      <c r="V521" s="4"/>
    </row>
    <row r="522">
      <c r="A522" s="4"/>
      <c r="B522" s="4"/>
      <c r="C522" s="5"/>
      <c r="D522" s="5"/>
      <c r="E522" s="4"/>
      <c r="F522" s="2"/>
      <c r="G522" s="2"/>
      <c r="H522" s="5"/>
      <c r="I522" s="5"/>
      <c r="J522" s="2"/>
      <c r="K522" s="2"/>
      <c r="L522" s="2"/>
      <c r="M522" s="2"/>
      <c r="N522" s="4"/>
      <c r="O522" s="4"/>
      <c r="P522" s="4"/>
      <c r="Q522" s="4"/>
      <c r="R522" s="5"/>
      <c r="S522" s="5"/>
      <c r="T522" s="4"/>
      <c r="U522" s="4"/>
      <c r="V522" s="4"/>
    </row>
    <row r="523">
      <c r="A523" s="4"/>
      <c r="B523" s="4"/>
      <c r="C523" s="5"/>
      <c r="D523" s="5"/>
      <c r="E523" s="4"/>
      <c r="F523" s="2"/>
      <c r="G523" s="2"/>
      <c r="H523" s="5"/>
      <c r="I523" s="5"/>
      <c r="J523" s="2"/>
      <c r="K523" s="2"/>
      <c r="L523" s="2"/>
      <c r="M523" s="2"/>
      <c r="N523" s="4"/>
      <c r="O523" s="4"/>
      <c r="P523" s="4"/>
      <c r="Q523" s="4"/>
      <c r="R523" s="5"/>
      <c r="S523" s="5"/>
      <c r="T523" s="4"/>
      <c r="U523" s="4"/>
      <c r="V523" s="4"/>
    </row>
    <row r="524">
      <c r="A524" s="4"/>
      <c r="B524" s="4"/>
      <c r="C524" s="5"/>
      <c r="D524" s="5"/>
      <c r="E524" s="4"/>
      <c r="F524" s="2"/>
      <c r="G524" s="2"/>
      <c r="H524" s="5"/>
      <c r="I524" s="5"/>
      <c r="J524" s="2"/>
      <c r="K524" s="2"/>
      <c r="L524" s="2"/>
      <c r="M524" s="2"/>
      <c r="N524" s="4"/>
      <c r="O524" s="4"/>
      <c r="P524" s="4"/>
      <c r="Q524" s="4"/>
      <c r="R524" s="5"/>
      <c r="S524" s="5"/>
      <c r="T524" s="4"/>
      <c r="U524" s="4"/>
      <c r="V524" s="4"/>
    </row>
    <row r="525">
      <c r="A525" s="4"/>
      <c r="B525" s="4"/>
      <c r="C525" s="5"/>
      <c r="D525" s="5"/>
      <c r="E525" s="4"/>
      <c r="F525" s="2"/>
      <c r="G525" s="2"/>
      <c r="H525" s="5"/>
      <c r="I525" s="5"/>
      <c r="J525" s="2"/>
      <c r="K525" s="2"/>
      <c r="L525" s="2"/>
      <c r="M525" s="2"/>
      <c r="N525" s="4"/>
      <c r="O525" s="4"/>
      <c r="P525" s="4"/>
      <c r="Q525" s="4"/>
      <c r="R525" s="5"/>
      <c r="S525" s="5"/>
      <c r="T525" s="4"/>
      <c r="U525" s="4"/>
      <c r="V525" s="4"/>
    </row>
    <row r="526">
      <c r="A526" s="4"/>
      <c r="B526" s="4"/>
      <c r="C526" s="5"/>
      <c r="D526" s="5"/>
      <c r="E526" s="4"/>
      <c r="F526" s="2"/>
      <c r="G526" s="2"/>
      <c r="H526" s="5"/>
      <c r="I526" s="5"/>
      <c r="J526" s="2"/>
      <c r="K526" s="2"/>
      <c r="L526" s="2"/>
      <c r="M526" s="2"/>
      <c r="N526" s="4"/>
      <c r="O526" s="4"/>
      <c r="P526" s="4"/>
      <c r="Q526" s="4"/>
      <c r="R526" s="5"/>
      <c r="S526" s="5"/>
      <c r="T526" s="4"/>
      <c r="U526" s="4"/>
      <c r="V526" s="4"/>
    </row>
    <row r="527">
      <c r="A527" s="4"/>
      <c r="B527" s="4"/>
      <c r="C527" s="5"/>
      <c r="D527" s="5"/>
      <c r="E527" s="4"/>
      <c r="F527" s="2"/>
      <c r="G527" s="2"/>
      <c r="H527" s="5"/>
      <c r="I527" s="5"/>
      <c r="J527" s="2"/>
      <c r="K527" s="2"/>
      <c r="L527" s="2"/>
      <c r="M527" s="2"/>
      <c r="N527" s="4"/>
      <c r="O527" s="4"/>
      <c r="P527" s="4"/>
      <c r="Q527" s="4"/>
      <c r="R527" s="5"/>
      <c r="S527" s="5"/>
      <c r="T527" s="4"/>
      <c r="U527" s="4"/>
      <c r="V527" s="4"/>
    </row>
    <row r="528">
      <c r="A528" s="4"/>
      <c r="B528" s="4"/>
      <c r="C528" s="5"/>
      <c r="D528" s="5"/>
      <c r="E528" s="4"/>
      <c r="F528" s="2"/>
      <c r="G528" s="2"/>
      <c r="H528" s="5"/>
      <c r="I528" s="5"/>
      <c r="J528" s="2"/>
      <c r="K528" s="2"/>
      <c r="L528" s="2"/>
      <c r="M528" s="2"/>
      <c r="N528" s="4"/>
      <c r="O528" s="4"/>
      <c r="P528" s="4"/>
      <c r="Q528" s="4"/>
      <c r="R528" s="5"/>
      <c r="S528" s="5"/>
      <c r="T528" s="4"/>
      <c r="U528" s="4"/>
      <c r="V528" s="4"/>
    </row>
    <row r="529">
      <c r="A529" s="4"/>
      <c r="B529" s="4"/>
      <c r="C529" s="5"/>
      <c r="D529" s="5"/>
      <c r="E529" s="4"/>
      <c r="F529" s="2"/>
      <c r="G529" s="2"/>
      <c r="H529" s="5"/>
      <c r="I529" s="5"/>
      <c r="J529" s="2"/>
      <c r="K529" s="2"/>
      <c r="L529" s="2"/>
      <c r="M529" s="2"/>
      <c r="N529" s="4"/>
      <c r="O529" s="4"/>
      <c r="P529" s="4"/>
      <c r="Q529" s="4"/>
      <c r="R529" s="5"/>
      <c r="S529" s="5"/>
      <c r="T529" s="4"/>
      <c r="U529" s="4"/>
      <c r="V529" s="4"/>
    </row>
    <row r="530">
      <c r="A530" s="4"/>
      <c r="B530" s="4"/>
      <c r="C530" s="5"/>
      <c r="D530" s="5"/>
      <c r="E530" s="4"/>
      <c r="F530" s="2"/>
      <c r="G530" s="2"/>
      <c r="H530" s="5"/>
      <c r="I530" s="5"/>
      <c r="J530" s="2"/>
      <c r="K530" s="2"/>
      <c r="L530" s="2"/>
      <c r="M530" s="2"/>
      <c r="N530" s="4"/>
      <c r="O530" s="4"/>
      <c r="P530" s="4"/>
      <c r="Q530" s="4"/>
      <c r="R530" s="5"/>
      <c r="S530" s="5"/>
      <c r="T530" s="4"/>
      <c r="U530" s="4"/>
      <c r="V530" s="4"/>
    </row>
    <row r="531">
      <c r="A531" s="4"/>
      <c r="B531" s="4"/>
      <c r="C531" s="5"/>
      <c r="D531" s="5"/>
      <c r="E531" s="4"/>
      <c r="F531" s="2"/>
      <c r="G531" s="2"/>
      <c r="H531" s="5"/>
      <c r="I531" s="5"/>
      <c r="J531" s="2"/>
      <c r="K531" s="2"/>
      <c r="L531" s="2"/>
      <c r="M531" s="2"/>
      <c r="N531" s="4"/>
      <c r="O531" s="4"/>
      <c r="P531" s="4"/>
      <c r="Q531" s="4"/>
      <c r="R531" s="5"/>
      <c r="S531" s="5"/>
      <c r="T531" s="4"/>
      <c r="U531" s="4"/>
      <c r="V531" s="4"/>
    </row>
    <row r="532">
      <c r="A532" s="4"/>
      <c r="B532" s="4"/>
      <c r="C532" s="5"/>
      <c r="D532" s="5"/>
      <c r="E532" s="4"/>
      <c r="F532" s="2"/>
      <c r="G532" s="2"/>
      <c r="H532" s="5"/>
      <c r="I532" s="5"/>
      <c r="J532" s="2"/>
      <c r="K532" s="2"/>
      <c r="L532" s="2"/>
      <c r="M532" s="2"/>
      <c r="N532" s="4"/>
      <c r="O532" s="4"/>
      <c r="P532" s="4"/>
      <c r="Q532" s="4"/>
      <c r="R532" s="5"/>
      <c r="S532" s="5"/>
      <c r="T532" s="4"/>
      <c r="U532" s="4"/>
      <c r="V532" s="4"/>
    </row>
    <row r="533">
      <c r="A533" s="4"/>
      <c r="B533" s="4"/>
      <c r="C533" s="5"/>
      <c r="D533" s="5"/>
      <c r="E533" s="4"/>
      <c r="F533" s="2"/>
      <c r="G533" s="2"/>
      <c r="H533" s="5"/>
      <c r="I533" s="5"/>
      <c r="J533" s="2"/>
      <c r="K533" s="2"/>
      <c r="L533" s="2"/>
      <c r="M533" s="2"/>
      <c r="N533" s="4"/>
      <c r="O533" s="4"/>
      <c r="P533" s="4"/>
      <c r="Q533" s="4"/>
      <c r="R533" s="5"/>
      <c r="S533" s="5"/>
      <c r="T533" s="4"/>
      <c r="U533" s="4"/>
      <c r="V533" s="4"/>
    </row>
    <row r="534">
      <c r="A534" s="4"/>
      <c r="B534" s="4"/>
      <c r="C534" s="5"/>
      <c r="D534" s="5"/>
      <c r="E534" s="4"/>
      <c r="F534" s="2"/>
      <c r="G534" s="2"/>
      <c r="H534" s="5"/>
      <c r="I534" s="5"/>
      <c r="J534" s="2"/>
      <c r="K534" s="2"/>
      <c r="L534" s="2"/>
      <c r="M534" s="2"/>
      <c r="N534" s="4"/>
      <c r="O534" s="4"/>
      <c r="P534" s="4"/>
      <c r="Q534" s="4"/>
      <c r="R534" s="5"/>
      <c r="S534" s="5"/>
      <c r="T534" s="4"/>
      <c r="U534" s="4"/>
      <c r="V534" s="4"/>
    </row>
    <row r="535">
      <c r="A535" s="4"/>
      <c r="B535" s="4"/>
      <c r="C535" s="5"/>
      <c r="D535" s="5"/>
      <c r="E535" s="4"/>
      <c r="F535" s="2"/>
      <c r="G535" s="2"/>
      <c r="H535" s="5"/>
      <c r="I535" s="5"/>
      <c r="J535" s="2"/>
      <c r="K535" s="2"/>
      <c r="L535" s="2"/>
      <c r="M535" s="2"/>
      <c r="N535" s="4"/>
      <c r="O535" s="4"/>
      <c r="P535" s="4"/>
      <c r="Q535" s="4"/>
      <c r="R535" s="5"/>
      <c r="S535" s="5"/>
      <c r="T535" s="4"/>
      <c r="U535" s="4"/>
      <c r="V535" s="4"/>
    </row>
    <row r="536">
      <c r="A536" s="4"/>
      <c r="B536" s="4"/>
      <c r="C536" s="5"/>
      <c r="D536" s="5"/>
      <c r="E536" s="4"/>
      <c r="F536" s="2"/>
      <c r="G536" s="2"/>
      <c r="H536" s="5"/>
      <c r="I536" s="5"/>
      <c r="J536" s="2"/>
      <c r="K536" s="2"/>
      <c r="L536" s="2"/>
      <c r="M536" s="2"/>
      <c r="N536" s="4"/>
      <c r="O536" s="4"/>
      <c r="P536" s="4"/>
      <c r="Q536" s="4"/>
      <c r="R536" s="5"/>
      <c r="S536" s="5"/>
      <c r="T536" s="4"/>
      <c r="U536" s="4"/>
      <c r="V536" s="4"/>
    </row>
    <row r="537">
      <c r="A537" s="4"/>
      <c r="B537" s="4"/>
      <c r="C537" s="5"/>
      <c r="D537" s="5"/>
      <c r="E537" s="4"/>
      <c r="F537" s="2"/>
      <c r="G537" s="2"/>
      <c r="H537" s="5"/>
      <c r="I537" s="5"/>
      <c r="J537" s="2"/>
      <c r="K537" s="2"/>
      <c r="L537" s="2"/>
      <c r="M537" s="2"/>
      <c r="N537" s="4"/>
      <c r="O537" s="4"/>
      <c r="P537" s="4"/>
      <c r="Q537" s="4"/>
      <c r="R537" s="5"/>
      <c r="S537" s="5"/>
      <c r="T537" s="4"/>
      <c r="U537" s="4"/>
      <c r="V537" s="4"/>
    </row>
    <row r="538">
      <c r="A538" s="4"/>
      <c r="B538" s="4"/>
      <c r="C538" s="5"/>
      <c r="D538" s="5"/>
      <c r="E538" s="4"/>
      <c r="F538" s="2"/>
      <c r="G538" s="2"/>
      <c r="H538" s="5"/>
      <c r="I538" s="5"/>
      <c r="J538" s="2"/>
      <c r="K538" s="2"/>
      <c r="L538" s="2"/>
      <c r="M538" s="2"/>
      <c r="N538" s="4"/>
      <c r="O538" s="4"/>
      <c r="P538" s="4"/>
      <c r="Q538" s="4"/>
      <c r="R538" s="5"/>
      <c r="S538" s="5"/>
      <c r="T538" s="4"/>
      <c r="U538" s="4"/>
      <c r="V538" s="4"/>
    </row>
    <row r="539">
      <c r="A539" s="4"/>
      <c r="B539" s="4"/>
      <c r="C539" s="5"/>
      <c r="D539" s="5"/>
      <c r="E539" s="4"/>
      <c r="F539" s="2"/>
      <c r="G539" s="2"/>
      <c r="H539" s="5"/>
      <c r="I539" s="5"/>
      <c r="J539" s="2"/>
      <c r="K539" s="2"/>
      <c r="L539" s="2"/>
      <c r="M539" s="2"/>
      <c r="N539" s="4"/>
      <c r="O539" s="4"/>
      <c r="P539" s="4"/>
      <c r="Q539" s="4"/>
      <c r="R539" s="5"/>
      <c r="S539" s="5"/>
      <c r="T539" s="4"/>
      <c r="U539" s="4"/>
      <c r="V539" s="4"/>
    </row>
    <row r="540">
      <c r="A540" s="4"/>
      <c r="B540" s="4"/>
      <c r="C540" s="5"/>
      <c r="D540" s="5"/>
      <c r="E540" s="4"/>
      <c r="F540" s="2"/>
      <c r="G540" s="2"/>
      <c r="H540" s="5"/>
      <c r="I540" s="5"/>
      <c r="J540" s="2"/>
      <c r="K540" s="2"/>
      <c r="L540" s="2"/>
      <c r="M540" s="2"/>
      <c r="N540" s="4"/>
      <c r="O540" s="4"/>
      <c r="P540" s="4"/>
      <c r="Q540" s="4"/>
      <c r="R540" s="5"/>
      <c r="S540" s="5"/>
      <c r="T540" s="4"/>
      <c r="U540" s="4"/>
      <c r="V540" s="4"/>
    </row>
    <row r="541">
      <c r="A541" s="4"/>
      <c r="B541" s="4"/>
      <c r="C541" s="5"/>
      <c r="D541" s="5"/>
      <c r="E541" s="4"/>
      <c r="F541" s="2"/>
      <c r="G541" s="2"/>
      <c r="H541" s="5"/>
      <c r="I541" s="5"/>
      <c r="J541" s="2"/>
      <c r="K541" s="2"/>
      <c r="L541" s="2"/>
      <c r="M541" s="2"/>
      <c r="N541" s="4"/>
      <c r="O541" s="4"/>
      <c r="P541" s="4"/>
      <c r="Q541" s="4"/>
      <c r="R541" s="5"/>
      <c r="S541" s="5"/>
      <c r="T541" s="4"/>
      <c r="U541" s="4"/>
      <c r="V541" s="4"/>
    </row>
    <row r="542">
      <c r="A542" s="4"/>
      <c r="B542" s="4"/>
      <c r="C542" s="5"/>
      <c r="D542" s="5"/>
      <c r="E542" s="4"/>
      <c r="F542" s="2"/>
      <c r="G542" s="2"/>
      <c r="H542" s="5"/>
      <c r="I542" s="5"/>
      <c r="J542" s="2"/>
      <c r="K542" s="2"/>
      <c r="L542" s="2"/>
      <c r="M542" s="2"/>
      <c r="N542" s="4"/>
      <c r="O542" s="4"/>
      <c r="P542" s="4"/>
      <c r="Q542" s="4"/>
      <c r="R542" s="5"/>
      <c r="S542" s="5"/>
      <c r="T542" s="4"/>
      <c r="U542" s="4"/>
      <c r="V542" s="4"/>
    </row>
    <row r="543">
      <c r="A543" s="4"/>
      <c r="B543" s="4"/>
      <c r="C543" s="5"/>
      <c r="D543" s="5"/>
      <c r="E543" s="4"/>
      <c r="F543" s="2"/>
      <c r="G543" s="2"/>
      <c r="H543" s="5"/>
      <c r="I543" s="5"/>
      <c r="J543" s="2"/>
      <c r="K543" s="2"/>
      <c r="L543" s="2"/>
      <c r="M543" s="2"/>
      <c r="N543" s="4"/>
      <c r="O543" s="4"/>
      <c r="P543" s="4"/>
      <c r="Q543" s="4"/>
      <c r="R543" s="5"/>
      <c r="S543" s="5"/>
      <c r="T543" s="4"/>
      <c r="U543" s="4"/>
      <c r="V543" s="4"/>
    </row>
    <row r="544">
      <c r="A544" s="4"/>
      <c r="B544" s="4"/>
      <c r="C544" s="5"/>
      <c r="D544" s="5"/>
      <c r="E544" s="4"/>
      <c r="F544" s="2"/>
      <c r="G544" s="2"/>
      <c r="H544" s="5"/>
      <c r="I544" s="5"/>
      <c r="J544" s="2"/>
      <c r="K544" s="2"/>
      <c r="L544" s="2"/>
      <c r="M544" s="2"/>
      <c r="N544" s="4"/>
      <c r="O544" s="4"/>
      <c r="P544" s="4"/>
      <c r="Q544" s="4"/>
      <c r="R544" s="5"/>
      <c r="S544" s="5"/>
      <c r="T544" s="4"/>
      <c r="U544" s="4"/>
      <c r="V544" s="4"/>
    </row>
    <row r="545">
      <c r="A545" s="4"/>
      <c r="B545" s="4"/>
      <c r="C545" s="5"/>
      <c r="D545" s="5"/>
      <c r="E545" s="4"/>
      <c r="F545" s="2"/>
      <c r="G545" s="2"/>
      <c r="H545" s="5"/>
      <c r="I545" s="5"/>
      <c r="J545" s="2"/>
      <c r="K545" s="2"/>
      <c r="L545" s="2"/>
      <c r="M545" s="2"/>
      <c r="N545" s="4"/>
      <c r="O545" s="4"/>
      <c r="P545" s="4"/>
      <c r="Q545" s="4"/>
      <c r="R545" s="5"/>
      <c r="S545" s="5"/>
      <c r="T545" s="4"/>
      <c r="U545" s="4"/>
      <c r="V545" s="4"/>
    </row>
    <row r="546">
      <c r="A546" s="4"/>
      <c r="B546" s="4"/>
      <c r="C546" s="5"/>
      <c r="D546" s="5"/>
      <c r="E546" s="4"/>
      <c r="F546" s="2"/>
      <c r="G546" s="2"/>
      <c r="H546" s="5"/>
      <c r="I546" s="5"/>
      <c r="J546" s="2"/>
      <c r="K546" s="2"/>
      <c r="L546" s="2"/>
      <c r="M546" s="2"/>
      <c r="N546" s="4"/>
      <c r="O546" s="4"/>
      <c r="P546" s="4"/>
      <c r="Q546" s="4"/>
      <c r="R546" s="5"/>
      <c r="S546" s="5"/>
      <c r="T546" s="4"/>
      <c r="U546" s="4"/>
      <c r="V546" s="4"/>
    </row>
    <row r="547">
      <c r="A547" s="4"/>
      <c r="B547" s="4"/>
      <c r="C547" s="5"/>
      <c r="D547" s="5"/>
      <c r="E547" s="4"/>
      <c r="F547" s="2"/>
      <c r="G547" s="2"/>
      <c r="H547" s="5"/>
      <c r="I547" s="5"/>
      <c r="J547" s="2"/>
      <c r="K547" s="2"/>
      <c r="L547" s="2"/>
      <c r="M547" s="2"/>
      <c r="N547" s="4"/>
      <c r="O547" s="4"/>
      <c r="P547" s="4"/>
      <c r="Q547" s="4"/>
      <c r="R547" s="5"/>
      <c r="S547" s="5"/>
      <c r="T547" s="4"/>
      <c r="U547" s="4"/>
      <c r="V547" s="4"/>
    </row>
    <row r="548">
      <c r="A548" s="4"/>
      <c r="B548" s="4"/>
      <c r="C548" s="5"/>
      <c r="D548" s="5"/>
      <c r="E548" s="4"/>
      <c r="F548" s="2"/>
      <c r="G548" s="2"/>
      <c r="H548" s="5"/>
      <c r="I548" s="5"/>
      <c r="J548" s="2"/>
      <c r="K548" s="2"/>
      <c r="L548" s="2"/>
      <c r="M548" s="2"/>
      <c r="N548" s="4"/>
      <c r="O548" s="4"/>
      <c r="P548" s="4"/>
      <c r="Q548" s="4"/>
      <c r="R548" s="5"/>
      <c r="S548" s="5"/>
      <c r="T548" s="4"/>
      <c r="U548" s="4"/>
      <c r="V548" s="4"/>
    </row>
    <row r="549">
      <c r="A549" s="4"/>
      <c r="B549" s="4"/>
      <c r="C549" s="5"/>
      <c r="D549" s="5"/>
      <c r="E549" s="4"/>
      <c r="F549" s="2"/>
      <c r="G549" s="2"/>
      <c r="H549" s="5"/>
      <c r="I549" s="5"/>
      <c r="J549" s="2"/>
      <c r="K549" s="2"/>
      <c r="L549" s="2"/>
      <c r="M549" s="2"/>
      <c r="N549" s="4"/>
      <c r="O549" s="4"/>
      <c r="P549" s="4"/>
      <c r="Q549" s="4"/>
      <c r="R549" s="5"/>
      <c r="S549" s="5"/>
      <c r="T549" s="4"/>
      <c r="U549" s="4"/>
      <c r="V549" s="4"/>
    </row>
    <row r="550">
      <c r="A550" s="4"/>
      <c r="B550" s="4"/>
      <c r="C550" s="5"/>
      <c r="D550" s="5"/>
      <c r="E550" s="4"/>
      <c r="F550" s="2"/>
      <c r="G550" s="2"/>
      <c r="H550" s="5"/>
      <c r="I550" s="5"/>
      <c r="J550" s="2"/>
      <c r="K550" s="2"/>
      <c r="L550" s="2"/>
      <c r="M550" s="2"/>
      <c r="N550" s="4"/>
      <c r="O550" s="4"/>
      <c r="P550" s="4"/>
      <c r="Q550" s="4"/>
      <c r="R550" s="5"/>
      <c r="S550" s="5"/>
      <c r="T550" s="4"/>
      <c r="U550" s="4"/>
      <c r="V550" s="4"/>
    </row>
    <row r="551">
      <c r="A551" s="4"/>
      <c r="B551" s="4"/>
      <c r="C551" s="5"/>
      <c r="D551" s="5"/>
      <c r="E551" s="4"/>
      <c r="F551" s="2"/>
      <c r="G551" s="2"/>
      <c r="H551" s="5"/>
      <c r="I551" s="5"/>
      <c r="J551" s="2"/>
      <c r="K551" s="2"/>
      <c r="L551" s="2"/>
      <c r="M551" s="2"/>
      <c r="N551" s="4"/>
      <c r="O551" s="4"/>
      <c r="P551" s="4"/>
      <c r="Q551" s="4"/>
      <c r="R551" s="5"/>
      <c r="S551" s="5"/>
      <c r="T551" s="4"/>
      <c r="U551" s="4"/>
      <c r="V551" s="4"/>
    </row>
    <row r="552">
      <c r="A552" s="4"/>
      <c r="B552" s="4"/>
      <c r="C552" s="5"/>
      <c r="D552" s="5"/>
      <c r="E552" s="4"/>
      <c r="F552" s="2"/>
      <c r="G552" s="2"/>
      <c r="H552" s="5"/>
      <c r="I552" s="5"/>
      <c r="J552" s="2"/>
      <c r="K552" s="2"/>
      <c r="L552" s="2"/>
      <c r="M552" s="2"/>
      <c r="N552" s="4"/>
      <c r="O552" s="4"/>
      <c r="P552" s="4"/>
      <c r="Q552" s="4"/>
      <c r="R552" s="5"/>
      <c r="S552" s="5"/>
      <c r="T552" s="4"/>
      <c r="U552" s="4"/>
      <c r="V552" s="4"/>
    </row>
    <row r="553">
      <c r="A553" s="4"/>
      <c r="B553" s="4"/>
      <c r="C553" s="5"/>
      <c r="D553" s="5"/>
      <c r="E553" s="4"/>
      <c r="F553" s="2"/>
      <c r="G553" s="2"/>
      <c r="H553" s="5"/>
      <c r="I553" s="5"/>
      <c r="J553" s="2"/>
      <c r="K553" s="2"/>
      <c r="L553" s="2"/>
      <c r="M553" s="2"/>
      <c r="N553" s="4"/>
      <c r="O553" s="4"/>
      <c r="P553" s="4"/>
      <c r="Q553" s="4"/>
      <c r="R553" s="5"/>
      <c r="S553" s="5"/>
      <c r="T553" s="4"/>
      <c r="U553" s="4"/>
      <c r="V553" s="4"/>
    </row>
    <row r="554">
      <c r="A554" s="4"/>
      <c r="B554" s="4"/>
      <c r="C554" s="5"/>
      <c r="D554" s="5"/>
      <c r="E554" s="4"/>
      <c r="F554" s="2"/>
      <c r="G554" s="2"/>
      <c r="H554" s="5"/>
      <c r="I554" s="5"/>
      <c r="J554" s="2"/>
      <c r="K554" s="2"/>
      <c r="L554" s="2"/>
      <c r="M554" s="2"/>
      <c r="N554" s="4"/>
      <c r="O554" s="4"/>
      <c r="P554" s="4"/>
      <c r="Q554" s="4"/>
      <c r="R554" s="5"/>
      <c r="S554" s="5"/>
      <c r="T554" s="4"/>
      <c r="U554" s="4"/>
      <c r="V554" s="4"/>
    </row>
    <row r="555">
      <c r="A555" s="4"/>
      <c r="B555" s="4"/>
      <c r="C555" s="5"/>
      <c r="D555" s="5"/>
      <c r="E555" s="4"/>
      <c r="F555" s="2"/>
      <c r="G555" s="2"/>
      <c r="H555" s="5"/>
      <c r="I555" s="5"/>
      <c r="J555" s="2"/>
      <c r="K555" s="2"/>
      <c r="L555" s="2"/>
      <c r="M555" s="2"/>
      <c r="N555" s="4"/>
      <c r="O555" s="4"/>
      <c r="P555" s="4"/>
      <c r="Q555" s="4"/>
      <c r="R555" s="5"/>
      <c r="S555" s="5"/>
      <c r="T555" s="4"/>
      <c r="U555" s="4"/>
      <c r="V555" s="4"/>
    </row>
    <row r="556">
      <c r="A556" s="4"/>
      <c r="B556" s="4"/>
      <c r="C556" s="5"/>
      <c r="D556" s="5"/>
      <c r="E556" s="4"/>
      <c r="F556" s="2"/>
      <c r="G556" s="2"/>
      <c r="H556" s="5"/>
      <c r="I556" s="5"/>
      <c r="J556" s="2"/>
      <c r="K556" s="2"/>
      <c r="L556" s="2"/>
      <c r="M556" s="2"/>
      <c r="N556" s="4"/>
      <c r="O556" s="4"/>
      <c r="P556" s="4"/>
      <c r="Q556" s="4"/>
      <c r="R556" s="5"/>
      <c r="S556" s="5"/>
      <c r="T556" s="4"/>
      <c r="U556" s="4"/>
      <c r="V556" s="4"/>
    </row>
    <row r="557">
      <c r="A557" s="4"/>
      <c r="B557" s="4"/>
      <c r="C557" s="5"/>
      <c r="D557" s="5"/>
      <c r="E557" s="4"/>
      <c r="F557" s="2"/>
      <c r="G557" s="2"/>
      <c r="H557" s="5"/>
      <c r="I557" s="5"/>
      <c r="J557" s="2"/>
      <c r="K557" s="2"/>
      <c r="L557" s="2"/>
      <c r="M557" s="2"/>
      <c r="N557" s="4"/>
      <c r="O557" s="4"/>
      <c r="P557" s="4"/>
      <c r="Q557" s="4"/>
      <c r="R557" s="5"/>
      <c r="S557" s="5"/>
      <c r="T557" s="4"/>
      <c r="U557" s="4"/>
      <c r="V557" s="4"/>
    </row>
    <row r="558">
      <c r="A558" s="4"/>
      <c r="B558" s="4"/>
      <c r="C558" s="5"/>
      <c r="D558" s="5"/>
      <c r="E558" s="4"/>
      <c r="F558" s="2"/>
      <c r="G558" s="2"/>
      <c r="H558" s="5"/>
      <c r="I558" s="5"/>
      <c r="J558" s="2"/>
      <c r="K558" s="2"/>
      <c r="L558" s="2"/>
      <c r="M558" s="2"/>
      <c r="N558" s="4"/>
      <c r="O558" s="4"/>
      <c r="P558" s="4"/>
      <c r="Q558" s="4"/>
      <c r="R558" s="5"/>
      <c r="S558" s="5"/>
      <c r="T558" s="4"/>
      <c r="U558" s="4"/>
      <c r="V558" s="4"/>
    </row>
    <row r="559">
      <c r="A559" s="4"/>
      <c r="B559" s="4"/>
      <c r="C559" s="5"/>
      <c r="D559" s="5"/>
      <c r="E559" s="4"/>
      <c r="F559" s="2"/>
      <c r="G559" s="2"/>
      <c r="H559" s="5"/>
      <c r="I559" s="5"/>
      <c r="J559" s="2"/>
      <c r="K559" s="2"/>
      <c r="L559" s="2"/>
      <c r="M559" s="2"/>
      <c r="N559" s="4"/>
      <c r="O559" s="4"/>
      <c r="P559" s="4"/>
      <c r="Q559" s="4"/>
      <c r="R559" s="5"/>
      <c r="S559" s="5"/>
      <c r="T559" s="4"/>
      <c r="U559" s="4"/>
      <c r="V559" s="4"/>
    </row>
    <row r="560">
      <c r="A560" s="4"/>
      <c r="B560" s="4"/>
      <c r="C560" s="5"/>
      <c r="D560" s="5"/>
      <c r="E560" s="4"/>
      <c r="F560" s="2"/>
      <c r="G560" s="2"/>
      <c r="H560" s="5"/>
      <c r="I560" s="5"/>
      <c r="J560" s="2"/>
      <c r="K560" s="2"/>
      <c r="L560" s="2"/>
      <c r="M560" s="2"/>
      <c r="N560" s="4"/>
      <c r="O560" s="4"/>
      <c r="P560" s="4"/>
      <c r="Q560" s="4"/>
      <c r="R560" s="5"/>
      <c r="S560" s="5"/>
      <c r="T560" s="4"/>
      <c r="U560" s="4"/>
      <c r="V560" s="4"/>
    </row>
    <row r="561">
      <c r="A561" s="4"/>
      <c r="B561" s="4"/>
      <c r="C561" s="5"/>
      <c r="D561" s="5"/>
      <c r="E561" s="4"/>
      <c r="F561" s="2"/>
      <c r="G561" s="2"/>
      <c r="H561" s="5"/>
      <c r="I561" s="5"/>
      <c r="J561" s="2"/>
      <c r="K561" s="2"/>
      <c r="L561" s="2"/>
      <c r="M561" s="2"/>
      <c r="N561" s="4"/>
      <c r="O561" s="4"/>
      <c r="P561" s="4"/>
      <c r="Q561" s="4"/>
      <c r="R561" s="5"/>
      <c r="S561" s="5"/>
      <c r="T561" s="4"/>
      <c r="U561" s="4"/>
      <c r="V561" s="4"/>
    </row>
    <row r="562">
      <c r="A562" s="4"/>
      <c r="B562" s="4"/>
      <c r="C562" s="5"/>
      <c r="D562" s="5"/>
      <c r="E562" s="4"/>
      <c r="F562" s="2"/>
      <c r="G562" s="2"/>
      <c r="H562" s="5"/>
      <c r="I562" s="5"/>
      <c r="J562" s="2"/>
      <c r="K562" s="2"/>
      <c r="L562" s="2"/>
      <c r="M562" s="2"/>
      <c r="N562" s="4"/>
      <c r="O562" s="4"/>
      <c r="P562" s="4"/>
      <c r="Q562" s="4"/>
      <c r="R562" s="5"/>
      <c r="S562" s="5"/>
      <c r="T562" s="4"/>
      <c r="U562" s="4"/>
      <c r="V562" s="4"/>
    </row>
    <row r="563">
      <c r="A563" s="4"/>
      <c r="B563" s="4"/>
      <c r="C563" s="5"/>
      <c r="D563" s="5"/>
      <c r="E563" s="4"/>
      <c r="F563" s="2"/>
      <c r="G563" s="2"/>
      <c r="H563" s="5"/>
      <c r="I563" s="5"/>
      <c r="J563" s="2"/>
      <c r="K563" s="2"/>
      <c r="L563" s="2"/>
      <c r="M563" s="2"/>
      <c r="N563" s="4"/>
      <c r="O563" s="4"/>
      <c r="P563" s="4"/>
      <c r="Q563" s="4"/>
      <c r="R563" s="5"/>
      <c r="S563" s="5"/>
      <c r="T563" s="4"/>
      <c r="U563" s="4"/>
      <c r="V563" s="4"/>
    </row>
    <row r="564">
      <c r="A564" s="4"/>
      <c r="B564" s="4"/>
      <c r="C564" s="5"/>
      <c r="D564" s="5"/>
      <c r="E564" s="4"/>
      <c r="F564" s="2"/>
      <c r="G564" s="2"/>
      <c r="H564" s="5"/>
      <c r="I564" s="5"/>
      <c r="J564" s="2"/>
      <c r="K564" s="2"/>
      <c r="L564" s="2"/>
      <c r="M564" s="2"/>
      <c r="N564" s="4"/>
      <c r="O564" s="4"/>
      <c r="P564" s="4"/>
      <c r="Q564" s="4"/>
      <c r="R564" s="5"/>
      <c r="S564" s="5"/>
      <c r="T564" s="4"/>
      <c r="U564" s="4"/>
      <c r="V564" s="4"/>
    </row>
    <row r="565">
      <c r="A565" s="4"/>
      <c r="B565" s="4"/>
      <c r="C565" s="5"/>
      <c r="D565" s="5"/>
      <c r="E565" s="4"/>
      <c r="F565" s="2"/>
      <c r="G565" s="2"/>
      <c r="H565" s="5"/>
      <c r="I565" s="5"/>
      <c r="J565" s="2"/>
      <c r="K565" s="2"/>
      <c r="L565" s="2"/>
      <c r="M565" s="2"/>
      <c r="N565" s="4"/>
      <c r="O565" s="4"/>
      <c r="P565" s="4"/>
      <c r="Q565" s="4"/>
      <c r="R565" s="5"/>
      <c r="S565" s="5"/>
      <c r="T565" s="4"/>
      <c r="U565" s="4"/>
      <c r="V565" s="4"/>
    </row>
    <row r="566">
      <c r="A566" s="4"/>
      <c r="B566" s="4"/>
      <c r="C566" s="5"/>
      <c r="D566" s="5"/>
      <c r="E566" s="4"/>
      <c r="F566" s="2"/>
      <c r="G566" s="2"/>
      <c r="H566" s="5"/>
      <c r="I566" s="5"/>
      <c r="J566" s="2"/>
      <c r="K566" s="2"/>
      <c r="L566" s="2"/>
      <c r="M566" s="2"/>
      <c r="N566" s="4"/>
      <c r="O566" s="4"/>
      <c r="P566" s="4"/>
      <c r="Q566" s="4"/>
      <c r="R566" s="5"/>
      <c r="S566" s="5"/>
      <c r="T566" s="4"/>
      <c r="U566" s="4"/>
      <c r="V566" s="4"/>
    </row>
    <row r="567">
      <c r="A567" s="4"/>
      <c r="B567" s="4"/>
      <c r="C567" s="5"/>
      <c r="D567" s="5"/>
      <c r="E567" s="4"/>
      <c r="F567" s="2"/>
      <c r="G567" s="2"/>
      <c r="H567" s="5"/>
      <c r="I567" s="5"/>
      <c r="J567" s="2"/>
      <c r="K567" s="2"/>
      <c r="L567" s="2"/>
      <c r="M567" s="2"/>
      <c r="N567" s="4"/>
      <c r="O567" s="4"/>
      <c r="P567" s="4"/>
      <c r="Q567" s="4"/>
      <c r="R567" s="5"/>
      <c r="S567" s="5"/>
      <c r="T567" s="4"/>
      <c r="U567" s="4"/>
      <c r="V567" s="4"/>
    </row>
    <row r="568">
      <c r="A568" s="4"/>
      <c r="B568" s="4"/>
      <c r="C568" s="5"/>
      <c r="D568" s="5"/>
      <c r="E568" s="4"/>
      <c r="F568" s="2"/>
      <c r="G568" s="2"/>
      <c r="H568" s="5"/>
      <c r="I568" s="5"/>
      <c r="J568" s="2"/>
      <c r="K568" s="2"/>
      <c r="L568" s="2"/>
      <c r="M568" s="2"/>
      <c r="N568" s="4"/>
      <c r="O568" s="4"/>
      <c r="P568" s="4"/>
      <c r="Q568" s="4"/>
      <c r="R568" s="5"/>
      <c r="S568" s="5"/>
      <c r="T568" s="4"/>
      <c r="U568" s="4"/>
      <c r="V568" s="4"/>
    </row>
    <row r="569">
      <c r="A569" s="4"/>
      <c r="B569" s="4"/>
      <c r="C569" s="5"/>
      <c r="D569" s="5"/>
      <c r="E569" s="4"/>
      <c r="F569" s="2"/>
      <c r="G569" s="2"/>
      <c r="H569" s="5"/>
      <c r="I569" s="5"/>
      <c r="J569" s="2"/>
      <c r="K569" s="2"/>
      <c r="L569" s="2"/>
      <c r="M569" s="2"/>
      <c r="N569" s="4"/>
      <c r="O569" s="4"/>
      <c r="P569" s="4"/>
      <c r="Q569" s="4"/>
      <c r="R569" s="5"/>
      <c r="S569" s="5"/>
      <c r="T569" s="4"/>
      <c r="U569" s="4"/>
      <c r="V569" s="4"/>
    </row>
    <row r="570">
      <c r="A570" s="4"/>
      <c r="B570" s="4"/>
      <c r="C570" s="5"/>
      <c r="D570" s="5"/>
      <c r="E570" s="4"/>
      <c r="F570" s="2"/>
      <c r="G570" s="2"/>
      <c r="H570" s="5"/>
      <c r="I570" s="5"/>
      <c r="J570" s="2"/>
      <c r="K570" s="2"/>
      <c r="L570" s="2"/>
      <c r="M570" s="2"/>
      <c r="N570" s="4"/>
      <c r="O570" s="4"/>
      <c r="P570" s="4"/>
      <c r="Q570" s="4"/>
      <c r="R570" s="5"/>
      <c r="S570" s="5"/>
      <c r="T570" s="4"/>
      <c r="U570" s="4"/>
      <c r="V570" s="4"/>
    </row>
    <row r="571">
      <c r="A571" s="4"/>
      <c r="B571" s="4"/>
      <c r="C571" s="5"/>
      <c r="D571" s="5"/>
      <c r="E571" s="4"/>
      <c r="F571" s="2"/>
      <c r="G571" s="2"/>
      <c r="H571" s="5"/>
      <c r="I571" s="5"/>
      <c r="J571" s="2"/>
      <c r="K571" s="2"/>
      <c r="L571" s="2"/>
      <c r="M571" s="2"/>
      <c r="N571" s="4"/>
      <c r="O571" s="4"/>
      <c r="P571" s="4"/>
      <c r="Q571" s="4"/>
      <c r="R571" s="5"/>
      <c r="S571" s="5"/>
      <c r="T571" s="4"/>
      <c r="U571" s="4"/>
      <c r="V571" s="4"/>
    </row>
    <row r="572">
      <c r="A572" s="4"/>
      <c r="B572" s="4"/>
      <c r="C572" s="5"/>
      <c r="D572" s="5"/>
      <c r="E572" s="4"/>
      <c r="F572" s="2"/>
      <c r="G572" s="2"/>
      <c r="H572" s="5"/>
      <c r="I572" s="5"/>
      <c r="J572" s="2"/>
      <c r="K572" s="2"/>
      <c r="L572" s="2"/>
      <c r="M572" s="2"/>
      <c r="N572" s="4"/>
      <c r="O572" s="4"/>
      <c r="P572" s="4"/>
      <c r="Q572" s="4"/>
      <c r="R572" s="5"/>
      <c r="S572" s="5"/>
      <c r="T572" s="4"/>
      <c r="U572" s="4"/>
      <c r="V572" s="4"/>
    </row>
    <row r="573">
      <c r="A573" s="4"/>
      <c r="B573" s="4"/>
      <c r="C573" s="5"/>
      <c r="D573" s="5"/>
      <c r="E573" s="4"/>
      <c r="F573" s="2"/>
      <c r="G573" s="2"/>
      <c r="H573" s="5"/>
      <c r="I573" s="5"/>
      <c r="J573" s="2"/>
      <c r="K573" s="2"/>
      <c r="L573" s="2"/>
      <c r="M573" s="2"/>
      <c r="N573" s="4"/>
      <c r="O573" s="4"/>
      <c r="P573" s="4"/>
      <c r="Q573" s="4"/>
      <c r="R573" s="5"/>
      <c r="S573" s="5"/>
      <c r="T573" s="4"/>
      <c r="U573" s="4"/>
      <c r="V573" s="4"/>
    </row>
    <row r="574">
      <c r="A574" s="4"/>
      <c r="B574" s="4"/>
      <c r="C574" s="5"/>
      <c r="D574" s="5"/>
      <c r="E574" s="4"/>
      <c r="F574" s="2"/>
      <c r="G574" s="2"/>
      <c r="H574" s="5"/>
      <c r="I574" s="5"/>
      <c r="J574" s="2"/>
      <c r="K574" s="2"/>
      <c r="L574" s="2"/>
      <c r="M574" s="2"/>
      <c r="N574" s="4"/>
      <c r="O574" s="4"/>
      <c r="P574" s="4"/>
      <c r="Q574" s="4"/>
      <c r="R574" s="5"/>
      <c r="S574" s="5"/>
      <c r="T574" s="4"/>
      <c r="U574" s="4"/>
      <c r="V574" s="4"/>
    </row>
    <row r="575">
      <c r="A575" s="4"/>
      <c r="B575" s="4"/>
      <c r="C575" s="5"/>
      <c r="D575" s="5"/>
      <c r="E575" s="4"/>
      <c r="F575" s="2"/>
      <c r="G575" s="2"/>
      <c r="H575" s="5"/>
      <c r="I575" s="5"/>
      <c r="J575" s="2"/>
      <c r="K575" s="2"/>
      <c r="L575" s="2"/>
      <c r="M575" s="2"/>
      <c r="N575" s="4"/>
      <c r="O575" s="4"/>
      <c r="P575" s="4"/>
      <c r="Q575" s="4"/>
      <c r="R575" s="5"/>
      <c r="S575" s="5"/>
      <c r="T575" s="4"/>
      <c r="U575" s="4"/>
      <c r="V575" s="4"/>
    </row>
    <row r="576">
      <c r="A576" s="4"/>
      <c r="B576" s="4"/>
      <c r="C576" s="5"/>
      <c r="D576" s="5"/>
      <c r="E576" s="4"/>
      <c r="F576" s="2"/>
      <c r="G576" s="2"/>
      <c r="H576" s="5"/>
      <c r="I576" s="5"/>
      <c r="J576" s="2"/>
      <c r="K576" s="2"/>
      <c r="L576" s="2"/>
      <c r="M576" s="2"/>
      <c r="N576" s="4"/>
      <c r="O576" s="4"/>
      <c r="P576" s="4"/>
      <c r="Q576" s="4"/>
      <c r="R576" s="5"/>
      <c r="S576" s="5"/>
      <c r="T576" s="4"/>
      <c r="U576" s="4"/>
      <c r="V576" s="4"/>
    </row>
    <row r="577">
      <c r="A577" s="4"/>
      <c r="B577" s="4"/>
      <c r="C577" s="5"/>
      <c r="D577" s="5"/>
      <c r="E577" s="4"/>
      <c r="F577" s="2"/>
      <c r="G577" s="2"/>
      <c r="H577" s="5"/>
      <c r="I577" s="5"/>
      <c r="J577" s="2"/>
      <c r="K577" s="2"/>
      <c r="L577" s="2"/>
      <c r="M577" s="2"/>
      <c r="N577" s="4"/>
      <c r="O577" s="4"/>
      <c r="P577" s="4"/>
      <c r="Q577" s="4"/>
      <c r="R577" s="5"/>
      <c r="S577" s="5"/>
      <c r="T577" s="4"/>
      <c r="U577" s="4"/>
      <c r="V577" s="4"/>
    </row>
    <row r="578">
      <c r="A578" s="4"/>
      <c r="B578" s="4"/>
      <c r="C578" s="5"/>
      <c r="D578" s="5"/>
      <c r="E578" s="4"/>
      <c r="F578" s="2"/>
      <c r="G578" s="2"/>
      <c r="H578" s="5"/>
      <c r="I578" s="5"/>
      <c r="J578" s="2"/>
      <c r="K578" s="2"/>
      <c r="L578" s="2"/>
      <c r="M578" s="2"/>
      <c r="N578" s="4"/>
      <c r="O578" s="4"/>
      <c r="P578" s="4"/>
      <c r="Q578" s="4"/>
      <c r="R578" s="5"/>
      <c r="S578" s="5"/>
      <c r="T578" s="4"/>
      <c r="U578" s="4"/>
      <c r="V578" s="4"/>
    </row>
    <row r="579">
      <c r="A579" s="4"/>
      <c r="B579" s="4"/>
      <c r="C579" s="5"/>
      <c r="D579" s="5"/>
      <c r="E579" s="4"/>
      <c r="F579" s="2"/>
      <c r="G579" s="2"/>
      <c r="H579" s="5"/>
      <c r="I579" s="5"/>
      <c r="J579" s="2"/>
      <c r="K579" s="2"/>
      <c r="L579" s="2"/>
      <c r="M579" s="2"/>
      <c r="N579" s="4"/>
      <c r="O579" s="4"/>
      <c r="P579" s="4"/>
      <c r="Q579" s="4"/>
      <c r="R579" s="5"/>
      <c r="S579" s="5"/>
      <c r="T579" s="4"/>
      <c r="U579" s="4"/>
      <c r="V579" s="4"/>
    </row>
    <row r="580">
      <c r="A580" s="4"/>
      <c r="B580" s="4"/>
      <c r="C580" s="5"/>
      <c r="D580" s="5"/>
      <c r="E580" s="4"/>
      <c r="F580" s="2"/>
      <c r="G580" s="2"/>
      <c r="H580" s="5"/>
      <c r="I580" s="5"/>
      <c r="J580" s="2"/>
      <c r="K580" s="2"/>
      <c r="L580" s="2"/>
      <c r="M580" s="2"/>
      <c r="N580" s="4"/>
      <c r="O580" s="4"/>
      <c r="P580" s="4"/>
      <c r="Q580" s="4"/>
      <c r="R580" s="5"/>
      <c r="S580" s="5"/>
      <c r="T580" s="4"/>
      <c r="U580" s="4"/>
      <c r="V580" s="4"/>
    </row>
    <row r="581">
      <c r="A581" s="4"/>
      <c r="B581" s="4"/>
      <c r="C581" s="5"/>
      <c r="D581" s="5"/>
      <c r="E581" s="4"/>
      <c r="F581" s="2"/>
      <c r="G581" s="2"/>
      <c r="H581" s="5"/>
      <c r="I581" s="5"/>
      <c r="J581" s="2"/>
      <c r="K581" s="2"/>
      <c r="L581" s="2"/>
      <c r="M581" s="2"/>
      <c r="N581" s="4"/>
      <c r="O581" s="4"/>
      <c r="P581" s="4"/>
      <c r="Q581" s="4"/>
      <c r="R581" s="5"/>
      <c r="S581" s="5"/>
      <c r="T581" s="4"/>
      <c r="U581" s="4"/>
      <c r="V581" s="4"/>
    </row>
    <row r="582">
      <c r="A582" s="4"/>
      <c r="B582" s="4"/>
      <c r="C582" s="5"/>
      <c r="D582" s="5"/>
      <c r="E582" s="4"/>
      <c r="F582" s="2"/>
      <c r="G582" s="2"/>
      <c r="H582" s="5"/>
      <c r="I582" s="5"/>
      <c r="J582" s="2"/>
      <c r="K582" s="2"/>
      <c r="L582" s="2"/>
      <c r="M582" s="2"/>
      <c r="N582" s="4"/>
      <c r="O582" s="4"/>
      <c r="P582" s="4"/>
      <c r="Q582" s="4"/>
      <c r="R582" s="5"/>
      <c r="S582" s="5"/>
      <c r="T582" s="4"/>
      <c r="U582" s="4"/>
      <c r="V582" s="4"/>
    </row>
    <row r="583">
      <c r="A583" s="4"/>
      <c r="B583" s="4"/>
      <c r="C583" s="5"/>
      <c r="D583" s="5"/>
      <c r="E583" s="4"/>
      <c r="F583" s="2"/>
      <c r="G583" s="2"/>
      <c r="H583" s="5"/>
      <c r="I583" s="5"/>
      <c r="J583" s="2"/>
      <c r="K583" s="2"/>
      <c r="L583" s="2"/>
      <c r="M583" s="2"/>
      <c r="N583" s="4"/>
      <c r="O583" s="4"/>
      <c r="P583" s="4"/>
      <c r="Q583" s="4"/>
      <c r="R583" s="5"/>
      <c r="S583" s="5"/>
      <c r="T583" s="4"/>
      <c r="U583" s="4"/>
      <c r="V583" s="4"/>
    </row>
    <row r="584">
      <c r="A584" s="4"/>
      <c r="B584" s="4"/>
      <c r="C584" s="5"/>
      <c r="D584" s="5"/>
      <c r="E584" s="4"/>
      <c r="F584" s="2"/>
      <c r="G584" s="2"/>
      <c r="H584" s="5"/>
      <c r="I584" s="5"/>
      <c r="J584" s="2"/>
      <c r="K584" s="2"/>
      <c r="L584" s="2"/>
      <c r="M584" s="2"/>
      <c r="N584" s="4"/>
      <c r="O584" s="4"/>
      <c r="P584" s="4"/>
      <c r="Q584" s="4"/>
      <c r="R584" s="5"/>
      <c r="S584" s="5"/>
      <c r="T584" s="4"/>
      <c r="U584" s="4"/>
      <c r="V584" s="4"/>
    </row>
    <row r="585">
      <c r="A585" s="4"/>
      <c r="B585" s="4"/>
      <c r="C585" s="5"/>
      <c r="D585" s="5"/>
      <c r="E585" s="4"/>
      <c r="F585" s="2"/>
      <c r="G585" s="2"/>
      <c r="H585" s="5"/>
      <c r="I585" s="5"/>
      <c r="J585" s="2"/>
      <c r="K585" s="2"/>
      <c r="L585" s="2"/>
      <c r="M585" s="2"/>
      <c r="N585" s="4"/>
      <c r="O585" s="4"/>
      <c r="P585" s="4"/>
      <c r="Q585" s="4"/>
      <c r="R585" s="5"/>
      <c r="S585" s="5"/>
      <c r="T585" s="4"/>
      <c r="U585" s="4"/>
      <c r="V585" s="4"/>
    </row>
    <row r="586">
      <c r="A586" s="4"/>
      <c r="B586" s="4"/>
      <c r="C586" s="5"/>
      <c r="D586" s="5"/>
      <c r="E586" s="4"/>
      <c r="F586" s="2"/>
      <c r="G586" s="2"/>
      <c r="H586" s="5"/>
      <c r="I586" s="5"/>
      <c r="J586" s="2"/>
      <c r="K586" s="2"/>
      <c r="L586" s="2"/>
      <c r="M586" s="2"/>
      <c r="N586" s="4"/>
      <c r="O586" s="4"/>
      <c r="P586" s="4"/>
      <c r="Q586" s="4"/>
      <c r="R586" s="5"/>
      <c r="S586" s="5"/>
      <c r="T586" s="4"/>
      <c r="U586" s="4"/>
      <c r="V586" s="4"/>
    </row>
    <row r="587">
      <c r="A587" s="4"/>
      <c r="B587" s="4"/>
      <c r="C587" s="5"/>
      <c r="D587" s="5"/>
      <c r="E587" s="4"/>
      <c r="F587" s="2"/>
      <c r="G587" s="2"/>
      <c r="H587" s="5"/>
      <c r="I587" s="5"/>
      <c r="J587" s="2"/>
      <c r="K587" s="2"/>
      <c r="L587" s="2"/>
      <c r="M587" s="2"/>
      <c r="N587" s="4"/>
      <c r="O587" s="4"/>
      <c r="P587" s="4"/>
      <c r="Q587" s="4"/>
      <c r="R587" s="5"/>
      <c r="S587" s="5"/>
      <c r="T587" s="4"/>
      <c r="U587" s="4"/>
      <c r="V587" s="4"/>
    </row>
    <row r="588">
      <c r="A588" s="4"/>
      <c r="B588" s="4"/>
      <c r="C588" s="5"/>
      <c r="D588" s="5"/>
      <c r="E588" s="4"/>
      <c r="F588" s="2"/>
      <c r="G588" s="2"/>
      <c r="H588" s="5"/>
      <c r="I588" s="5"/>
      <c r="J588" s="2"/>
      <c r="K588" s="2"/>
      <c r="L588" s="2"/>
      <c r="M588" s="2"/>
      <c r="N588" s="4"/>
      <c r="O588" s="4"/>
      <c r="P588" s="4"/>
      <c r="Q588" s="4"/>
      <c r="R588" s="5"/>
      <c r="S588" s="5"/>
      <c r="T588" s="4"/>
      <c r="U588" s="4"/>
      <c r="V588" s="4"/>
    </row>
    <row r="589">
      <c r="A589" s="4"/>
      <c r="B589" s="4"/>
      <c r="C589" s="5"/>
      <c r="D589" s="5"/>
      <c r="E589" s="4"/>
      <c r="F589" s="2"/>
      <c r="G589" s="2"/>
      <c r="H589" s="5"/>
      <c r="I589" s="5"/>
      <c r="J589" s="2"/>
      <c r="K589" s="2"/>
      <c r="L589" s="2"/>
      <c r="M589" s="2"/>
      <c r="N589" s="4"/>
      <c r="O589" s="4"/>
      <c r="P589" s="4"/>
      <c r="Q589" s="4"/>
      <c r="R589" s="5"/>
      <c r="S589" s="5"/>
      <c r="T589" s="4"/>
      <c r="U589" s="4"/>
      <c r="V589" s="4"/>
    </row>
    <row r="590">
      <c r="A590" s="4"/>
      <c r="B590" s="4"/>
      <c r="C590" s="5"/>
      <c r="D590" s="5"/>
      <c r="E590" s="4"/>
      <c r="F590" s="2"/>
      <c r="G590" s="2"/>
      <c r="H590" s="5"/>
      <c r="I590" s="5"/>
      <c r="J590" s="2"/>
      <c r="K590" s="2"/>
      <c r="L590" s="2"/>
      <c r="M590" s="2"/>
      <c r="N590" s="4"/>
      <c r="O590" s="4"/>
      <c r="P590" s="4"/>
      <c r="Q590" s="4"/>
      <c r="R590" s="5"/>
      <c r="S590" s="5"/>
      <c r="T590" s="4"/>
      <c r="U590" s="4"/>
      <c r="V590" s="4"/>
    </row>
    <row r="591">
      <c r="A591" s="4"/>
      <c r="B591" s="4"/>
      <c r="C591" s="5"/>
      <c r="D591" s="5"/>
      <c r="E591" s="4"/>
      <c r="F591" s="2"/>
      <c r="G591" s="2"/>
      <c r="H591" s="5"/>
      <c r="I591" s="5"/>
      <c r="J591" s="2"/>
      <c r="K591" s="2"/>
      <c r="L591" s="2"/>
      <c r="M591" s="2"/>
      <c r="N591" s="4"/>
      <c r="O591" s="4"/>
      <c r="P591" s="4"/>
      <c r="Q591" s="4"/>
      <c r="R591" s="5"/>
      <c r="S591" s="5"/>
      <c r="T591" s="4"/>
      <c r="U591" s="4"/>
      <c r="V591" s="4"/>
    </row>
    <row r="592">
      <c r="A592" s="4"/>
      <c r="B592" s="4"/>
      <c r="C592" s="5"/>
      <c r="D592" s="5"/>
      <c r="E592" s="4"/>
      <c r="F592" s="2"/>
      <c r="G592" s="2"/>
      <c r="H592" s="5"/>
      <c r="I592" s="5"/>
      <c r="J592" s="2"/>
      <c r="K592" s="2"/>
      <c r="L592" s="2"/>
      <c r="M592" s="2"/>
      <c r="N592" s="4"/>
      <c r="O592" s="4"/>
      <c r="P592" s="4"/>
      <c r="Q592" s="4"/>
      <c r="R592" s="5"/>
      <c r="S592" s="5"/>
      <c r="T592" s="4"/>
      <c r="U592" s="4"/>
      <c r="V592" s="4"/>
    </row>
    <row r="593">
      <c r="A593" s="4"/>
      <c r="B593" s="4"/>
      <c r="C593" s="5"/>
      <c r="D593" s="5"/>
      <c r="E593" s="4"/>
      <c r="F593" s="2"/>
      <c r="G593" s="2"/>
      <c r="H593" s="5"/>
      <c r="I593" s="5"/>
      <c r="J593" s="2"/>
      <c r="K593" s="2"/>
      <c r="L593" s="2"/>
      <c r="M593" s="2"/>
      <c r="N593" s="4"/>
      <c r="O593" s="4"/>
      <c r="P593" s="4"/>
      <c r="Q593" s="4"/>
      <c r="R593" s="5"/>
      <c r="S593" s="5"/>
      <c r="T593" s="4"/>
      <c r="U593" s="4"/>
      <c r="V593" s="4"/>
    </row>
    <row r="594">
      <c r="A594" s="4"/>
      <c r="B594" s="4"/>
      <c r="C594" s="5"/>
      <c r="D594" s="5"/>
      <c r="E594" s="4"/>
      <c r="F594" s="2"/>
      <c r="G594" s="2"/>
      <c r="H594" s="5"/>
      <c r="I594" s="5"/>
      <c r="J594" s="2"/>
      <c r="K594" s="2"/>
      <c r="L594" s="2"/>
      <c r="M594" s="2"/>
      <c r="N594" s="4"/>
      <c r="O594" s="4"/>
      <c r="P594" s="4"/>
      <c r="Q594" s="4"/>
      <c r="R594" s="5"/>
      <c r="S594" s="5"/>
      <c r="T594" s="4"/>
      <c r="U594" s="4"/>
      <c r="V594" s="4"/>
    </row>
    <row r="595">
      <c r="A595" s="4"/>
      <c r="B595" s="4"/>
      <c r="C595" s="5"/>
      <c r="D595" s="5"/>
      <c r="E595" s="4"/>
      <c r="F595" s="2"/>
      <c r="G595" s="2"/>
      <c r="H595" s="5"/>
      <c r="I595" s="5"/>
      <c r="J595" s="2"/>
      <c r="K595" s="2"/>
      <c r="L595" s="2"/>
      <c r="M595" s="2"/>
      <c r="N595" s="4"/>
      <c r="O595" s="4"/>
      <c r="P595" s="4"/>
      <c r="Q595" s="4"/>
      <c r="R595" s="5"/>
      <c r="S595" s="5"/>
      <c r="T595" s="4"/>
      <c r="U595" s="4"/>
      <c r="V595" s="4"/>
    </row>
    <row r="596">
      <c r="A596" s="4"/>
      <c r="B596" s="4"/>
      <c r="C596" s="5"/>
      <c r="D596" s="5"/>
      <c r="E596" s="4"/>
      <c r="F596" s="2"/>
      <c r="G596" s="2"/>
      <c r="H596" s="5"/>
      <c r="I596" s="5"/>
      <c r="J596" s="2"/>
      <c r="K596" s="2"/>
      <c r="L596" s="2"/>
      <c r="M596" s="2"/>
      <c r="N596" s="4"/>
      <c r="O596" s="4"/>
      <c r="P596" s="4"/>
      <c r="Q596" s="4"/>
      <c r="R596" s="5"/>
      <c r="S596" s="5"/>
      <c r="T596" s="4"/>
      <c r="U596" s="4"/>
      <c r="V596" s="4"/>
    </row>
    <row r="597">
      <c r="A597" s="4"/>
      <c r="B597" s="4"/>
      <c r="C597" s="5"/>
      <c r="D597" s="5"/>
      <c r="E597" s="4"/>
      <c r="F597" s="2"/>
      <c r="G597" s="2"/>
      <c r="H597" s="5"/>
      <c r="I597" s="5"/>
      <c r="J597" s="2"/>
      <c r="K597" s="2"/>
      <c r="L597" s="2"/>
      <c r="M597" s="2"/>
      <c r="N597" s="4"/>
      <c r="O597" s="4"/>
      <c r="P597" s="4"/>
      <c r="Q597" s="4"/>
      <c r="R597" s="5"/>
      <c r="S597" s="5"/>
      <c r="T597" s="4"/>
      <c r="U597" s="4"/>
      <c r="V597" s="4"/>
    </row>
    <row r="598">
      <c r="A598" s="4"/>
      <c r="B598" s="4"/>
      <c r="C598" s="5"/>
      <c r="D598" s="5"/>
      <c r="E598" s="4"/>
      <c r="F598" s="2"/>
      <c r="G598" s="2"/>
      <c r="H598" s="5"/>
      <c r="I598" s="5"/>
      <c r="J598" s="2"/>
      <c r="K598" s="2"/>
      <c r="L598" s="2"/>
      <c r="M598" s="2"/>
      <c r="N598" s="4"/>
      <c r="O598" s="4"/>
      <c r="P598" s="4"/>
      <c r="Q598" s="4"/>
      <c r="R598" s="5"/>
      <c r="S598" s="5"/>
      <c r="T598" s="4"/>
      <c r="U598" s="4"/>
      <c r="V598" s="4"/>
    </row>
    <row r="599">
      <c r="A599" s="4"/>
      <c r="B599" s="4"/>
      <c r="C599" s="5"/>
      <c r="D599" s="5"/>
      <c r="E599" s="4"/>
      <c r="F599" s="2"/>
      <c r="G599" s="2"/>
      <c r="H599" s="5"/>
      <c r="I599" s="5"/>
      <c r="J599" s="2"/>
      <c r="K599" s="2"/>
      <c r="L599" s="2"/>
      <c r="M599" s="2"/>
      <c r="N599" s="4"/>
      <c r="O599" s="4"/>
      <c r="P599" s="4"/>
      <c r="Q599" s="4"/>
      <c r="R599" s="5"/>
      <c r="S599" s="5"/>
      <c r="T599" s="4"/>
      <c r="U599" s="4"/>
      <c r="V599" s="4"/>
    </row>
    <row r="600">
      <c r="A600" s="4"/>
      <c r="B600" s="4"/>
      <c r="C600" s="5"/>
      <c r="D600" s="5"/>
      <c r="E600" s="4"/>
      <c r="F600" s="2"/>
      <c r="G600" s="2"/>
      <c r="H600" s="5"/>
      <c r="I600" s="5"/>
      <c r="J600" s="2"/>
      <c r="K600" s="2"/>
      <c r="L600" s="2"/>
      <c r="M600" s="2"/>
      <c r="N600" s="4"/>
      <c r="O600" s="4"/>
      <c r="P600" s="4"/>
      <c r="Q600" s="4"/>
      <c r="R600" s="5"/>
      <c r="S600" s="5"/>
      <c r="T600" s="4"/>
      <c r="U600" s="4"/>
      <c r="V600" s="4"/>
    </row>
    <row r="601">
      <c r="A601" s="4"/>
      <c r="B601" s="4"/>
      <c r="C601" s="5"/>
      <c r="D601" s="5"/>
      <c r="E601" s="4"/>
      <c r="F601" s="2"/>
      <c r="G601" s="2"/>
      <c r="H601" s="5"/>
      <c r="I601" s="5"/>
      <c r="J601" s="2"/>
      <c r="K601" s="2"/>
      <c r="L601" s="2"/>
      <c r="M601" s="2"/>
      <c r="N601" s="4"/>
      <c r="O601" s="4"/>
      <c r="P601" s="4"/>
      <c r="Q601" s="4"/>
      <c r="R601" s="5"/>
      <c r="S601" s="5"/>
      <c r="T601" s="4"/>
      <c r="U601" s="4"/>
      <c r="V601" s="4"/>
    </row>
    <row r="602">
      <c r="A602" s="4"/>
      <c r="B602" s="4"/>
      <c r="C602" s="5"/>
      <c r="D602" s="5"/>
      <c r="E602" s="4"/>
      <c r="F602" s="2"/>
      <c r="G602" s="2"/>
      <c r="H602" s="5"/>
      <c r="I602" s="5"/>
      <c r="J602" s="2"/>
      <c r="K602" s="2"/>
      <c r="L602" s="2"/>
      <c r="M602" s="2"/>
      <c r="N602" s="4"/>
      <c r="O602" s="4"/>
      <c r="P602" s="4"/>
      <c r="Q602" s="4"/>
      <c r="R602" s="5"/>
      <c r="S602" s="5"/>
      <c r="T602" s="4"/>
      <c r="U602" s="4"/>
      <c r="V602" s="4"/>
    </row>
    <row r="603">
      <c r="A603" s="4"/>
      <c r="B603" s="4"/>
      <c r="C603" s="5"/>
      <c r="D603" s="5"/>
      <c r="E603" s="4"/>
      <c r="F603" s="2"/>
      <c r="G603" s="2"/>
      <c r="H603" s="5"/>
      <c r="I603" s="5"/>
      <c r="J603" s="2"/>
      <c r="K603" s="2"/>
      <c r="L603" s="2"/>
      <c r="M603" s="2"/>
      <c r="N603" s="4"/>
      <c r="O603" s="4"/>
      <c r="P603" s="4"/>
      <c r="Q603" s="4"/>
      <c r="R603" s="5"/>
      <c r="S603" s="5"/>
      <c r="T603" s="4"/>
      <c r="U603" s="4"/>
      <c r="V603" s="4"/>
    </row>
    <row r="604">
      <c r="A604" s="4"/>
      <c r="B604" s="4"/>
      <c r="C604" s="5"/>
      <c r="D604" s="5"/>
      <c r="E604" s="4"/>
      <c r="F604" s="2"/>
      <c r="G604" s="2"/>
      <c r="H604" s="5"/>
      <c r="I604" s="5"/>
      <c r="J604" s="2"/>
      <c r="K604" s="2"/>
      <c r="L604" s="2"/>
      <c r="M604" s="2"/>
      <c r="N604" s="4"/>
      <c r="O604" s="4"/>
      <c r="P604" s="4"/>
      <c r="Q604" s="4"/>
      <c r="R604" s="5"/>
      <c r="S604" s="5"/>
      <c r="T604" s="4"/>
      <c r="U604" s="4"/>
      <c r="V604" s="4"/>
    </row>
    <row r="605">
      <c r="A605" s="4"/>
      <c r="B605" s="4"/>
      <c r="C605" s="5"/>
      <c r="D605" s="5"/>
      <c r="E605" s="4"/>
      <c r="F605" s="2"/>
      <c r="G605" s="2"/>
      <c r="H605" s="5"/>
      <c r="I605" s="5"/>
      <c r="J605" s="2"/>
      <c r="K605" s="2"/>
      <c r="L605" s="2"/>
      <c r="M605" s="2"/>
      <c r="N605" s="4"/>
      <c r="O605" s="4"/>
      <c r="P605" s="4"/>
      <c r="Q605" s="4"/>
      <c r="R605" s="5"/>
      <c r="S605" s="5"/>
      <c r="T605" s="4"/>
      <c r="U605" s="4"/>
      <c r="V605" s="4"/>
    </row>
    <row r="606">
      <c r="A606" s="4"/>
      <c r="B606" s="4"/>
      <c r="C606" s="5"/>
      <c r="D606" s="5"/>
      <c r="E606" s="4"/>
      <c r="F606" s="2"/>
      <c r="G606" s="2"/>
      <c r="H606" s="5"/>
      <c r="I606" s="5"/>
      <c r="J606" s="2"/>
      <c r="K606" s="2"/>
      <c r="L606" s="2"/>
      <c r="M606" s="2"/>
      <c r="N606" s="4"/>
      <c r="O606" s="4"/>
      <c r="P606" s="4"/>
      <c r="Q606" s="4"/>
      <c r="R606" s="5"/>
      <c r="S606" s="5"/>
      <c r="T606" s="4"/>
      <c r="U606" s="4"/>
      <c r="V606" s="4"/>
    </row>
    <row r="607">
      <c r="A607" s="4"/>
      <c r="B607" s="4"/>
      <c r="C607" s="5"/>
      <c r="D607" s="5"/>
      <c r="E607" s="4"/>
      <c r="F607" s="2"/>
      <c r="G607" s="2"/>
      <c r="H607" s="5"/>
      <c r="I607" s="5"/>
      <c r="J607" s="2"/>
      <c r="K607" s="2"/>
      <c r="L607" s="2"/>
      <c r="M607" s="2"/>
      <c r="N607" s="4"/>
      <c r="O607" s="4"/>
      <c r="P607" s="4"/>
      <c r="Q607" s="4"/>
      <c r="R607" s="5"/>
      <c r="S607" s="5"/>
      <c r="T607" s="4"/>
      <c r="U607" s="4"/>
      <c r="V607" s="4"/>
    </row>
    <row r="608">
      <c r="A608" s="4"/>
      <c r="B608" s="4"/>
      <c r="C608" s="5"/>
      <c r="D608" s="5"/>
      <c r="E608" s="4"/>
      <c r="F608" s="2"/>
      <c r="G608" s="2"/>
      <c r="H608" s="5"/>
      <c r="I608" s="5"/>
      <c r="J608" s="2"/>
      <c r="K608" s="2"/>
      <c r="L608" s="2"/>
      <c r="M608" s="2"/>
      <c r="N608" s="4"/>
      <c r="O608" s="4"/>
      <c r="P608" s="4"/>
      <c r="Q608" s="4"/>
      <c r="R608" s="5"/>
      <c r="S608" s="5"/>
      <c r="T608" s="4"/>
      <c r="U608" s="4"/>
      <c r="V608" s="4"/>
    </row>
    <row r="609">
      <c r="A609" s="4"/>
      <c r="B609" s="4"/>
      <c r="C609" s="5"/>
      <c r="D609" s="5"/>
      <c r="E609" s="4"/>
      <c r="F609" s="2"/>
      <c r="G609" s="2"/>
      <c r="H609" s="5"/>
      <c r="I609" s="5"/>
      <c r="J609" s="2"/>
      <c r="K609" s="2"/>
      <c r="L609" s="2"/>
      <c r="M609" s="2"/>
      <c r="N609" s="4"/>
      <c r="O609" s="4"/>
      <c r="P609" s="4"/>
      <c r="Q609" s="4"/>
      <c r="R609" s="5"/>
      <c r="S609" s="5"/>
      <c r="T609" s="4"/>
      <c r="U609" s="4"/>
      <c r="V609" s="4"/>
    </row>
    <row r="610">
      <c r="A610" s="4"/>
      <c r="B610" s="4"/>
      <c r="C610" s="5"/>
      <c r="D610" s="5"/>
      <c r="E610" s="4"/>
      <c r="F610" s="2"/>
      <c r="G610" s="2"/>
      <c r="H610" s="5"/>
      <c r="I610" s="5"/>
      <c r="J610" s="2"/>
      <c r="K610" s="2"/>
      <c r="L610" s="2"/>
      <c r="M610" s="2"/>
      <c r="N610" s="4"/>
      <c r="O610" s="4"/>
      <c r="P610" s="4"/>
      <c r="Q610" s="4"/>
      <c r="R610" s="5"/>
      <c r="S610" s="5"/>
      <c r="T610" s="4"/>
      <c r="U610" s="4"/>
      <c r="V610" s="4"/>
    </row>
    <row r="611">
      <c r="A611" s="4"/>
      <c r="B611" s="4"/>
      <c r="C611" s="5"/>
      <c r="D611" s="5"/>
      <c r="E611" s="4"/>
      <c r="F611" s="2"/>
      <c r="G611" s="2"/>
      <c r="H611" s="5"/>
      <c r="I611" s="5"/>
      <c r="J611" s="2"/>
      <c r="K611" s="2"/>
      <c r="L611" s="2"/>
      <c r="M611" s="2"/>
      <c r="N611" s="4"/>
      <c r="O611" s="4"/>
      <c r="P611" s="4"/>
      <c r="Q611" s="4"/>
      <c r="R611" s="5"/>
      <c r="S611" s="5"/>
      <c r="T611" s="4"/>
      <c r="U611" s="4"/>
      <c r="V611" s="4"/>
    </row>
    <row r="612">
      <c r="A612" s="4"/>
      <c r="B612" s="4"/>
      <c r="C612" s="5"/>
      <c r="D612" s="5"/>
      <c r="E612" s="4"/>
      <c r="F612" s="2"/>
      <c r="G612" s="2"/>
      <c r="H612" s="5"/>
      <c r="I612" s="5"/>
      <c r="J612" s="2"/>
      <c r="K612" s="2"/>
      <c r="L612" s="2"/>
      <c r="M612" s="2"/>
      <c r="N612" s="4"/>
      <c r="O612" s="4"/>
      <c r="P612" s="4"/>
      <c r="Q612" s="4"/>
      <c r="R612" s="5"/>
      <c r="S612" s="5"/>
      <c r="T612" s="4"/>
      <c r="U612" s="4"/>
      <c r="V612" s="4"/>
    </row>
    <row r="613">
      <c r="A613" s="4"/>
      <c r="B613" s="4"/>
      <c r="C613" s="5"/>
      <c r="D613" s="5"/>
      <c r="E613" s="4"/>
      <c r="F613" s="2"/>
      <c r="G613" s="2"/>
      <c r="H613" s="5"/>
      <c r="I613" s="5"/>
      <c r="J613" s="2"/>
      <c r="K613" s="2"/>
      <c r="L613" s="2"/>
      <c r="M613" s="2"/>
      <c r="N613" s="4"/>
      <c r="O613" s="4"/>
      <c r="P613" s="4"/>
      <c r="Q613" s="4"/>
      <c r="R613" s="5"/>
      <c r="S613" s="5"/>
      <c r="T613" s="4"/>
      <c r="U613" s="4"/>
      <c r="V613" s="4"/>
    </row>
    <row r="614">
      <c r="A614" s="4"/>
      <c r="B614" s="4"/>
      <c r="C614" s="5"/>
      <c r="D614" s="5"/>
      <c r="E614" s="4"/>
      <c r="F614" s="2"/>
      <c r="G614" s="2"/>
      <c r="H614" s="5"/>
      <c r="I614" s="5"/>
      <c r="J614" s="2"/>
      <c r="K614" s="2"/>
      <c r="L614" s="2"/>
      <c r="M614" s="2"/>
      <c r="N614" s="4"/>
      <c r="O614" s="4"/>
      <c r="P614" s="4"/>
      <c r="Q614" s="4"/>
      <c r="R614" s="5"/>
      <c r="S614" s="5"/>
      <c r="T614" s="4"/>
      <c r="U614" s="4"/>
      <c r="V614" s="4"/>
    </row>
    <row r="615">
      <c r="A615" s="4"/>
      <c r="B615" s="4"/>
      <c r="C615" s="5"/>
      <c r="D615" s="5"/>
      <c r="E615" s="4"/>
      <c r="F615" s="2"/>
      <c r="G615" s="2"/>
      <c r="H615" s="5"/>
      <c r="I615" s="5"/>
      <c r="J615" s="2"/>
      <c r="K615" s="2"/>
      <c r="L615" s="2"/>
      <c r="M615" s="2"/>
      <c r="N615" s="4"/>
      <c r="O615" s="4"/>
      <c r="P615" s="4"/>
      <c r="Q615" s="4"/>
      <c r="R615" s="5"/>
      <c r="S615" s="5"/>
      <c r="T615" s="4"/>
      <c r="U615" s="4"/>
      <c r="V615" s="4"/>
    </row>
    <row r="616">
      <c r="A616" s="4"/>
      <c r="B616" s="4"/>
      <c r="C616" s="5"/>
      <c r="D616" s="5"/>
      <c r="E616" s="4"/>
      <c r="F616" s="2"/>
      <c r="G616" s="2"/>
      <c r="H616" s="5"/>
      <c r="I616" s="5"/>
      <c r="J616" s="2"/>
      <c r="K616" s="2"/>
      <c r="L616" s="2"/>
      <c r="M616" s="2"/>
      <c r="N616" s="4"/>
      <c r="O616" s="4"/>
      <c r="P616" s="4"/>
      <c r="Q616" s="4"/>
      <c r="R616" s="5"/>
      <c r="S616" s="5"/>
      <c r="T616" s="4"/>
      <c r="U616" s="4"/>
      <c r="V616" s="4"/>
    </row>
    <row r="617">
      <c r="A617" s="4"/>
      <c r="B617" s="4"/>
      <c r="C617" s="5"/>
      <c r="D617" s="5"/>
      <c r="E617" s="4"/>
      <c r="F617" s="2"/>
      <c r="G617" s="2"/>
      <c r="H617" s="5"/>
      <c r="I617" s="5"/>
      <c r="J617" s="2"/>
      <c r="K617" s="2"/>
      <c r="L617" s="2"/>
      <c r="M617" s="2"/>
      <c r="N617" s="4"/>
      <c r="O617" s="4"/>
      <c r="P617" s="4"/>
      <c r="Q617" s="4"/>
      <c r="R617" s="5"/>
      <c r="S617" s="5"/>
      <c r="T617" s="4"/>
      <c r="U617" s="4"/>
      <c r="V617" s="4"/>
    </row>
    <row r="618">
      <c r="A618" s="4"/>
      <c r="B618" s="4"/>
      <c r="C618" s="5"/>
      <c r="D618" s="5"/>
      <c r="E618" s="4"/>
      <c r="F618" s="2"/>
      <c r="G618" s="2"/>
      <c r="H618" s="5"/>
      <c r="I618" s="5"/>
      <c r="J618" s="2"/>
      <c r="K618" s="2"/>
      <c r="L618" s="2"/>
      <c r="M618" s="2"/>
      <c r="N618" s="4"/>
      <c r="O618" s="4"/>
      <c r="P618" s="4"/>
      <c r="Q618" s="4"/>
      <c r="R618" s="5"/>
      <c r="S618" s="5"/>
      <c r="T618" s="4"/>
      <c r="U618" s="4"/>
      <c r="V618" s="4"/>
    </row>
    <row r="619">
      <c r="A619" s="4"/>
      <c r="B619" s="4"/>
      <c r="C619" s="5"/>
      <c r="D619" s="5"/>
      <c r="E619" s="4"/>
      <c r="F619" s="2"/>
      <c r="G619" s="2"/>
      <c r="H619" s="5"/>
      <c r="I619" s="5"/>
      <c r="J619" s="2"/>
      <c r="K619" s="2"/>
      <c r="L619" s="2"/>
      <c r="M619" s="2"/>
      <c r="N619" s="4"/>
      <c r="O619" s="4"/>
      <c r="P619" s="4"/>
      <c r="Q619" s="4"/>
      <c r="R619" s="5"/>
      <c r="S619" s="5"/>
      <c r="T619" s="4"/>
      <c r="U619" s="4"/>
      <c r="V619" s="4"/>
    </row>
    <row r="620">
      <c r="A620" s="4"/>
      <c r="B620" s="4"/>
      <c r="C620" s="5"/>
      <c r="D620" s="5"/>
      <c r="E620" s="4"/>
      <c r="F620" s="2"/>
      <c r="G620" s="2"/>
      <c r="H620" s="5"/>
      <c r="I620" s="5"/>
      <c r="J620" s="2"/>
      <c r="K620" s="2"/>
      <c r="L620" s="2"/>
      <c r="M620" s="2"/>
      <c r="N620" s="4"/>
      <c r="O620" s="4"/>
      <c r="P620" s="4"/>
      <c r="Q620" s="4"/>
      <c r="R620" s="5"/>
      <c r="S620" s="5"/>
      <c r="T620" s="4"/>
      <c r="U620" s="4"/>
      <c r="V620" s="4"/>
    </row>
    <row r="621">
      <c r="A621" s="4"/>
      <c r="B621" s="4"/>
      <c r="C621" s="5"/>
      <c r="D621" s="5"/>
      <c r="E621" s="4"/>
      <c r="F621" s="2"/>
      <c r="G621" s="2"/>
      <c r="H621" s="5"/>
      <c r="I621" s="5"/>
      <c r="J621" s="2"/>
      <c r="K621" s="2"/>
      <c r="L621" s="2"/>
      <c r="M621" s="2"/>
      <c r="N621" s="4"/>
      <c r="O621" s="4"/>
      <c r="P621" s="4"/>
      <c r="Q621" s="4"/>
      <c r="R621" s="5"/>
      <c r="S621" s="5"/>
      <c r="T621" s="4"/>
      <c r="U621" s="4"/>
      <c r="V621" s="4"/>
    </row>
    <row r="622">
      <c r="A622" s="4"/>
      <c r="B622" s="4"/>
      <c r="C622" s="5"/>
      <c r="D622" s="5"/>
      <c r="E622" s="4"/>
      <c r="F622" s="2"/>
      <c r="G622" s="2"/>
      <c r="H622" s="5"/>
      <c r="I622" s="5"/>
      <c r="J622" s="2"/>
      <c r="K622" s="2"/>
      <c r="L622" s="2"/>
      <c r="M622" s="2"/>
      <c r="N622" s="4"/>
      <c r="O622" s="4"/>
      <c r="P622" s="4"/>
      <c r="Q622" s="4"/>
      <c r="R622" s="5"/>
      <c r="S622" s="5"/>
      <c r="T622" s="4"/>
      <c r="U622" s="4"/>
      <c r="V622" s="4"/>
    </row>
    <row r="623">
      <c r="A623" s="4"/>
      <c r="B623" s="4"/>
      <c r="C623" s="5"/>
      <c r="D623" s="5"/>
      <c r="E623" s="4"/>
      <c r="F623" s="2"/>
      <c r="G623" s="2"/>
      <c r="H623" s="5"/>
      <c r="I623" s="5"/>
      <c r="J623" s="2"/>
      <c r="K623" s="2"/>
      <c r="L623" s="2"/>
      <c r="M623" s="2"/>
      <c r="N623" s="4"/>
      <c r="O623" s="4"/>
      <c r="P623" s="4"/>
      <c r="Q623" s="4"/>
      <c r="R623" s="5"/>
      <c r="S623" s="5"/>
      <c r="T623" s="4"/>
      <c r="U623" s="4"/>
      <c r="V623" s="4"/>
    </row>
    <row r="624">
      <c r="A624" s="4"/>
      <c r="B624" s="4"/>
      <c r="C624" s="5"/>
      <c r="D624" s="5"/>
      <c r="E624" s="4"/>
      <c r="F624" s="2"/>
      <c r="G624" s="2"/>
      <c r="H624" s="5"/>
      <c r="I624" s="5"/>
      <c r="J624" s="2"/>
      <c r="K624" s="2"/>
      <c r="L624" s="2"/>
      <c r="M624" s="2"/>
      <c r="N624" s="4"/>
      <c r="O624" s="4"/>
      <c r="P624" s="4"/>
      <c r="Q624" s="4"/>
      <c r="R624" s="5"/>
      <c r="S624" s="5"/>
      <c r="T624" s="4"/>
      <c r="U624" s="4"/>
      <c r="V624" s="4"/>
    </row>
    <row r="625">
      <c r="A625" s="4"/>
      <c r="B625" s="4"/>
      <c r="C625" s="5"/>
      <c r="D625" s="5"/>
      <c r="E625" s="4"/>
      <c r="F625" s="2"/>
      <c r="G625" s="2"/>
      <c r="H625" s="5"/>
      <c r="I625" s="5"/>
      <c r="J625" s="2"/>
      <c r="K625" s="2"/>
      <c r="L625" s="2"/>
      <c r="M625" s="2"/>
      <c r="N625" s="4"/>
      <c r="O625" s="4"/>
      <c r="P625" s="4"/>
      <c r="Q625" s="4"/>
      <c r="R625" s="5"/>
      <c r="S625" s="5"/>
      <c r="T625" s="4"/>
      <c r="U625" s="4"/>
      <c r="V625" s="4"/>
    </row>
    <row r="626">
      <c r="A626" s="4"/>
      <c r="B626" s="4"/>
      <c r="C626" s="5"/>
      <c r="D626" s="5"/>
      <c r="E626" s="4"/>
      <c r="F626" s="2"/>
      <c r="G626" s="2"/>
      <c r="H626" s="5"/>
      <c r="I626" s="5"/>
      <c r="J626" s="2"/>
      <c r="K626" s="2"/>
      <c r="L626" s="2"/>
      <c r="M626" s="2"/>
      <c r="N626" s="4"/>
      <c r="O626" s="4"/>
      <c r="P626" s="4"/>
      <c r="Q626" s="4"/>
      <c r="R626" s="5"/>
      <c r="S626" s="5"/>
      <c r="T626" s="4"/>
      <c r="U626" s="4"/>
      <c r="V626" s="4"/>
    </row>
    <row r="627">
      <c r="A627" s="4"/>
      <c r="B627" s="4"/>
      <c r="C627" s="5"/>
      <c r="D627" s="5"/>
      <c r="E627" s="4"/>
      <c r="F627" s="2"/>
      <c r="G627" s="2"/>
      <c r="H627" s="5"/>
      <c r="I627" s="5"/>
      <c r="J627" s="2"/>
      <c r="K627" s="2"/>
      <c r="L627" s="2"/>
      <c r="M627" s="2"/>
      <c r="N627" s="4"/>
      <c r="O627" s="4"/>
      <c r="P627" s="4"/>
      <c r="Q627" s="4"/>
      <c r="R627" s="5"/>
      <c r="S627" s="5"/>
      <c r="T627" s="4"/>
      <c r="U627" s="4"/>
      <c r="V627" s="4"/>
    </row>
    <row r="628">
      <c r="A628" s="4"/>
      <c r="B628" s="4"/>
      <c r="C628" s="5"/>
      <c r="D628" s="5"/>
      <c r="E628" s="4"/>
      <c r="F628" s="2"/>
      <c r="G628" s="2"/>
      <c r="H628" s="5"/>
      <c r="I628" s="5"/>
      <c r="J628" s="2"/>
      <c r="K628" s="2"/>
      <c r="L628" s="2"/>
      <c r="M628" s="2"/>
      <c r="N628" s="4"/>
      <c r="O628" s="4"/>
      <c r="P628" s="4"/>
      <c r="Q628" s="4"/>
      <c r="R628" s="5"/>
      <c r="S628" s="5"/>
      <c r="T628" s="4"/>
      <c r="U628" s="4"/>
      <c r="V628" s="4"/>
    </row>
    <row r="629">
      <c r="A629" s="4"/>
      <c r="B629" s="4"/>
      <c r="C629" s="5"/>
      <c r="D629" s="5"/>
      <c r="E629" s="4"/>
      <c r="F629" s="2"/>
      <c r="G629" s="2"/>
      <c r="H629" s="5"/>
      <c r="I629" s="5"/>
      <c r="J629" s="2"/>
      <c r="K629" s="2"/>
      <c r="L629" s="2"/>
      <c r="M629" s="2"/>
      <c r="N629" s="4"/>
      <c r="O629" s="4"/>
      <c r="P629" s="4"/>
      <c r="Q629" s="4"/>
      <c r="R629" s="5"/>
      <c r="S629" s="5"/>
      <c r="T629" s="4"/>
      <c r="U629" s="4"/>
      <c r="V629" s="4"/>
    </row>
    <row r="630">
      <c r="A630" s="4"/>
      <c r="B630" s="4"/>
      <c r="C630" s="5"/>
      <c r="D630" s="5"/>
      <c r="E630" s="4"/>
      <c r="F630" s="2"/>
      <c r="G630" s="2"/>
      <c r="H630" s="5"/>
      <c r="I630" s="5"/>
      <c r="J630" s="2"/>
      <c r="K630" s="2"/>
      <c r="L630" s="2"/>
      <c r="M630" s="2"/>
      <c r="N630" s="4"/>
      <c r="O630" s="4"/>
      <c r="P630" s="4"/>
      <c r="Q630" s="4"/>
      <c r="R630" s="5"/>
      <c r="S630" s="5"/>
      <c r="T630" s="4"/>
      <c r="U630" s="4"/>
      <c r="V630" s="4"/>
    </row>
    <row r="631">
      <c r="A631" s="4"/>
      <c r="B631" s="4"/>
      <c r="C631" s="5"/>
      <c r="D631" s="5"/>
      <c r="E631" s="4"/>
      <c r="F631" s="2"/>
      <c r="G631" s="2"/>
      <c r="H631" s="5"/>
      <c r="I631" s="5"/>
      <c r="J631" s="2"/>
      <c r="K631" s="2"/>
      <c r="L631" s="2"/>
      <c r="M631" s="2"/>
      <c r="N631" s="4"/>
      <c r="O631" s="4"/>
      <c r="P631" s="4"/>
      <c r="Q631" s="4"/>
      <c r="R631" s="5"/>
      <c r="S631" s="5"/>
      <c r="T631" s="4"/>
      <c r="U631" s="4"/>
      <c r="V631" s="4"/>
    </row>
    <row r="632">
      <c r="A632" s="4"/>
      <c r="B632" s="4"/>
      <c r="C632" s="5"/>
      <c r="D632" s="5"/>
      <c r="E632" s="4"/>
      <c r="F632" s="2"/>
      <c r="G632" s="2"/>
      <c r="H632" s="5"/>
      <c r="I632" s="5"/>
      <c r="J632" s="2"/>
      <c r="K632" s="2"/>
      <c r="L632" s="2"/>
      <c r="M632" s="2"/>
      <c r="N632" s="4"/>
      <c r="O632" s="4"/>
      <c r="P632" s="4"/>
      <c r="Q632" s="4"/>
      <c r="R632" s="5"/>
      <c r="S632" s="5"/>
      <c r="T632" s="4"/>
      <c r="U632" s="4"/>
      <c r="V632" s="4"/>
    </row>
    <row r="633">
      <c r="A633" s="4"/>
      <c r="B633" s="4"/>
      <c r="C633" s="5"/>
      <c r="D633" s="5"/>
      <c r="E633" s="4"/>
      <c r="F633" s="2"/>
      <c r="G633" s="2"/>
      <c r="H633" s="5"/>
      <c r="I633" s="5"/>
      <c r="J633" s="2"/>
      <c r="K633" s="2"/>
      <c r="L633" s="2"/>
      <c r="M633" s="2"/>
      <c r="N633" s="4"/>
      <c r="O633" s="4"/>
      <c r="P633" s="4"/>
      <c r="Q633" s="4"/>
      <c r="R633" s="5"/>
      <c r="S633" s="5"/>
      <c r="T633" s="4"/>
      <c r="U633" s="4"/>
      <c r="V633" s="4"/>
    </row>
    <row r="634">
      <c r="A634" s="4"/>
      <c r="B634" s="4"/>
      <c r="C634" s="5"/>
      <c r="D634" s="5"/>
      <c r="E634" s="4"/>
      <c r="F634" s="2"/>
      <c r="G634" s="2"/>
      <c r="H634" s="5"/>
      <c r="I634" s="5"/>
      <c r="J634" s="2"/>
      <c r="K634" s="2"/>
      <c r="L634" s="2"/>
      <c r="M634" s="2"/>
      <c r="N634" s="4"/>
      <c r="O634" s="4"/>
      <c r="P634" s="4"/>
      <c r="Q634" s="4"/>
      <c r="R634" s="5"/>
      <c r="S634" s="5"/>
      <c r="T634" s="4"/>
      <c r="U634" s="4"/>
      <c r="V634" s="4"/>
    </row>
    <row r="635">
      <c r="A635" s="4"/>
      <c r="B635" s="4"/>
      <c r="C635" s="5"/>
      <c r="D635" s="5"/>
      <c r="E635" s="4"/>
      <c r="F635" s="2"/>
      <c r="G635" s="2"/>
      <c r="H635" s="5"/>
      <c r="I635" s="5"/>
      <c r="J635" s="2"/>
      <c r="K635" s="2"/>
      <c r="L635" s="2"/>
      <c r="M635" s="2"/>
      <c r="N635" s="4"/>
      <c r="O635" s="4"/>
      <c r="P635" s="4"/>
      <c r="Q635" s="4"/>
      <c r="R635" s="5"/>
      <c r="S635" s="5"/>
      <c r="T635" s="4"/>
      <c r="U635" s="4"/>
      <c r="V635" s="4"/>
    </row>
    <row r="636">
      <c r="A636" s="4"/>
      <c r="B636" s="4"/>
      <c r="C636" s="5"/>
      <c r="D636" s="5"/>
      <c r="E636" s="4"/>
      <c r="F636" s="2"/>
      <c r="G636" s="2"/>
      <c r="H636" s="5"/>
      <c r="I636" s="5"/>
      <c r="J636" s="2"/>
      <c r="K636" s="2"/>
      <c r="L636" s="2"/>
      <c r="M636" s="2"/>
      <c r="N636" s="4"/>
      <c r="O636" s="4"/>
      <c r="P636" s="4"/>
      <c r="Q636" s="4"/>
      <c r="R636" s="5"/>
      <c r="S636" s="5"/>
      <c r="T636" s="4"/>
      <c r="U636" s="4"/>
      <c r="V636" s="4"/>
    </row>
    <row r="637">
      <c r="A637" s="4"/>
      <c r="B637" s="4"/>
      <c r="C637" s="5"/>
      <c r="D637" s="5"/>
      <c r="E637" s="4"/>
      <c r="F637" s="2"/>
      <c r="G637" s="2"/>
      <c r="H637" s="5"/>
      <c r="I637" s="5"/>
      <c r="J637" s="2"/>
      <c r="K637" s="2"/>
      <c r="L637" s="2"/>
      <c r="M637" s="2"/>
      <c r="N637" s="4"/>
      <c r="O637" s="4"/>
      <c r="P637" s="4"/>
      <c r="Q637" s="4"/>
      <c r="R637" s="5"/>
      <c r="S637" s="5"/>
      <c r="T637" s="4"/>
      <c r="U637" s="4"/>
      <c r="V637" s="4"/>
    </row>
    <row r="638">
      <c r="A638" s="4"/>
      <c r="B638" s="4"/>
      <c r="C638" s="5"/>
      <c r="D638" s="5"/>
      <c r="E638" s="4"/>
      <c r="F638" s="2"/>
      <c r="G638" s="2"/>
      <c r="H638" s="5"/>
      <c r="I638" s="5"/>
      <c r="J638" s="2"/>
      <c r="K638" s="2"/>
      <c r="L638" s="2"/>
      <c r="M638" s="2"/>
      <c r="N638" s="4"/>
      <c r="O638" s="4"/>
      <c r="P638" s="4"/>
      <c r="Q638" s="4"/>
      <c r="R638" s="5"/>
      <c r="S638" s="5"/>
      <c r="T638" s="4"/>
      <c r="U638" s="4"/>
      <c r="V638" s="4"/>
    </row>
    <row r="639">
      <c r="A639" s="4"/>
      <c r="B639" s="4"/>
      <c r="C639" s="5"/>
      <c r="D639" s="5"/>
      <c r="E639" s="4"/>
      <c r="F639" s="2"/>
      <c r="G639" s="2"/>
      <c r="H639" s="5"/>
      <c r="I639" s="5"/>
      <c r="J639" s="2"/>
      <c r="K639" s="2"/>
      <c r="L639" s="2"/>
      <c r="M639" s="2"/>
      <c r="N639" s="4"/>
      <c r="O639" s="4"/>
      <c r="P639" s="4"/>
      <c r="Q639" s="4"/>
      <c r="R639" s="5"/>
      <c r="S639" s="5"/>
      <c r="T639" s="4"/>
      <c r="U639" s="4"/>
      <c r="V639" s="4"/>
    </row>
    <row r="640">
      <c r="A640" s="4"/>
      <c r="B640" s="4"/>
      <c r="C640" s="5"/>
      <c r="D640" s="5"/>
      <c r="E640" s="4"/>
      <c r="F640" s="2"/>
      <c r="G640" s="2"/>
      <c r="H640" s="5"/>
      <c r="I640" s="5"/>
      <c r="J640" s="2"/>
      <c r="K640" s="2"/>
      <c r="L640" s="2"/>
      <c r="M640" s="2"/>
      <c r="N640" s="4"/>
      <c r="O640" s="4"/>
      <c r="P640" s="4"/>
      <c r="Q640" s="4"/>
      <c r="R640" s="5"/>
      <c r="S640" s="5"/>
      <c r="T640" s="4"/>
      <c r="U640" s="4"/>
      <c r="V640" s="4"/>
    </row>
    <row r="641">
      <c r="A641" s="4"/>
      <c r="B641" s="4"/>
      <c r="C641" s="5"/>
      <c r="D641" s="5"/>
      <c r="E641" s="4"/>
      <c r="F641" s="2"/>
      <c r="G641" s="2"/>
      <c r="H641" s="5"/>
      <c r="I641" s="5"/>
      <c r="J641" s="2"/>
      <c r="K641" s="2"/>
      <c r="L641" s="2"/>
      <c r="M641" s="2"/>
      <c r="N641" s="4"/>
      <c r="O641" s="4"/>
      <c r="P641" s="4"/>
      <c r="Q641" s="4"/>
      <c r="R641" s="5"/>
      <c r="S641" s="5"/>
      <c r="T641" s="4"/>
      <c r="U641" s="4"/>
      <c r="V641" s="4"/>
    </row>
    <row r="642">
      <c r="A642" s="4"/>
      <c r="B642" s="4"/>
      <c r="C642" s="5"/>
      <c r="D642" s="5"/>
      <c r="E642" s="4"/>
      <c r="F642" s="2"/>
      <c r="G642" s="2"/>
      <c r="H642" s="5"/>
      <c r="I642" s="5"/>
      <c r="J642" s="2"/>
      <c r="K642" s="2"/>
      <c r="L642" s="2"/>
      <c r="M642" s="2"/>
      <c r="N642" s="4"/>
      <c r="O642" s="4"/>
      <c r="P642" s="4"/>
      <c r="Q642" s="4"/>
      <c r="R642" s="5"/>
      <c r="S642" s="5"/>
      <c r="T642" s="4"/>
      <c r="U642" s="4"/>
      <c r="V642" s="4"/>
    </row>
    <row r="643">
      <c r="A643" s="4"/>
      <c r="B643" s="4"/>
      <c r="C643" s="5"/>
      <c r="D643" s="5"/>
      <c r="E643" s="4"/>
      <c r="F643" s="2"/>
      <c r="G643" s="2"/>
      <c r="H643" s="5"/>
      <c r="I643" s="5"/>
      <c r="J643" s="2"/>
      <c r="K643" s="2"/>
      <c r="L643" s="2"/>
      <c r="M643" s="2"/>
      <c r="N643" s="4"/>
      <c r="O643" s="4"/>
      <c r="P643" s="4"/>
      <c r="Q643" s="4"/>
      <c r="R643" s="5"/>
      <c r="S643" s="5"/>
      <c r="T643" s="4"/>
      <c r="U643" s="4"/>
      <c r="V643" s="4"/>
    </row>
    <row r="644">
      <c r="A644" s="4"/>
      <c r="B644" s="4"/>
      <c r="C644" s="5"/>
      <c r="D644" s="5"/>
      <c r="E644" s="4"/>
      <c r="F644" s="2"/>
      <c r="G644" s="2"/>
      <c r="H644" s="5"/>
      <c r="I644" s="5"/>
      <c r="J644" s="2"/>
      <c r="K644" s="2"/>
      <c r="L644" s="2"/>
      <c r="M644" s="2"/>
      <c r="N644" s="4"/>
      <c r="O644" s="4"/>
      <c r="P644" s="4"/>
      <c r="Q644" s="4"/>
      <c r="R644" s="5"/>
      <c r="S644" s="5"/>
      <c r="T644" s="4"/>
      <c r="U644" s="4"/>
      <c r="V644" s="4"/>
    </row>
    <row r="645">
      <c r="A645" s="4"/>
      <c r="B645" s="4"/>
      <c r="C645" s="5"/>
      <c r="D645" s="5"/>
      <c r="E645" s="4"/>
      <c r="F645" s="2"/>
      <c r="G645" s="2"/>
      <c r="H645" s="5"/>
      <c r="I645" s="5"/>
      <c r="J645" s="2"/>
      <c r="K645" s="2"/>
      <c r="L645" s="2"/>
      <c r="M645" s="2"/>
      <c r="N645" s="4"/>
      <c r="O645" s="4"/>
      <c r="P645" s="4"/>
      <c r="Q645" s="4"/>
      <c r="R645" s="5"/>
      <c r="S645" s="5"/>
      <c r="T645" s="4"/>
      <c r="U645" s="4"/>
      <c r="V645" s="4"/>
    </row>
    <row r="646">
      <c r="A646" s="4"/>
      <c r="B646" s="4"/>
      <c r="C646" s="5"/>
      <c r="D646" s="5"/>
      <c r="E646" s="4"/>
      <c r="F646" s="2"/>
      <c r="G646" s="2"/>
      <c r="H646" s="5"/>
      <c r="I646" s="5"/>
      <c r="J646" s="2"/>
      <c r="K646" s="2"/>
      <c r="L646" s="2"/>
      <c r="M646" s="2"/>
      <c r="N646" s="4"/>
      <c r="O646" s="4"/>
      <c r="P646" s="4"/>
      <c r="Q646" s="4"/>
      <c r="R646" s="5"/>
      <c r="S646" s="5"/>
      <c r="T646" s="4"/>
      <c r="U646" s="4"/>
      <c r="V646" s="4"/>
    </row>
    <row r="647">
      <c r="A647" s="4"/>
      <c r="B647" s="4"/>
      <c r="C647" s="5"/>
      <c r="D647" s="5"/>
      <c r="E647" s="4"/>
      <c r="F647" s="2"/>
      <c r="G647" s="2"/>
      <c r="H647" s="5"/>
      <c r="I647" s="5"/>
      <c r="J647" s="2"/>
      <c r="K647" s="2"/>
      <c r="L647" s="2"/>
      <c r="M647" s="2"/>
      <c r="N647" s="4"/>
      <c r="O647" s="4"/>
      <c r="P647" s="4"/>
      <c r="Q647" s="4"/>
      <c r="R647" s="5"/>
      <c r="S647" s="5"/>
      <c r="T647" s="4"/>
      <c r="U647" s="4"/>
      <c r="V647" s="4"/>
    </row>
    <row r="648">
      <c r="A648" s="4"/>
      <c r="B648" s="4"/>
      <c r="C648" s="5"/>
      <c r="D648" s="5"/>
      <c r="E648" s="4"/>
      <c r="F648" s="2"/>
      <c r="G648" s="2"/>
      <c r="H648" s="5"/>
      <c r="I648" s="5"/>
      <c r="J648" s="2"/>
      <c r="K648" s="2"/>
      <c r="L648" s="2"/>
      <c r="M648" s="2"/>
      <c r="N648" s="4"/>
      <c r="O648" s="4"/>
      <c r="P648" s="4"/>
      <c r="Q648" s="4"/>
      <c r="R648" s="5"/>
      <c r="S648" s="5"/>
      <c r="T648" s="4"/>
      <c r="U648" s="4"/>
      <c r="V648" s="4"/>
    </row>
    <row r="649">
      <c r="A649" s="4"/>
      <c r="B649" s="4"/>
      <c r="C649" s="5"/>
      <c r="D649" s="5"/>
      <c r="E649" s="4"/>
      <c r="F649" s="2"/>
      <c r="G649" s="2"/>
      <c r="H649" s="5"/>
      <c r="I649" s="5"/>
      <c r="J649" s="2"/>
      <c r="K649" s="2"/>
      <c r="L649" s="2"/>
      <c r="M649" s="2"/>
      <c r="N649" s="4"/>
      <c r="O649" s="4"/>
      <c r="P649" s="4"/>
      <c r="Q649" s="4"/>
      <c r="R649" s="5"/>
      <c r="S649" s="5"/>
      <c r="T649" s="4"/>
      <c r="U649" s="4"/>
      <c r="V649" s="4"/>
    </row>
    <row r="650">
      <c r="A650" s="4"/>
      <c r="B650" s="4"/>
      <c r="C650" s="5"/>
      <c r="D650" s="5"/>
      <c r="E650" s="4"/>
      <c r="F650" s="2"/>
      <c r="G650" s="2"/>
      <c r="H650" s="5"/>
      <c r="I650" s="5"/>
      <c r="J650" s="2"/>
      <c r="K650" s="2"/>
      <c r="L650" s="2"/>
      <c r="M650" s="2"/>
      <c r="N650" s="4"/>
      <c r="O650" s="4"/>
      <c r="P650" s="4"/>
      <c r="Q650" s="4"/>
      <c r="R650" s="5"/>
      <c r="S650" s="5"/>
      <c r="T650" s="4"/>
      <c r="U650" s="4"/>
      <c r="V650" s="4"/>
    </row>
    <row r="651">
      <c r="A651" s="4"/>
      <c r="B651" s="4"/>
      <c r="C651" s="5"/>
      <c r="D651" s="5"/>
      <c r="E651" s="4"/>
      <c r="F651" s="2"/>
      <c r="G651" s="2"/>
      <c r="H651" s="5"/>
      <c r="I651" s="5"/>
      <c r="J651" s="2"/>
      <c r="K651" s="2"/>
      <c r="L651" s="2"/>
      <c r="M651" s="2"/>
      <c r="N651" s="4"/>
      <c r="O651" s="4"/>
      <c r="P651" s="4"/>
      <c r="Q651" s="4"/>
      <c r="R651" s="5"/>
      <c r="S651" s="5"/>
      <c r="T651" s="4"/>
      <c r="U651" s="4"/>
      <c r="V651" s="4"/>
    </row>
    <row r="652">
      <c r="A652" s="4"/>
      <c r="B652" s="4"/>
      <c r="C652" s="5"/>
      <c r="D652" s="5"/>
      <c r="E652" s="4"/>
      <c r="F652" s="2"/>
      <c r="G652" s="2"/>
      <c r="H652" s="5"/>
      <c r="I652" s="5"/>
      <c r="J652" s="2"/>
      <c r="K652" s="2"/>
      <c r="L652" s="2"/>
      <c r="M652" s="2"/>
      <c r="N652" s="4"/>
      <c r="O652" s="4"/>
      <c r="P652" s="4"/>
      <c r="Q652" s="4"/>
      <c r="R652" s="5"/>
      <c r="S652" s="5"/>
      <c r="T652" s="4"/>
      <c r="U652" s="4"/>
      <c r="V652" s="4"/>
    </row>
    <row r="653">
      <c r="A653" s="4"/>
      <c r="B653" s="4"/>
      <c r="C653" s="5"/>
      <c r="D653" s="5"/>
      <c r="E653" s="4"/>
      <c r="F653" s="2"/>
      <c r="G653" s="2"/>
      <c r="H653" s="5"/>
      <c r="I653" s="5"/>
      <c r="J653" s="2"/>
      <c r="K653" s="2"/>
      <c r="L653" s="2"/>
      <c r="M653" s="2"/>
      <c r="N653" s="4"/>
      <c r="O653" s="4"/>
      <c r="P653" s="4"/>
      <c r="Q653" s="4"/>
      <c r="R653" s="5"/>
      <c r="S653" s="5"/>
      <c r="T653" s="4"/>
      <c r="U653" s="4"/>
      <c r="V653" s="4"/>
    </row>
    <row r="654">
      <c r="A654" s="4"/>
      <c r="B654" s="4"/>
      <c r="C654" s="5"/>
      <c r="D654" s="5"/>
      <c r="E654" s="4"/>
      <c r="F654" s="2"/>
      <c r="G654" s="2"/>
      <c r="H654" s="5"/>
      <c r="I654" s="5"/>
      <c r="J654" s="2"/>
      <c r="K654" s="2"/>
      <c r="L654" s="2"/>
      <c r="M654" s="2"/>
      <c r="N654" s="4"/>
      <c r="O654" s="4"/>
      <c r="P654" s="4"/>
      <c r="Q654" s="4"/>
      <c r="R654" s="5"/>
      <c r="S654" s="5"/>
      <c r="T654" s="4"/>
      <c r="U654" s="4"/>
      <c r="V654" s="4"/>
    </row>
    <row r="655">
      <c r="A655" s="4"/>
      <c r="B655" s="4"/>
      <c r="C655" s="5"/>
      <c r="D655" s="5"/>
      <c r="E655" s="4"/>
      <c r="F655" s="2"/>
      <c r="G655" s="2"/>
      <c r="H655" s="5"/>
      <c r="I655" s="5"/>
      <c r="J655" s="2"/>
      <c r="K655" s="2"/>
      <c r="L655" s="2"/>
      <c r="M655" s="2"/>
      <c r="N655" s="4"/>
      <c r="O655" s="4"/>
      <c r="P655" s="4"/>
      <c r="Q655" s="4"/>
      <c r="R655" s="5"/>
      <c r="S655" s="5"/>
      <c r="T655" s="4"/>
      <c r="U655" s="4"/>
      <c r="V655" s="4"/>
    </row>
    <row r="656">
      <c r="A656" s="4"/>
      <c r="B656" s="4"/>
      <c r="C656" s="5"/>
      <c r="D656" s="5"/>
      <c r="E656" s="4"/>
      <c r="F656" s="2"/>
      <c r="G656" s="2"/>
      <c r="H656" s="5"/>
      <c r="I656" s="5"/>
      <c r="J656" s="2"/>
      <c r="K656" s="2"/>
      <c r="L656" s="2"/>
      <c r="M656" s="2"/>
      <c r="N656" s="4"/>
      <c r="O656" s="4"/>
      <c r="P656" s="4"/>
      <c r="Q656" s="4"/>
      <c r="R656" s="5"/>
      <c r="S656" s="5"/>
      <c r="T656" s="4"/>
      <c r="U656" s="4"/>
      <c r="V656" s="4"/>
    </row>
    <row r="657">
      <c r="A657" s="4"/>
      <c r="B657" s="4"/>
      <c r="C657" s="5"/>
      <c r="D657" s="5"/>
      <c r="E657" s="4"/>
      <c r="F657" s="2"/>
      <c r="G657" s="2"/>
      <c r="H657" s="5"/>
      <c r="I657" s="5"/>
      <c r="J657" s="2"/>
      <c r="K657" s="2"/>
      <c r="L657" s="2"/>
      <c r="M657" s="2"/>
      <c r="N657" s="4"/>
      <c r="O657" s="4"/>
      <c r="P657" s="4"/>
      <c r="Q657" s="4"/>
      <c r="R657" s="5"/>
      <c r="S657" s="5"/>
      <c r="T657" s="4"/>
      <c r="U657" s="4"/>
      <c r="V657" s="4"/>
    </row>
    <row r="658">
      <c r="A658" s="4"/>
      <c r="B658" s="4"/>
      <c r="C658" s="5"/>
      <c r="D658" s="5"/>
      <c r="E658" s="4"/>
      <c r="F658" s="2"/>
      <c r="G658" s="2"/>
      <c r="H658" s="5"/>
      <c r="I658" s="5"/>
      <c r="J658" s="2"/>
      <c r="K658" s="2"/>
      <c r="L658" s="2"/>
      <c r="M658" s="2"/>
      <c r="N658" s="4"/>
      <c r="O658" s="4"/>
      <c r="P658" s="4"/>
      <c r="Q658" s="4"/>
      <c r="R658" s="5"/>
      <c r="S658" s="5"/>
      <c r="T658" s="4"/>
      <c r="U658" s="4"/>
      <c r="V658" s="4"/>
    </row>
    <row r="659">
      <c r="A659" s="4"/>
      <c r="B659" s="4"/>
      <c r="C659" s="5"/>
      <c r="D659" s="5"/>
      <c r="E659" s="4"/>
      <c r="F659" s="2"/>
      <c r="G659" s="2"/>
      <c r="H659" s="5"/>
      <c r="I659" s="5"/>
      <c r="J659" s="2"/>
      <c r="K659" s="2"/>
      <c r="L659" s="2"/>
      <c r="M659" s="2"/>
      <c r="N659" s="4"/>
      <c r="O659" s="4"/>
      <c r="P659" s="4"/>
      <c r="Q659" s="4"/>
      <c r="R659" s="5"/>
      <c r="S659" s="5"/>
      <c r="T659" s="4"/>
      <c r="U659" s="4"/>
      <c r="V659" s="4"/>
    </row>
    <row r="660">
      <c r="A660" s="4"/>
      <c r="B660" s="4"/>
      <c r="C660" s="5"/>
      <c r="D660" s="5"/>
      <c r="E660" s="4"/>
      <c r="F660" s="2"/>
      <c r="G660" s="2"/>
      <c r="H660" s="5"/>
      <c r="I660" s="5"/>
      <c r="J660" s="2"/>
      <c r="K660" s="2"/>
      <c r="L660" s="2"/>
      <c r="M660" s="2"/>
      <c r="N660" s="4"/>
      <c r="O660" s="4"/>
      <c r="P660" s="4"/>
      <c r="Q660" s="4"/>
      <c r="R660" s="5"/>
      <c r="S660" s="5"/>
      <c r="T660" s="4"/>
      <c r="U660" s="4"/>
      <c r="V660" s="4"/>
    </row>
    <row r="661">
      <c r="A661" s="4"/>
      <c r="B661" s="4"/>
      <c r="C661" s="5"/>
      <c r="D661" s="5"/>
      <c r="E661" s="4"/>
      <c r="F661" s="2"/>
      <c r="G661" s="2"/>
      <c r="H661" s="5"/>
      <c r="I661" s="5"/>
      <c r="J661" s="2"/>
      <c r="K661" s="2"/>
      <c r="L661" s="2"/>
      <c r="M661" s="2"/>
      <c r="N661" s="4"/>
      <c r="O661" s="4"/>
      <c r="P661" s="4"/>
      <c r="Q661" s="4"/>
      <c r="R661" s="5"/>
      <c r="S661" s="5"/>
      <c r="T661" s="4"/>
      <c r="U661" s="4"/>
      <c r="V661" s="4"/>
    </row>
    <row r="662">
      <c r="A662" s="4"/>
      <c r="B662" s="4"/>
      <c r="C662" s="5"/>
      <c r="D662" s="5"/>
      <c r="E662" s="4"/>
      <c r="F662" s="2"/>
      <c r="G662" s="2"/>
      <c r="H662" s="5"/>
      <c r="I662" s="5"/>
      <c r="J662" s="2"/>
      <c r="K662" s="2"/>
      <c r="L662" s="2"/>
      <c r="M662" s="2"/>
      <c r="N662" s="4"/>
      <c r="O662" s="4"/>
      <c r="P662" s="4"/>
      <c r="Q662" s="4"/>
      <c r="R662" s="5"/>
      <c r="S662" s="5"/>
      <c r="T662" s="4"/>
      <c r="U662" s="4"/>
      <c r="V662" s="4"/>
    </row>
    <row r="663">
      <c r="A663" s="4"/>
      <c r="B663" s="4"/>
      <c r="C663" s="5"/>
      <c r="D663" s="5"/>
      <c r="E663" s="4"/>
      <c r="F663" s="2"/>
      <c r="G663" s="2"/>
      <c r="H663" s="5"/>
      <c r="I663" s="5"/>
      <c r="J663" s="2"/>
      <c r="K663" s="2"/>
      <c r="L663" s="2"/>
      <c r="M663" s="2"/>
      <c r="N663" s="4"/>
      <c r="O663" s="4"/>
      <c r="P663" s="4"/>
      <c r="Q663" s="4"/>
      <c r="R663" s="5"/>
      <c r="S663" s="5"/>
      <c r="T663" s="4"/>
      <c r="U663" s="4"/>
      <c r="V663" s="4"/>
    </row>
    <row r="664">
      <c r="A664" s="4"/>
      <c r="B664" s="4"/>
      <c r="C664" s="5"/>
      <c r="D664" s="5"/>
      <c r="E664" s="4"/>
      <c r="F664" s="2"/>
      <c r="G664" s="2"/>
      <c r="H664" s="5"/>
      <c r="I664" s="5"/>
      <c r="J664" s="2"/>
      <c r="K664" s="2"/>
      <c r="L664" s="2"/>
      <c r="M664" s="2"/>
      <c r="N664" s="4"/>
      <c r="O664" s="4"/>
      <c r="P664" s="4"/>
      <c r="Q664" s="4"/>
      <c r="R664" s="5"/>
      <c r="S664" s="5"/>
      <c r="T664" s="4"/>
      <c r="U664" s="4"/>
      <c r="V664" s="4"/>
    </row>
    <row r="665">
      <c r="A665" s="4"/>
      <c r="B665" s="4"/>
      <c r="C665" s="5"/>
      <c r="D665" s="5"/>
      <c r="E665" s="4"/>
      <c r="F665" s="2"/>
      <c r="G665" s="2"/>
      <c r="H665" s="5"/>
      <c r="I665" s="5"/>
      <c r="J665" s="2"/>
      <c r="K665" s="2"/>
      <c r="L665" s="2"/>
      <c r="M665" s="2"/>
      <c r="N665" s="4"/>
      <c r="O665" s="4"/>
      <c r="P665" s="4"/>
      <c r="Q665" s="4"/>
      <c r="R665" s="5"/>
      <c r="S665" s="5"/>
      <c r="T665" s="4"/>
      <c r="U665" s="4"/>
      <c r="V665" s="4"/>
    </row>
    <row r="666">
      <c r="A666" s="4"/>
      <c r="B666" s="4"/>
      <c r="C666" s="5"/>
      <c r="D666" s="5"/>
      <c r="E666" s="4"/>
      <c r="F666" s="2"/>
      <c r="G666" s="2"/>
      <c r="H666" s="5"/>
      <c r="I666" s="5"/>
      <c r="J666" s="2"/>
      <c r="K666" s="2"/>
      <c r="L666" s="2"/>
      <c r="M666" s="2"/>
      <c r="N666" s="4"/>
      <c r="O666" s="4"/>
      <c r="P666" s="4"/>
      <c r="Q666" s="4"/>
      <c r="R666" s="5"/>
      <c r="S666" s="5"/>
      <c r="T666" s="4"/>
      <c r="U666" s="4"/>
      <c r="V666" s="4"/>
    </row>
    <row r="667">
      <c r="A667" s="4"/>
      <c r="B667" s="4"/>
      <c r="C667" s="5"/>
      <c r="D667" s="5"/>
      <c r="E667" s="4"/>
      <c r="F667" s="2"/>
      <c r="G667" s="2"/>
      <c r="H667" s="5"/>
      <c r="I667" s="5"/>
      <c r="J667" s="2"/>
      <c r="K667" s="2"/>
      <c r="L667" s="2"/>
      <c r="M667" s="2"/>
      <c r="N667" s="4"/>
      <c r="O667" s="4"/>
      <c r="P667" s="4"/>
      <c r="Q667" s="4"/>
      <c r="R667" s="5"/>
      <c r="S667" s="5"/>
      <c r="T667" s="4"/>
      <c r="U667" s="4"/>
      <c r="V667" s="4"/>
    </row>
    <row r="668">
      <c r="A668" s="4"/>
      <c r="B668" s="4"/>
      <c r="C668" s="5"/>
      <c r="D668" s="5"/>
      <c r="E668" s="4"/>
      <c r="F668" s="2"/>
      <c r="G668" s="2"/>
      <c r="H668" s="5"/>
      <c r="I668" s="5"/>
      <c r="J668" s="2"/>
      <c r="K668" s="2"/>
      <c r="L668" s="2"/>
      <c r="M668" s="2"/>
      <c r="N668" s="4"/>
      <c r="O668" s="4"/>
      <c r="P668" s="4"/>
      <c r="Q668" s="4"/>
      <c r="R668" s="5"/>
      <c r="S668" s="5"/>
      <c r="T668" s="4"/>
      <c r="U668" s="4"/>
      <c r="V668" s="4"/>
    </row>
    <row r="669">
      <c r="A669" s="4"/>
      <c r="B669" s="4"/>
      <c r="C669" s="5"/>
      <c r="D669" s="5"/>
      <c r="E669" s="4"/>
      <c r="F669" s="2"/>
      <c r="G669" s="2"/>
      <c r="H669" s="5"/>
      <c r="I669" s="5"/>
      <c r="J669" s="2"/>
      <c r="K669" s="2"/>
      <c r="L669" s="2"/>
      <c r="M669" s="2"/>
      <c r="N669" s="4"/>
      <c r="O669" s="4"/>
      <c r="P669" s="4"/>
      <c r="Q669" s="4"/>
      <c r="R669" s="5"/>
      <c r="S669" s="5"/>
      <c r="T669" s="4"/>
      <c r="U669" s="4"/>
      <c r="V669" s="4"/>
    </row>
    <row r="670">
      <c r="A670" s="4"/>
      <c r="B670" s="4"/>
      <c r="C670" s="5"/>
      <c r="D670" s="5"/>
      <c r="E670" s="4"/>
      <c r="F670" s="2"/>
      <c r="G670" s="2"/>
      <c r="H670" s="5"/>
      <c r="I670" s="5"/>
      <c r="J670" s="2"/>
      <c r="K670" s="2"/>
      <c r="L670" s="2"/>
      <c r="M670" s="2"/>
      <c r="N670" s="4"/>
      <c r="O670" s="4"/>
      <c r="P670" s="4"/>
      <c r="Q670" s="4"/>
      <c r="R670" s="5"/>
      <c r="S670" s="5"/>
      <c r="T670" s="4"/>
      <c r="U670" s="4"/>
      <c r="V670" s="4"/>
    </row>
    <row r="671">
      <c r="A671" s="4"/>
      <c r="B671" s="4"/>
      <c r="C671" s="5"/>
      <c r="D671" s="5"/>
      <c r="E671" s="4"/>
      <c r="F671" s="2"/>
      <c r="G671" s="2"/>
      <c r="H671" s="5"/>
      <c r="I671" s="5"/>
      <c r="J671" s="2"/>
      <c r="K671" s="2"/>
      <c r="L671" s="2"/>
      <c r="M671" s="2"/>
      <c r="N671" s="4"/>
      <c r="O671" s="4"/>
      <c r="P671" s="4"/>
      <c r="Q671" s="4"/>
      <c r="R671" s="5"/>
      <c r="S671" s="5"/>
      <c r="T671" s="4"/>
      <c r="U671" s="4"/>
      <c r="V671" s="4"/>
    </row>
    <row r="672">
      <c r="A672" s="4"/>
      <c r="B672" s="4"/>
      <c r="C672" s="5"/>
      <c r="D672" s="5"/>
      <c r="E672" s="4"/>
      <c r="F672" s="2"/>
      <c r="G672" s="2"/>
      <c r="H672" s="5"/>
      <c r="I672" s="5"/>
      <c r="J672" s="2"/>
      <c r="K672" s="2"/>
      <c r="L672" s="2"/>
      <c r="M672" s="2"/>
      <c r="N672" s="4"/>
      <c r="O672" s="4"/>
      <c r="P672" s="4"/>
      <c r="Q672" s="4"/>
      <c r="R672" s="5"/>
      <c r="S672" s="5"/>
      <c r="T672" s="4"/>
      <c r="U672" s="4"/>
      <c r="V672" s="4"/>
    </row>
    <row r="673">
      <c r="A673" s="4"/>
      <c r="B673" s="4"/>
      <c r="C673" s="5"/>
      <c r="D673" s="5"/>
      <c r="E673" s="4"/>
      <c r="F673" s="2"/>
      <c r="G673" s="2"/>
      <c r="H673" s="5"/>
      <c r="I673" s="5"/>
      <c r="J673" s="2"/>
      <c r="K673" s="2"/>
      <c r="L673" s="2"/>
      <c r="M673" s="2"/>
      <c r="N673" s="4"/>
      <c r="O673" s="4"/>
      <c r="P673" s="4"/>
      <c r="Q673" s="4"/>
      <c r="R673" s="5"/>
      <c r="S673" s="5"/>
      <c r="T673" s="4"/>
      <c r="U673" s="4"/>
      <c r="V673" s="4"/>
    </row>
    <row r="674">
      <c r="A674" s="4"/>
      <c r="B674" s="4"/>
      <c r="C674" s="5"/>
      <c r="D674" s="5"/>
      <c r="E674" s="4"/>
      <c r="F674" s="2"/>
      <c r="G674" s="2"/>
      <c r="H674" s="5"/>
      <c r="I674" s="5"/>
      <c r="J674" s="2"/>
      <c r="K674" s="2"/>
      <c r="L674" s="2"/>
      <c r="M674" s="2"/>
      <c r="N674" s="4"/>
      <c r="O674" s="4"/>
      <c r="P674" s="4"/>
      <c r="Q674" s="4"/>
      <c r="R674" s="5"/>
      <c r="S674" s="5"/>
      <c r="T674" s="4"/>
      <c r="U674" s="4"/>
      <c r="V674" s="4"/>
    </row>
    <row r="675">
      <c r="A675" s="4"/>
      <c r="B675" s="4"/>
      <c r="C675" s="5"/>
      <c r="D675" s="5"/>
      <c r="E675" s="4"/>
      <c r="F675" s="2"/>
      <c r="G675" s="2"/>
      <c r="H675" s="5"/>
      <c r="I675" s="5"/>
      <c r="J675" s="2"/>
      <c r="K675" s="2"/>
      <c r="L675" s="2"/>
      <c r="M675" s="2"/>
      <c r="N675" s="4"/>
      <c r="O675" s="4"/>
      <c r="P675" s="4"/>
      <c r="Q675" s="4"/>
      <c r="R675" s="5"/>
      <c r="S675" s="5"/>
      <c r="T675" s="4"/>
      <c r="U675" s="4"/>
      <c r="V675" s="4"/>
    </row>
    <row r="676">
      <c r="A676" s="4"/>
      <c r="B676" s="4"/>
      <c r="C676" s="5"/>
      <c r="D676" s="5"/>
      <c r="E676" s="4"/>
      <c r="F676" s="2"/>
      <c r="G676" s="2"/>
      <c r="H676" s="5"/>
      <c r="I676" s="5"/>
      <c r="J676" s="2"/>
      <c r="K676" s="2"/>
      <c r="L676" s="2"/>
      <c r="M676" s="2"/>
      <c r="N676" s="4"/>
      <c r="O676" s="4"/>
      <c r="P676" s="4"/>
      <c r="Q676" s="4"/>
      <c r="R676" s="5"/>
      <c r="S676" s="5"/>
      <c r="T676" s="4"/>
      <c r="U676" s="4"/>
      <c r="V676" s="4"/>
    </row>
    <row r="677">
      <c r="A677" s="4"/>
      <c r="B677" s="4"/>
      <c r="C677" s="5"/>
      <c r="D677" s="5"/>
      <c r="E677" s="4"/>
      <c r="F677" s="2"/>
      <c r="G677" s="2"/>
      <c r="H677" s="5"/>
      <c r="I677" s="5"/>
      <c r="J677" s="2"/>
      <c r="K677" s="2"/>
      <c r="L677" s="2"/>
      <c r="M677" s="2"/>
      <c r="N677" s="4"/>
      <c r="O677" s="4"/>
      <c r="P677" s="4"/>
      <c r="Q677" s="4"/>
      <c r="R677" s="5"/>
      <c r="S677" s="5"/>
      <c r="T677" s="4"/>
      <c r="U677" s="4"/>
      <c r="V677" s="4"/>
    </row>
    <row r="678">
      <c r="A678" s="4"/>
      <c r="B678" s="4"/>
      <c r="C678" s="5"/>
      <c r="D678" s="5"/>
      <c r="E678" s="4"/>
      <c r="F678" s="2"/>
      <c r="G678" s="2"/>
      <c r="H678" s="5"/>
      <c r="I678" s="5"/>
      <c r="J678" s="2"/>
      <c r="K678" s="2"/>
      <c r="L678" s="2"/>
      <c r="M678" s="2"/>
      <c r="N678" s="4"/>
      <c r="O678" s="4"/>
      <c r="P678" s="4"/>
      <c r="Q678" s="4"/>
      <c r="R678" s="5"/>
      <c r="S678" s="5"/>
      <c r="T678" s="4"/>
      <c r="U678" s="4"/>
      <c r="V678" s="4"/>
    </row>
    <row r="679">
      <c r="A679" s="4"/>
      <c r="B679" s="4"/>
      <c r="C679" s="5"/>
      <c r="D679" s="5"/>
      <c r="E679" s="4"/>
      <c r="F679" s="2"/>
      <c r="G679" s="2"/>
      <c r="H679" s="5"/>
      <c r="I679" s="5"/>
      <c r="J679" s="2"/>
      <c r="K679" s="2"/>
      <c r="L679" s="2"/>
      <c r="M679" s="2"/>
      <c r="N679" s="4"/>
      <c r="O679" s="4"/>
      <c r="P679" s="4"/>
      <c r="Q679" s="4"/>
      <c r="R679" s="5"/>
      <c r="S679" s="5"/>
      <c r="T679" s="4"/>
      <c r="U679" s="4"/>
      <c r="V679" s="4"/>
    </row>
    <row r="680">
      <c r="A680" s="4"/>
      <c r="B680" s="4"/>
      <c r="C680" s="5"/>
      <c r="D680" s="5"/>
      <c r="E680" s="4"/>
      <c r="F680" s="2"/>
      <c r="G680" s="2"/>
      <c r="H680" s="5"/>
      <c r="I680" s="5"/>
      <c r="J680" s="2"/>
      <c r="K680" s="2"/>
      <c r="L680" s="2"/>
      <c r="M680" s="2"/>
      <c r="N680" s="4"/>
      <c r="O680" s="4"/>
      <c r="P680" s="4"/>
      <c r="Q680" s="4"/>
      <c r="R680" s="5"/>
      <c r="S680" s="5"/>
      <c r="T680" s="4"/>
      <c r="U680" s="4"/>
      <c r="V680" s="4"/>
    </row>
    <row r="681">
      <c r="A681" s="4"/>
      <c r="B681" s="4"/>
      <c r="C681" s="5"/>
      <c r="D681" s="5"/>
      <c r="E681" s="4"/>
      <c r="F681" s="2"/>
      <c r="G681" s="2"/>
      <c r="H681" s="5"/>
      <c r="I681" s="5"/>
      <c r="J681" s="2"/>
      <c r="K681" s="2"/>
      <c r="L681" s="2"/>
      <c r="M681" s="2"/>
      <c r="N681" s="4"/>
      <c r="O681" s="4"/>
      <c r="P681" s="4"/>
      <c r="Q681" s="4"/>
      <c r="R681" s="5"/>
      <c r="S681" s="5"/>
      <c r="T681" s="4"/>
      <c r="U681" s="4"/>
      <c r="V681" s="4"/>
    </row>
    <row r="682">
      <c r="A682" s="4"/>
      <c r="B682" s="4"/>
      <c r="C682" s="5"/>
      <c r="D682" s="5"/>
      <c r="E682" s="4"/>
      <c r="F682" s="2"/>
      <c r="G682" s="2"/>
      <c r="H682" s="5"/>
      <c r="I682" s="5"/>
      <c r="J682" s="2"/>
      <c r="K682" s="2"/>
      <c r="L682" s="2"/>
      <c r="M682" s="2"/>
      <c r="N682" s="4"/>
      <c r="O682" s="4"/>
      <c r="P682" s="4"/>
      <c r="Q682" s="4"/>
      <c r="R682" s="5"/>
      <c r="S682" s="5"/>
      <c r="T682" s="4"/>
      <c r="U682" s="4"/>
      <c r="V682" s="4"/>
    </row>
    <row r="683">
      <c r="A683" s="4"/>
      <c r="B683" s="4"/>
      <c r="C683" s="5"/>
      <c r="D683" s="5"/>
      <c r="E683" s="4"/>
      <c r="F683" s="2"/>
      <c r="G683" s="2"/>
      <c r="H683" s="5"/>
      <c r="I683" s="5"/>
      <c r="J683" s="2"/>
      <c r="K683" s="2"/>
      <c r="L683" s="2"/>
      <c r="M683" s="2"/>
      <c r="N683" s="4"/>
      <c r="O683" s="4"/>
      <c r="P683" s="4"/>
      <c r="Q683" s="4"/>
      <c r="R683" s="5"/>
      <c r="S683" s="5"/>
      <c r="T683" s="4"/>
      <c r="U683" s="4"/>
      <c r="V683" s="4"/>
    </row>
    <row r="684">
      <c r="A684" s="4"/>
      <c r="B684" s="4"/>
      <c r="C684" s="5"/>
      <c r="D684" s="5"/>
      <c r="E684" s="4"/>
      <c r="F684" s="2"/>
      <c r="G684" s="2"/>
      <c r="H684" s="5"/>
      <c r="I684" s="5"/>
      <c r="J684" s="2"/>
      <c r="K684" s="2"/>
      <c r="L684" s="2"/>
      <c r="M684" s="2"/>
      <c r="N684" s="4"/>
      <c r="O684" s="4"/>
      <c r="P684" s="4"/>
      <c r="Q684" s="4"/>
      <c r="R684" s="5"/>
      <c r="S684" s="5"/>
      <c r="T684" s="4"/>
      <c r="U684" s="4"/>
      <c r="V684" s="4"/>
    </row>
    <row r="685">
      <c r="A685" s="4"/>
      <c r="B685" s="4"/>
      <c r="C685" s="5"/>
      <c r="D685" s="5"/>
      <c r="E685" s="4"/>
      <c r="F685" s="2"/>
      <c r="G685" s="2"/>
      <c r="H685" s="5"/>
      <c r="I685" s="5"/>
      <c r="J685" s="2"/>
      <c r="K685" s="2"/>
      <c r="L685" s="2"/>
      <c r="M685" s="2"/>
      <c r="N685" s="4"/>
      <c r="O685" s="4"/>
      <c r="P685" s="4"/>
      <c r="Q685" s="4"/>
      <c r="R685" s="5"/>
      <c r="S685" s="5"/>
      <c r="T685" s="4"/>
      <c r="U685" s="4"/>
      <c r="V685" s="4"/>
    </row>
    <row r="686">
      <c r="A686" s="4"/>
      <c r="B686" s="4"/>
      <c r="C686" s="5"/>
      <c r="D686" s="5"/>
      <c r="E686" s="4"/>
      <c r="F686" s="2"/>
      <c r="G686" s="2"/>
      <c r="H686" s="5"/>
      <c r="I686" s="5"/>
      <c r="J686" s="2"/>
      <c r="K686" s="2"/>
      <c r="L686" s="2"/>
      <c r="M686" s="2"/>
      <c r="N686" s="4"/>
      <c r="O686" s="4"/>
      <c r="P686" s="4"/>
      <c r="Q686" s="4"/>
      <c r="R686" s="5"/>
      <c r="S686" s="5"/>
      <c r="T686" s="4"/>
      <c r="U686" s="4"/>
      <c r="V686" s="4"/>
    </row>
    <row r="687">
      <c r="A687" s="4"/>
      <c r="B687" s="4"/>
      <c r="C687" s="5"/>
      <c r="D687" s="5"/>
      <c r="E687" s="4"/>
      <c r="F687" s="2"/>
      <c r="G687" s="2"/>
      <c r="H687" s="5"/>
      <c r="I687" s="5"/>
      <c r="J687" s="2"/>
      <c r="K687" s="2"/>
      <c r="L687" s="2"/>
      <c r="M687" s="2"/>
      <c r="N687" s="4"/>
      <c r="O687" s="4"/>
      <c r="P687" s="4"/>
      <c r="Q687" s="4"/>
      <c r="R687" s="5"/>
      <c r="S687" s="5"/>
      <c r="T687" s="4"/>
      <c r="U687" s="4"/>
      <c r="V687" s="4"/>
    </row>
    <row r="688">
      <c r="A688" s="4"/>
      <c r="B688" s="4"/>
      <c r="C688" s="5"/>
      <c r="D688" s="5"/>
      <c r="E688" s="4"/>
      <c r="F688" s="2"/>
      <c r="G688" s="2"/>
      <c r="H688" s="5"/>
      <c r="I688" s="5"/>
      <c r="J688" s="2"/>
      <c r="K688" s="2"/>
      <c r="L688" s="2"/>
      <c r="M688" s="2"/>
      <c r="N688" s="4"/>
      <c r="O688" s="4"/>
      <c r="P688" s="4"/>
      <c r="Q688" s="4"/>
      <c r="R688" s="5"/>
      <c r="S688" s="5"/>
      <c r="T688" s="4"/>
      <c r="U688" s="4"/>
      <c r="V688" s="4"/>
    </row>
    <row r="689">
      <c r="A689" s="4"/>
      <c r="B689" s="4"/>
      <c r="C689" s="5"/>
      <c r="D689" s="5"/>
      <c r="E689" s="4"/>
      <c r="F689" s="2"/>
      <c r="G689" s="2"/>
      <c r="H689" s="5"/>
      <c r="I689" s="5"/>
      <c r="J689" s="2"/>
      <c r="K689" s="2"/>
      <c r="L689" s="2"/>
      <c r="M689" s="2"/>
      <c r="N689" s="4"/>
      <c r="O689" s="4"/>
      <c r="P689" s="4"/>
      <c r="Q689" s="4"/>
      <c r="R689" s="5"/>
      <c r="S689" s="5"/>
      <c r="T689" s="4"/>
      <c r="U689" s="4"/>
      <c r="V689" s="4"/>
    </row>
    <row r="690">
      <c r="A690" s="4"/>
      <c r="B690" s="4"/>
      <c r="C690" s="5"/>
      <c r="D690" s="5"/>
      <c r="E690" s="4"/>
      <c r="F690" s="2"/>
      <c r="G690" s="2"/>
      <c r="H690" s="5"/>
      <c r="I690" s="5"/>
      <c r="J690" s="2"/>
      <c r="K690" s="2"/>
      <c r="L690" s="2"/>
      <c r="M690" s="2"/>
      <c r="N690" s="4"/>
      <c r="O690" s="4"/>
      <c r="P690" s="4"/>
      <c r="Q690" s="4"/>
      <c r="R690" s="5"/>
      <c r="S690" s="5"/>
      <c r="T690" s="4"/>
      <c r="U690" s="4"/>
      <c r="V690" s="4"/>
    </row>
    <row r="691">
      <c r="A691" s="4"/>
      <c r="B691" s="4"/>
      <c r="C691" s="5"/>
      <c r="D691" s="5"/>
      <c r="E691" s="4"/>
      <c r="F691" s="2"/>
      <c r="G691" s="2"/>
      <c r="H691" s="5"/>
      <c r="I691" s="5"/>
      <c r="J691" s="2"/>
      <c r="K691" s="2"/>
      <c r="L691" s="2"/>
      <c r="M691" s="2"/>
      <c r="N691" s="4"/>
      <c r="O691" s="4"/>
      <c r="P691" s="4"/>
      <c r="Q691" s="4"/>
      <c r="R691" s="5"/>
      <c r="S691" s="5"/>
      <c r="T691" s="4"/>
      <c r="U691" s="4"/>
      <c r="V691" s="4"/>
    </row>
    <row r="692">
      <c r="A692" s="4"/>
      <c r="B692" s="4"/>
      <c r="C692" s="5"/>
      <c r="D692" s="5"/>
      <c r="E692" s="4"/>
      <c r="F692" s="2"/>
      <c r="G692" s="2"/>
      <c r="H692" s="5"/>
      <c r="I692" s="5"/>
      <c r="J692" s="2"/>
      <c r="K692" s="2"/>
      <c r="L692" s="2"/>
      <c r="M692" s="2"/>
      <c r="N692" s="4"/>
      <c r="O692" s="4"/>
      <c r="P692" s="4"/>
      <c r="Q692" s="4"/>
      <c r="R692" s="5"/>
      <c r="S692" s="5"/>
      <c r="T692" s="4"/>
      <c r="U692" s="4"/>
      <c r="V692" s="4"/>
    </row>
    <row r="693">
      <c r="A693" s="4"/>
      <c r="B693" s="4"/>
      <c r="C693" s="5"/>
      <c r="D693" s="5"/>
      <c r="E693" s="4"/>
      <c r="F693" s="2"/>
      <c r="G693" s="2"/>
      <c r="H693" s="5"/>
      <c r="I693" s="5"/>
      <c r="J693" s="2"/>
      <c r="K693" s="2"/>
      <c r="L693" s="2"/>
      <c r="M693" s="2"/>
      <c r="N693" s="4"/>
      <c r="O693" s="4"/>
      <c r="P693" s="4"/>
      <c r="Q693" s="4"/>
      <c r="R693" s="5"/>
      <c r="S693" s="5"/>
      <c r="T693" s="4"/>
      <c r="U693" s="4"/>
      <c r="V693" s="4"/>
    </row>
    <row r="694">
      <c r="A694" s="4"/>
      <c r="B694" s="4"/>
      <c r="C694" s="5"/>
      <c r="D694" s="5"/>
      <c r="E694" s="4"/>
      <c r="F694" s="2"/>
      <c r="G694" s="2"/>
      <c r="H694" s="5"/>
      <c r="I694" s="5"/>
      <c r="J694" s="2"/>
      <c r="K694" s="2"/>
      <c r="L694" s="2"/>
      <c r="M694" s="2"/>
      <c r="N694" s="4"/>
      <c r="O694" s="4"/>
      <c r="P694" s="4"/>
      <c r="Q694" s="4"/>
      <c r="R694" s="5"/>
      <c r="S694" s="5"/>
      <c r="T694" s="4"/>
      <c r="U694" s="4"/>
      <c r="V694" s="4"/>
    </row>
    <row r="695">
      <c r="A695" s="4"/>
      <c r="B695" s="4"/>
      <c r="C695" s="5"/>
      <c r="D695" s="5"/>
      <c r="E695" s="4"/>
      <c r="F695" s="2"/>
      <c r="G695" s="2"/>
      <c r="H695" s="5"/>
      <c r="I695" s="5"/>
      <c r="J695" s="2"/>
      <c r="K695" s="2"/>
      <c r="L695" s="2"/>
      <c r="M695" s="2"/>
      <c r="N695" s="4"/>
      <c r="O695" s="4"/>
      <c r="P695" s="4"/>
      <c r="Q695" s="4"/>
      <c r="R695" s="5"/>
      <c r="S695" s="5"/>
      <c r="T695" s="4"/>
      <c r="U695" s="4"/>
      <c r="V695" s="4"/>
    </row>
    <row r="696">
      <c r="A696" s="4"/>
      <c r="B696" s="4"/>
      <c r="C696" s="5"/>
      <c r="D696" s="5"/>
      <c r="E696" s="4"/>
      <c r="F696" s="2"/>
      <c r="G696" s="2"/>
      <c r="H696" s="5"/>
      <c r="I696" s="5"/>
      <c r="J696" s="2"/>
      <c r="K696" s="2"/>
      <c r="L696" s="2"/>
      <c r="M696" s="2"/>
      <c r="N696" s="4"/>
      <c r="O696" s="4"/>
      <c r="P696" s="4"/>
      <c r="Q696" s="4"/>
      <c r="R696" s="5"/>
      <c r="S696" s="5"/>
      <c r="T696" s="4"/>
      <c r="U696" s="4"/>
      <c r="V696" s="4"/>
    </row>
    <row r="697">
      <c r="A697" s="4"/>
      <c r="B697" s="4"/>
      <c r="C697" s="5"/>
      <c r="D697" s="5"/>
      <c r="E697" s="4"/>
      <c r="F697" s="2"/>
      <c r="G697" s="2"/>
      <c r="H697" s="5"/>
      <c r="I697" s="5"/>
      <c r="J697" s="2"/>
      <c r="K697" s="2"/>
      <c r="L697" s="2"/>
      <c r="M697" s="2"/>
      <c r="N697" s="4"/>
      <c r="O697" s="4"/>
      <c r="P697" s="4"/>
      <c r="Q697" s="4"/>
      <c r="R697" s="5"/>
      <c r="S697" s="5"/>
      <c r="T697" s="4"/>
      <c r="U697" s="4"/>
      <c r="V697" s="4"/>
    </row>
    <row r="698">
      <c r="A698" s="4"/>
      <c r="B698" s="4"/>
      <c r="C698" s="5"/>
      <c r="D698" s="5"/>
      <c r="E698" s="4"/>
      <c r="F698" s="2"/>
      <c r="G698" s="2"/>
      <c r="H698" s="5"/>
      <c r="I698" s="5"/>
      <c r="J698" s="2"/>
      <c r="K698" s="2"/>
      <c r="L698" s="2"/>
      <c r="M698" s="2"/>
      <c r="N698" s="4"/>
      <c r="O698" s="4"/>
      <c r="P698" s="4"/>
      <c r="Q698" s="4"/>
      <c r="R698" s="5"/>
      <c r="S698" s="5"/>
      <c r="T698" s="4"/>
      <c r="U698" s="4"/>
      <c r="V698" s="4"/>
    </row>
    <row r="699">
      <c r="A699" s="4"/>
      <c r="B699" s="4"/>
      <c r="C699" s="5"/>
      <c r="D699" s="5"/>
      <c r="E699" s="4"/>
      <c r="F699" s="2"/>
      <c r="G699" s="2"/>
      <c r="H699" s="5"/>
      <c r="I699" s="5"/>
      <c r="J699" s="2"/>
      <c r="K699" s="2"/>
      <c r="L699" s="2"/>
      <c r="M699" s="2"/>
      <c r="N699" s="4"/>
      <c r="O699" s="4"/>
      <c r="P699" s="4"/>
      <c r="Q699" s="4"/>
      <c r="R699" s="5"/>
      <c r="S699" s="5"/>
      <c r="T699" s="4"/>
      <c r="U699" s="4"/>
      <c r="V699" s="4"/>
    </row>
    <row r="700">
      <c r="A700" s="4"/>
      <c r="B700" s="4"/>
      <c r="C700" s="5"/>
      <c r="D700" s="5"/>
      <c r="E700" s="4"/>
      <c r="F700" s="2"/>
      <c r="G700" s="2"/>
      <c r="H700" s="5"/>
      <c r="I700" s="5"/>
      <c r="J700" s="2"/>
      <c r="K700" s="2"/>
      <c r="L700" s="2"/>
      <c r="M700" s="2"/>
      <c r="N700" s="4"/>
      <c r="O700" s="4"/>
      <c r="P700" s="4"/>
      <c r="Q700" s="4"/>
      <c r="R700" s="5"/>
      <c r="S700" s="5"/>
      <c r="T700" s="4"/>
      <c r="U700" s="4"/>
      <c r="V700" s="4"/>
    </row>
    <row r="701">
      <c r="A701" s="4"/>
      <c r="B701" s="4"/>
      <c r="C701" s="5"/>
      <c r="D701" s="5"/>
      <c r="E701" s="4"/>
      <c r="F701" s="2"/>
      <c r="G701" s="2"/>
      <c r="H701" s="5"/>
      <c r="I701" s="5"/>
      <c r="J701" s="2"/>
      <c r="K701" s="2"/>
      <c r="L701" s="2"/>
      <c r="M701" s="2"/>
      <c r="N701" s="4"/>
      <c r="O701" s="4"/>
      <c r="P701" s="4"/>
      <c r="Q701" s="4"/>
      <c r="R701" s="5"/>
      <c r="S701" s="5"/>
      <c r="T701" s="4"/>
      <c r="U701" s="4"/>
      <c r="V701" s="4"/>
    </row>
    <row r="702">
      <c r="A702" s="4"/>
      <c r="B702" s="4"/>
      <c r="C702" s="5"/>
      <c r="D702" s="5"/>
      <c r="E702" s="4"/>
      <c r="F702" s="2"/>
      <c r="G702" s="2"/>
      <c r="H702" s="5"/>
      <c r="I702" s="5"/>
      <c r="J702" s="2"/>
      <c r="K702" s="2"/>
      <c r="L702" s="2"/>
      <c r="M702" s="2"/>
      <c r="N702" s="4"/>
      <c r="O702" s="4"/>
      <c r="P702" s="4"/>
      <c r="Q702" s="4"/>
      <c r="R702" s="5"/>
      <c r="S702" s="5"/>
      <c r="T702" s="4"/>
      <c r="U702" s="4"/>
      <c r="V702" s="4"/>
    </row>
    <row r="703">
      <c r="A703" s="4"/>
      <c r="B703" s="4"/>
      <c r="C703" s="5"/>
      <c r="D703" s="5"/>
      <c r="E703" s="4"/>
      <c r="F703" s="2"/>
      <c r="G703" s="2"/>
      <c r="H703" s="5"/>
      <c r="I703" s="5"/>
      <c r="J703" s="2"/>
      <c r="K703" s="2"/>
      <c r="L703" s="2"/>
      <c r="M703" s="2"/>
      <c r="N703" s="4"/>
      <c r="O703" s="4"/>
      <c r="P703" s="4"/>
      <c r="Q703" s="4"/>
      <c r="R703" s="5"/>
      <c r="S703" s="5"/>
      <c r="T703" s="4"/>
      <c r="U703" s="4"/>
      <c r="V703" s="4"/>
    </row>
    <row r="704">
      <c r="A704" s="4"/>
      <c r="B704" s="4"/>
      <c r="C704" s="5"/>
      <c r="D704" s="5"/>
      <c r="E704" s="4"/>
      <c r="F704" s="2"/>
      <c r="G704" s="2"/>
      <c r="H704" s="5"/>
      <c r="I704" s="5"/>
      <c r="J704" s="2"/>
      <c r="K704" s="2"/>
      <c r="L704" s="2"/>
      <c r="M704" s="2"/>
      <c r="N704" s="4"/>
      <c r="O704" s="4"/>
      <c r="P704" s="4"/>
      <c r="Q704" s="4"/>
      <c r="R704" s="5"/>
      <c r="S704" s="5"/>
      <c r="T704" s="4"/>
      <c r="U704" s="4"/>
      <c r="V704" s="4"/>
    </row>
    <row r="705">
      <c r="A705" s="4"/>
      <c r="B705" s="4"/>
      <c r="C705" s="5"/>
      <c r="D705" s="5"/>
      <c r="E705" s="4"/>
      <c r="F705" s="2"/>
      <c r="G705" s="2"/>
      <c r="H705" s="5"/>
      <c r="I705" s="5"/>
      <c r="J705" s="2"/>
      <c r="K705" s="2"/>
      <c r="L705" s="2"/>
      <c r="M705" s="2"/>
      <c r="N705" s="4"/>
      <c r="O705" s="4"/>
      <c r="P705" s="4"/>
      <c r="Q705" s="4"/>
      <c r="R705" s="5"/>
      <c r="S705" s="5"/>
      <c r="T705" s="4"/>
      <c r="U705" s="4"/>
      <c r="V705" s="4"/>
    </row>
    <row r="706">
      <c r="A706" s="4"/>
      <c r="B706" s="4"/>
      <c r="C706" s="5"/>
      <c r="D706" s="5"/>
      <c r="E706" s="4"/>
      <c r="F706" s="2"/>
      <c r="G706" s="2"/>
      <c r="H706" s="5"/>
      <c r="I706" s="5"/>
      <c r="J706" s="2"/>
      <c r="K706" s="2"/>
      <c r="L706" s="2"/>
      <c r="M706" s="2"/>
      <c r="N706" s="4"/>
      <c r="O706" s="4"/>
      <c r="P706" s="4"/>
      <c r="Q706" s="4"/>
      <c r="R706" s="5"/>
      <c r="S706" s="5"/>
      <c r="T706" s="4"/>
      <c r="U706" s="4"/>
      <c r="V706" s="4"/>
    </row>
    <row r="707">
      <c r="A707" s="4"/>
      <c r="B707" s="4"/>
      <c r="C707" s="5"/>
      <c r="D707" s="5"/>
      <c r="E707" s="4"/>
      <c r="F707" s="2"/>
      <c r="G707" s="2"/>
      <c r="H707" s="5"/>
      <c r="I707" s="5"/>
      <c r="J707" s="2"/>
      <c r="K707" s="2"/>
      <c r="L707" s="2"/>
      <c r="M707" s="2"/>
      <c r="N707" s="4"/>
      <c r="O707" s="4"/>
      <c r="P707" s="4"/>
      <c r="Q707" s="4"/>
      <c r="R707" s="5"/>
      <c r="S707" s="5"/>
      <c r="T707" s="4"/>
      <c r="U707" s="4"/>
      <c r="V707" s="4"/>
    </row>
    <row r="708">
      <c r="A708" s="4"/>
      <c r="B708" s="4"/>
      <c r="C708" s="5"/>
      <c r="D708" s="5"/>
      <c r="E708" s="4"/>
      <c r="F708" s="2"/>
      <c r="G708" s="2"/>
      <c r="H708" s="5"/>
      <c r="I708" s="5"/>
      <c r="J708" s="2"/>
      <c r="K708" s="2"/>
      <c r="L708" s="2"/>
      <c r="M708" s="2"/>
      <c r="N708" s="4"/>
      <c r="O708" s="4"/>
      <c r="P708" s="4"/>
      <c r="Q708" s="4"/>
      <c r="R708" s="5"/>
      <c r="S708" s="5"/>
      <c r="T708" s="4"/>
      <c r="U708" s="4"/>
      <c r="V708" s="4"/>
    </row>
    <row r="709">
      <c r="A709" s="4"/>
      <c r="B709" s="4"/>
      <c r="C709" s="5"/>
      <c r="D709" s="5"/>
      <c r="E709" s="4"/>
      <c r="F709" s="2"/>
      <c r="G709" s="2"/>
      <c r="H709" s="5"/>
      <c r="I709" s="5"/>
      <c r="J709" s="2"/>
      <c r="K709" s="2"/>
      <c r="L709" s="2"/>
      <c r="M709" s="2"/>
      <c r="N709" s="4"/>
      <c r="O709" s="4"/>
      <c r="P709" s="4"/>
      <c r="Q709" s="4"/>
      <c r="R709" s="5"/>
      <c r="S709" s="5"/>
      <c r="T709" s="4"/>
      <c r="U709" s="4"/>
      <c r="V709" s="4"/>
    </row>
    <row r="710">
      <c r="A710" s="4"/>
      <c r="B710" s="4"/>
      <c r="C710" s="5"/>
      <c r="D710" s="5"/>
      <c r="E710" s="4"/>
      <c r="F710" s="2"/>
      <c r="G710" s="2"/>
      <c r="H710" s="5"/>
      <c r="I710" s="5"/>
      <c r="J710" s="2"/>
      <c r="K710" s="2"/>
      <c r="L710" s="2"/>
      <c r="M710" s="2"/>
      <c r="N710" s="4"/>
      <c r="O710" s="4"/>
      <c r="P710" s="4"/>
      <c r="Q710" s="4"/>
      <c r="R710" s="5"/>
      <c r="S710" s="5"/>
      <c r="T710" s="4"/>
      <c r="U710" s="4"/>
      <c r="V710" s="4"/>
    </row>
    <row r="711">
      <c r="A711" s="4"/>
      <c r="B711" s="4"/>
      <c r="C711" s="5"/>
      <c r="D711" s="5"/>
      <c r="E711" s="4"/>
      <c r="F711" s="2"/>
      <c r="G711" s="2"/>
      <c r="H711" s="5"/>
      <c r="I711" s="5"/>
      <c r="J711" s="2"/>
      <c r="K711" s="2"/>
      <c r="L711" s="2"/>
      <c r="M711" s="2"/>
      <c r="N711" s="4"/>
      <c r="O711" s="4"/>
      <c r="P711" s="4"/>
      <c r="Q711" s="4"/>
      <c r="R711" s="5"/>
      <c r="S711" s="5"/>
      <c r="T711" s="4"/>
      <c r="U711" s="4"/>
      <c r="V711" s="4"/>
    </row>
    <row r="712">
      <c r="A712" s="4"/>
      <c r="B712" s="4"/>
      <c r="C712" s="5"/>
      <c r="D712" s="5"/>
      <c r="E712" s="4"/>
      <c r="F712" s="2"/>
      <c r="G712" s="2"/>
      <c r="H712" s="5"/>
      <c r="I712" s="5"/>
      <c r="J712" s="2"/>
      <c r="K712" s="2"/>
      <c r="L712" s="2"/>
      <c r="M712" s="2"/>
      <c r="N712" s="4"/>
      <c r="O712" s="4"/>
      <c r="P712" s="4"/>
      <c r="Q712" s="4"/>
      <c r="R712" s="5"/>
      <c r="S712" s="5"/>
      <c r="T712" s="4"/>
      <c r="U712" s="4"/>
      <c r="V712" s="4"/>
    </row>
    <row r="713">
      <c r="A713" s="4"/>
      <c r="B713" s="4"/>
      <c r="C713" s="5"/>
      <c r="D713" s="5"/>
      <c r="E713" s="4"/>
      <c r="F713" s="2"/>
      <c r="G713" s="2"/>
      <c r="H713" s="5"/>
      <c r="I713" s="5"/>
      <c r="J713" s="2"/>
      <c r="K713" s="2"/>
      <c r="L713" s="2"/>
      <c r="M713" s="2"/>
      <c r="N713" s="4"/>
      <c r="O713" s="4"/>
      <c r="P713" s="4"/>
      <c r="Q713" s="4"/>
      <c r="R713" s="5"/>
      <c r="S713" s="5"/>
      <c r="T713" s="4"/>
      <c r="U713" s="4"/>
      <c r="V713" s="4"/>
    </row>
    <row r="714">
      <c r="A714" s="4"/>
      <c r="B714" s="4"/>
      <c r="C714" s="5"/>
      <c r="D714" s="5"/>
      <c r="E714" s="4"/>
      <c r="F714" s="2"/>
      <c r="G714" s="2"/>
      <c r="H714" s="5"/>
      <c r="I714" s="5"/>
      <c r="J714" s="2"/>
      <c r="K714" s="2"/>
      <c r="L714" s="2"/>
      <c r="M714" s="2"/>
      <c r="N714" s="4"/>
      <c r="O714" s="4"/>
      <c r="P714" s="4"/>
      <c r="Q714" s="4"/>
      <c r="R714" s="5"/>
      <c r="S714" s="5"/>
      <c r="T714" s="4"/>
      <c r="U714" s="4"/>
      <c r="V714" s="4"/>
    </row>
    <row r="715">
      <c r="A715" s="4"/>
      <c r="B715" s="4"/>
      <c r="C715" s="5"/>
      <c r="D715" s="5"/>
      <c r="E715" s="4"/>
      <c r="F715" s="2"/>
      <c r="G715" s="2"/>
      <c r="H715" s="5"/>
      <c r="I715" s="5"/>
      <c r="J715" s="2"/>
      <c r="K715" s="2"/>
      <c r="L715" s="2"/>
      <c r="M715" s="2"/>
      <c r="N715" s="4"/>
      <c r="O715" s="4"/>
      <c r="P715" s="4"/>
      <c r="Q715" s="4"/>
      <c r="R715" s="5"/>
      <c r="S715" s="5"/>
      <c r="T715" s="4"/>
      <c r="U715" s="4"/>
      <c r="V715" s="4"/>
    </row>
    <row r="716">
      <c r="A716" s="4"/>
      <c r="B716" s="4"/>
      <c r="C716" s="5"/>
      <c r="D716" s="5"/>
      <c r="E716" s="4"/>
      <c r="F716" s="2"/>
      <c r="G716" s="2"/>
      <c r="H716" s="5"/>
      <c r="I716" s="5"/>
      <c r="J716" s="2"/>
      <c r="K716" s="2"/>
      <c r="L716" s="2"/>
      <c r="M716" s="2"/>
      <c r="N716" s="4"/>
      <c r="O716" s="4"/>
      <c r="P716" s="4"/>
      <c r="Q716" s="4"/>
      <c r="R716" s="5"/>
      <c r="S716" s="5"/>
      <c r="T716" s="4"/>
      <c r="U716" s="4"/>
      <c r="V716" s="4"/>
    </row>
    <row r="717">
      <c r="A717" s="4"/>
      <c r="B717" s="4"/>
      <c r="C717" s="5"/>
      <c r="D717" s="5"/>
      <c r="E717" s="4"/>
      <c r="F717" s="2"/>
      <c r="G717" s="2"/>
      <c r="H717" s="5"/>
      <c r="I717" s="5"/>
      <c r="J717" s="2"/>
      <c r="K717" s="2"/>
      <c r="L717" s="2"/>
      <c r="M717" s="2"/>
      <c r="N717" s="4"/>
      <c r="O717" s="4"/>
      <c r="P717" s="4"/>
      <c r="Q717" s="4"/>
      <c r="R717" s="5"/>
      <c r="S717" s="5"/>
      <c r="T717" s="4"/>
      <c r="U717" s="4"/>
      <c r="V717" s="4"/>
    </row>
    <row r="718">
      <c r="A718" s="4"/>
      <c r="B718" s="4"/>
      <c r="C718" s="5"/>
      <c r="D718" s="5"/>
      <c r="E718" s="4"/>
      <c r="F718" s="2"/>
      <c r="G718" s="2"/>
      <c r="H718" s="5"/>
      <c r="I718" s="5"/>
      <c r="J718" s="2"/>
      <c r="K718" s="2"/>
      <c r="L718" s="2"/>
      <c r="M718" s="2"/>
      <c r="N718" s="4"/>
      <c r="O718" s="4"/>
      <c r="P718" s="4"/>
      <c r="Q718" s="4"/>
      <c r="R718" s="5"/>
      <c r="S718" s="5"/>
      <c r="T718" s="4"/>
      <c r="U718" s="4"/>
      <c r="V718" s="4"/>
    </row>
    <row r="719">
      <c r="A719" s="4"/>
      <c r="B719" s="4"/>
      <c r="C719" s="5"/>
      <c r="D719" s="5"/>
      <c r="E719" s="4"/>
      <c r="F719" s="2"/>
      <c r="G719" s="2"/>
      <c r="H719" s="5"/>
      <c r="I719" s="5"/>
      <c r="J719" s="2"/>
      <c r="K719" s="2"/>
      <c r="L719" s="2"/>
      <c r="M719" s="2"/>
      <c r="N719" s="4"/>
      <c r="O719" s="4"/>
      <c r="P719" s="4"/>
      <c r="Q719" s="4"/>
      <c r="R719" s="5"/>
      <c r="S719" s="5"/>
      <c r="T719" s="4"/>
      <c r="U719" s="4"/>
      <c r="V719" s="4"/>
    </row>
    <row r="720">
      <c r="A720" s="4"/>
      <c r="B720" s="4"/>
      <c r="C720" s="5"/>
      <c r="D720" s="5"/>
      <c r="E720" s="4"/>
      <c r="F720" s="2"/>
      <c r="G720" s="2"/>
      <c r="H720" s="5"/>
      <c r="I720" s="5"/>
      <c r="J720" s="2"/>
      <c r="K720" s="2"/>
      <c r="L720" s="2"/>
      <c r="M720" s="2"/>
      <c r="N720" s="4"/>
      <c r="O720" s="4"/>
      <c r="P720" s="4"/>
      <c r="Q720" s="4"/>
      <c r="R720" s="5"/>
      <c r="S720" s="5"/>
      <c r="T720" s="4"/>
      <c r="U720" s="4"/>
      <c r="V720" s="4"/>
    </row>
    <row r="721">
      <c r="A721" s="4"/>
      <c r="B721" s="4"/>
      <c r="C721" s="5"/>
      <c r="D721" s="5"/>
      <c r="E721" s="4"/>
      <c r="F721" s="2"/>
      <c r="G721" s="2"/>
      <c r="H721" s="5"/>
      <c r="I721" s="5"/>
      <c r="J721" s="2"/>
      <c r="K721" s="2"/>
      <c r="L721" s="2"/>
      <c r="M721" s="2"/>
      <c r="N721" s="4"/>
      <c r="O721" s="4"/>
      <c r="P721" s="4"/>
      <c r="Q721" s="4"/>
      <c r="R721" s="5"/>
      <c r="S721" s="5"/>
      <c r="T721" s="4"/>
      <c r="U721" s="4"/>
      <c r="V721" s="4"/>
    </row>
    <row r="722">
      <c r="A722" s="4"/>
      <c r="B722" s="4"/>
      <c r="C722" s="5"/>
      <c r="D722" s="5"/>
      <c r="E722" s="4"/>
      <c r="F722" s="2"/>
      <c r="G722" s="2"/>
      <c r="H722" s="5"/>
      <c r="I722" s="5"/>
      <c r="J722" s="2"/>
      <c r="K722" s="2"/>
      <c r="L722" s="2"/>
      <c r="M722" s="2"/>
      <c r="N722" s="4"/>
      <c r="O722" s="4"/>
      <c r="P722" s="4"/>
      <c r="Q722" s="4"/>
      <c r="R722" s="5"/>
      <c r="S722" s="5"/>
      <c r="T722" s="4"/>
      <c r="U722" s="4"/>
      <c r="V722" s="4"/>
    </row>
    <row r="723">
      <c r="A723" s="4"/>
      <c r="B723" s="4"/>
      <c r="C723" s="5"/>
      <c r="D723" s="5"/>
      <c r="E723" s="4"/>
      <c r="F723" s="2"/>
      <c r="G723" s="2"/>
      <c r="H723" s="5"/>
      <c r="I723" s="5"/>
      <c r="J723" s="2"/>
      <c r="K723" s="2"/>
      <c r="L723" s="2"/>
      <c r="M723" s="2"/>
      <c r="N723" s="4"/>
      <c r="O723" s="4"/>
      <c r="P723" s="4"/>
      <c r="Q723" s="4"/>
      <c r="R723" s="5"/>
      <c r="S723" s="5"/>
      <c r="T723" s="4"/>
      <c r="U723" s="4"/>
      <c r="V723" s="4"/>
    </row>
    <row r="724">
      <c r="A724" s="4"/>
      <c r="B724" s="4"/>
      <c r="C724" s="5"/>
      <c r="D724" s="5"/>
      <c r="E724" s="4"/>
      <c r="F724" s="2"/>
      <c r="G724" s="2"/>
      <c r="H724" s="5"/>
      <c r="I724" s="5"/>
      <c r="J724" s="2"/>
      <c r="K724" s="2"/>
      <c r="L724" s="2"/>
      <c r="M724" s="2"/>
      <c r="N724" s="4"/>
      <c r="O724" s="4"/>
      <c r="P724" s="4"/>
      <c r="Q724" s="4"/>
      <c r="R724" s="5"/>
      <c r="S724" s="5"/>
      <c r="T724" s="4"/>
      <c r="U724" s="4"/>
      <c r="V724" s="4"/>
    </row>
    <row r="725">
      <c r="A725" s="4"/>
      <c r="B725" s="4"/>
      <c r="C725" s="5"/>
      <c r="D725" s="5"/>
      <c r="E725" s="4"/>
      <c r="F725" s="2"/>
      <c r="G725" s="2"/>
      <c r="H725" s="5"/>
      <c r="I725" s="5"/>
      <c r="J725" s="2"/>
      <c r="K725" s="2"/>
      <c r="L725" s="2"/>
      <c r="M725" s="2"/>
      <c r="N725" s="4"/>
      <c r="O725" s="4"/>
      <c r="P725" s="4"/>
      <c r="Q725" s="4"/>
      <c r="R725" s="5"/>
      <c r="S725" s="5"/>
      <c r="T725" s="4"/>
      <c r="U725" s="4"/>
      <c r="V725" s="4"/>
    </row>
    <row r="726">
      <c r="A726" s="4"/>
      <c r="B726" s="4"/>
      <c r="C726" s="5"/>
      <c r="D726" s="5"/>
      <c r="E726" s="4"/>
      <c r="F726" s="2"/>
      <c r="G726" s="2"/>
      <c r="H726" s="5"/>
      <c r="I726" s="5"/>
      <c r="J726" s="2"/>
      <c r="K726" s="2"/>
      <c r="L726" s="2"/>
      <c r="M726" s="2"/>
      <c r="N726" s="4"/>
      <c r="O726" s="4"/>
      <c r="P726" s="4"/>
      <c r="Q726" s="4"/>
      <c r="R726" s="5"/>
      <c r="S726" s="5"/>
      <c r="T726" s="4"/>
      <c r="U726" s="4"/>
      <c r="V726" s="4"/>
    </row>
    <row r="727">
      <c r="A727" s="4"/>
      <c r="B727" s="4"/>
      <c r="C727" s="5"/>
      <c r="D727" s="5"/>
      <c r="E727" s="4"/>
      <c r="F727" s="2"/>
      <c r="G727" s="2"/>
      <c r="H727" s="5"/>
      <c r="I727" s="5"/>
      <c r="J727" s="2"/>
      <c r="K727" s="2"/>
      <c r="L727" s="2"/>
      <c r="M727" s="2"/>
      <c r="N727" s="4"/>
      <c r="O727" s="4"/>
      <c r="P727" s="4"/>
      <c r="Q727" s="4"/>
      <c r="R727" s="5"/>
      <c r="S727" s="5"/>
      <c r="T727" s="4"/>
      <c r="U727" s="4"/>
      <c r="V727" s="4"/>
    </row>
    <row r="728">
      <c r="A728" s="4"/>
      <c r="B728" s="4"/>
      <c r="C728" s="5"/>
      <c r="D728" s="5"/>
      <c r="E728" s="4"/>
      <c r="F728" s="2"/>
      <c r="G728" s="2"/>
      <c r="H728" s="5"/>
      <c r="I728" s="5"/>
      <c r="J728" s="2"/>
      <c r="K728" s="2"/>
      <c r="L728" s="2"/>
      <c r="M728" s="2"/>
      <c r="N728" s="4"/>
      <c r="O728" s="4"/>
      <c r="P728" s="4"/>
      <c r="Q728" s="4"/>
      <c r="R728" s="5"/>
      <c r="S728" s="5"/>
      <c r="T728" s="4"/>
      <c r="U728" s="4"/>
      <c r="V728" s="4"/>
    </row>
    <row r="729">
      <c r="A729" s="4"/>
      <c r="B729" s="4"/>
      <c r="C729" s="5"/>
      <c r="D729" s="5"/>
      <c r="E729" s="4"/>
      <c r="F729" s="2"/>
      <c r="G729" s="2"/>
      <c r="H729" s="5"/>
      <c r="I729" s="5"/>
      <c r="J729" s="2"/>
      <c r="K729" s="2"/>
      <c r="L729" s="2"/>
      <c r="M729" s="2"/>
      <c r="N729" s="4"/>
      <c r="O729" s="4"/>
      <c r="P729" s="4"/>
      <c r="Q729" s="4"/>
      <c r="R729" s="5"/>
      <c r="S729" s="5"/>
      <c r="T729" s="4"/>
      <c r="U729" s="4"/>
      <c r="V729" s="4"/>
    </row>
    <row r="730">
      <c r="A730" s="4"/>
      <c r="B730" s="4"/>
      <c r="C730" s="5"/>
      <c r="D730" s="5"/>
      <c r="E730" s="4"/>
      <c r="F730" s="2"/>
      <c r="G730" s="2"/>
      <c r="H730" s="5"/>
      <c r="I730" s="5"/>
      <c r="J730" s="2"/>
      <c r="K730" s="2"/>
      <c r="L730" s="2"/>
      <c r="M730" s="2"/>
      <c r="N730" s="4"/>
      <c r="O730" s="4"/>
      <c r="P730" s="4"/>
      <c r="Q730" s="4"/>
      <c r="R730" s="5"/>
      <c r="S730" s="5"/>
      <c r="T730" s="4"/>
      <c r="U730" s="4"/>
      <c r="V730" s="4"/>
    </row>
    <row r="731">
      <c r="A731" s="4"/>
      <c r="B731" s="4"/>
      <c r="C731" s="5"/>
      <c r="D731" s="5"/>
      <c r="E731" s="4"/>
      <c r="F731" s="2"/>
      <c r="G731" s="2"/>
      <c r="H731" s="5"/>
      <c r="I731" s="5"/>
      <c r="J731" s="2"/>
      <c r="K731" s="2"/>
      <c r="L731" s="2"/>
      <c r="M731" s="2"/>
      <c r="N731" s="4"/>
      <c r="O731" s="4"/>
      <c r="P731" s="4"/>
      <c r="Q731" s="4"/>
      <c r="R731" s="5"/>
      <c r="S731" s="5"/>
      <c r="T731" s="4"/>
      <c r="U731" s="4"/>
      <c r="V731" s="4"/>
    </row>
    <row r="732">
      <c r="A732" s="4"/>
      <c r="B732" s="4"/>
      <c r="C732" s="5"/>
      <c r="D732" s="5"/>
      <c r="E732" s="4"/>
      <c r="F732" s="2"/>
      <c r="G732" s="2"/>
      <c r="H732" s="5"/>
      <c r="I732" s="5"/>
      <c r="J732" s="2"/>
      <c r="K732" s="2"/>
      <c r="L732" s="2"/>
      <c r="M732" s="2"/>
      <c r="N732" s="4"/>
      <c r="O732" s="4"/>
      <c r="P732" s="4"/>
      <c r="Q732" s="4"/>
      <c r="R732" s="5"/>
      <c r="S732" s="5"/>
      <c r="T732" s="4"/>
      <c r="U732" s="4"/>
      <c r="V732" s="4"/>
    </row>
    <row r="733">
      <c r="A733" s="4"/>
      <c r="B733" s="4"/>
      <c r="C733" s="5"/>
      <c r="D733" s="5"/>
      <c r="E733" s="4"/>
      <c r="F733" s="2"/>
      <c r="G733" s="2"/>
      <c r="H733" s="5"/>
      <c r="I733" s="5"/>
      <c r="J733" s="2"/>
      <c r="K733" s="2"/>
      <c r="L733" s="2"/>
      <c r="M733" s="2"/>
      <c r="N733" s="4"/>
      <c r="O733" s="4"/>
      <c r="P733" s="4"/>
      <c r="Q733" s="4"/>
      <c r="R733" s="5"/>
      <c r="S733" s="5"/>
      <c r="T733" s="4"/>
      <c r="U733" s="4"/>
      <c r="V733" s="4"/>
    </row>
    <row r="734">
      <c r="A734" s="4"/>
      <c r="B734" s="4"/>
      <c r="C734" s="5"/>
      <c r="D734" s="5"/>
      <c r="E734" s="4"/>
      <c r="F734" s="2"/>
      <c r="G734" s="2"/>
      <c r="H734" s="5"/>
      <c r="I734" s="5"/>
      <c r="J734" s="2"/>
      <c r="K734" s="2"/>
      <c r="L734" s="2"/>
      <c r="M734" s="2"/>
      <c r="N734" s="4"/>
      <c r="O734" s="4"/>
      <c r="P734" s="4"/>
      <c r="Q734" s="4"/>
      <c r="R734" s="5"/>
      <c r="S734" s="5"/>
      <c r="T734" s="4"/>
      <c r="U734" s="4"/>
      <c r="V734" s="4"/>
    </row>
    <row r="735">
      <c r="A735" s="4"/>
      <c r="B735" s="4"/>
      <c r="C735" s="5"/>
      <c r="D735" s="5"/>
      <c r="E735" s="4"/>
      <c r="F735" s="2"/>
      <c r="G735" s="2"/>
      <c r="H735" s="5"/>
      <c r="I735" s="5"/>
      <c r="J735" s="2"/>
      <c r="K735" s="2"/>
      <c r="L735" s="2"/>
      <c r="M735" s="2"/>
      <c r="N735" s="4"/>
      <c r="O735" s="4"/>
      <c r="P735" s="4"/>
      <c r="Q735" s="4"/>
      <c r="R735" s="5"/>
      <c r="S735" s="5"/>
      <c r="T735" s="4"/>
      <c r="U735" s="4"/>
      <c r="V735" s="4"/>
    </row>
    <row r="736">
      <c r="A736" s="4"/>
      <c r="B736" s="4"/>
      <c r="C736" s="5"/>
      <c r="D736" s="5"/>
      <c r="E736" s="4"/>
      <c r="F736" s="2"/>
      <c r="G736" s="2"/>
      <c r="H736" s="5"/>
      <c r="I736" s="5"/>
      <c r="J736" s="2"/>
      <c r="K736" s="2"/>
      <c r="L736" s="2"/>
      <c r="M736" s="2"/>
      <c r="N736" s="4"/>
      <c r="O736" s="4"/>
      <c r="P736" s="4"/>
      <c r="Q736" s="4"/>
      <c r="R736" s="5"/>
      <c r="S736" s="5"/>
      <c r="T736" s="4"/>
      <c r="U736" s="4"/>
      <c r="V736" s="4"/>
    </row>
    <row r="737">
      <c r="A737" s="4"/>
      <c r="B737" s="4"/>
      <c r="C737" s="5"/>
      <c r="D737" s="5"/>
      <c r="E737" s="4"/>
      <c r="F737" s="2"/>
      <c r="G737" s="2"/>
      <c r="H737" s="5"/>
      <c r="I737" s="5"/>
      <c r="J737" s="2"/>
      <c r="K737" s="2"/>
      <c r="L737" s="2"/>
      <c r="M737" s="2"/>
      <c r="N737" s="4"/>
      <c r="O737" s="4"/>
      <c r="P737" s="4"/>
      <c r="Q737" s="4"/>
      <c r="R737" s="5"/>
      <c r="S737" s="5"/>
      <c r="T737" s="4"/>
      <c r="U737" s="4"/>
      <c r="V737" s="4"/>
    </row>
    <row r="738">
      <c r="A738" s="4"/>
      <c r="B738" s="4"/>
      <c r="C738" s="5"/>
      <c r="D738" s="5"/>
      <c r="E738" s="4"/>
      <c r="F738" s="2"/>
      <c r="G738" s="2"/>
      <c r="H738" s="5"/>
      <c r="I738" s="5"/>
      <c r="J738" s="2"/>
      <c r="K738" s="2"/>
      <c r="L738" s="2"/>
      <c r="M738" s="2"/>
      <c r="N738" s="4"/>
      <c r="O738" s="4"/>
      <c r="P738" s="4"/>
      <c r="Q738" s="4"/>
      <c r="R738" s="5"/>
      <c r="S738" s="5"/>
      <c r="T738" s="4"/>
      <c r="U738" s="4"/>
      <c r="V738" s="4"/>
    </row>
    <row r="739">
      <c r="A739" s="4"/>
      <c r="B739" s="4"/>
      <c r="C739" s="5"/>
      <c r="D739" s="5"/>
      <c r="E739" s="4"/>
      <c r="F739" s="2"/>
      <c r="G739" s="2"/>
      <c r="H739" s="5"/>
      <c r="I739" s="5"/>
      <c r="J739" s="2"/>
      <c r="K739" s="2"/>
      <c r="L739" s="2"/>
      <c r="M739" s="2"/>
      <c r="N739" s="4"/>
      <c r="O739" s="4"/>
      <c r="P739" s="4"/>
      <c r="Q739" s="4"/>
      <c r="R739" s="5"/>
      <c r="S739" s="5"/>
      <c r="T739" s="4"/>
      <c r="U739" s="4"/>
      <c r="V739" s="4"/>
    </row>
    <row r="740">
      <c r="A740" s="4"/>
      <c r="B740" s="4"/>
      <c r="C740" s="5"/>
      <c r="D740" s="5"/>
      <c r="E740" s="4"/>
      <c r="F740" s="2"/>
      <c r="G740" s="2"/>
      <c r="H740" s="5"/>
      <c r="I740" s="5"/>
      <c r="J740" s="2"/>
      <c r="K740" s="2"/>
      <c r="L740" s="2"/>
      <c r="M740" s="2"/>
      <c r="N740" s="4"/>
      <c r="O740" s="4"/>
      <c r="P740" s="4"/>
      <c r="Q740" s="4"/>
      <c r="R740" s="5"/>
      <c r="S740" s="5"/>
      <c r="T740" s="4"/>
      <c r="U740" s="4"/>
      <c r="V740" s="4"/>
    </row>
    <row r="741">
      <c r="A741" s="4"/>
      <c r="B741" s="4"/>
      <c r="C741" s="5"/>
      <c r="D741" s="5"/>
      <c r="E741" s="4"/>
      <c r="F741" s="2"/>
      <c r="G741" s="2"/>
      <c r="H741" s="5"/>
      <c r="I741" s="5"/>
      <c r="J741" s="2"/>
      <c r="K741" s="2"/>
      <c r="L741" s="2"/>
      <c r="M741" s="2"/>
      <c r="N741" s="4"/>
      <c r="O741" s="4"/>
      <c r="P741" s="4"/>
      <c r="Q741" s="4"/>
      <c r="R741" s="5"/>
      <c r="S741" s="5"/>
      <c r="T741" s="4"/>
      <c r="U741" s="4"/>
      <c r="V741" s="4"/>
    </row>
    <row r="742">
      <c r="A742" s="4"/>
      <c r="B742" s="4"/>
      <c r="C742" s="5"/>
      <c r="D742" s="5"/>
      <c r="E742" s="4"/>
      <c r="F742" s="2"/>
      <c r="G742" s="2"/>
      <c r="H742" s="5"/>
      <c r="I742" s="5"/>
      <c r="J742" s="2"/>
      <c r="K742" s="2"/>
      <c r="L742" s="2"/>
      <c r="M742" s="2"/>
      <c r="N742" s="4"/>
      <c r="O742" s="4"/>
      <c r="P742" s="4"/>
      <c r="Q742" s="4"/>
      <c r="R742" s="5"/>
      <c r="S742" s="5"/>
      <c r="T742" s="4"/>
      <c r="U742" s="4"/>
      <c r="V742" s="4"/>
    </row>
    <row r="743">
      <c r="A743" s="4"/>
      <c r="B743" s="4"/>
      <c r="C743" s="5"/>
      <c r="D743" s="5"/>
      <c r="E743" s="4"/>
      <c r="F743" s="2"/>
      <c r="G743" s="2"/>
      <c r="H743" s="5"/>
      <c r="I743" s="5"/>
      <c r="J743" s="2"/>
      <c r="K743" s="2"/>
      <c r="L743" s="2"/>
      <c r="M743" s="2"/>
      <c r="N743" s="4"/>
      <c r="O743" s="4"/>
      <c r="P743" s="4"/>
      <c r="Q743" s="4"/>
      <c r="R743" s="5"/>
      <c r="S743" s="5"/>
      <c r="T743" s="4"/>
      <c r="U743" s="4"/>
      <c r="V743" s="4"/>
    </row>
    <row r="744">
      <c r="A744" s="4"/>
      <c r="B744" s="4"/>
      <c r="C744" s="5"/>
      <c r="D744" s="5"/>
      <c r="E744" s="4"/>
      <c r="F744" s="2"/>
      <c r="G744" s="2"/>
      <c r="H744" s="5"/>
      <c r="I744" s="5"/>
      <c r="J744" s="2"/>
      <c r="K744" s="2"/>
      <c r="L744" s="2"/>
      <c r="M744" s="2"/>
      <c r="N744" s="4"/>
      <c r="O744" s="4"/>
      <c r="P744" s="4"/>
      <c r="Q744" s="4"/>
      <c r="R744" s="5"/>
      <c r="S744" s="5"/>
      <c r="T744" s="4"/>
      <c r="U744" s="4"/>
      <c r="V744" s="4"/>
    </row>
    <row r="745">
      <c r="A745" s="4"/>
      <c r="B745" s="4"/>
      <c r="C745" s="5"/>
      <c r="D745" s="5"/>
      <c r="E745" s="4"/>
      <c r="F745" s="2"/>
      <c r="G745" s="2"/>
      <c r="H745" s="5"/>
      <c r="I745" s="5"/>
      <c r="J745" s="2"/>
      <c r="K745" s="2"/>
      <c r="L745" s="2"/>
      <c r="M745" s="2"/>
      <c r="N745" s="4"/>
      <c r="O745" s="4"/>
      <c r="P745" s="4"/>
      <c r="Q745" s="4"/>
      <c r="R745" s="5"/>
      <c r="S745" s="5"/>
      <c r="T745" s="4"/>
      <c r="U745" s="4"/>
      <c r="V745" s="4"/>
    </row>
    <row r="746">
      <c r="A746" s="4"/>
      <c r="B746" s="4"/>
      <c r="C746" s="5"/>
      <c r="D746" s="5"/>
      <c r="E746" s="4"/>
      <c r="F746" s="2"/>
      <c r="G746" s="2"/>
      <c r="H746" s="5"/>
      <c r="I746" s="5"/>
      <c r="J746" s="2"/>
      <c r="K746" s="2"/>
      <c r="L746" s="2"/>
      <c r="M746" s="2"/>
      <c r="N746" s="4"/>
      <c r="O746" s="4"/>
      <c r="P746" s="4"/>
      <c r="Q746" s="4"/>
      <c r="R746" s="5"/>
      <c r="S746" s="5"/>
      <c r="T746" s="4"/>
      <c r="U746" s="4"/>
      <c r="V746" s="4"/>
    </row>
    <row r="747">
      <c r="A747" s="4"/>
      <c r="B747" s="4"/>
      <c r="C747" s="5"/>
      <c r="D747" s="5"/>
      <c r="E747" s="4"/>
      <c r="F747" s="2"/>
      <c r="G747" s="2"/>
      <c r="H747" s="5"/>
      <c r="I747" s="5"/>
      <c r="J747" s="2"/>
      <c r="K747" s="2"/>
      <c r="L747" s="2"/>
      <c r="M747" s="2"/>
      <c r="N747" s="4"/>
      <c r="O747" s="4"/>
      <c r="P747" s="4"/>
      <c r="Q747" s="4"/>
      <c r="R747" s="5"/>
      <c r="S747" s="5"/>
      <c r="T747" s="4"/>
      <c r="U747" s="4"/>
      <c r="V747" s="4"/>
    </row>
    <row r="748">
      <c r="A748" s="4"/>
      <c r="B748" s="4"/>
      <c r="C748" s="5"/>
      <c r="D748" s="5"/>
      <c r="E748" s="4"/>
      <c r="F748" s="2"/>
      <c r="G748" s="2"/>
      <c r="H748" s="5"/>
      <c r="I748" s="5"/>
      <c r="J748" s="2"/>
      <c r="K748" s="2"/>
      <c r="L748" s="2"/>
      <c r="M748" s="2"/>
      <c r="N748" s="4"/>
      <c r="O748" s="4"/>
      <c r="P748" s="4"/>
      <c r="Q748" s="4"/>
      <c r="R748" s="5"/>
      <c r="S748" s="5"/>
      <c r="T748" s="4"/>
      <c r="U748" s="4"/>
      <c r="V748" s="4"/>
    </row>
    <row r="749">
      <c r="A749" s="4"/>
      <c r="B749" s="4"/>
      <c r="C749" s="5"/>
      <c r="D749" s="5"/>
      <c r="E749" s="4"/>
      <c r="F749" s="2"/>
      <c r="G749" s="2"/>
      <c r="H749" s="5"/>
      <c r="I749" s="5"/>
      <c r="J749" s="2"/>
      <c r="K749" s="2"/>
      <c r="L749" s="2"/>
      <c r="M749" s="2"/>
      <c r="N749" s="4"/>
      <c r="O749" s="4"/>
      <c r="P749" s="4"/>
      <c r="Q749" s="4"/>
      <c r="R749" s="5"/>
      <c r="S749" s="5"/>
      <c r="T749" s="4"/>
      <c r="U749" s="4"/>
      <c r="V749" s="4"/>
    </row>
    <row r="750">
      <c r="A750" s="4"/>
      <c r="B750" s="4"/>
      <c r="C750" s="5"/>
      <c r="D750" s="5"/>
      <c r="E750" s="4"/>
      <c r="F750" s="2"/>
      <c r="G750" s="2"/>
      <c r="H750" s="5"/>
      <c r="I750" s="5"/>
      <c r="J750" s="2"/>
      <c r="K750" s="2"/>
      <c r="L750" s="2"/>
      <c r="M750" s="2"/>
      <c r="N750" s="4"/>
      <c r="O750" s="4"/>
      <c r="P750" s="4"/>
      <c r="Q750" s="4"/>
      <c r="R750" s="5"/>
      <c r="S750" s="5"/>
      <c r="T750" s="4"/>
      <c r="U750" s="4"/>
      <c r="V750" s="4"/>
    </row>
    <row r="751">
      <c r="A751" s="4"/>
      <c r="B751" s="4"/>
      <c r="C751" s="5"/>
      <c r="D751" s="5"/>
      <c r="E751" s="4"/>
      <c r="F751" s="2"/>
      <c r="G751" s="2"/>
      <c r="H751" s="5"/>
      <c r="I751" s="5"/>
      <c r="J751" s="2"/>
      <c r="K751" s="2"/>
      <c r="L751" s="2"/>
      <c r="M751" s="2"/>
      <c r="N751" s="4"/>
      <c r="O751" s="4"/>
      <c r="P751" s="4"/>
      <c r="Q751" s="4"/>
      <c r="R751" s="5"/>
      <c r="S751" s="5"/>
      <c r="T751" s="4"/>
      <c r="U751" s="4"/>
      <c r="V751" s="4"/>
    </row>
    <row r="752">
      <c r="A752" s="4"/>
      <c r="B752" s="4"/>
      <c r="C752" s="5"/>
      <c r="D752" s="5"/>
      <c r="E752" s="4"/>
      <c r="F752" s="2"/>
      <c r="G752" s="2"/>
      <c r="H752" s="5"/>
      <c r="I752" s="5"/>
      <c r="J752" s="2"/>
      <c r="K752" s="2"/>
      <c r="L752" s="2"/>
      <c r="M752" s="2"/>
      <c r="N752" s="4"/>
      <c r="O752" s="4"/>
      <c r="P752" s="4"/>
      <c r="Q752" s="4"/>
      <c r="R752" s="5"/>
      <c r="S752" s="5"/>
      <c r="T752" s="4"/>
      <c r="U752" s="4"/>
      <c r="V752" s="4"/>
    </row>
    <row r="753">
      <c r="A753" s="4"/>
      <c r="B753" s="4"/>
      <c r="C753" s="5"/>
      <c r="D753" s="5"/>
      <c r="E753" s="4"/>
      <c r="F753" s="2"/>
      <c r="G753" s="2"/>
      <c r="H753" s="5"/>
      <c r="I753" s="5"/>
      <c r="J753" s="2"/>
      <c r="K753" s="2"/>
      <c r="L753" s="2"/>
      <c r="M753" s="2"/>
      <c r="N753" s="4"/>
      <c r="O753" s="4"/>
      <c r="P753" s="4"/>
      <c r="Q753" s="4"/>
      <c r="R753" s="5"/>
      <c r="S753" s="5"/>
      <c r="T753" s="4"/>
      <c r="U753" s="4"/>
      <c r="V753" s="4"/>
    </row>
    <row r="754">
      <c r="A754" s="4"/>
      <c r="B754" s="4"/>
      <c r="C754" s="5"/>
      <c r="D754" s="5"/>
      <c r="E754" s="4"/>
      <c r="F754" s="2"/>
      <c r="G754" s="2"/>
      <c r="H754" s="5"/>
      <c r="I754" s="5"/>
      <c r="J754" s="2"/>
      <c r="K754" s="2"/>
      <c r="L754" s="2"/>
      <c r="M754" s="2"/>
      <c r="N754" s="4"/>
      <c r="O754" s="4"/>
      <c r="P754" s="4"/>
      <c r="Q754" s="4"/>
      <c r="R754" s="5"/>
      <c r="S754" s="5"/>
      <c r="T754" s="4"/>
      <c r="U754" s="4"/>
      <c r="V754" s="4"/>
    </row>
    <row r="755">
      <c r="A755" s="4"/>
      <c r="B755" s="4"/>
      <c r="C755" s="5"/>
      <c r="D755" s="5"/>
      <c r="E755" s="4"/>
      <c r="F755" s="2"/>
      <c r="G755" s="2"/>
      <c r="H755" s="5"/>
      <c r="I755" s="5"/>
      <c r="J755" s="2"/>
      <c r="K755" s="2"/>
      <c r="L755" s="2"/>
      <c r="M755" s="2"/>
      <c r="N755" s="4"/>
      <c r="O755" s="4"/>
      <c r="P755" s="4"/>
      <c r="Q755" s="4"/>
      <c r="R755" s="5"/>
      <c r="S755" s="5"/>
      <c r="T755" s="4"/>
      <c r="U755" s="4"/>
      <c r="V755" s="4"/>
    </row>
    <row r="756">
      <c r="A756" s="4"/>
      <c r="B756" s="4"/>
      <c r="C756" s="5"/>
      <c r="D756" s="5"/>
      <c r="E756" s="4"/>
      <c r="F756" s="2"/>
      <c r="G756" s="2"/>
      <c r="H756" s="5"/>
      <c r="I756" s="5"/>
      <c r="J756" s="2"/>
      <c r="K756" s="2"/>
      <c r="L756" s="2"/>
      <c r="M756" s="2"/>
      <c r="N756" s="4"/>
      <c r="O756" s="4"/>
      <c r="P756" s="4"/>
      <c r="Q756" s="4"/>
      <c r="R756" s="5"/>
      <c r="S756" s="5"/>
      <c r="T756" s="4"/>
      <c r="U756" s="4"/>
      <c r="V756" s="4"/>
    </row>
    <row r="757">
      <c r="A757" s="4"/>
      <c r="B757" s="4"/>
      <c r="C757" s="5"/>
      <c r="D757" s="5"/>
      <c r="E757" s="4"/>
      <c r="F757" s="2"/>
      <c r="G757" s="2"/>
      <c r="H757" s="5"/>
      <c r="I757" s="5"/>
      <c r="J757" s="2"/>
      <c r="K757" s="2"/>
      <c r="L757" s="2"/>
      <c r="M757" s="2"/>
      <c r="N757" s="4"/>
      <c r="O757" s="4"/>
      <c r="P757" s="4"/>
      <c r="Q757" s="4"/>
      <c r="R757" s="5"/>
      <c r="S757" s="5"/>
      <c r="T757" s="4"/>
      <c r="U757" s="4"/>
      <c r="V757" s="4"/>
    </row>
    <row r="758">
      <c r="A758" s="4"/>
      <c r="B758" s="4"/>
      <c r="C758" s="5"/>
      <c r="D758" s="5"/>
      <c r="E758" s="4"/>
      <c r="F758" s="2"/>
      <c r="G758" s="2"/>
      <c r="H758" s="5"/>
      <c r="I758" s="5"/>
      <c r="J758" s="2"/>
      <c r="K758" s="2"/>
      <c r="L758" s="2"/>
      <c r="M758" s="2"/>
      <c r="N758" s="4"/>
      <c r="O758" s="4"/>
      <c r="P758" s="4"/>
      <c r="Q758" s="4"/>
      <c r="R758" s="5"/>
      <c r="S758" s="5"/>
      <c r="T758" s="4"/>
      <c r="U758" s="4"/>
      <c r="V758" s="4"/>
    </row>
    <row r="759">
      <c r="A759" s="4"/>
      <c r="B759" s="4"/>
      <c r="C759" s="5"/>
      <c r="D759" s="5"/>
      <c r="E759" s="4"/>
      <c r="F759" s="2"/>
      <c r="G759" s="2"/>
      <c r="H759" s="5"/>
      <c r="I759" s="5"/>
      <c r="J759" s="2"/>
      <c r="K759" s="2"/>
      <c r="L759" s="2"/>
      <c r="M759" s="2"/>
      <c r="N759" s="4"/>
      <c r="O759" s="4"/>
      <c r="P759" s="4"/>
      <c r="Q759" s="4"/>
      <c r="R759" s="5"/>
      <c r="S759" s="5"/>
      <c r="T759" s="4"/>
      <c r="U759" s="4"/>
      <c r="V759" s="4"/>
    </row>
    <row r="760">
      <c r="A760" s="4"/>
      <c r="B760" s="4"/>
      <c r="C760" s="5"/>
      <c r="D760" s="5"/>
      <c r="E760" s="4"/>
      <c r="F760" s="2"/>
      <c r="G760" s="2"/>
      <c r="H760" s="5"/>
      <c r="I760" s="5"/>
      <c r="J760" s="2"/>
      <c r="K760" s="2"/>
      <c r="L760" s="2"/>
      <c r="M760" s="2"/>
      <c r="N760" s="4"/>
      <c r="O760" s="4"/>
      <c r="P760" s="4"/>
      <c r="Q760" s="4"/>
      <c r="R760" s="5"/>
      <c r="S760" s="5"/>
      <c r="T760" s="4"/>
      <c r="U760" s="4"/>
      <c r="V760" s="4"/>
    </row>
    <row r="761">
      <c r="A761" s="4"/>
      <c r="B761" s="4"/>
      <c r="C761" s="5"/>
      <c r="D761" s="5"/>
      <c r="E761" s="4"/>
      <c r="F761" s="2"/>
      <c r="G761" s="2"/>
      <c r="H761" s="5"/>
      <c r="I761" s="5"/>
      <c r="J761" s="2"/>
      <c r="K761" s="2"/>
      <c r="L761" s="2"/>
      <c r="M761" s="2"/>
      <c r="N761" s="4"/>
      <c r="O761" s="4"/>
      <c r="P761" s="4"/>
      <c r="Q761" s="4"/>
      <c r="R761" s="5"/>
      <c r="S761" s="5"/>
      <c r="T761" s="4"/>
      <c r="U761" s="4"/>
      <c r="V761" s="4"/>
    </row>
    <row r="762">
      <c r="A762" s="4"/>
      <c r="B762" s="4"/>
      <c r="C762" s="5"/>
      <c r="D762" s="5"/>
      <c r="E762" s="4"/>
      <c r="F762" s="2"/>
      <c r="G762" s="2"/>
      <c r="H762" s="5"/>
      <c r="I762" s="5"/>
      <c r="J762" s="2"/>
      <c r="K762" s="2"/>
      <c r="L762" s="2"/>
      <c r="M762" s="2"/>
      <c r="N762" s="4"/>
      <c r="O762" s="4"/>
      <c r="P762" s="4"/>
      <c r="Q762" s="4"/>
      <c r="R762" s="5"/>
      <c r="S762" s="5"/>
      <c r="T762" s="4"/>
      <c r="U762" s="4"/>
      <c r="V762" s="4"/>
    </row>
    <row r="763">
      <c r="A763" s="4"/>
      <c r="B763" s="4"/>
      <c r="C763" s="5"/>
      <c r="D763" s="5"/>
      <c r="E763" s="4"/>
      <c r="F763" s="2"/>
      <c r="G763" s="2"/>
      <c r="H763" s="5"/>
      <c r="I763" s="5"/>
      <c r="J763" s="2"/>
      <c r="K763" s="2"/>
      <c r="L763" s="2"/>
      <c r="M763" s="2"/>
      <c r="N763" s="4"/>
      <c r="O763" s="4"/>
      <c r="P763" s="4"/>
      <c r="Q763" s="4"/>
      <c r="R763" s="5"/>
      <c r="S763" s="5"/>
      <c r="T763" s="4"/>
      <c r="U763" s="4"/>
      <c r="V763" s="4"/>
    </row>
    <row r="764">
      <c r="A764" s="4"/>
      <c r="B764" s="4"/>
      <c r="C764" s="5"/>
      <c r="D764" s="5"/>
      <c r="E764" s="4"/>
      <c r="F764" s="2"/>
      <c r="G764" s="2"/>
      <c r="H764" s="5"/>
      <c r="I764" s="5"/>
      <c r="J764" s="2"/>
      <c r="K764" s="2"/>
      <c r="L764" s="2"/>
      <c r="M764" s="2"/>
      <c r="N764" s="4"/>
      <c r="O764" s="4"/>
      <c r="P764" s="4"/>
      <c r="Q764" s="4"/>
      <c r="R764" s="5"/>
      <c r="S764" s="5"/>
      <c r="T764" s="4"/>
      <c r="U764" s="4"/>
      <c r="V764" s="4"/>
    </row>
    <row r="765">
      <c r="A765" s="4"/>
      <c r="B765" s="4"/>
      <c r="C765" s="5"/>
      <c r="D765" s="5"/>
      <c r="E765" s="4"/>
      <c r="F765" s="2"/>
      <c r="G765" s="2"/>
      <c r="H765" s="5"/>
      <c r="I765" s="5"/>
      <c r="J765" s="2"/>
      <c r="K765" s="2"/>
      <c r="L765" s="2"/>
      <c r="M765" s="2"/>
      <c r="N765" s="4"/>
      <c r="O765" s="4"/>
      <c r="P765" s="4"/>
      <c r="Q765" s="4"/>
      <c r="R765" s="5"/>
      <c r="S765" s="5"/>
      <c r="T765" s="4"/>
      <c r="U765" s="4"/>
      <c r="V765" s="4"/>
    </row>
    <row r="766">
      <c r="A766" s="4"/>
      <c r="B766" s="4"/>
      <c r="C766" s="5"/>
      <c r="D766" s="5"/>
      <c r="E766" s="4"/>
      <c r="F766" s="2"/>
      <c r="G766" s="2"/>
      <c r="H766" s="5"/>
      <c r="I766" s="5"/>
      <c r="J766" s="2"/>
      <c r="K766" s="2"/>
      <c r="L766" s="2"/>
      <c r="M766" s="2"/>
      <c r="N766" s="4"/>
      <c r="O766" s="4"/>
      <c r="P766" s="4"/>
      <c r="Q766" s="4"/>
      <c r="R766" s="5"/>
      <c r="S766" s="5"/>
      <c r="T766" s="4"/>
      <c r="U766" s="4"/>
      <c r="V766" s="4"/>
    </row>
    <row r="767">
      <c r="A767" s="4"/>
      <c r="B767" s="4"/>
      <c r="C767" s="5"/>
      <c r="D767" s="5"/>
      <c r="E767" s="4"/>
      <c r="F767" s="2"/>
      <c r="G767" s="2"/>
      <c r="H767" s="5"/>
      <c r="I767" s="5"/>
      <c r="J767" s="2"/>
      <c r="K767" s="2"/>
      <c r="L767" s="2"/>
      <c r="M767" s="2"/>
      <c r="N767" s="4"/>
      <c r="O767" s="4"/>
      <c r="P767" s="4"/>
      <c r="Q767" s="4"/>
      <c r="R767" s="5"/>
      <c r="S767" s="5"/>
      <c r="T767" s="4"/>
      <c r="U767" s="4"/>
      <c r="V767" s="4"/>
    </row>
    <row r="768">
      <c r="A768" s="4"/>
      <c r="B768" s="4"/>
      <c r="C768" s="5"/>
      <c r="D768" s="5"/>
      <c r="E768" s="4"/>
      <c r="F768" s="2"/>
      <c r="G768" s="2"/>
      <c r="H768" s="5"/>
      <c r="I768" s="5"/>
      <c r="J768" s="2"/>
      <c r="K768" s="2"/>
      <c r="L768" s="2"/>
      <c r="M768" s="2"/>
      <c r="N768" s="4"/>
      <c r="O768" s="4"/>
      <c r="P768" s="4"/>
      <c r="Q768" s="4"/>
      <c r="R768" s="5"/>
      <c r="S768" s="5"/>
      <c r="T768" s="4"/>
      <c r="U768" s="4"/>
      <c r="V768" s="4"/>
    </row>
    <row r="769">
      <c r="A769" s="4"/>
      <c r="B769" s="4"/>
      <c r="C769" s="5"/>
      <c r="D769" s="5"/>
      <c r="E769" s="4"/>
      <c r="F769" s="2"/>
      <c r="G769" s="2"/>
      <c r="H769" s="5"/>
      <c r="I769" s="5"/>
      <c r="J769" s="2"/>
      <c r="K769" s="2"/>
      <c r="L769" s="2"/>
      <c r="M769" s="2"/>
      <c r="N769" s="4"/>
      <c r="O769" s="4"/>
      <c r="P769" s="4"/>
      <c r="Q769" s="4"/>
      <c r="R769" s="5"/>
      <c r="S769" s="5"/>
      <c r="T769" s="4"/>
      <c r="U769" s="4"/>
      <c r="V769" s="4"/>
    </row>
    <row r="770">
      <c r="A770" s="4"/>
      <c r="B770" s="4"/>
      <c r="C770" s="5"/>
      <c r="D770" s="5"/>
      <c r="E770" s="4"/>
      <c r="F770" s="2"/>
      <c r="G770" s="2"/>
      <c r="H770" s="5"/>
      <c r="I770" s="5"/>
      <c r="J770" s="2"/>
      <c r="K770" s="2"/>
      <c r="L770" s="2"/>
      <c r="M770" s="2"/>
      <c r="N770" s="4"/>
      <c r="O770" s="4"/>
      <c r="P770" s="4"/>
      <c r="Q770" s="4"/>
      <c r="R770" s="5"/>
      <c r="S770" s="5"/>
      <c r="T770" s="4"/>
      <c r="U770" s="4"/>
      <c r="V770" s="4"/>
    </row>
    <row r="771">
      <c r="A771" s="4"/>
      <c r="B771" s="4"/>
      <c r="C771" s="5"/>
      <c r="D771" s="5"/>
      <c r="E771" s="4"/>
      <c r="F771" s="2"/>
      <c r="G771" s="2"/>
      <c r="H771" s="5"/>
      <c r="I771" s="5"/>
      <c r="J771" s="2"/>
      <c r="K771" s="2"/>
      <c r="L771" s="2"/>
      <c r="M771" s="2"/>
      <c r="N771" s="4"/>
      <c r="O771" s="4"/>
      <c r="P771" s="4"/>
      <c r="Q771" s="4"/>
      <c r="R771" s="5"/>
      <c r="S771" s="5"/>
      <c r="T771" s="4"/>
      <c r="U771" s="4"/>
      <c r="V771" s="4"/>
    </row>
    <row r="772">
      <c r="A772" s="4"/>
      <c r="B772" s="4"/>
      <c r="C772" s="5"/>
      <c r="D772" s="5"/>
      <c r="E772" s="4"/>
      <c r="F772" s="2"/>
      <c r="G772" s="2"/>
      <c r="H772" s="5"/>
      <c r="I772" s="5"/>
      <c r="J772" s="2"/>
      <c r="K772" s="2"/>
      <c r="L772" s="2"/>
      <c r="M772" s="2"/>
      <c r="N772" s="4"/>
      <c r="O772" s="4"/>
      <c r="P772" s="4"/>
      <c r="Q772" s="4"/>
      <c r="R772" s="5"/>
      <c r="S772" s="5"/>
      <c r="T772" s="4"/>
      <c r="U772" s="4"/>
      <c r="V772" s="4"/>
    </row>
    <row r="773">
      <c r="A773" s="4"/>
      <c r="B773" s="4"/>
      <c r="C773" s="5"/>
      <c r="D773" s="5"/>
      <c r="E773" s="4"/>
      <c r="F773" s="2"/>
      <c r="G773" s="2"/>
      <c r="H773" s="5"/>
      <c r="I773" s="5"/>
      <c r="J773" s="2"/>
      <c r="K773" s="2"/>
      <c r="L773" s="2"/>
      <c r="M773" s="2"/>
      <c r="N773" s="4"/>
      <c r="O773" s="4"/>
      <c r="P773" s="4"/>
      <c r="Q773" s="4"/>
      <c r="R773" s="5"/>
      <c r="S773" s="5"/>
      <c r="T773" s="4"/>
      <c r="U773" s="4"/>
      <c r="V773" s="4"/>
    </row>
    <row r="774">
      <c r="A774" s="4"/>
      <c r="B774" s="4"/>
      <c r="C774" s="5"/>
      <c r="D774" s="5"/>
      <c r="E774" s="4"/>
      <c r="F774" s="2"/>
      <c r="G774" s="2"/>
      <c r="H774" s="5"/>
      <c r="I774" s="5"/>
      <c r="J774" s="2"/>
      <c r="K774" s="2"/>
      <c r="L774" s="2"/>
      <c r="M774" s="2"/>
      <c r="N774" s="4"/>
      <c r="O774" s="4"/>
      <c r="P774" s="4"/>
      <c r="Q774" s="4"/>
      <c r="R774" s="5"/>
      <c r="S774" s="5"/>
      <c r="T774" s="4"/>
      <c r="U774" s="4"/>
      <c r="V774" s="4"/>
    </row>
    <row r="775">
      <c r="A775" s="4"/>
      <c r="B775" s="4"/>
      <c r="C775" s="5"/>
      <c r="D775" s="5"/>
      <c r="E775" s="4"/>
      <c r="F775" s="2"/>
      <c r="G775" s="2"/>
      <c r="H775" s="5"/>
      <c r="I775" s="5"/>
      <c r="J775" s="2"/>
      <c r="K775" s="2"/>
      <c r="L775" s="2"/>
      <c r="M775" s="2"/>
      <c r="N775" s="4"/>
      <c r="O775" s="4"/>
      <c r="P775" s="4"/>
      <c r="Q775" s="4"/>
      <c r="R775" s="5"/>
      <c r="S775" s="5"/>
      <c r="T775" s="4"/>
      <c r="U775" s="4"/>
      <c r="V775" s="4"/>
    </row>
    <row r="776">
      <c r="A776" s="4"/>
      <c r="B776" s="4"/>
      <c r="C776" s="5"/>
      <c r="D776" s="5"/>
      <c r="E776" s="4"/>
      <c r="F776" s="2"/>
      <c r="G776" s="2"/>
      <c r="H776" s="5"/>
      <c r="I776" s="5"/>
      <c r="J776" s="2"/>
      <c r="K776" s="2"/>
      <c r="L776" s="2"/>
      <c r="M776" s="2"/>
      <c r="N776" s="4"/>
      <c r="O776" s="4"/>
      <c r="P776" s="4"/>
      <c r="Q776" s="4"/>
      <c r="R776" s="5"/>
      <c r="S776" s="5"/>
      <c r="T776" s="4"/>
      <c r="U776" s="4"/>
      <c r="V776" s="4"/>
    </row>
    <row r="777">
      <c r="A777" s="4"/>
      <c r="B777" s="4"/>
      <c r="C777" s="5"/>
      <c r="D777" s="5"/>
      <c r="E777" s="4"/>
      <c r="F777" s="2"/>
      <c r="G777" s="2"/>
      <c r="H777" s="5"/>
      <c r="I777" s="5"/>
      <c r="J777" s="2"/>
      <c r="K777" s="2"/>
      <c r="L777" s="2"/>
      <c r="M777" s="2"/>
      <c r="N777" s="4"/>
      <c r="O777" s="4"/>
      <c r="P777" s="4"/>
      <c r="Q777" s="4"/>
      <c r="R777" s="5"/>
      <c r="S777" s="5"/>
      <c r="T777" s="4"/>
      <c r="U777" s="4"/>
      <c r="V777" s="4"/>
    </row>
    <row r="778">
      <c r="A778" s="4"/>
      <c r="B778" s="4"/>
      <c r="C778" s="5"/>
      <c r="D778" s="5"/>
      <c r="E778" s="4"/>
      <c r="F778" s="2"/>
      <c r="G778" s="2"/>
      <c r="H778" s="5"/>
      <c r="I778" s="5"/>
      <c r="J778" s="2"/>
      <c r="K778" s="2"/>
      <c r="L778" s="2"/>
      <c r="M778" s="2"/>
      <c r="N778" s="4"/>
      <c r="O778" s="4"/>
      <c r="P778" s="4"/>
      <c r="Q778" s="4"/>
      <c r="R778" s="5"/>
      <c r="S778" s="5"/>
      <c r="T778" s="4"/>
      <c r="U778" s="4"/>
      <c r="V778" s="4"/>
    </row>
    <row r="779">
      <c r="A779" s="4"/>
      <c r="B779" s="4"/>
      <c r="C779" s="5"/>
      <c r="D779" s="5"/>
      <c r="E779" s="4"/>
      <c r="F779" s="2"/>
      <c r="G779" s="2"/>
      <c r="H779" s="5"/>
      <c r="I779" s="5"/>
      <c r="J779" s="2"/>
      <c r="K779" s="2"/>
      <c r="L779" s="2"/>
      <c r="M779" s="2"/>
      <c r="N779" s="4"/>
      <c r="O779" s="4"/>
      <c r="P779" s="4"/>
      <c r="Q779" s="4"/>
      <c r="R779" s="5"/>
      <c r="S779" s="5"/>
      <c r="T779" s="4"/>
      <c r="U779" s="4"/>
      <c r="V779" s="4"/>
    </row>
    <row r="780">
      <c r="A780" s="4"/>
      <c r="B780" s="4"/>
      <c r="C780" s="5"/>
      <c r="D780" s="5"/>
      <c r="E780" s="4"/>
      <c r="F780" s="2"/>
      <c r="G780" s="2"/>
      <c r="H780" s="5"/>
      <c r="I780" s="5"/>
      <c r="J780" s="2"/>
      <c r="K780" s="2"/>
      <c r="L780" s="2"/>
      <c r="M780" s="2"/>
      <c r="N780" s="4"/>
      <c r="O780" s="4"/>
      <c r="P780" s="4"/>
      <c r="Q780" s="4"/>
      <c r="R780" s="5"/>
      <c r="S780" s="5"/>
      <c r="T780" s="4"/>
      <c r="U780" s="4"/>
      <c r="V780" s="4"/>
    </row>
    <row r="781">
      <c r="A781" s="4"/>
      <c r="B781" s="4"/>
      <c r="C781" s="5"/>
      <c r="D781" s="5"/>
      <c r="E781" s="4"/>
      <c r="F781" s="2"/>
      <c r="G781" s="2"/>
      <c r="H781" s="5"/>
      <c r="I781" s="5"/>
      <c r="J781" s="2"/>
      <c r="K781" s="2"/>
      <c r="L781" s="2"/>
      <c r="M781" s="2"/>
      <c r="N781" s="4"/>
      <c r="O781" s="4"/>
      <c r="P781" s="4"/>
      <c r="Q781" s="4"/>
      <c r="R781" s="5"/>
      <c r="S781" s="5"/>
      <c r="T781" s="4"/>
      <c r="U781" s="4"/>
      <c r="V781" s="4"/>
    </row>
    <row r="782">
      <c r="A782" s="4"/>
      <c r="B782" s="4"/>
      <c r="C782" s="5"/>
      <c r="D782" s="5"/>
      <c r="E782" s="4"/>
      <c r="F782" s="2"/>
      <c r="G782" s="2"/>
      <c r="H782" s="5"/>
      <c r="I782" s="5"/>
      <c r="J782" s="2"/>
      <c r="K782" s="2"/>
      <c r="L782" s="2"/>
      <c r="M782" s="2"/>
      <c r="N782" s="4"/>
      <c r="O782" s="4"/>
      <c r="P782" s="4"/>
      <c r="Q782" s="4"/>
      <c r="R782" s="5"/>
      <c r="S782" s="5"/>
      <c r="T782" s="4"/>
      <c r="U782" s="4"/>
      <c r="V782" s="4"/>
    </row>
    <row r="783">
      <c r="A783" s="4"/>
      <c r="B783" s="4"/>
      <c r="C783" s="5"/>
      <c r="D783" s="5"/>
      <c r="E783" s="4"/>
      <c r="F783" s="2"/>
      <c r="G783" s="2"/>
      <c r="H783" s="5"/>
      <c r="I783" s="5"/>
      <c r="J783" s="2"/>
      <c r="K783" s="2"/>
      <c r="L783" s="2"/>
      <c r="M783" s="2"/>
      <c r="N783" s="4"/>
      <c r="O783" s="4"/>
      <c r="P783" s="4"/>
      <c r="Q783" s="4"/>
      <c r="R783" s="5"/>
      <c r="S783" s="5"/>
      <c r="T783" s="4"/>
      <c r="U783" s="4"/>
      <c r="V783" s="4"/>
    </row>
    <row r="784">
      <c r="A784" s="4"/>
      <c r="B784" s="4"/>
      <c r="C784" s="5"/>
      <c r="D784" s="5"/>
      <c r="E784" s="4"/>
      <c r="F784" s="2"/>
      <c r="G784" s="2"/>
      <c r="H784" s="5"/>
      <c r="I784" s="5"/>
      <c r="J784" s="2"/>
      <c r="K784" s="2"/>
      <c r="L784" s="2"/>
      <c r="M784" s="2"/>
      <c r="N784" s="4"/>
      <c r="O784" s="4"/>
      <c r="P784" s="4"/>
      <c r="Q784" s="4"/>
      <c r="R784" s="5"/>
      <c r="S784" s="5"/>
      <c r="T784" s="4"/>
      <c r="U784" s="4"/>
      <c r="V784" s="4"/>
    </row>
    <row r="785">
      <c r="A785" s="4"/>
      <c r="B785" s="4"/>
      <c r="C785" s="5"/>
      <c r="D785" s="5"/>
      <c r="E785" s="4"/>
      <c r="F785" s="2"/>
      <c r="G785" s="2"/>
      <c r="H785" s="5"/>
      <c r="I785" s="5"/>
      <c r="J785" s="2"/>
      <c r="K785" s="2"/>
      <c r="L785" s="2"/>
      <c r="M785" s="2"/>
      <c r="N785" s="4"/>
      <c r="O785" s="4"/>
      <c r="P785" s="4"/>
      <c r="Q785" s="4"/>
      <c r="R785" s="5"/>
      <c r="S785" s="5"/>
      <c r="T785" s="4"/>
      <c r="U785" s="4"/>
      <c r="V785" s="4"/>
    </row>
    <row r="786">
      <c r="A786" s="4"/>
      <c r="B786" s="4"/>
      <c r="C786" s="5"/>
      <c r="D786" s="5"/>
      <c r="E786" s="4"/>
      <c r="F786" s="2"/>
      <c r="G786" s="2"/>
      <c r="H786" s="5"/>
      <c r="I786" s="5"/>
      <c r="J786" s="2"/>
      <c r="K786" s="2"/>
      <c r="L786" s="2"/>
      <c r="M786" s="2"/>
      <c r="N786" s="4"/>
      <c r="O786" s="4"/>
      <c r="P786" s="4"/>
      <c r="Q786" s="4"/>
      <c r="R786" s="5"/>
      <c r="S786" s="5"/>
      <c r="T786" s="4"/>
      <c r="U786" s="4"/>
      <c r="V786" s="4"/>
    </row>
    <row r="787">
      <c r="A787" s="4"/>
      <c r="B787" s="4"/>
      <c r="C787" s="5"/>
      <c r="D787" s="5"/>
      <c r="E787" s="4"/>
      <c r="F787" s="2"/>
      <c r="G787" s="2"/>
      <c r="H787" s="5"/>
      <c r="I787" s="5"/>
      <c r="J787" s="2"/>
      <c r="K787" s="2"/>
      <c r="L787" s="2"/>
      <c r="M787" s="2"/>
      <c r="N787" s="4"/>
      <c r="O787" s="4"/>
      <c r="P787" s="4"/>
      <c r="Q787" s="4"/>
      <c r="R787" s="5"/>
      <c r="S787" s="5"/>
      <c r="T787" s="4"/>
      <c r="U787" s="4"/>
      <c r="V787" s="4"/>
    </row>
    <row r="788">
      <c r="A788" s="4"/>
      <c r="B788" s="4"/>
      <c r="C788" s="5"/>
      <c r="D788" s="5"/>
      <c r="E788" s="4"/>
      <c r="F788" s="2"/>
      <c r="G788" s="2"/>
      <c r="H788" s="5"/>
      <c r="I788" s="5"/>
      <c r="J788" s="2"/>
      <c r="K788" s="2"/>
      <c r="L788" s="2"/>
      <c r="M788" s="2"/>
      <c r="N788" s="4"/>
      <c r="O788" s="4"/>
      <c r="P788" s="4"/>
      <c r="Q788" s="4"/>
      <c r="R788" s="5"/>
      <c r="S788" s="5"/>
      <c r="T788" s="4"/>
      <c r="U788" s="4"/>
      <c r="V788" s="4"/>
    </row>
    <row r="789">
      <c r="A789" s="4"/>
      <c r="B789" s="4"/>
      <c r="C789" s="5"/>
      <c r="D789" s="5"/>
      <c r="E789" s="4"/>
      <c r="F789" s="2"/>
      <c r="G789" s="2"/>
      <c r="H789" s="5"/>
      <c r="I789" s="5"/>
      <c r="J789" s="2"/>
      <c r="K789" s="2"/>
      <c r="L789" s="2"/>
      <c r="M789" s="2"/>
      <c r="N789" s="4"/>
      <c r="O789" s="4"/>
      <c r="P789" s="4"/>
      <c r="Q789" s="4"/>
      <c r="R789" s="5"/>
      <c r="S789" s="5"/>
      <c r="T789" s="4"/>
      <c r="U789" s="4"/>
      <c r="V789" s="4"/>
    </row>
    <row r="790">
      <c r="A790" s="4"/>
      <c r="B790" s="4"/>
      <c r="C790" s="5"/>
      <c r="D790" s="5"/>
      <c r="E790" s="4"/>
      <c r="F790" s="2"/>
      <c r="G790" s="2"/>
      <c r="H790" s="5"/>
      <c r="I790" s="5"/>
      <c r="J790" s="2"/>
      <c r="K790" s="2"/>
      <c r="L790" s="2"/>
      <c r="M790" s="2"/>
      <c r="N790" s="4"/>
      <c r="O790" s="4"/>
      <c r="P790" s="4"/>
      <c r="Q790" s="4"/>
      <c r="R790" s="5"/>
      <c r="S790" s="5"/>
      <c r="T790" s="4"/>
      <c r="U790" s="4"/>
      <c r="V790" s="4"/>
    </row>
    <row r="791">
      <c r="A791" s="4"/>
      <c r="B791" s="4"/>
      <c r="C791" s="5"/>
      <c r="D791" s="5"/>
      <c r="E791" s="4"/>
      <c r="F791" s="2"/>
      <c r="G791" s="2"/>
      <c r="H791" s="5"/>
      <c r="I791" s="5"/>
      <c r="J791" s="2"/>
      <c r="K791" s="2"/>
      <c r="L791" s="2"/>
      <c r="M791" s="2"/>
      <c r="N791" s="4"/>
      <c r="O791" s="4"/>
      <c r="P791" s="4"/>
      <c r="Q791" s="4"/>
      <c r="R791" s="5"/>
      <c r="S791" s="5"/>
      <c r="T791" s="4"/>
      <c r="U791" s="4"/>
      <c r="V791" s="4"/>
    </row>
    <row r="792">
      <c r="A792" s="4"/>
      <c r="B792" s="4"/>
      <c r="C792" s="5"/>
      <c r="D792" s="5"/>
      <c r="E792" s="4"/>
      <c r="F792" s="2"/>
      <c r="G792" s="2"/>
      <c r="H792" s="5"/>
      <c r="I792" s="5"/>
      <c r="J792" s="2"/>
      <c r="K792" s="2"/>
      <c r="L792" s="2"/>
      <c r="M792" s="2"/>
      <c r="N792" s="4"/>
      <c r="O792" s="4"/>
      <c r="P792" s="4"/>
      <c r="Q792" s="4"/>
      <c r="R792" s="5"/>
      <c r="S792" s="5"/>
      <c r="T792" s="4"/>
      <c r="U792" s="4"/>
      <c r="V792" s="4"/>
    </row>
    <row r="793">
      <c r="A793" s="4"/>
      <c r="B793" s="4"/>
      <c r="C793" s="5"/>
      <c r="D793" s="5"/>
      <c r="E793" s="4"/>
      <c r="F793" s="2"/>
      <c r="G793" s="2"/>
      <c r="H793" s="5"/>
      <c r="I793" s="5"/>
      <c r="J793" s="2"/>
      <c r="K793" s="2"/>
      <c r="L793" s="2"/>
      <c r="M793" s="2"/>
      <c r="N793" s="4"/>
      <c r="O793" s="4"/>
      <c r="P793" s="4"/>
      <c r="Q793" s="4"/>
      <c r="R793" s="5"/>
      <c r="S793" s="5"/>
      <c r="T793" s="4"/>
      <c r="U793" s="4"/>
      <c r="V793" s="4"/>
    </row>
    <row r="794">
      <c r="A794" s="4"/>
      <c r="B794" s="4"/>
      <c r="C794" s="5"/>
      <c r="D794" s="5"/>
      <c r="E794" s="4"/>
      <c r="F794" s="2"/>
      <c r="G794" s="2"/>
      <c r="H794" s="5"/>
      <c r="I794" s="5"/>
      <c r="J794" s="2"/>
      <c r="K794" s="2"/>
      <c r="L794" s="2"/>
      <c r="M794" s="2"/>
      <c r="N794" s="4"/>
      <c r="O794" s="4"/>
      <c r="P794" s="4"/>
      <c r="Q794" s="4"/>
      <c r="R794" s="5"/>
      <c r="S794" s="5"/>
      <c r="T794" s="4"/>
      <c r="U794" s="4"/>
      <c r="V794" s="4"/>
    </row>
    <row r="795">
      <c r="A795" s="4"/>
      <c r="B795" s="4"/>
      <c r="C795" s="5"/>
      <c r="D795" s="5"/>
      <c r="E795" s="4"/>
      <c r="F795" s="2"/>
      <c r="G795" s="2"/>
      <c r="H795" s="5"/>
      <c r="I795" s="5"/>
      <c r="J795" s="2"/>
      <c r="K795" s="2"/>
      <c r="L795" s="2"/>
      <c r="M795" s="2"/>
      <c r="N795" s="4"/>
      <c r="O795" s="4"/>
      <c r="P795" s="4"/>
      <c r="Q795" s="4"/>
      <c r="R795" s="5"/>
      <c r="S795" s="5"/>
      <c r="T795" s="4"/>
      <c r="U795" s="4"/>
      <c r="V795" s="4"/>
    </row>
    <row r="796">
      <c r="A796" s="4"/>
      <c r="B796" s="4"/>
      <c r="C796" s="5"/>
      <c r="D796" s="5"/>
      <c r="E796" s="4"/>
      <c r="F796" s="2"/>
      <c r="G796" s="2"/>
      <c r="H796" s="5"/>
      <c r="I796" s="5"/>
      <c r="J796" s="2"/>
      <c r="K796" s="2"/>
      <c r="L796" s="2"/>
      <c r="M796" s="2"/>
      <c r="N796" s="4"/>
      <c r="O796" s="4"/>
      <c r="P796" s="4"/>
      <c r="Q796" s="4"/>
      <c r="R796" s="5"/>
      <c r="S796" s="5"/>
      <c r="T796" s="4"/>
      <c r="U796" s="4"/>
      <c r="V796" s="4"/>
    </row>
    <row r="797">
      <c r="A797" s="4"/>
      <c r="B797" s="4"/>
      <c r="C797" s="5"/>
      <c r="D797" s="5"/>
      <c r="E797" s="4"/>
      <c r="F797" s="2"/>
      <c r="G797" s="2"/>
      <c r="H797" s="5"/>
      <c r="I797" s="5"/>
      <c r="J797" s="2"/>
      <c r="K797" s="2"/>
      <c r="L797" s="2"/>
      <c r="M797" s="2"/>
      <c r="N797" s="4"/>
      <c r="O797" s="4"/>
      <c r="P797" s="4"/>
      <c r="Q797" s="4"/>
      <c r="R797" s="5"/>
      <c r="S797" s="5"/>
      <c r="T797" s="4"/>
      <c r="U797" s="4"/>
      <c r="V797" s="4"/>
    </row>
    <row r="798">
      <c r="A798" s="4"/>
      <c r="B798" s="4"/>
      <c r="C798" s="5"/>
      <c r="D798" s="5"/>
      <c r="E798" s="4"/>
      <c r="F798" s="2"/>
      <c r="G798" s="2"/>
      <c r="H798" s="5"/>
      <c r="I798" s="5"/>
      <c r="J798" s="2"/>
      <c r="K798" s="2"/>
      <c r="L798" s="2"/>
      <c r="M798" s="2"/>
      <c r="N798" s="4"/>
      <c r="O798" s="4"/>
      <c r="P798" s="4"/>
      <c r="Q798" s="4"/>
      <c r="R798" s="5"/>
      <c r="S798" s="5"/>
      <c r="T798" s="4"/>
      <c r="U798" s="4"/>
      <c r="V798" s="4"/>
    </row>
    <row r="799">
      <c r="A799" s="4"/>
      <c r="B799" s="4"/>
      <c r="C799" s="5"/>
      <c r="D799" s="5"/>
      <c r="E799" s="4"/>
      <c r="F799" s="2"/>
      <c r="G799" s="2"/>
      <c r="H799" s="5"/>
      <c r="I799" s="5"/>
      <c r="J799" s="2"/>
      <c r="K799" s="2"/>
      <c r="L799" s="2"/>
      <c r="M799" s="2"/>
      <c r="N799" s="4"/>
      <c r="O799" s="4"/>
      <c r="P799" s="4"/>
      <c r="Q799" s="4"/>
      <c r="R799" s="5"/>
      <c r="S799" s="5"/>
      <c r="T799" s="4"/>
      <c r="U799" s="4"/>
      <c r="V799" s="4"/>
    </row>
    <row r="800">
      <c r="A800" s="4"/>
      <c r="B800" s="4"/>
      <c r="C800" s="5"/>
      <c r="D800" s="5"/>
      <c r="E800" s="4"/>
      <c r="F800" s="2"/>
      <c r="G800" s="2"/>
      <c r="H800" s="5"/>
      <c r="I800" s="5"/>
      <c r="J800" s="2"/>
      <c r="K800" s="2"/>
      <c r="L800" s="2"/>
      <c r="M800" s="2"/>
      <c r="N800" s="4"/>
      <c r="O800" s="4"/>
      <c r="P800" s="4"/>
      <c r="Q800" s="4"/>
      <c r="R800" s="5"/>
      <c r="S800" s="5"/>
      <c r="T800" s="4"/>
      <c r="U800" s="4"/>
      <c r="V800" s="4"/>
    </row>
    <row r="801">
      <c r="A801" s="4"/>
      <c r="B801" s="4"/>
      <c r="C801" s="5"/>
      <c r="D801" s="5"/>
      <c r="E801" s="4"/>
      <c r="F801" s="2"/>
      <c r="G801" s="2"/>
      <c r="H801" s="5"/>
      <c r="I801" s="5"/>
      <c r="J801" s="2"/>
      <c r="K801" s="2"/>
      <c r="L801" s="2"/>
      <c r="M801" s="2"/>
      <c r="N801" s="4"/>
      <c r="O801" s="4"/>
      <c r="P801" s="4"/>
      <c r="Q801" s="4"/>
      <c r="R801" s="5"/>
      <c r="S801" s="5"/>
      <c r="T801" s="4"/>
      <c r="U801" s="4"/>
      <c r="V801" s="4"/>
    </row>
    <row r="802">
      <c r="A802" s="4"/>
      <c r="B802" s="4"/>
      <c r="C802" s="5"/>
      <c r="D802" s="5"/>
      <c r="E802" s="4"/>
      <c r="F802" s="2"/>
      <c r="G802" s="2"/>
      <c r="H802" s="5"/>
      <c r="I802" s="5"/>
      <c r="J802" s="2"/>
      <c r="K802" s="2"/>
      <c r="L802" s="2"/>
      <c r="M802" s="2"/>
      <c r="N802" s="4"/>
      <c r="O802" s="4"/>
      <c r="P802" s="4"/>
      <c r="Q802" s="4"/>
      <c r="R802" s="5"/>
      <c r="S802" s="5"/>
      <c r="T802" s="4"/>
      <c r="U802" s="4"/>
      <c r="V802" s="4"/>
    </row>
    <row r="803">
      <c r="A803" s="4"/>
      <c r="B803" s="4"/>
      <c r="C803" s="5"/>
      <c r="D803" s="5"/>
      <c r="E803" s="4"/>
      <c r="F803" s="2"/>
      <c r="G803" s="2"/>
      <c r="H803" s="5"/>
      <c r="I803" s="5"/>
      <c r="J803" s="2"/>
      <c r="K803" s="2"/>
      <c r="L803" s="2"/>
      <c r="M803" s="2"/>
      <c r="N803" s="4"/>
      <c r="O803" s="4"/>
      <c r="P803" s="4"/>
      <c r="Q803" s="4"/>
      <c r="R803" s="5"/>
      <c r="S803" s="5"/>
      <c r="T803" s="4"/>
      <c r="U803" s="4"/>
      <c r="V803" s="4"/>
    </row>
    <row r="804">
      <c r="A804" s="4"/>
      <c r="B804" s="4"/>
      <c r="C804" s="5"/>
      <c r="D804" s="5"/>
      <c r="E804" s="4"/>
      <c r="F804" s="2"/>
      <c r="G804" s="2"/>
      <c r="H804" s="5"/>
      <c r="I804" s="5"/>
      <c r="J804" s="2"/>
      <c r="K804" s="2"/>
      <c r="L804" s="2"/>
      <c r="M804" s="2"/>
      <c r="N804" s="4"/>
      <c r="O804" s="4"/>
      <c r="P804" s="4"/>
      <c r="Q804" s="4"/>
      <c r="R804" s="5"/>
      <c r="S804" s="5"/>
      <c r="T804" s="4"/>
      <c r="U804" s="4"/>
      <c r="V804" s="4"/>
    </row>
    <row r="805">
      <c r="A805" s="4"/>
      <c r="B805" s="4"/>
      <c r="C805" s="5"/>
      <c r="D805" s="5"/>
      <c r="E805" s="4"/>
      <c r="F805" s="2"/>
      <c r="G805" s="2"/>
      <c r="H805" s="5"/>
      <c r="I805" s="5"/>
      <c r="J805" s="2"/>
      <c r="K805" s="2"/>
      <c r="L805" s="2"/>
      <c r="M805" s="2"/>
      <c r="N805" s="4"/>
      <c r="O805" s="4"/>
      <c r="P805" s="4"/>
      <c r="Q805" s="4"/>
      <c r="R805" s="5"/>
      <c r="S805" s="5"/>
      <c r="T805" s="4"/>
      <c r="U805" s="4"/>
      <c r="V805" s="4"/>
    </row>
    <row r="806">
      <c r="A806" s="4"/>
      <c r="B806" s="4"/>
      <c r="C806" s="5"/>
      <c r="D806" s="5"/>
      <c r="E806" s="4"/>
      <c r="F806" s="2"/>
      <c r="G806" s="2"/>
      <c r="H806" s="5"/>
      <c r="I806" s="5"/>
      <c r="J806" s="2"/>
      <c r="K806" s="2"/>
      <c r="L806" s="2"/>
      <c r="M806" s="2"/>
      <c r="N806" s="4"/>
      <c r="O806" s="4"/>
      <c r="P806" s="4"/>
      <c r="Q806" s="4"/>
      <c r="R806" s="5"/>
      <c r="S806" s="5"/>
      <c r="T806" s="4"/>
      <c r="U806" s="4"/>
      <c r="V806" s="4"/>
    </row>
    <row r="807">
      <c r="A807" s="4"/>
      <c r="B807" s="4"/>
      <c r="C807" s="5"/>
      <c r="D807" s="5"/>
      <c r="E807" s="4"/>
      <c r="F807" s="2"/>
      <c r="G807" s="2"/>
      <c r="H807" s="5"/>
      <c r="I807" s="5"/>
      <c r="J807" s="2"/>
      <c r="K807" s="2"/>
      <c r="L807" s="2"/>
      <c r="M807" s="2"/>
      <c r="N807" s="4"/>
      <c r="O807" s="4"/>
      <c r="P807" s="4"/>
      <c r="Q807" s="4"/>
      <c r="R807" s="5"/>
      <c r="S807" s="5"/>
      <c r="T807" s="4"/>
      <c r="U807" s="4"/>
      <c r="V807" s="4"/>
    </row>
    <row r="808">
      <c r="A808" s="4"/>
      <c r="B808" s="4"/>
      <c r="C808" s="5"/>
      <c r="D808" s="5"/>
      <c r="E808" s="4"/>
      <c r="F808" s="2"/>
      <c r="G808" s="2"/>
      <c r="H808" s="5"/>
      <c r="I808" s="5"/>
      <c r="J808" s="2"/>
      <c r="K808" s="2"/>
      <c r="L808" s="2"/>
      <c r="M808" s="2"/>
      <c r="N808" s="4"/>
      <c r="O808" s="4"/>
      <c r="P808" s="4"/>
      <c r="Q808" s="4"/>
      <c r="R808" s="5"/>
      <c r="S808" s="5"/>
      <c r="T808" s="4"/>
      <c r="U808" s="4"/>
      <c r="V808" s="4"/>
    </row>
    <row r="809">
      <c r="A809" s="4"/>
      <c r="B809" s="4"/>
      <c r="C809" s="5"/>
      <c r="D809" s="5"/>
      <c r="E809" s="4"/>
      <c r="F809" s="2"/>
      <c r="G809" s="2"/>
      <c r="H809" s="5"/>
      <c r="I809" s="5"/>
      <c r="J809" s="2"/>
      <c r="K809" s="2"/>
      <c r="L809" s="2"/>
      <c r="M809" s="2"/>
      <c r="N809" s="4"/>
      <c r="O809" s="4"/>
      <c r="P809" s="4"/>
      <c r="Q809" s="4"/>
      <c r="R809" s="5"/>
      <c r="S809" s="5"/>
      <c r="T809" s="4"/>
      <c r="U809" s="4"/>
      <c r="V809" s="4"/>
    </row>
    <row r="810">
      <c r="A810" s="4"/>
      <c r="B810" s="4"/>
      <c r="C810" s="5"/>
      <c r="D810" s="5"/>
      <c r="E810" s="4"/>
      <c r="F810" s="2"/>
      <c r="G810" s="2"/>
      <c r="H810" s="5"/>
      <c r="I810" s="5"/>
      <c r="J810" s="2"/>
      <c r="K810" s="2"/>
      <c r="L810" s="2"/>
      <c r="M810" s="2"/>
      <c r="N810" s="4"/>
      <c r="O810" s="4"/>
      <c r="P810" s="4"/>
      <c r="Q810" s="4"/>
      <c r="R810" s="5"/>
      <c r="S810" s="5"/>
      <c r="T810" s="4"/>
      <c r="U810" s="4"/>
      <c r="V810" s="4"/>
    </row>
    <row r="811">
      <c r="A811" s="4"/>
      <c r="B811" s="4"/>
      <c r="C811" s="5"/>
      <c r="D811" s="5"/>
      <c r="E811" s="4"/>
      <c r="F811" s="2"/>
      <c r="G811" s="2"/>
      <c r="H811" s="5"/>
      <c r="I811" s="5"/>
      <c r="J811" s="2"/>
      <c r="K811" s="2"/>
      <c r="L811" s="2"/>
      <c r="M811" s="2"/>
      <c r="N811" s="4"/>
      <c r="O811" s="4"/>
      <c r="P811" s="4"/>
      <c r="Q811" s="4"/>
      <c r="R811" s="5"/>
      <c r="S811" s="5"/>
      <c r="T811" s="4"/>
      <c r="U811" s="4"/>
      <c r="V811" s="4"/>
    </row>
    <row r="812">
      <c r="A812" s="4"/>
      <c r="B812" s="4"/>
      <c r="C812" s="5"/>
      <c r="D812" s="5"/>
      <c r="E812" s="4"/>
      <c r="F812" s="2"/>
      <c r="G812" s="2"/>
      <c r="H812" s="5"/>
      <c r="I812" s="5"/>
      <c r="J812" s="2"/>
      <c r="K812" s="2"/>
      <c r="L812" s="2"/>
      <c r="M812" s="2"/>
      <c r="N812" s="4"/>
      <c r="O812" s="4"/>
      <c r="P812" s="4"/>
      <c r="Q812" s="4"/>
      <c r="R812" s="5"/>
      <c r="S812" s="5"/>
      <c r="T812" s="4"/>
      <c r="U812" s="4"/>
      <c r="V812" s="4"/>
    </row>
    <row r="813">
      <c r="A813" s="4"/>
      <c r="B813" s="4"/>
      <c r="C813" s="5"/>
      <c r="D813" s="5"/>
      <c r="E813" s="4"/>
      <c r="F813" s="2"/>
      <c r="G813" s="2"/>
      <c r="H813" s="5"/>
      <c r="I813" s="5"/>
      <c r="J813" s="2"/>
      <c r="K813" s="2"/>
      <c r="L813" s="2"/>
      <c r="M813" s="2"/>
      <c r="N813" s="4"/>
      <c r="O813" s="4"/>
      <c r="P813" s="4"/>
      <c r="Q813" s="4"/>
      <c r="R813" s="5"/>
      <c r="S813" s="5"/>
      <c r="T813" s="4"/>
      <c r="U813" s="4"/>
      <c r="V813" s="4"/>
    </row>
    <row r="814">
      <c r="A814" s="4"/>
      <c r="B814" s="4"/>
      <c r="C814" s="5"/>
      <c r="D814" s="5"/>
      <c r="E814" s="4"/>
      <c r="F814" s="2"/>
      <c r="G814" s="2"/>
      <c r="H814" s="5"/>
      <c r="I814" s="5"/>
      <c r="J814" s="2"/>
      <c r="K814" s="2"/>
      <c r="L814" s="2"/>
      <c r="M814" s="2"/>
      <c r="N814" s="4"/>
      <c r="O814" s="4"/>
      <c r="P814" s="4"/>
      <c r="Q814" s="4"/>
      <c r="R814" s="5"/>
      <c r="S814" s="5"/>
      <c r="T814" s="4"/>
      <c r="U814" s="4"/>
      <c r="V814" s="4"/>
    </row>
    <row r="815">
      <c r="A815" s="4"/>
      <c r="B815" s="4"/>
      <c r="C815" s="5"/>
      <c r="D815" s="5"/>
      <c r="E815" s="4"/>
      <c r="F815" s="2"/>
      <c r="G815" s="2"/>
      <c r="H815" s="5"/>
      <c r="I815" s="5"/>
      <c r="J815" s="2"/>
      <c r="K815" s="2"/>
      <c r="L815" s="2"/>
      <c r="M815" s="2"/>
      <c r="N815" s="4"/>
      <c r="O815" s="4"/>
      <c r="P815" s="4"/>
      <c r="Q815" s="4"/>
      <c r="R815" s="5"/>
      <c r="S815" s="5"/>
      <c r="T815" s="4"/>
      <c r="U815" s="4"/>
      <c r="V815" s="4"/>
    </row>
    <row r="816">
      <c r="A816" s="4"/>
      <c r="B816" s="4"/>
      <c r="C816" s="5"/>
      <c r="D816" s="5"/>
      <c r="E816" s="4"/>
      <c r="F816" s="2"/>
      <c r="G816" s="2"/>
      <c r="H816" s="5"/>
      <c r="I816" s="5"/>
      <c r="J816" s="2"/>
      <c r="K816" s="2"/>
      <c r="L816" s="2"/>
      <c r="M816" s="2"/>
      <c r="N816" s="4"/>
      <c r="O816" s="4"/>
      <c r="P816" s="4"/>
      <c r="Q816" s="4"/>
      <c r="R816" s="5"/>
      <c r="S816" s="5"/>
      <c r="T816" s="4"/>
      <c r="U816" s="4"/>
      <c r="V816" s="4"/>
    </row>
    <row r="817">
      <c r="A817" s="4"/>
      <c r="B817" s="4"/>
      <c r="C817" s="5"/>
      <c r="D817" s="5"/>
      <c r="E817" s="4"/>
      <c r="F817" s="2"/>
      <c r="G817" s="2"/>
      <c r="H817" s="5"/>
      <c r="I817" s="5"/>
      <c r="J817" s="2"/>
      <c r="K817" s="2"/>
      <c r="L817" s="2"/>
      <c r="M817" s="2"/>
      <c r="N817" s="4"/>
      <c r="O817" s="4"/>
      <c r="P817" s="4"/>
      <c r="Q817" s="4"/>
      <c r="R817" s="5"/>
      <c r="S817" s="5"/>
      <c r="T817" s="4"/>
      <c r="U817" s="4"/>
      <c r="V817" s="4"/>
    </row>
    <row r="818">
      <c r="A818" s="4"/>
      <c r="B818" s="4"/>
      <c r="C818" s="5"/>
      <c r="D818" s="5"/>
      <c r="E818" s="4"/>
      <c r="F818" s="2"/>
      <c r="G818" s="2"/>
      <c r="H818" s="5"/>
      <c r="I818" s="5"/>
      <c r="J818" s="2"/>
      <c r="K818" s="2"/>
      <c r="L818" s="2"/>
      <c r="M818" s="2"/>
      <c r="N818" s="4"/>
      <c r="O818" s="4"/>
      <c r="P818" s="4"/>
      <c r="Q818" s="4"/>
      <c r="R818" s="5"/>
      <c r="S818" s="5"/>
      <c r="T818" s="4"/>
      <c r="U818" s="4"/>
      <c r="V818" s="4"/>
    </row>
    <row r="819">
      <c r="A819" s="4"/>
      <c r="B819" s="4"/>
      <c r="C819" s="5"/>
      <c r="D819" s="5"/>
      <c r="E819" s="4"/>
      <c r="F819" s="2"/>
      <c r="G819" s="2"/>
      <c r="H819" s="5"/>
      <c r="I819" s="5"/>
      <c r="J819" s="2"/>
      <c r="K819" s="2"/>
      <c r="L819" s="2"/>
      <c r="M819" s="2"/>
      <c r="N819" s="4"/>
      <c r="O819" s="4"/>
      <c r="P819" s="4"/>
      <c r="Q819" s="4"/>
      <c r="R819" s="5"/>
      <c r="S819" s="5"/>
      <c r="T819" s="4"/>
      <c r="U819" s="4"/>
      <c r="V819" s="4"/>
    </row>
    <row r="820">
      <c r="A820" s="4"/>
      <c r="B820" s="4"/>
      <c r="C820" s="5"/>
      <c r="D820" s="5"/>
      <c r="E820" s="4"/>
      <c r="F820" s="2"/>
      <c r="G820" s="2"/>
      <c r="H820" s="5"/>
      <c r="I820" s="5"/>
      <c r="J820" s="2"/>
      <c r="K820" s="2"/>
      <c r="L820" s="2"/>
      <c r="M820" s="2"/>
      <c r="N820" s="4"/>
      <c r="O820" s="4"/>
      <c r="P820" s="4"/>
      <c r="Q820" s="4"/>
      <c r="R820" s="5"/>
      <c r="S820" s="5"/>
      <c r="T820" s="4"/>
      <c r="U820" s="4"/>
      <c r="V820" s="4"/>
    </row>
    <row r="821">
      <c r="A821" s="4"/>
      <c r="B821" s="4"/>
      <c r="C821" s="5"/>
      <c r="D821" s="5"/>
      <c r="E821" s="4"/>
      <c r="F821" s="2"/>
      <c r="G821" s="2"/>
      <c r="H821" s="5"/>
      <c r="I821" s="5"/>
      <c r="J821" s="2"/>
      <c r="K821" s="2"/>
      <c r="L821" s="2"/>
      <c r="M821" s="2"/>
      <c r="N821" s="4"/>
      <c r="O821" s="4"/>
      <c r="P821" s="4"/>
      <c r="Q821" s="4"/>
      <c r="R821" s="5"/>
      <c r="S821" s="5"/>
      <c r="T821" s="4"/>
      <c r="U821" s="4"/>
      <c r="V821" s="4"/>
    </row>
    <row r="822">
      <c r="A822" s="4"/>
      <c r="B822" s="4"/>
      <c r="C822" s="5"/>
      <c r="D822" s="5"/>
      <c r="E822" s="4"/>
      <c r="F822" s="2"/>
      <c r="G822" s="2"/>
      <c r="H822" s="5"/>
      <c r="I822" s="5"/>
      <c r="J822" s="2"/>
      <c r="K822" s="2"/>
      <c r="L822" s="2"/>
      <c r="M822" s="2"/>
      <c r="N822" s="4"/>
      <c r="O822" s="4"/>
      <c r="P822" s="4"/>
      <c r="Q822" s="4"/>
      <c r="R822" s="5"/>
      <c r="S822" s="5"/>
      <c r="T822" s="4"/>
      <c r="U822" s="4"/>
      <c r="V822" s="4"/>
    </row>
    <row r="823">
      <c r="A823" s="4"/>
      <c r="B823" s="4"/>
      <c r="C823" s="5"/>
      <c r="D823" s="5"/>
      <c r="E823" s="4"/>
      <c r="F823" s="2"/>
      <c r="G823" s="2"/>
      <c r="H823" s="5"/>
      <c r="I823" s="5"/>
      <c r="J823" s="2"/>
      <c r="K823" s="2"/>
      <c r="L823" s="2"/>
      <c r="M823" s="2"/>
      <c r="N823" s="4"/>
      <c r="O823" s="4"/>
      <c r="P823" s="4"/>
      <c r="Q823" s="4"/>
      <c r="R823" s="5"/>
      <c r="S823" s="5"/>
      <c r="T823" s="4"/>
      <c r="U823" s="4"/>
      <c r="V823" s="4"/>
    </row>
    <row r="824">
      <c r="A824" s="4"/>
      <c r="B824" s="4"/>
      <c r="C824" s="5"/>
      <c r="D824" s="5"/>
      <c r="E824" s="4"/>
      <c r="F824" s="2"/>
      <c r="G824" s="2"/>
      <c r="H824" s="5"/>
      <c r="I824" s="5"/>
      <c r="J824" s="2"/>
      <c r="K824" s="2"/>
      <c r="L824" s="2"/>
      <c r="M824" s="2"/>
      <c r="N824" s="4"/>
      <c r="O824" s="4"/>
      <c r="P824" s="4"/>
      <c r="Q824" s="4"/>
      <c r="R824" s="5"/>
      <c r="S824" s="5"/>
      <c r="T824" s="4"/>
      <c r="U824" s="4"/>
      <c r="V824" s="4"/>
    </row>
    <row r="825">
      <c r="A825" s="4"/>
      <c r="B825" s="4"/>
      <c r="C825" s="5"/>
      <c r="D825" s="5"/>
      <c r="E825" s="4"/>
      <c r="F825" s="2"/>
      <c r="G825" s="2"/>
      <c r="H825" s="5"/>
      <c r="I825" s="5"/>
      <c r="J825" s="2"/>
      <c r="K825" s="2"/>
      <c r="L825" s="2"/>
      <c r="M825" s="2"/>
      <c r="N825" s="4"/>
      <c r="O825" s="4"/>
      <c r="P825" s="4"/>
      <c r="Q825" s="4"/>
      <c r="R825" s="5"/>
      <c r="S825" s="5"/>
      <c r="T825" s="4"/>
      <c r="U825" s="4"/>
      <c r="V825" s="4"/>
    </row>
    <row r="826">
      <c r="A826" s="4"/>
      <c r="B826" s="4"/>
      <c r="C826" s="5"/>
      <c r="D826" s="5"/>
      <c r="E826" s="4"/>
      <c r="F826" s="2"/>
      <c r="G826" s="2"/>
      <c r="H826" s="5"/>
      <c r="I826" s="5"/>
      <c r="J826" s="2"/>
      <c r="K826" s="2"/>
      <c r="L826" s="2"/>
      <c r="M826" s="2"/>
      <c r="N826" s="4"/>
      <c r="O826" s="4"/>
      <c r="P826" s="4"/>
      <c r="Q826" s="4"/>
      <c r="R826" s="5"/>
      <c r="S826" s="5"/>
      <c r="T826" s="4"/>
      <c r="U826" s="4"/>
      <c r="V826" s="4"/>
    </row>
    <row r="827">
      <c r="A827" s="4"/>
      <c r="B827" s="4"/>
      <c r="C827" s="5"/>
      <c r="D827" s="5"/>
      <c r="E827" s="4"/>
      <c r="F827" s="2"/>
      <c r="G827" s="2"/>
      <c r="H827" s="5"/>
      <c r="I827" s="5"/>
      <c r="J827" s="2"/>
      <c r="K827" s="2"/>
      <c r="L827" s="2"/>
      <c r="M827" s="2"/>
      <c r="N827" s="4"/>
      <c r="O827" s="4"/>
      <c r="P827" s="4"/>
      <c r="Q827" s="4"/>
      <c r="R827" s="5"/>
      <c r="S827" s="5"/>
      <c r="T827" s="4"/>
      <c r="U827" s="4"/>
      <c r="V827" s="4"/>
    </row>
    <row r="828">
      <c r="A828" s="4"/>
      <c r="B828" s="4"/>
      <c r="C828" s="5"/>
      <c r="D828" s="5"/>
      <c r="E828" s="4"/>
      <c r="F828" s="2"/>
      <c r="G828" s="2"/>
      <c r="H828" s="5"/>
      <c r="I828" s="5"/>
      <c r="J828" s="2"/>
      <c r="K828" s="2"/>
      <c r="L828" s="2"/>
      <c r="M828" s="2"/>
      <c r="N828" s="4"/>
      <c r="O828" s="4"/>
      <c r="P828" s="4"/>
      <c r="Q828" s="4"/>
      <c r="R828" s="5"/>
      <c r="S828" s="5"/>
      <c r="T828" s="4"/>
      <c r="U828" s="4"/>
      <c r="V828" s="4"/>
    </row>
    <row r="829">
      <c r="A829" s="4"/>
      <c r="B829" s="4"/>
      <c r="C829" s="5"/>
      <c r="D829" s="5"/>
      <c r="E829" s="4"/>
      <c r="F829" s="2"/>
      <c r="G829" s="2"/>
      <c r="H829" s="5"/>
      <c r="I829" s="5"/>
      <c r="J829" s="2"/>
      <c r="K829" s="2"/>
      <c r="L829" s="2"/>
      <c r="M829" s="2"/>
      <c r="N829" s="4"/>
      <c r="O829" s="4"/>
      <c r="P829" s="4"/>
      <c r="Q829" s="4"/>
      <c r="R829" s="5"/>
      <c r="S829" s="5"/>
      <c r="T829" s="4"/>
      <c r="U829" s="4"/>
      <c r="V829" s="4"/>
    </row>
    <row r="830">
      <c r="A830" s="4"/>
      <c r="B830" s="4"/>
      <c r="C830" s="5"/>
      <c r="D830" s="5"/>
      <c r="E830" s="4"/>
      <c r="F830" s="2"/>
      <c r="G830" s="2"/>
      <c r="H830" s="5"/>
      <c r="I830" s="5"/>
      <c r="J830" s="2"/>
      <c r="K830" s="2"/>
      <c r="L830" s="2"/>
      <c r="M830" s="2"/>
      <c r="N830" s="4"/>
      <c r="O830" s="4"/>
      <c r="P830" s="4"/>
      <c r="Q830" s="4"/>
      <c r="R830" s="5"/>
      <c r="S830" s="5"/>
      <c r="T830" s="4"/>
      <c r="U830" s="4"/>
      <c r="V830" s="4"/>
    </row>
    <row r="831">
      <c r="A831" s="4"/>
      <c r="B831" s="4"/>
      <c r="C831" s="5"/>
      <c r="D831" s="5"/>
      <c r="E831" s="4"/>
      <c r="F831" s="2"/>
      <c r="G831" s="2"/>
      <c r="H831" s="5"/>
      <c r="I831" s="5"/>
      <c r="J831" s="2"/>
      <c r="K831" s="2"/>
      <c r="L831" s="2"/>
      <c r="M831" s="2"/>
      <c r="N831" s="4"/>
      <c r="O831" s="4"/>
      <c r="P831" s="4"/>
      <c r="Q831" s="4"/>
      <c r="R831" s="5"/>
      <c r="S831" s="5"/>
      <c r="T831" s="4"/>
      <c r="U831" s="4"/>
      <c r="V831" s="4"/>
    </row>
    <row r="832">
      <c r="A832" s="4"/>
      <c r="B832" s="4"/>
      <c r="C832" s="5"/>
      <c r="D832" s="5"/>
      <c r="E832" s="4"/>
      <c r="F832" s="2"/>
      <c r="G832" s="2"/>
      <c r="H832" s="5"/>
      <c r="I832" s="5"/>
      <c r="J832" s="2"/>
      <c r="K832" s="2"/>
      <c r="L832" s="2"/>
      <c r="M832" s="2"/>
      <c r="N832" s="4"/>
      <c r="O832" s="4"/>
      <c r="P832" s="4"/>
      <c r="Q832" s="4"/>
      <c r="R832" s="5"/>
      <c r="S832" s="5"/>
      <c r="T832" s="4"/>
      <c r="U832" s="4"/>
      <c r="V832" s="4"/>
    </row>
    <row r="833">
      <c r="A833" s="4"/>
      <c r="B833" s="4"/>
      <c r="C833" s="5"/>
      <c r="D833" s="5"/>
      <c r="E833" s="4"/>
      <c r="F833" s="2"/>
      <c r="G833" s="2"/>
      <c r="H833" s="5"/>
      <c r="I833" s="5"/>
      <c r="J833" s="2"/>
      <c r="K833" s="2"/>
      <c r="L833" s="2"/>
      <c r="M833" s="2"/>
      <c r="N833" s="4"/>
      <c r="O833" s="4"/>
      <c r="P833" s="4"/>
      <c r="Q833" s="4"/>
      <c r="R833" s="5"/>
      <c r="S833" s="5"/>
      <c r="T833" s="4"/>
      <c r="U833" s="4"/>
      <c r="V833" s="4"/>
    </row>
    <row r="834">
      <c r="A834" s="4"/>
      <c r="B834" s="4"/>
      <c r="C834" s="5"/>
      <c r="D834" s="5"/>
      <c r="E834" s="4"/>
      <c r="F834" s="2"/>
      <c r="G834" s="2"/>
      <c r="H834" s="5"/>
      <c r="I834" s="5"/>
      <c r="J834" s="2"/>
      <c r="K834" s="2"/>
      <c r="L834" s="2"/>
      <c r="M834" s="2"/>
      <c r="N834" s="4"/>
      <c r="O834" s="4"/>
      <c r="P834" s="4"/>
      <c r="Q834" s="4"/>
      <c r="R834" s="5"/>
      <c r="S834" s="5"/>
      <c r="T834" s="4"/>
      <c r="U834" s="4"/>
      <c r="V834" s="4"/>
    </row>
    <row r="835">
      <c r="A835" s="4"/>
      <c r="B835" s="4"/>
      <c r="C835" s="5"/>
      <c r="D835" s="5"/>
      <c r="E835" s="4"/>
      <c r="F835" s="2"/>
      <c r="G835" s="2"/>
      <c r="H835" s="5"/>
      <c r="I835" s="5"/>
      <c r="J835" s="2"/>
      <c r="K835" s="2"/>
      <c r="L835" s="2"/>
      <c r="M835" s="2"/>
      <c r="N835" s="4"/>
      <c r="O835" s="4"/>
      <c r="P835" s="4"/>
      <c r="Q835" s="4"/>
      <c r="R835" s="5"/>
      <c r="S835" s="5"/>
      <c r="T835" s="4"/>
      <c r="U835" s="4"/>
      <c r="V835" s="4"/>
    </row>
    <row r="836">
      <c r="A836" s="4"/>
      <c r="B836" s="4"/>
      <c r="C836" s="5"/>
      <c r="D836" s="5"/>
      <c r="E836" s="4"/>
      <c r="F836" s="2"/>
      <c r="G836" s="2"/>
      <c r="H836" s="5"/>
      <c r="I836" s="5"/>
      <c r="J836" s="2"/>
      <c r="K836" s="2"/>
      <c r="L836" s="2"/>
      <c r="M836" s="2"/>
      <c r="N836" s="4"/>
      <c r="O836" s="4"/>
      <c r="P836" s="4"/>
      <c r="Q836" s="4"/>
      <c r="R836" s="5"/>
      <c r="S836" s="5"/>
      <c r="T836" s="4"/>
      <c r="U836" s="4"/>
      <c r="V836" s="4"/>
    </row>
    <row r="837">
      <c r="A837" s="4"/>
      <c r="B837" s="4"/>
      <c r="C837" s="5"/>
      <c r="D837" s="5"/>
      <c r="E837" s="4"/>
      <c r="F837" s="2"/>
      <c r="G837" s="2"/>
      <c r="H837" s="5"/>
      <c r="I837" s="5"/>
      <c r="J837" s="2"/>
      <c r="K837" s="2"/>
      <c r="L837" s="2"/>
      <c r="M837" s="2"/>
      <c r="N837" s="4"/>
      <c r="O837" s="4"/>
      <c r="P837" s="4"/>
      <c r="Q837" s="4"/>
      <c r="R837" s="5"/>
      <c r="S837" s="5"/>
      <c r="T837" s="4"/>
      <c r="U837" s="4"/>
      <c r="V837" s="4"/>
    </row>
    <row r="838">
      <c r="A838" s="4"/>
      <c r="B838" s="4"/>
      <c r="C838" s="5"/>
      <c r="D838" s="5"/>
      <c r="E838" s="4"/>
      <c r="F838" s="2"/>
      <c r="G838" s="2"/>
      <c r="H838" s="5"/>
      <c r="I838" s="5"/>
      <c r="J838" s="2"/>
      <c r="K838" s="2"/>
      <c r="L838" s="2"/>
      <c r="M838" s="2"/>
      <c r="N838" s="4"/>
      <c r="O838" s="4"/>
      <c r="P838" s="4"/>
      <c r="Q838" s="4"/>
      <c r="R838" s="5"/>
      <c r="S838" s="5"/>
      <c r="T838" s="4"/>
      <c r="U838" s="4"/>
      <c r="V838" s="4"/>
    </row>
    <row r="839">
      <c r="A839" s="4"/>
      <c r="B839" s="4"/>
      <c r="C839" s="5"/>
      <c r="D839" s="5"/>
      <c r="E839" s="4"/>
      <c r="F839" s="2"/>
      <c r="G839" s="2"/>
      <c r="H839" s="5"/>
      <c r="I839" s="5"/>
      <c r="J839" s="2"/>
      <c r="K839" s="2"/>
      <c r="L839" s="2"/>
      <c r="M839" s="2"/>
      <c r="N839" s="4"/>
      <c r="O839" s="4"/>
      <c r="P839" s="4"/>
      <c r="Q839" s="4"/>
      <c r="R839" s="5"/>
      <c r="S839" s="5"/>
      <c r="T839" s="4"/>
      <c r="U839" s="4"/>
      <c r="V839" s="4"/>
    </row>
    <row r="840">
      <c r="A840" s="4"/>
      <c r="B840" s="4"/>
      <c r="C840" s="5"/>
      <c r="D840" s="5"/>
      <c r="E840" s="4"/>
      <c r="F840" s="2"/>
      <c r="G840" s="2"/>
      <c r="H840" s="5"/>
      <c r="I840" s="5"/>
      <c r="J840" s="2"/>
      <c r="K840" s="2"/>
      <c r="L840" s="2"/>
      <c r="M840" s="2"/>
      <c r="N840" s="4"/>
      <c r="O840" s="4"/>
      <c r="P840" s="4"/>
      <c r="Q840" s="4"/>
      <c r="R840" s="5"/>
      <c r="S840" s="5"/>
      <c r="T840" s="4"/>
      <c r="U840" s="4"/>
      <c r="V840" s="4"/>
    </row>
    <row r="841">
      <c r="A841" s="4"/>
      <c r="B841" s="4"/>
      <c r="C841" s="5"/>
      <c r="D841" s="5"/>
      <c r="E841" s="4"/>
      <c r="F841" s="2"/>
      <c r="G841" s="2"/>
      <c r="H841" s="5"/>
      <c r="I841" s="5"/>
      <c r="J841" s="2"/>
      <c r="K841" s="2"/>
      <c r="L841" s="2"/>
      <c r="M841" s="2"/>
      <c r="N841" s="4"/>
      <c r="O841" s="4"/>
      <c r="P841" s="4"/>
      <c r="Q841" s="4"/>
      <c r="R841" s="5"/>
      <c r="S841" s="5"/>
      <c r="T841" s="4"/>
      <c r="U841" s="4"/>
      <c r="V841" s="4"/>
    </row>
    <row r="842">
      <c r="A842" s="4"/>
      <c r="B842" s="4"/>
      <c r="C842" s="5"/>
      <c r="D842" s="5"/>
      <c r="E842" s="4"/>
      <c r="F842" s="2"/>
      <c r="G842" s="2"/>
      <c r="H842" s="5"/>
      <c r="I842" s="5"/>
      <c r="J842" s="2"/>
      <c r="K842" s="2"/>
      <c r="L842" s="2"/>
      <c r="M842" s="2"/>
      <c r="N842" s="4"/>
      <c r="O842" s="4"/>
      <c r="P842" s="4"/>
      <c r="Q842" s="4"/>
      <c r="R842" s="5"/>
      <c r="S842" s="5"/>
      <c r="T842" s="4"/>
      <c r="U842" s="4"/>
      <c r="V842" s="4"/>
    </row>
    <row r="843">
      <c r="A843" s="4"/>
      <c r="B843" s="4"/>
      <c r="C843" s="5"/>
      <c r="D843" s="5"/>
      <c r="E843" s="4"/>
      <c r="F843" s="2"/>
      <c r="G843" s="2"/>
      <c r="H843" s="5"/>
      <c r="I843" s="5"/>
      <c r="J843" s="2"/>
      <c r="K843" s="2"/>
      <c r="L843" s="2"/>
      <c r="M843" s="2"/>
      <c r="N843" s="4"/>
      <c r="O843" s="4"/>
      <c r="P843" s="4"/>
      <c r="Q843" s="4"/>
      <c r="R843" s="5"/>
      <c r="S843" s="5"/>
      <c r="T843" s="4"/>
      <c r="U843" s="4"/>
      <c r="V843" s="4"/>
    </row>
    <row r="844">
      <c r="A844" s="4"/>
      <c r="B844" s="4"/>
      <c r="C844" s="5"/>
      <c r="D844" s="5"/>
      <c r="E844" s="4"/>
      <c r="F844" s="2"/>
      <c r="G844" s="2"/>
      <c r="H844" s="5"/>
      <c r="I844" s="5"/>
      <c r="J844" s="2"/>
      <c r="K844" s="2"/>
      <c r="L844" s="2"/>
      <c r="M844" s="2"/>
      <c r="N844" s="4"/>
      <c r="O844" s="4"/>
      <c r="P844" s="4"/>
      <c r="Q844" s="4"/>
      <c r="R844" s="5"/>
      <c r="S844" s="5"/>
      <c r="T844" s="4"/>
      <c r="U844" s="4"/>
      <c r="V844" s="4"/>
    </row>
    <row r="845">
      <c r="A845" s="4"/>
      <c r="B845" s="4"/>
      <c r="C845" s="5"/>
      <c r="D845" s="5"/>
      <c r="E845" s="4"/>
      <c r="F845" s="2"/>
      <c r="G845" s="2"/>
      <c r="H845" s="5"/>
      <c r="I845" s="5"/>
      <c r="J845" s="2"/>
      <c r="K845" s="2"/>
      <c r="L845" s="2"/>
      <c r="M845" s="2"/>
      <c r="N845" s="4"/>
      <c r="O845" s="4"/>
      <c r="P845" s="4"/>
      <c r="Q845" s="4"/>
      <c r="R845" s="5"/>
      <c r="S845" s="5"/>
      <c r="T845" s="4"/>
      <c r="U845" s="4"/>
      <c r="V845" s="4"/>
    </row>
    <row r="846">
      <c r="A846" s="4"/>
      <c r="B846" s="4"/>
      <c r="C846" s="5"/>
      <c r="D846" s="5"/>
      <c r="E846" s="4"/>
      <c r="F846" s="2"/>
      <c r="G846" s="2"/>
      <c r="H846" s="5"/>
      <c r="I846" s="5"/>
      <c r="J846" s="2"/>
      <c r="K846" s="2"/>
      <c r="L846" s="2"/>
      <c r="M846" s="2"/>
      <c r="N846" s="4"/>
      <c r="O846" s="4"/>
      <c r="P846" s="4"/>
      <c r="Q846" s="4"/>
      <c r="R846" s="5"/>
      <c r="S846" s="5"/>
      <c r="T846" s="4"/>
      <c r="U846" s="4"/>
      <c r="V846" s="4"/>
    </row>
    <row r="847">
      <c r="A847" s="4"/>
      <c r="B847" s="4"/>
      <c r="C847" s="5"/>
      <c r="D847" s="5"/>
      <c r="E847" s="4"/>
      <c r="F847" s="2"/>
      <c r="G847" s="2"/>
      <c r="H847" s="5"/>
      <c r="I847" s="5"/>
      <c r="J847" s="2"/>
      <c r="K847" s="2"/>
      <c r="L847" s="2"/>
      <c r="M847" s="2"/>
      <c r="N847" s="4"/>
      <c r="O847" s="4"/>
      <c r="P847" s="4"/>
      <c r="Q847" s="4"/>
      <c r="R847" s="5"/>
      <c r="S847" s="5"/>
      <c r="T847" s="4"/>
      <c r="U847" s="4"/>
      <c r="V847" s="4"/>
    </row>
    <row r="848">
      <c r="A848" s="4"/>
      <c r="B848" s="4"/>
      <c r="C848" s="5"/>
      <c r="D848" s="5"/>
      <c r="E848" s="4"/>
      <c r="F848" s="2"/>
      <c r="G848" s="2"/>
      <c r="H848" s="5"/>
      <c r="I848" s="5"/>
      <c r="J848" s="2"/>
      <c r="K848" s="2"/>
      <c r="L848" s="2"/>
      <c r="M848" s="2"/>
      <c r="N848" s="4"/>
      <c r="O848" s="4"/>
      <c r="P848" s="4"/>
      <c r="Q848" s="4"/>
      <c r="R848" s="5"/>
      <c r="S848" s="5"/>
      <c r="T848" s="4"/>
      <c r="U848" s="4"/>
      <c r="V848" s="4"/>
    </row>
    <row r="849">
      <c r="A849" s="4"/>
      <c r="B849" s="4"/>
      <c r="C849" s="5"/>
      <c r="D849" s="5"/>
      <c r="E849" s="4"/>
      <c r="F849" s="2"/>
      <c r="G849" s="2"/>
      <c r="H849" s="5"/>
      <c r="I849" s="5"/>
      <c r="J849" s="2"/>
      <c r="K849" s="2"/>
      <c r="L849" s="2"/>
      <c r="M849" s="2"/>
      <c r="N849" s="4"/>
      <c r="O849" s="4"/>
      <c r="P849" s="4"/>
      <c r="Q849" s="4"/>
      <c r="R849" s="5"/>
      <c r="S849" s="5"/>
      <c r="T849" s="4"/>
      <c r="U849" s="4"/>
      <c r="V849" s="4"/>
    </row>
    <row r="850">
      <c r="A850" s="4"/>
      <c r="B850" s="4"/>
      <c r="C850" s="5"/>
      <c r="D850" s="5"/>
      <c r="E850" s="4"/>
      <c r="F850" s="2"/>
      <c r="G850" s="2"/>
      <c r="H850" s="5"/>
      <c r="I850" s="5"/>
      <c r="J850" s="2"/>
      <c r="K850" s="2"/>
      <c r="L850" s="2"/>
      <c r="M850" s="2"/>
      <c r="N850" s="4"/>
      <c r="O850" s="4"/>
      <c r="P850" s="4"/>
      <c r="Q850" s="4"/>
      <c r="R850" s="5"/>
      <c r="S850" s="5"/>
      <c r="T850" s="4"/>
      <c r="U850" s="4"/>
      <c r="V850" s="4"/>
    </row>
    <row r="851">
      <c r="A851" s="4"/>
      <c r="B851" s="4"/>
      <c r="C851" s="5"/>
      <c r="D851" s="5"/>
      <c r="E851" s="4"/>
      <c r="F851" s="2"/>
      <c r="G851" s="2"/>
      <c r="H851" s="5"/>
      <c r="I851" s="5"/>
      <c r="J851" s="2"/>
      <c r="K851" s="2"/>
      <c r="L851" s="2"/>
      <c r="M851" s="2"/>
      <c r="N851" s="4"/>
      <c r="O851" s="4"/>
      <c r="P851" s="4"/>
      <c r="Q851" s="4"/>
      <c r="R851" s="5"/>
      <c r="S851" s="5"/>
      <c r="T851" s="4"/>
      <c r="U851" s="4"/>
      <c r="V851" s="4"/>
    </row>
    <row r="852">
      <c r="A852" s="4"/>
      <c r="B852" s="4"/>
      <c r="C852" s="5"/>
      <c r="D852" s="5"/>
      <c r="E852" s="4"/>
      <c r="F852" s="2"/>
      <c r="G852" s="2"/>
      <c r="H852" s="5"/>
      <c r="I852" s="5"/>
      <c r="J852" s="2"/>
      <c r="K852" s="2"/>
      <c r="L852" s="2"/>
      <c r="M852" s="2"/>
      <c r="N852" s="4"/>
      <c r="O852" s="4"/>
      <c r="P852" s="4"/>
      <c r="Q852" s="4"/>
      <c r="R852" s="5"/>
      <c r="S852" s="5"/>
      <c r="T852" s="4"/>
      <c r="U852" s="4"/>
      <c r="V852" s="4"/>
    </row>
    <row r="853">
      <c r="A853" s="4"/>
      <c r="B853" s="4"/>
      <c r="C853" s="5"/>
      <c r="D853" s="5"/>
      <c r="E853" s="4"/>
      <c r="F853" s="2"/>
      <c r="G853" s="2"/>
      <c r="H853" s="5"/>
      <c r="I853" s="5"/>
      <c r="J853" s="2"/>
      <c r="K853" s="2"/>
      <c r="L853" s="2"/>
      <c r="M853" s="2"/>
      <c r="N853" s="4"/>
      <c r="O853" s="4"/>
      <c r="P853" s="4"/>
      <c r="Q853" s="4"/>
      <c r="R853" s="5"/>
      <c r="S853" s="5"/>
      <c r="T853" s="4"/>
      <c r="U853" s="4"/>
      <c r="V853" s="4"/>
    </row>
    <row r="854">
      <c r="A854" s="4"/>
      <c r="B854" s="4"/>
      <c r="C854" s="5"/>
      <c r="D854" s="5"/>
      <c r="E854" s="4"/>
      <c r="F854" s="2"/>
      <c r="G854" s="2"/>
      <c r="H854" s="5"/>
      <c r="I854" s="5"/>
      <c r="J854" s="2"/>
      <c r="K854" s="2"/>
      <c r="L854" s="2"/>
      <c r="M854" s="2"/>
      <c r="N854" s="4"/>
      <c r="O854" s="4"/>
      <c r="P854" s="4"/>
      <c r="Q854" s="4"/>
      <c r="R854" s="5"/>
      <c r="S854" s="5"/>
      <c r="T854" s="4"/>
      <c r="U854" s="4"/>
      <c r="V854" s="4"/>
    </row>
    <row r="855">
      <c r="A855" s="4"/>
      <c r="B855" s="4"/>
      <c r="C855" s="5"/>
      <c r="D855" s="5"/>
      <c r="E855" s="4"/>
      <c r="F855" s="2"/>
      <c r="G855" s="2"/>
      <c r="H855" s="5"/>
      <c r="I855" s="5"/>
      <c r="J855" s="2"/>
      <c r="K855" s="2"/>
      <c r="L855" s="2"/>
      <c r="M855" s="2"/>
      <c r="N855" s="4"/>
      <c r="O855" s="4"/>
      <c r="P855" s="4"/>
      <c r="Q855" s="4"/>
      <c r="R855" s="5"/>
      <c r="S855" s="5"/>
      <c r="T855" s="4"/>
      <c r="U855" s="4"/>
      <c r="V855" s="4"/>
    </row>
    <row r="856">
      <c r="A856" s="4"/>
      <c r="B856" s="4"/>
      <c r="C856" s="5"/>
      <c r="D856" s="5"/>
      <c r="E856" s="4"/>
      <c r="F856" s="2"/>
      <c r="G856" s="2"/>
      <c r="H856" s="5"/>
      <c r="I856" s="5"/>
      <c r="J856" s="2"/>
      <c r="K856" s="2"/>
      <c r="L856" s="2"/>
      <c r="M856" s="2"/>
      <c r="N856" s="4"/>
      <c r="O856" s="4"/>
      <c r="P856" s="4"/>
      <c r="Q856" s="4"/>
      <c r="R856" s="5"/>
      <c r="S856" s="5"/>
      <c r="T856" s="4"/>
      <c r="U856" s="4"/>
      <c r="V856" s="4"/>
    </row>
    <row r="857">
      <c r="A857" s="4"/>
      <c r="B857" s="4"/>
      <c r="C857" s="5"/>
      <c r="D857" s="5"/>
      <c r="E857" s="4"/>
      <c r="F857" s="2"/>
      <c r="G857" s="2"/>
      <c r="H857" s="5"/>
      <c r="I857" s="5"/>
      <c r="J857" s="2"/>
      <c r="K857" s="2"/>
      <c r="L857" s="2"/>
      <c r="M857" s="2"/>
      <c r="N857" s="4"/>
      <c r="O857" s="4"/>
      <c r="P857" s="4"/>
      <c r="Q857" s="4"/>
      <c r="R857" s="5"/>
      <c r="S857" s="5"/>
      <c r="T857" s="4"/>
      <c r="U857" s="4"/>
      <c r="V857" s="4"/>
    </row>
    <row r="858">
      <c r="A858" s="4"/>
      <c r="B858" s="4"/>
      <c r="C858" s="5"/>
      <c r="D858" s="5"/>
      <c r="E858" s="4"/>
      <c r="F858" s="2"/>
      <c r="G858" s="2"/>
      <c r="H858" s="5"/>
      <c r="I858" s="5"/>
      <c r="J858" s="2"/>
      <c r="K858" s="2"/>
      <c r="L858" s="2"/>
      <c r="M858" s="2"/>
      <c r="N858" s="4"/>
      <c r="O858" s="4"/>
      <c r="P858" s="4"/>
      <c r="Q858" s="4"/>
      <c r="R858" s="5"/>
      <c r="S858" s="5"/>
      <c r="T858" s="4"/>
      <c r="U858" s="4"/>
      <c r="V858" s="4"/>
    </row>
    <row r="859">
      <c r="A859" s="4"/>
      <c r="B859" s="4"/>
      <c r="C859" s="5"/>
      <c r="D859" s="5"/>
      <c r="E859" s="4"/>
      <c r="F859" s="2"/>
      <c r="G859" s="2"/>
      <c r="H859" s="5"/>
      <c r="I859" s="5"/>
      <c r="J859" s="2"/>
      <c r="K859" s="2"/>
      <c r="L859" s="2"/>
      <c r="M859" s="2"/>
      <c r="N859" s="4"/>
      <c r="O859" s="4"/>
      <c r="P859" s="4"/>
      <c r="Q859" s="4"/>
      <c r="R859" s="5"/>
      <c r="S859" s="5"/>
      <c r="T859" s="4"/>
      <c r="U859" s="4"/>
      <c r="V859" s="4"/>
    </row>
    <row r="860">
      <c r="A860" s="4"/>
      <c r="B860" s="4"/>
      <c r="C860" s="5"/>
      <c r="D860" s="5"/>
      <c r="E860" s="4"/>
      <c r="F860" s="2"/>
      <c r="G860" s="2"/>
      <c r="H860" s="5"/>
      <c r="I860" s="5"/>
      <c r="J860" s="2"/>
      <c r="K860" s="2"/>
      <c r="L860" s="2"/>
      <c r="M860" s="2"/>
      <c r="N860" s="4"/>
      <c r="O860" s="4"/>
      <c r="P860" s="4"/>
      <c r="Q860" s="4"/>
      <c r="R860" s="5"/>
      <c r="S860" s="5"/>
      <c r="T860" s="4"/>
      <c r="U860" s="4"/>
      <c r="V860" s="4"/>
    </row>
    <row r="861">
      <c r="A861" s="4"/>
      <c r="B861" s="4"/>
      <c r="C861" s="5"/>
      <c r="D861" s="5"/>
      <c r="E861" s="4"/>
      <c r="F861" s="2"/>
      <c r="G861" s="2"/>
      <c r="H861" s="5"/>
      <c r="I861" s="5"/>
      <c r="J861" s="2"/>
      <c r="K861" s="2"/>
      <c r="L861" s="2"/>
      <c r="M861" s="2"/>
      <c r="N861" s="4"/>
      <c r="O861" s="4"/>
      <c r="P861" s="4"/>
      <c r="Q861" s="4"/>
      <c r="R861" s="5"/>
      <c r="S861" s="5"/>
      <c r="T861" s="4"/>
      <c r="U861" s="4"/>
      <c r="V861" s="4"/>
    </row>
    <row r="862">
      <c r="A862" s="4"/>
      <c r="B862" s="4"/>
      <c r="C862" s="5"/>
      <c r="D862" s="5"/>
      <c r="E862" s="4"/>
      <c r="F862" s="2"/>
      <c r="G862" s="2"/>
      <c r="H862" s="5"/>
      <c r="I862" s="5"/>
      <c r="J862" s="2"/>
      <c r="K862" s="2"/>
      <c r="L862" s="2"/>
      <c r="M862" s="2"/>
      <c r="N862" s="4"/>
      <c r="O862" s="4"/>
      <c r="P862" s="4"/>
      <c r="Q862" s="4"/>
      <c r="R862" s="5"/>
      <c r="S862" s="5"/>
      <c r="T862" s="4"/>
      <c r="U862" s="4"/>
      <c r="V862" s="4"/>
    </row>
    <row r="863">
      <c r="A863" s="4"/>
      <c r="B863" s="4"/>
      <c r="C863" s="5"/>
      <c r="D863" s="5"/>
      <c r="E863" s="4"/>
      <c r="F863" s="2"/>
      <c r="G863" s="2"/>
      <c r="H863" s="5"/>
      <c r="I863" s="5"/>
      <c r="J863" s="2"/>
      <c r="K863" s="2"/>
      <c r="L863" s="2"/>
      <c r="M863" s="2"/>
      <c r="N863" s="4"/>
      <c r="O863" s="4"/>
      <c r="P863" s="4"/>
      <c r="Q863" s="4"/>
      <c r="R863" s="5"/>
      <c r="S863" s="5"/>
      <c r="T863" s="4"/>
      <c r="U863" s="4"/>
      <c r="V863" s="4"/>
    </row>
    <row r="864">
      <c r="A864" s="4"/>
      <c r="B864" s="4"/>
      <c r="C864" s="5"/>
      <c r="D864" s="5"/>
      <c r="E864" s="4"/>
      <c r="F864" s="2"/>
      <c r="G864" s="2"/>
      <c r="H864" s="5"/>
      <c r="I864" s="5"/>
      <c r="J864" s="2"/>
      <c r="K864" s="2"/>
      <c r="L864" s="2"/>
      <c r="M864" s="2"/>
      <c r="N864" s="4"/>
      <c r="O864" s="4"/>
      <c r="P864" s="4"/>
      <c r="Q864" s="4"/>
      <c r="R864" s="5"/>
      <c r="S864" s="5"/>
      <c r="T864" s="4"/>
      <c r="U864" s="4"/>
      <c r="V864" s="4"/>
    </row>
    <row r="865">
      <c r="A865" s="4"/>
      <c r="B865" s="4"/>
      <c r="C865" s="5"/>
      <c r="D865" s="5"/>
      <c r="E865" s="4"/>
      <c r="F865" s="2"/>
      <c r="G865" s="2"/>
      <c r="H865" s="5"/>
      <c r="I865" s="5"/>
      <c r="J865" s="2"/>
      <c r="K865" s="2"/>
      <c r="L865" s="2"/>
      <c r="M865" s="2"/>
      <c r="N865" s="4"/>
      <c r="O865" s="4"/>
      <c r="P865" s="4"/>
      <c r="Q865" s="4"/>
      <c r="R865" s="5"/>
      <c r="S865" s="5"/>
      <c r="T865" s="4"/>
      <c r="U865" s="4"/>
      <c r="V865" s="4"/>
    </row>
    <row r="866">
      <c r="A866" s="4"/>
      <c r="B866" s="4"/>
      <c r="C866" s="5"/>
      <c r="D866" s="5"/>
      <c r="E866" s="4"/>
      <c r="F866" s="2"/>
      <c r="G866" s="2"/>
      <c r="H866" s="5"/>
      <c r="I866" s="5"/>
      <c r="J866" s="2"/>
      <c r="K866" s="2"/>
      <c r="L866" s="2"/>
      <c r="M866" s="2"/>
      <c r="N866" s="4"/>
      <c r="O866" s="4"/>
      <c r="P866" s="4"/>
      <c r="Q866" s="4"/>
      <c r="R866" s="5"/>
      <c r="S866" s="5"/>
      <c r="T866" s="4"/>
      <c r="U866" s="4"/>
      <c r="V866" s="4"/>
    </row>
    <row r="867">
      <c r="A867" s="4"/>
      <c r="B867" s="4"/>
      <c r="C867" s="5"/>
      <c r="D867" s="5"/>
      <c r="E867" s="4"/>
      <c r="F867" s="2"/>
      <c r="G867" s="2"/>
      <c r="H867" s="5"/>
      <c r="I867" s="5"/>
      <c r="J867" s="2"/>
      <c r="K867" s="2"/>
      <c r="L867" s="2"/>
      <c r="M867" s="2"/>
      <c r="N867" s="4"/>
      <c r="O867" s="4"/>
      <c r="P867" s="4"/>
      <c r="Q867" s="4"/>
      <c r="R867" s="5"/>
      <c r="S867" s="5"/>
      <c r="T867" s="4"/>
      <c r="U867" s="4"/>
      <c r="V867" s="4"/>
    </row>
    <row r="868">
      <c r="A868" s="4"/>
      <c r="B868" s="4"/>
      <c r="C868" s="5"/>
      <c r="D868" s="5"/>
      <c r="E868" s="4"/>
      <c r="F868" s="2"/>
      <c r="G868" s="2"/>
      <c r="H868" s="5"/>
      <c r="I868" s="5"/>
      <c r="J868" s="2"/>
      <c r="K868" s="2"/>
      <c r="L868" s="2"/>
      <c r="M868" s="2"/>
      <c r="N868" s="4"/>
      <c r="O868" s="4"/>
      <c r="P868" s="4"/>
      <c r="Q868" s="4"/>
      <c r="R868" s="5"/>
      <c r="S868" s="5"/>
      <c r="T868" s="4"/>
      <c r="U868" s="4"/>
      <c r="V868" s="4"/>
    </row>
    <row r="869">
      <c r="A869" s="4"/>
      <c r="B869" s="4"/>
      <c r="C869" s="5"/>
      <c r="D869" s="5"/>
      <c r="E869" s="4"/>
      <c r="F869" s="2"/>
      <c r="G869" s="2"/>
      <c r="H869" s="5"/>
      <c r="I869" s="5"/>
      <c r="J869" s="2"/>
      <c r="K869" s="2"/>
      <c r="L869" s="2"/>
      <c r="M869" s="2"/>
      <c r="N869" s="4"/>
      <c r="O869" s="4"/>
      <c r="P869" s="4"/>
      <c r="Q869" s="4"/>
      <c r="R869" s="5"/>
      <c r="S869" s="5"/>
      <c r="T869" s="4"/>
      <c r="U869" s="4"/>
      <c r="V869" s="4"/>
    </row>
    <row r="870">
      <c r="A870" s="4"/>
      <c r="B870" s="4"/>
      <c r="C870" s="5"/>
      <c r="D870" s="5"/>
      <c r="E870" s="4"/>
      <c r="F870" s="2"/>
      <c r="G870" s="2"/>
      <c r="H870" s="5"/>
      <c r="I870" s="5"/>
      <c r="J870" s="2"/>
      <c r="K870" s="2"/>
      <c r="L870" s="2"/>
      <c r="M870" s="2"/>
      <c r="N870" s="4"/>
      <c r="O870" s="4"/>
      <c r="P870" s="4"/>
      <c r="Q870" s="4"/>
      <c r="R870" s="5"/>
      <c r="S870" s="5"/>
      <c r="T870" s="4"/>
      <c r="U870" s="4"/>
      <c r="V870" s="4"/>
    </row>
    <row r="871">
      <c r="A871" s="4"/>
      <c r="B871" s="4"/>
      <c r="C871" s="5"/>
      <c r="D871" s="5"/>
      <c r="E871" s="4"/>
      <c r="F871" s="2"/>
      <c r="G871" s="2"/>
      <c r="H871" s="5"/>
      <c r="I871" s="5"/>
      <c r="J871" s="2"/>
      <c r="K871" s="2"/>
      <c r="L871" s="2"/>
      <c r="M871" s="2"/>
      <c r="N871" s="4"/>
      <c r="O871" s="4"/>
      <c r="P871" s="4"/>
      <c r="Q871" s="4"/>
      <c r="R871" s="5"/>
      <c r="S871" s="5"/>
      <c r="T871" s="4"/>
      <c r="U871" s="4"/>
      <c r="V871" s="4"/>
    </row>
    <row r="872">
      <c r="A872" s="4"/>
      <c r="B872" s="4"/>
      <c r="C872" s="5"/>
      <c r="D872" s="5"/>
      <c r="E872" s="4"/>
      <c r="F872" s="2"/>
      <c r="G872" s="2"/>
      <c r="H872" s="5"/>
      <c r="I872" s="5"/>
      <c r="J872" s="2"/>
      <c r="K872" s="2"/>
      <c r="L872" s="2"/>
      <c r="M872" s="2"/>
      <c r="N872" s="4"/>
      <c r="O872" s="4"/>
      <c r="P872" s="4"/>
      <c r="Q872" s="4"/>
      <c r="R872" s="5"/>
      <c r="S872" s="5"/>
      <c r="T872" s="4"/>
      <c r="U872" s="4"/>
      <c r="V872" s="4"/>
    </row>
    <row r="873">
      <c r="A873" s="4"/>
      <c r="B873" s="4"/>
      <c r="C873" s="5"/>
      <c r="D873" s="5"/>
      <c r="E873" s="4"/>
      <c r="F873" s="2"/>
      <c r="G873" s="2"/>
      <c r="H873" s="5"/>
      <c r="I873" s="5"/>
      <c r="J873" s="2"/>
      <c r="K873" s="2"/>
      <c r="L873" s="2"/>
      <c r="M873" s="2"/>
      <c r="N873" s="4"/>
      <c r="O873" s="4"/>
      <c r="P873" s="4"/>
      <c r="Q873" s="4"/>
      <c r="R873" s="5"/>
      <c r="S873" s="5"/>
      <c r="T873" s="4"/>
      <c r="U873" s="4"/>
      <c r="V873" s="4"/>
    </row>
    <row r="874">
      <c r="A874" s="4"/>
      <c r="B874" s="4"/>
      <c r="C874" s="5"/>
      <c r="D874" s="5"/>
      <c r="E874" s="4"/>
      <c r="F874" s="2"/>
      <c r="G874" s="2"/>
      <c r="H874" s="5"/>
      <c r="I874" s="5"/>
      <c r="J874" s="2"/>
      <c r="K874" s="2"/>
      <c r="L874" s="2"/>
      <c r="M874" s="2"/>
      <c r="N874" s="4"/>
      <c r="O874" s="4"/>
      <c r="P874" s="4"/>
      <c r="Q874" s="4"/>
      <c r="R874" s="5"/>
      <c r="S874" s="5"/>
      <c r="T874" s="4"/>
      <c r="U874" s="4"/>
      <c r="V874" s="4"/>
    </row>
    <row r="875">
      <c r="A875" s="4"/>
      <c r="B875" s="4"/>
      <c r="C875" s="5"/>
      <c r="D875" s="5"/>
      <c r="E875" s="4"/>
      <c r="F875" s="2"/>
      <c r="G875" s="2"/>
      <c r="H875" s="5"/>
      <c r="I875" s="5"/>
      <c r="J875" s="2"/>
      <c r="K875" s="2"/>
      <c r="L875" s="2"/>
      <c r="M875" s="2"/>
      <c r="N875" s="4"/>
      <c r="O875" s="4"/>
      <c r="P875" s="4"/>
      <c r="Q875" s="4"/>
      <c r="R875" s="5"/>
      <c r="S875" s="5"/>
      <c r="T875" s="4"/>
      <c r="U875" s="4"/>
      <c r="V875" s="4"/>
    </row>
    <row r="876">
      <c r="A876" s="4"/>
      <c r="B876" s="4"/>
      <c r="C876" s="5"/>
      <c r="D876" s="5"/>
      <c r="E876" s="4"/>
      <c r="F876" s="2"/>
      <c r="G876" s="2"/>
      <c r="H876" s="5"/>
      <c r="I876" s="5"/>
      <c r="J876" s="2"/>
      <c r="K876" s="2"/>
      <c r="L876" s="2"/>
      <c r="M876" s="2"/>
      <c r="N876" s="4"/>
      <c r="O876" s="4"/>
      <c r="P876" s="4"/>
      <c r="Q876" s="4"/>
      <c r="R876" s="5"/>
      <c r="S876" s="5"/>
      <c r="T876" s="4"/>
      <c r="U876" s="4"/>
      <c r="V876" s="4"/>
    </row>
    <row r="877">
      <c r="A877" s="4"/>
      <c r="B877" s="4"/>
      <c r="C877" s="5"/>
      <c r="D877" s="5"/>
      <c r="E877" s="4"/>
      <c r="F877" s="2"/>
      <c r="G877" s="2"/>
      <c r="H877" s="5"/>
      <c r="I877" s="5"/>
      <c r="J877" s="2"/>
      <c r="K877" s="2"/>
      <c r="L877" s="2"/>
      <c r="M877" s="2"/>
      <c r="N877" s="4"/>
      <c r="O877" s="4"/>
      <c r="P877" s="4"/>
      <c r="Q877" s="4"/>
      <c r="R877" s="5"/>
      <c r="S877" s="5"/>
      <c r="T877" s="4"/>
      <c r="U877" s="4"/>
      <c r="V877" s="4"/>
    </row>
    <row r="878">
      <c r="A878" s="4"/>
      <c r="B878" s="4"/>
      <c r="C878" s="5"/>
      <c r="D878" s="5"/>
      <c r="E878" s="4"/>
      <c r="F878" s="2"/>
      <c r="G878" s="2"/>
      <c r="H878" s="5"/>
      <c r="I878" s="5"/>
      <c r="J878" s="2"/>
      <c r="K878" s="2"/>
      <c r="L878" s="2"/>
      <c r="M878" s="2"/>
      <c r="N878" s="4"/>
      <c r="O878" s="4"/>
      <c r="P878" s="4"/>
      <c r="Q878" s="4"/>
      <c r="R878" s="5"/>
      <c r="S878" s="5"/>
      <c r="T878" s="4"/>
      <c r="U878" s="4"/>
      <c r="V878" s="4"/>
    </row>
    <row r="879">
      <c r="A879" s="4"/>
      <c r="B879" s="4"/>
      <c r="C879" s="5"/>
      <c r="D879" s="5"/>
      <c r="E879" s="4"/>
      <c r="F879" s="2"/>
      <c r="G879" s="2"/>
      <c r="H879" s="5"/>
      <c r="I879" s="5"/>
      <c r="J879" s="2"/>
      <c r="K879" s="2"/>
      <c r="L879" s="2"/>
      <c r="M879" s="2"/>
      <c r="N879" s="4"/>
      <c r="O879" s="4"/>
      <c r="P879" s="4"/>
      <c r="Q879" s="4"/>
      <c r="R879" s="5"/>
      <c r="S879" s="5"/>
      <c r="T879" s="4"/>
      <c r="U879" s="4"/>
      <c r="V879" s="4"/>
    </row>
    <row r="880">
      <c r="A880" s="4"/>
      <c r="B880" s="4"/>
      <c r="C880" s="5"/>
      <c r="D880" s="5"/>
      <c r="E880" s="4"/>
      <c r="F880" s="2"/>
      <c r="G880" s="2"/>
      <c r="H880" s="5"/>
      <c r="I880" s="5"/>
      <c r="J880" s="2"/>
      <c r="K880" s="2"/>
      <c r="L880" s="2"/>
      <c r="M880" s="2"/>
      <c r="N880" s="4"/>
      <c r="O880" s="4"/>
      <c r="P880" s="4"/>
      <c r="Q880" s="4"/>
      <c r="R880" s="5"/>
      <c r="S880" s="5"/>
      <c r="T880" s="4"/>
      <c r="U880" s="4"/>
      <c r="V880" s="4"/>
    </row>
    <row r="881">
      <c r="A881" s="4"/>
      <c r="B881" s="4"/>
      <c r="C881" s="5"/>
      <c r="D881" s="5"/>
      <c r="E881" s="4"/>
      <c r="F881" s="2"/>
      <c r="G881" s="2"/>
      <c r="H881" s="5"/>
      <c r="I881" s="5"/>
      <c r="J881" s="2"/>
      <c r="K881" s="2"/>
      <c r="L881" s="2"/>
      <c r="M881" s="2"/>
      <c r="N881" s="4"/>
      <c r="O881" s="4"/>
      <c r="P881" s="4"/>
      <c r="Q881" s="4"/>
      <c r="R881" s="5"/>
      <c r="S881" s="5"/>
      <c r="T881" s="4"/>
      <c r="U881" s="4"/>
      <c r="V881" s="4"/>
    </row>
    <row r="882">
      <c r="A882" s="4"/>
      <c r="B882" s="4"/>
      <c r="C882" s="5"/>
      <c r="D882" s="5"/>
      <c r="E882" s="4"/>
      <c r="F882" s="2"/>
      <c r="G882" s="2"/>
      <c r="H882" s="5"/>
      <c r="I882" s="5"/>
      <c r="J882" s="2"/>
      <c r="K882" s="2"/>
      <c r="L882" s="2"/>
      <c r="M882" s="2"/>
      <c r="N882" s="4"/>
      <c r="O882" s="4"/>
      <c r="P882" s="4"/>
      <c r="Q882" s="4"/>
      <c r="R882" s="5"/>
      <c r="S882" s="5"/>
      <c r="T882" s="4"/>
      <c r="U882" s="4"/>
      <c r="V882" s="4"/>
    </row>
    <row r="883">
      <c r="A883" s="4"/>
      <c r="B883" s="4"/>
      <c r="C883" s="5"/>
      <c r="D883" s="5"/>
      <c r="E883" s="4"/>
      <c r="F883" s="2"/>
      <c r="G883" s="2"/>
      <c r="H883" s="5"/>
      <c r="I883" s="5"/>
      <c r="J883" s="2"/>
      <c r="K883" s="2"/>
      <c r="L883" s="2"/>
      <c r="M883" s="2"/>
      <c r="N883" s="4"/>
      <c r="O883" s="4"/>
      <c r="P883" s="4"/>
      <c r="Q883" s="4"/>
      <c r="R883" s="5"/>
      <c r="S883" s="5"/>
      <c r="T883" s="4"/>
      <c r="U883" s="4"/>
      <c r="V883" s="4"/>
    </row>
    <row r="884">
      <c r="A884" s="4"/>
      <c r="B884" s="4"/>
      <c r="C884" s="5"/>
      <c r="D884" s="5"/>
      <c r="E884" s="4"/>
      <c r="F884" s="2"/>
      <c r="G884" s="2"/>
      <c r="H884" s="5"/>
      <c r="I884" s="5"/>
      <c r="J884" s="2"/>
      <c r="K884" s="2"/>
      <c r="L884" s="2"/>
      <c r="M884" s="2"/>
      <c r="N884" s="4"/>
      <c r="O884" s="4"/>
      <c r="P884" s="4"/>
      <c r="Q884" s="4"/>
      <c r="R884" s="5"/>
      <c r="S884" s="5"/>
      <c r="T884" s="4"/>
      <c r="U884" s="4"/>
      <c r="V884" s="4"/>
    </row>
    <row r="885">
      <c r="A885" s="4"/>
      <c r="B885" s="4"/>
      <c r="C885" s="5"/>
      <c r="D885" s="5"/>
      <c r="E885" s="4"/>
      <c r="F885" s="2"/>
      <c r="G885" s="2"/>
      <c r="H885" s="5"/>
      <c r="I885" s="5"/>
      <c r="J885" s="2"/>
      <c r="K885" s="2"/>
      <c r="L885" s="2"/>
      <c r="M885" s="2"/>
      <c r="N885" s="4"/>
      <c r="O885" s="4"/>
      <c r="P885" s="4"/>
      <c r="Q885" s="4"/>
      <c r="R885" s="5"/>
      <c r="S885" s="5"/>
      <c r="T885" s="4"/>
      <c r="U885" s="4"/>
      <c r="V885" s="4"/>
    </row>
    <row r="886">
      <c r="A886" s="4"/>
      <c r="B886" s="4"/>
      <c r="C886" s="5"/>
      <c r="D886" s="5"/>
      <c r="E886" s="4"/>
      <c r="F886" s="2"/>
      <c r="G886" s="2"/>
      <c r="H886" s="5"/>
      <c r="I886" s="5"/>
      <c r="J886" s="2"/>
      <c r="K886" s="2"/>
      <c r="L886" s="2"/>
      <c r="M886" s="2"/>
      <c r="N886" s="4"/>
      <c r="O886" s="4"/>
      <c r="P886" s="4"/>
      <c r="Q886" s="4"/>
      <c r="R886" s="5"/>
      <c r="S886" s="5"/>
      <c r="T886" s="4"/>
      <c r="U886" s="4"/>
      <c r="V886" s="4"/>
    </row>
    <row r="887">
      <c r="A887" s="4"/>
      <c r="B887" s="4"/>
      <c r="C887" s="5"/>
      <c r="D887" s="5"/>
      <c r="E887" s="4"/>
      <c r="F887" s="2"/>
      <c r="G887" s="2"/>
      <c r="H887" s="5"/>
      <c r="I887" s="5"/>
      <c r="J887" s="2"/>
      <c r="K887" s="2"/>
      <c r="L887" s="2"/>
      <c r="M887" s="2"/>
      <c r="N887" s="4"/>
      <c r="O887" s="4"/>
      <c r="P887" s="4"/>
      <c r="Q887" s="4"/>
      <c r="R887" s="5"/>
      <c r="S887" s="5"/>
      <c r="T887" s="4"/>
      <c r="U887" s="4"/>
      <c r="V887" s="4"/>
    </row>
    <row r="888">
      <c r="A888" s="4"/>
      <c r="B888" s="4"/>
      <c r="C888" s="5"/>
      <c r="D888" s="5"/>
      <c r="E888" s="4"/>
      <c r="F888" s="2"/>
      <c r="G888" s="2"/>
      <c r="H888" s="5"/>
      <c r="I888" s="5"/>
      <c r="J888" s="2"/>
      <c r="K888" s="2"/>
      <c r="L888" s="2"/>
      <c r="M888" s="2"/>
      <c r="N888" s="4"/>
      <c r="O888" s="4"/>
      <c r="P888" s="4"/>
      <c r="Q888" s="4"/>
      <c r="R888" s="5"/>
      <c r="S888" s="5"/>
      <c r="T888" s="4"/>
      <c r="U888" s="4"/>
      <c r="V888" s="4"/>
    </row>
    <row r="889">
      <c r="A889" s="4"/>
      <c r="B889" s="4"/>
      <c r="C889" s="5"/>
      <c r="D889" s="5"/>
      <c r="E889" s="4"/>
      <c r="F889" s="2"/>
      <c r="G889" s="2"/>
      <c r="H889" s="5"/>
      <c r="I889" s="5"/>
      <c r="J889" s="2"/>
      <c r="K889" s="2"/>
      <c r="L889" s="2"/>
      <c r="M889" s="2"/>
      <c r="N889" s="4"/>
      <c r="O889" s="4"/>
      <c r="P889" s="4"/>
      <c r="Q889" s="4"/>
      <c r="R889" s="5"/>
      <c r="S889" s="5"/>
      <c r="T889" s="4"/>
      <c r="U889" s="4"/>
      <c r="V889" s="4"/>
    </row>
    <row r="890">
      <c r="A890" s="4"/>
      <c r="B890" s="4"/>
      <c r="C890" s="5"/>
      <c r="D890" s="5"/>
      <c r="E890" s="4"/>
      <c r="F890" s="2"/>
      <c r="G890" s="2"/>
      <c r="H890" s="5"/>
      <c r="I890" s="5"/>
      <c r="J890" s="2"/>
      <c r="K890" s="2"/>
      <c r="L890" s="2"/>
      <c r="M890" s="2"/>
      <c r="N890" s="4"/>
      <c r="O890" s="4"/>
      <c r="P890" s="4"/>
      <c r="Q890" s="4"/>
      <c r="R890" s="5"/>
      <c r="S890" s="5"/>
      <c r="T890" s="4"/>
      <c r="U890" s="4"/>
      <c r="V890" s="4"/>
    </row>
    <row r="891">
      <c r="A891" s="4"/>
      <c r="B891" s="4"/>
      <c r="C891" s="5"/>
      <c r="D891" s="5"/>
      <c r="E891" s="4"/>
      <c r="F891" s="2"/>
      <c r="G891" s="2"/>
      <c r="H891" s="5"/>
      <c r="I891" s="5"/>
      <c r="J891" s="2"/>
      <c r="K891" s="2"/>
      <c r="L891" s="2"/>
      <c r="M891" s="2"/>
      <c r="N891" s="4"/>
      <c r="O891" s="4"/>
      <c r="P891" s="4"/>
      <c r="Q891" s="4"/>
      <c r="R891" s="5"/>
      <c r="S891" s="5"/>
      <c r="T891" s="4"/>
      <c r="U891" s="4"/>
      <c r="V891" s="4"/>
    </row>
    <row r="892">
      <c r="A892" s="4"/>
      <c r="B892" s="4"/>
      <c r="C892" s="5"/>
      <c r="D892" s="5"/>
      <c r="E892" s="4"/>
      <c r="F892" s="2"/>
      <c r="G892" s="2"/>
      <c r="H892" s="5"/>
      <c r="I892" s="5"/>
      <c r="J892" s="2"/>
      <c r="K892" s="2"/>
      <c r="L892" s="2"/>
      <c r="M892" s="2"/>
      <c r="N892" s="4"/>
      <c r="O892" s="4"/>
      <c r="P892" s="4"/>
      <c r="Q892" s="4"/>
      <c r="R892" s="5"/>
      <c r="S892" s="5"/>
      <c r="T892" s="4"/>
      <c r="U892" s="4"/>
      <c r="V892" s="4"/>
    </row>
    <row r="893">
      <c r="A893" s="4"/>
      <c r="B893" s="4"/>
      <c r="C893" s="5"/>
      <c r="D893" s="5"/>
      <c r="E893" s="4"/>
      <c r="F893" s="2"/>
      <c r="G893" s="2"/>
      <c r="H893" s="5"/>
      <c r="I893" s="5"/>
      <c r="J893" s="2"/>
      <c r="K893" s="2"/>
      <c r="L893" s="2"/>
      <c r="M893" s="2"/>
      <c r="N893" s="4"/>
      <c r="O893" s="4"/>
      <c r="P893" s="4"/>
      <c r="Q893" s="4"/>
      <c r="R893" s="5"/>
      <c r="S893" s="5"/>
      <c r="T893" s="4"/>
      <c r="U893" s="4"/>
      <c r="V893" s="4"/>
    </row>
    <row r="894">
      <c r="A894" s="4"/>
      <c r="B894" s="4"/>
      <c r="C894" s="5"/>
      <c r="D894" s="5"/>
      <c r="E894" s="4"/>
      <c r="F894" s="2"/>
      <c r="G894" s="2"/>
      <c r="H894" s="5"/>
      <c r="I894" s="5"/>
      <c r="J894" s="2"/>
      <c r="K894" s="2"/>
      <c r="L894" s="2"/>
      <c r="M894" s="2"/>
      <c r="N894" s="4"/>
      <c r="O894" s="4"/>
      <c r="P894" s="4"/>
      <c r="Q894" s="4"/>
      <c r="R894" s="5"/>
      <c r="S894" s="5"/>
      <c r="T894" s="4"/>
      <c r="U894" s="4"/>
      <c r="V894" s="4"/>
    </row>
    <row r="895">
      <c r="A895" s="4"/>
      <c r="B895" s="4"/>
      <c r="C895" s="5"/>
      <c r="D895" s="5"/>
      <c r="E895" s="4"/>
      <c r="F895" s="2"/>
      <c r="G895" s="2"/>
      <c r="H895" s="5"/>
      <c r="I895" s="5"/>
      <c r="J895" s="2"/>
      <c r="K895" s="2"/>
      <c r="L895" s="2"/>
      <c r="M895" s="2"/>
      <c r="N895" s="4"/>
      <c r="O895" s="4"/>
      <c r="P895" s="4"/>
      <c r="Q895" s="4"/>
      <c r="R895" s="5"/>
      <c r="S895" s="5"/>
      <c r="T895" s="4"/>
      <c r="U895" s="4"/>
      <c r="V895" s="4"/>
    </row>
    <row r="896">
      <c r="A896" s="4"/>
      <c r="B896" s="4"/>
      <c r="C896" s="5"/>
      <c r="D896" s="5"/>
      <c r="E896" s="4"/>
      <c r="F896" s="2"/>
      <c r="G896" s="2"/>
      <c r="H896" s="5"/>
      <c r="I896" s="5"/>
      <c r="J896" s="2"/>
      <c r="K896" s="2"/>
      <c r="L896" s="2"/>
      <c r="M896" s="2"/>
      <c r="N896" s="4"/>
      <c r="O896" s="4"/>
      <c r="P896" s="4"/>
      <c r="Q896" s="4"/>
      <c r="R896" s="5"/>
      <c r="S896" s="5"/>
      <c r="T896" s="4"/>
      <c r="U896" s="4"/>
      <c r="V896" s="4"/>
    </row>
    <row r="897">
      <c r="A897" s="4"/>
      <c r="B897" s="4"/>
      <c r="C897" s="5"/>
      <c r="D897" s="5"/>
      <c r="E897" s="4"/>
      <c r="F897" s="2"/>
      <c r="G897" s="2"/>
      <c r="H897" s="5"/>
      <c r="I897" s="5"/>
      <c r="J897" s="2"/>
      <c r="K897" s="2"/>
      <c r="L897" s="2"/>
      <c r="M897" s="2"/>
      <c r="N897" s="4"/>
      <c r="O897" s="4"/>
      <c r="P897" s="4"/>
      <c r="Q897" s="4"/>
      <c r="R897" s="5"/>
      <c r="S897" s="5"/>
      <c r="T897" s="4"/>
      <c r="U897" s="4"/>
      <c r="V897" s="4"/>
    </row>
    <row r="898">
      <c r="A898" s="4"/>
      <c r="B898" s="4"/>
      <c r="C898" s="5"/>
      <c r="D898" s="5"/>
      <c r="E898" s="4"/>
      <c r="F898" s="2"/>
      <c r="G898" s="2"/>
      <c r="H898" s="5"/>
      <c r="I898" s="5"/>
      <c r="J898" s="2"/>
      <c r="K898" s="2"/>
      <c r="L898" s="2"/>
      <c r="M898" s="2"/>
      <c r="N898" s="4"/>
      <c r="O898" s="4"/>
      <c r="P898" s="4"/>
      <c r="Q898" s="4"/>
      <c r="R898" s="5"/>
      <c r="S898" s="5"/>
      <c r="T898" s="4"/>
      <c r="U898" s="4"/>
      <c r="V898" s="4"/>
    </row>
    <row r="899">
      <c r="A899" s="4"/>
      <c r="B899" s="4"/>
      <c r="C899" s="5"/>
      <c r="D899" s="5"/>
      <c r="E899" s="4"/>
      <c r="F899" s="2"/>
      <c r="G899" s="2"/>
      <c r="H899" s="5"/>
      <c r="I899" s="5"/>
      <c r="J899" s="2"/>
      <c r="K899" s="2"/>
      <c r="L899" s="2"/>
      <c r="M899" s="2"/>
      <c r="N899" s="4"/>
      <c r="O899" s="4"/>
      <c r="P899" s="4"/>
      <c r="Q899" s="4"/>
      <c r="R899" s="5"/>
      <c r="S899" s="5"/>
      <c r="T899" s="4"/>
      <c r="U899" s="4"/>
      <c r="V899" s="4"/>
    </row>
    <row r="900">
      <c r="A900" s="4"/>
      <c r="B900" s="4"/>
      <c r="C900" s="5"/>
      <c r="D900" s="5"/>
      <c r="E900" s="4"/>
      <c r="F900" s="2"/>
      <c r="G900" s="2"/>
      <c r="H900" s="5"/>
      <c r="I900" s="5"/>
      <c r="J900" s="2"/>
      <c r="K900" s="2"/>
      <c r="L900" s="2"/>
      <c r="M900" s="2"/>
      <c r="N900" s="4"/>
      <c r="O900" s="4"/>
      <c r="P900" s="4"/>
      <c r="Q900" s="4"/>
      <c r="R900" s="5"/>
      <c r="S900" s="5"/>
      <c r="T900" s="4"/>
      <c r="U900" s="4"/>
      <c r="V900" s="4"/>
    </row>
    <row r="901">
      <c r="A901" s="4"/>
      <c r="B901" s="4"/>
      <c r="C901" s="5"/>
      <c r="D901" s="5"/>
      <c r="E901" s="4"/>
      <c r="F901" s="2"/>
      <c r="G901" s="2"/>
      <c r="H901" s="5"/>
      <c r="I901" s="5"/>
      <c r="J901" s="2"/>
      <c r="K901" s="2"/>
      <c r="L901" s="2"/>
      <c r="M901" s="2"/>
      <c r="N901" s="4"/>
      <c r="O901" s="4"/>
      <c r="P901" s="4"/>
      <c r="Q901" s="4"/>
      <c r="R901" s="5"/>
      <c r="S901" s="5"/>
      <c r="T901" s="4"/>
      <c r="U901" s="4"/>
      <c r="V901" s="4"/>
    </row>
    <row r="902">
      <c r="A902" s="4"/>
      <c r="B902" s="4"/>
      <c r="C902" s="5"/>
      <c r="D902" s="5"/>
      <c r="E902" s="4"/>
      <c r="F902" s="2"/>
      <c r="G902" s="2"/>
      <c r="H902" s="5"/>
      <c r="I902" s="5"/>
      <c r="J902" s="2"/>
      <c r="K902" s="2"/>
      <c r="L902" s="2"/>
      <c r="M902" s="2"/>
      <c r="N902" s="4"/>
      <c r="O902" s="4"/>
      <c r="P902" s="4"/>
      <c r="Q902" s="4"/>
      <c r="R902" s="5"/>
      <c r="S902" s="5"/>
      <c r="T902" s="4"/>
      <c r="U902" s="4"/>
      <c r="V902" s="4"/>
    </row>
    <row r="903">
      <c r="A903" s="4"/>
      <c r="B903" s="4"/>
      <c r="C903" s="5"/>
      <c r="D903" s="5"/>
      <c r="E903" s="4"/>
      <c r="F903" s="2"/>
      <c r="G903" s="2"/>
      <c r="H903" s="5"/>
      <c r="I903" s="5"/>
      <c r="J903" s="2"/>
      <c r="K903" s="2"/>
      <c r="L903" s="2"/>
      <c r="M903" s="2"/>
      <c r="N903" s="4"/>
      <c r="O903" s="4"/>
      <c r="P903" s="4"/>
      <c r="Q903" s="4"/>
      <c r="R903" s="5"/>
      <c r="S903" s="5"/>
      <c r="T903" s="4"/>
      <c r="U903" s="4"/>
      <c r="V903" s="4"/>
    </row>
    <row r="904">
      <c r="A904" s="4"/>
      <c r="B904" s="4"/>
      <c r="C904" s="5"/>
      <c r="D904" s="5"/>
      <c r="E904" s="4"/>
      <c r="F904" s="2"/>
      <c r="G904" s="2"/>
      <c r="H904" s="5"/>
      <c r="I904" s="5"/>
      <c r="J904" s="2"/>
      <c r="K904" s="2"/>
      <c r="L904" s="2"/>
      <c r="M904" s="2"/>
      <c r="N904" s="4"/>
      <c r="O904" s="4"/>
      <c r="P904" s="4"/>
      <c r="Q904" s="4"/>
      <c r="R904" s="5"/>
      <c r="S904" s="5"/>
      <c r="T904" s="4"/>
      <c r="U904" s="4"/>
      <c r="V904" s="4"/>
    </row>
    <row r="905">
      <c r="A905" s="4"/>
      <c r="B905" s="4"/>
      <c r="C905" s="5"/>
      <c r="D905" s="5"/>
      <c r="E905" s="4"/>
      <c r="F905" s="2"/>
      <c r="G905" s="2"/>
      <c r="H905" s="5"/>
      <c r="I905" s="5"/>
      <c r="J905" s="2"/>
      <c r="K905" s="2"/>
      <c r="L905" s="2"/>
      <c r="M905" s="2"/>
      <c r="N905" s="4"/>
      <c r="O905" s="4"/>
      <c r="P905" s="4"/>
      <c r="Q905" s="4"/>
      <c r="R905" s="5"/>
      <c r="S905" s="5"/>
      <c r="T905" s="4"/>
      <c r="U905" s="4"/>
      <c r="V905" s="4"/>
    </row>
    <row r="906">
      <c r="A906" s="4"/>
      <c r="B906" s="4"/>
      <c r="C906" s="5"/>
      <c r="D906" s="5"/>
      <c r="E906" s="4"/>
      <c r="F906" s="2"/>
      <c r="G906" s="2"/>
      <c r="H906" s="5"/>
      <c r="I906" s="5"/>
      <c r="J906" s="2"/>
      <c r="K906" s="2"/>
      <c r="L906" s="2"/>
      <c r="M906" s="2"/>
      <c r="N906" s="4"/>
      <c r="O906" s="4"/>
      <c r="P906" s="4"/>
      <c r="Q906" s="4"/>
      <c r="R906" s="5"/>
      <c r="S906" s="5"/>
      <c r="T906" s="4"/>
      <c r="U906" s="4"/>
      <c r="V906" s="4"/>
    </row>
    <row r="907">
      <c r="A907" s="4"/>
      <c r="B907" s="4"/>
      <c r="C907" s="5"/>
      <c r="D907" s="5"/>
      <c r="E907" s="4"/>
      <c r="F907" s="2"/>
      <c r="G907" s="2"/>
      <c r="H907" s="5"/>
      <c r="I907" s="5"/>
      <c r="J907" s="2"/>
      <c r="K907" s="2"/>
      <c r="L907" s="2"/>
      <c r="M907" s="2"/>
      <c r="N907" s="4"/>
      <c r="O907" s="4"/>
      <c r="P907" s="4"/>
      <c r="Q907" s="4"/>
      <c r="R907" s="5"/>
      <c r="S907" s="5"/>
      <c r="T907" s="4"/>
      <c r="U907" s="4"/>
      <c r="V907" s="4"/>
    </row>
    <row r="908">
      <c r="A908" s="4"/>
      <c r="B908" s="4"/>
      <c r="C908" s="5"/>
      <c r="D908" s="5"/>
      <c r="E908" s="4"/>
      <c r="F908" s="2"/>
      <c r="G908" s="2"/>
      <c r="H908" s="5"/>
      <c r="I908" s="5"/>
      <c r="J908" s="2"/>
      <c r="K908" s="2"/>
      <c r="L908" s="2"/>
      <c r="M908" s="2"/>
      <c r="N908" s="4"/>
      <c r="O908" s="4"/>
      <c r="P908" s="4"/>
      <c r="Q908" s="4"/>
      <c r="R908" s="5"/>
      <c r="S908" s="5"/>
      <c r="T908" s="4"/>
      <c r="U908" s="4"/>
      <c r="V908" s="4"/>
    </row>
    <row r="909">
      <c r="A909" s="4"/>
      <c r="B909" s="4"/>
      <c r="C909" s="5"/>
      <c r="D909" s="5"/>
      <c r="E909" s="4"/>
      <c r="F909" s="2"/>
      <c r="G909" s="2"/>
      <c r="H909" s="5"/>
      <c r="I909" s="5"/>
      <c r="J909" s="2"/>
      <c r="K909" s="2"/>
      <c r="L909" s="2"/>
      <c r="M909" s="2"/>
      <c r="N909" s="4"/>
      <c r="O909" s="4"/>
      <c r="P909" s="4"/>
      <c r="Q909" s="4"/>
      <c r="R909" s="5"/>
      <c r="S909" s="5"/>
      <c r="T909" s="4"/>
      <c r="U909" s="4"/>
      <c r="V909" s="4"/>
    </row>
    <row r="910">
      <c r="A910" s="4"/>
      <c r="B910" s="4"/>
      <c r="C910" s="5"/>
      <c r="D910" s="5"/>
      <c r="E910" s="4"/>
      <c r="F910" s="2"/>
      <c r="G910" s="2"/>
      <c r="H910" s="5"/>
      <c r="I910" s="5"/>
      <c r="J910" s="2"/>
      <c r="K910" s="2"/>
      <c r="L910" s="2"/>
      <c r="M910" s="2"/>
      <c r="N910" s="4"/>
      <c r="O910" s="4"/>
      <c r="P910" s="4"/>
      <c r="Q910" s="4"/>
      <c r="R910" s="5"/>
      <c r="S910" s="5"/>
      <c r="T910" s="4"/>
      <c r="U910" s="4"/>
      <c r="V910" s="4"/>
    </row>
    <row r="911">
      <c r="A911" s="4"/>
      <c r="B911" s="4"/>
      <c r="C911" s="5"/>
      <c r="D911" s="5"/>
      <c r="E911" s="4"/>
      <c r="F911" s="2"/>
      <c r="G911" s="2"/>
      <c r="H911" s="5"/>
      <c r="I911" s="5"/>
      <c r="J911" s="2"/>
      <c r="K911" s="2"/>
      <c r="L911" s="2"/>
      <c r="M911" s="2"/>
      <c r="N911" s="4"/>
      <c r="O911" s="4"/>
      <c r="P911" s="4"/>
      <c r="Q911" s="4"/>
      <c r="R911" s="5"/>
      <c r="S911" s="5"/>
      <c r="T911" s="4"/>
      <c r="U911" s="4"/>
      <c r="V911" s="4"/>
    </row>
    <row r="912">
      <c r="A912" s="4"/>
      <c r="B912" s="4"/>
      <c r="C912" s="5"/>
      <c r="D912" s="5"/>
      <c r="E912" s="4"/>
      <c r="F912" s="2"/>
      <c r="G912" s="2"/>
      <c r="H912" s="5"/>
      <c r="I912" s="5"/>
      <c r="J912" s="2"/>
      <c r="K912" s="2"/>
      <c r="L912" s="2"/>
      <c r="M912" s="2"/>
      <c r="N912" s="4"/>
      <c r="O912" s="4"/>
      <c r="P912" s="4"/>
      <c r="Q912" s="4"/>
      <c r="R912" s="5"/>
      <c r="S912" s="5"/>
      <c r="T912" s="4"/>
      <c r="U912" s="4"/>
      <c r="V912" s="4"/>
    </row>
    <row r="913">
      <c r="A913" s="4"/>
      <c r="B913" s="4"/>
      <c r="C913" s="5"/>
      <c r="D913" s="5"/>
      <c r="E913" s="4"/>
      <c r="F913" s="2"/>
      <c r="G913" s="2"/>
      <c r="H913" s="5"/>
      <c r="I913" s="5"/>
      <c r="J913" s="2"/>
      <c r="K913" s="2"/>
      <c r="L913" s="2"/>
      <c r="M913" s="2"/>
      <c r="N913" s="4"/>
      <c r="O913" s="4"/>
      <c r="P913" s="4"/>
      <c r="Q913" s="4"/>
      <c r="R913" s="5"/>
      <c r="S913" s="5"/>
      <c r="T913" s="4"/>
      <c r="U913" s="4"/>
      <c r="V913" s="4"/>
    </row>
    <row r="914">
      <c r="A914" s="4"/>
      <c r="B914" s="4"/>
      <c r="C914" s="5"/>
      <c r="D914" s="5"/>
      <c r="E914" s="4"/>
      <c r="F914" s="2"/>
      <c r="G914" s="2"/>
      <c r="H914" s="5"/>
      <c r="I914" s="5"/>
      <c r="J914" s="2"/>
      <c r="K914" s="2"/>
      <c r="L914" s="2"/>
      <c r="M914" s="2"/>
      <c r="N914" s="4"/>
      <c r="O914" s="4"/>
      <c r="P914" s="4"/>
      <c r="Q914" s="4"/>
      <c r="R914" s="5"/>
      <c r="S914" s="5"/>
      <c r="T914" s="4"/>
      <c r="U914" s="4"/>
      <c r="V914" s="4"/>
    </row>
    <row r="915">
      <c r="A915" s="4"/>
      <c r="B915" s="4"/>
      <c r="C915" s="5"/>
      <c r="D915" s="5"/>
      <c r="E915" s="4"/>
      <c r="F915" s="2"/>
      <c r="G915" s="2"/>
      <c r="H915" s="5"/>
      <c r="I915" s="5"/>
      <c r="J915" s="2"/>
      <c r="K915" s="2"/>
      <c r="L915" s="2"/>
      <c r="M915" s="2"/>
      <c r="N915" s="4"/>
      <c r="O915" s="4"/>
      <c r="P915" s="4"/>
      <c r="Q915" s="4"/>
      <c r="R915" s="5"/>
      <c r="S915" s="5"/>
      <c r="T915" s="4"/>
      <c r="U915" s="4"/>
      <c r="V915" s="4"/>
    </row>
    <row r="916">
      <c r="A916" s="4"/>
      <c r="B916" s="4"/>
      <c r="C916" s="5"/>
      <c r="D916" s="5"/>
      <c r="E916" s="4"/>
      <c r="F916" s="2"/>
      <c r="G916" s="2"/>
      <c r="H916" s="5"/>
      <c r="I916" s="5"/>
      <c r="J916" s="2"/>
      <c r="K916" s="2"/>
      <c r="L916" s="2"/>
      <c r="M916" s="2"/>
      <c r="N916" s="4"/>
      <c r="O916" s="4"/>
      <c r="P916" s="4"/>
      <c r="Q916" s="4"/>
      <c r="R916" s="5"/>
      <c r="S916" s="5"/>
      <c r="T916" s="4"/>
      <c r="U916" s="4"/>
      <c r="V916" s="4"/>
    </row>
    <row r="917">
      <c r="A917" s="4"/>
      <c r="B917" s="4"/>
      <c r="C917" s="5"/>
      <c r="D917" s="5"/>
      <c r="E917" s="4"/>
      <c r="F917" s="2"/>
      <c r="G917" s="2"/>
      <c r="H917" s="5"/>
      <c r="I917" s="5"/>
      <c r="J917" s="2"/>
      <c r="K917" s="2"/>
      <c r="L917" s="2"/>
      <c r="M917" s="2"/>
      <c r="N917" s="4"/>
      <c r="O917" s="4"/>
      <c r="P917" s="4"/>
      <c r="Q917" s="4"/>
      <c r="R917" s="5"/>
      <c r="S917" s="5"/>
      <c r="T917" s="4"/>
      <c r="U917" s="4"/>
      <c r="V917" s="4"/>
    </row>
    <row r="918">
      <c r="A918" s="4"/>
      <c r="B918" s="4"/>
      <c r="C918" s="5"/>
      <c r="D918" s="5"/>
      <c r="E918" s="4"/>
      <c r="F918" s="2"/>
      <c r="G918" s="2"/>
      <c r="H918" s="5"/>
      <c r="I918" s="5"/>
      <c r="J918" s="2"/>
      <c r="K918" s="2"/>
      <c r="L918" s="2"/>
      <c r="M918" s="2"/>
      <c r="N918" s="4"/>
      <c r="O918" s="4"/>
      <c r="P918" s="4"/>
      <c r="Q918" s="4"/>
      <c r="R918" s="5"/>
      <c r="S918" s="5"/>
      <c r="T918" s="4"/>
      <c r="U918" s="4"/>
      <c r="V918" s="4"/>
    </row>
    <row r="919">
      <c r="A919" s="4"/>
      <c r="B919" s="4"/>
      <c r="C919" s="5"/>
      <c r="D919" s="5"/>
      <c r="E919" s="4"/>
      <c r="F919" s="2"/>
      <c r="G919" s="2"/>
      <c r="H919" s="5"/>
      <c r="I919" s="5"/>
      <c r="J919" s="2"/>
      <c r="K919" s="2"/>
      <c r="L919" s="2"/>
      <c r="M919" s="2"/>
      <c r="N919" s="4"/>
      <c r="O919" s="4"/>
      <c r="P919" s="4"/>
      <c r="Q919" s="4"/>
      <c r="R919" s="5"/>
      <c r="S919" s="5"/>
      <c r="T919" s="4"/>
      <c r="U919" s="4"/>
      <c r="V919" s="4"/>
    </row>
    <row r="920">
      <c r="A920" s="4"/>
      <c r="B920" s="4"/>
      <c r="C920" s="5"/>
      <c r="D920" s="5"/>
      <c r="E920" s="4"/>
      <c r="F920" s="2"/>
      <c r="G920" s="2"/>
      <c r="H920" s="5"/>
      <c r="I920" s="5"/>
      <c r="J920" s="2"/>
      <c r="K920" s="2"/>
      <c r="L920" s="2"/>
      <c r="M920" s="2"/>
      <c r="N920" s="4"/>
      <c r="O920" s="4"/>
      <c r="P920" s="4"/>
      <c r="Q920" s="4"/>
      <c r="R920" s="5"/>
      <c r="S920" s="5"/>
      <c r="T920" s="4"/>
      <c r="U920" s="4"/>
      <c r="V920" s="4"/>
    </row>
    <row r="921">
      <c r="A921" s="4"/>
      <c r="B921" s="4"/>
      <c r="C921" s="5"/>
      <c r="D921" s="5"/>
      <c r="E921" s="4"/>
      <c r="F921" s="2"/>
      <c r="G921" s="2"/>
      <c r="H921" s="5"/>
      <c r="I921" s="5"/>
      <c r="J921" s="2"/>
      <c r="K921" s="2"/>
      <c r="L921" s="2"/>
      <c r="M921" s="2"/>
      <c r="N921" s="4"/>
      <c r="O921" s="4"/>
      <c r="P921" s="4"/>
      <c r="Q921" s="4"/>
      <c r="R921" s="5"/>
      <c r="S921" s="5"/>
      <c r="T921" s="4"/>
      <c r="U921" s="4"/>
      <c r="V921" s="4"/>
    </row>
    <row r="922">
      <c r="A922" s="4"/>
      <c r="B922" s="4"/>
      <c r="C922" s="5"/>
      <c r="D922" s="5"/>
      <c r="E922" s="4"/>
      <c r="F922" s="2"/>
      <c r="G922" s="2"/>
      <c r="H922" s="5"/>
      <c r="I922" s="5"/>
      <c r="J922" s="2"/>
      <c r="K922" s="2"/>
      <c r="L922" s="2"/>
      <c r="M922" s="2"/>
      <c r="N922" s="4"/>
      <c r="O922" s="4"/>
      <c r="P922" s="4"/>
      <c r="Q922" s="4"/>
      <c r="R922" s="5"/>
      <c r="S922" s="5"/>
      <c r="T922" s="4"/>
      <c r="U922" s="4"/>
      <c r="V922" s="4"/>
    </row>
    <row r="923">
      <c r="A923" s="4"/>
      <c r="B923" s="4"/>
      <c r="C923" s="5"/>
      <c r="D923" s="5"/>
      <c r="E923" s="4"/>
      <c r="F923" s="2"/>
      <c r="G923" s="2"/>
      <c r="H923" s="5"/>
      <c r="I923" s="5"/>
      <c r="J923" s="2"/>
      <c r="K923" s="2"/>
      <c r="L923" s="2"/>
      <c r="M923" s="2"/>
      <c r="N923" s="4"/>
      <c r="O923" s="4"/>
      <c r="P923" s="4"/>
      <c r="Q923" s="4"/>
      <c r="R923" s="5"/>
      <c r="S923" s="5"/>
      <c r="T923" s="4"/>
      <c r="U923" s="4"/>
      <c r="V923" s="4"/>
    </row>
    <row r="924">
      <c r="A924" s="4"/>
      <c r="B924" s="4"/>
      <c r="C924" s="5"/>
      <c r="D924" s="5"/>
      <c r="E924" s="4"/>
      <c r="F924" s="2"/>
      <c r="G924" s="2"/>
      <c r="H924" s="5"/>
      <c r="I924" s="5"/>
      <c r="J924" s="2"/>
      <c r="K924" s="2"/>
      <c r="L924" s="2"/>
      <c r="M924" s="2"/>
      <c r="N924" s="4"/>
      <c r="O924" s="4"/>
      <c r="P924" s="4"/>
      <c r="Q924" s="4"/>
      <c r="R924" s="5"/>
      <c r="S924" s="5"/>
      <c r="T924" s="4"/>
      <c r="U924" s="4"/>
      <c r="V924" s="4"/>
    </row>
    <row r="925">
      <c r="A925" s="4"/>
      <c r="B925" s="4"/>
      <c r="C925" s="5"/>
      <c r="D925" s="5"/>
      <c r="E925" s="4"/>
      <c r="F925" s="2"/>
      <c r="G925" s="2"/>
      <c r="H925" s="5"/>
      <c r="I925" s="5"/>
      <c r="J925" s="2"/>
      <c r="K925" s="2"/>
      <c r="L925" s="2"/>
      <c r="M925" s="2"/>
      <c r="N925" s="4"/>
      <c r="O925" s="4"/>
      <c r="P925" s="4"/>
      <c r="Q925" s="4"/>
      <c r="R925" s="5"/>
      <c r="S925" s="5"/>
      <c r="T925" s="4"/>
      <c r="U925" s="4"/>
      <c r="V925" s="4"/>
    </row>
    <row r="926">
      <c r="A926" s="4"/>
      <c r="B926" s="4"/>
      <c r="C926" s="5"/>
      <c r="D926" s="5"/>
      <c r="E926" s="4"/>
      <c r="F926" s="2"/>
      <c r="G926" s="2"/>
      <c r="H926" s="5"/>
      <c r="I926" s="5"/>
      <c r="J926" s="2"/>
      <c r="K926" s="2"/>
      <c r="L926" s="2"/>
      <c r="M926" s="2"/>
      <c r="N926" s="4"/>
      <c r="O926" s="4"/>
      <c r="P926" s="4"/>
      <c r="Q926" s="4"/>
      <c r="R926" s="5"/>
      <c r="S926" s="5"/>
      <c r="T926" s="4"/>
      <c r="U926" s="4"/>
      <c r="V926" s="4"/>
    </row>
    <row r="927">
      <c r="A927" s="4"/>
      <c r="B927" s="4"/>
      <c r="C927" s="5"/>
      <c r="D927" s="5"/>
      <c r="E927" s="4"/>
      <c r="F927" s="2"/>
      <c r="G927" s="2"/>
      <c r="H927" s="5"/>
      <c r="I927" s="5"/>
      <c r="J927" s="2"/>
      <c r="K927" s="2"/>
      <c r="L927" s="2"/>
      <c r="M927" s="2"/>
      <c r="N927" s="4"/>
      <c r="O927" s="4"/>
      <c r="P927" s="4"/>
      <c r="Q927" s="4"/>
      <c r="R927" s="5"/>
      <c r="S927" s="5"/>
      <c r="T927" s="4"/>
      <c r="U927" s="4"/>
      <c r="V927" s="4"/>
    </row>
    <row r="928">
      <c r="A928" s="4"/>
      <c r="B928" s="4"/>
      <c r="C928" s="5"/>
      <c r="D928" s="5"/>
      <c r="E928" s="4"/>
      <c r="F928" s="2"/>
      <c r="G928" s="2"/>
      <c r="H928" s="5"/>
      <c r="I928" s="5"/>
      <c r="J928" s="2"/>
      <c r="K928" s="2"/>
      <c r="L928" s="2"/>
      <c r="M928" s="2"/>
      <c r="N928" s="4"/>
      <c r="O928" s="4"/>
      <c r="P928" s="4"/>
      <c r="Q928" s="4"/>
      <c r="R928" s="5"/>
      <c r="S928" s="5"/>
      <c r="T928" s="4"/>
      <c r="U928" s="4"/>
      <c r="V928" s="4"/>
    </row>
    <row r="929">
      <c r="A929" s="4"/>
      <c r="B929" s="4"/>
      <c r="C929" s="5"/>
      <c r="D929" s="5"/>
      <c r="E929" s="4"/>
      <c r="F929" s="2"/>
      <c r="G929" s="2"/>
      <c r="H929" s="5"/>
      <c r="I929" s="5"/>
      <c r="J929" s="2"/>
      <c r="K929" s="2"/>
      <c r="L929" s="2"/>
      <c r="M929" s="2"/>
      <c r="N929" s="4"/>
      <c r="O929" s="4"/>
      <c r="P929" s="4"/>
      <c r="Q929" s="4"/>
      <c r="R929" s="5"/>
      <c r="S929" s="5"/>
      <c r="T929" s="4"/>
      <c r="U929" s="4"/>
      <c r="V929" s="4"/>
    </row>
    <row r="930">
      <c r="A930" s="4"/>
      <c r="B930" s="4"/>
      <c r="C930" s="5"/>
      <c r="D930" s="5"/>
      <c r="E930" s="4"/>
      <c r="F930" s="2"/>
      <c r="G930" s="2"/>
      <c r="H930" s="5"/>
      <c r="I930" s="5"/>
      <c r="J930" s="2"/>
      <c r="K930" s="2"/>
      <c r="L930" s="2"/>
      <c r="M930" s="2"/>
      <c r="N930" s="4"/>
      <c r="O930" s="4"/>
      <c r="P930" s="4"/>
      <c r="Q930" s="4"/>
      <c r="R930" s="5"/>
      <c r="S930" s="5"/>
      <c r="T930" s="4"/>
      <c r="U930" s="4"/>
      <c r="V930" s="4"/>
    </row>
    <row r="931">
      <c r="A931" s="4"/>
      <c r="B931" s="4"/>
      <c r="C931" s="5"/>
      <c r="D931" s="5"/>
      <c r="E931" s="4"/>
      <c r="F931" s="2"/>
      <c r="G931" s="2"/>
      <c r="H931" s="5"/>
      <c r="I931" s="5"/>
      <c r="J931" s="2"/>
      <c r="K931" s="2"/>
      <c r="L931" s="2"/>
      <c r="M931" s="2"/>
      <c r="N931" s="4"/>
      <c r="O931" s="4"/>
      <c r="P931" s="4"/>
      <c r="Q931" s="4"/>
      <c r="R931" s="5"/>
      <c r="S931" s="5"/>
      <c r="T931" s="4"/>
      <c r="U931" s="4"/>
      <c r="V931" s="4"/>
    </row>
    <row r="932">
      <c r="A932" s="4"/>
      <c r="B932" s="4"/>
      <c r="C932" s="5"/>
      <c r="D932" s="5"/>
      <c r="E932" s="4"/>
      <c r="F932" s="2"/>
      <c r="G932" s="2"/>
      <c r="H932" s="5"/>
      <c r="I932" s="5"/>
      <c r="J932" s="2"/>
      <c r="K932" s="2"/>
      <c r="L932" s="2"/>
      <c r="M932" s="2"/>
      <c r="N932" s="4"/>
      <c r="O932" s="4"/>
      <c r="P932" s="4"/>
      <c r="Q932" s="4"/>
      <c r="R932" s="5"/>
      <c r="S932" s="5"/>
      <c r="T932" s="4"/>
      <c r="U932" s="4"/>
      <c r="V932" s="4"/>
    </row>
    <row r="933">
      <c r="A933" s="4"/>
      <c r="B933" s="4"/>
      <c r="C933" s="5"/>
      <c r="D933" s="5"/>
      <c r="E933" s="4"/>
      <c r="F933" s="2"/>
      <c r="G933" s="2"/>
      <c r="H933" s="5"/>
      <c r="I933" s="5"/>
      <c r="J933" s="2"/>
      <c r="K933" s="2"/>
      <c r="L933" s="2"/>
      <c r="M933" s="2"/>
      <c r="N933" s="4"/>
      <c r="O933" s="4"/>
      <c r="P933" s="4"/>
      <c r="Q933" s="4"/>
      <c r="R933" s="5"/>
      <c r="S933" s="5"/>
      <c r="T933" s="4"/>
      <c r="U933" s="4"/>
      <c r="V933" s="4"/>
    </row>
    <row r="934">
      <c r="A934" s="4"/>
      <c r="B934" s="4"/>
      <c r="C934" s="5"/>
      <c r="D934" s="5"/>
      <c r="E934" s="4"/>
      <c r="F934" s="2"/>
      <c r="G934" s="2"/>
      <c r="H934" s="5"/>
      <c r="I934" s="5"/>
      <c r="J934" s="2"/>
      <c r="K934" s="2"/>
      <c r="L934" s="2"/>
      <c r="M934" s="2"/>
      <c r="N934" s="4"/>
      <c r="O934" s="4"/>
      <c r="P934" s="4"/>
      <c r="Q934" s="4"/>
      <c r="R934" s="5"/>
      <c r="S934" s="5"/>
      <c r="T934" s="4"/>
      <c r="U934" s="4"/>
      <c r="V934" s="4"/>
    </row>
    <row r="935">
      <c r="A935" s="4"/>
      <c r="B935" s="4"/>
      <c r="C935" s="5"/>
      <c r="D935" s="5"/>
      <c r="E935" s="4"/>
      <c r="F935" s="2"/>
      <c r="G935" s="2"/>
      <c r="H935" s="5"/>
      <c r="I935" s="5"/>
      <c r="J935" s="2"/>
      <c r="K935" s="2"/>
      <c r="L935" s="2"/>
      <c r="M935" s="2"/>
      <c r="N935" s="4"/>
      <c r="O935" s="4"/>
      <c r="P935" s="4"/>
      <c r="Q935" s="4"/>
      <c r="R935" s="5"/>
      <c r="S935" s="5"/>
      <c r="T935" s="4"/>
      <c r="U935" s="4"/>
      <c r="V935" s="4"/>
    </row>
    <row r="936">
      <c r="A936" s="4"/>
      <c r="B936" s="4"/>
      <c r="C936" s="5"/>
      <c r="D936" s="5"/>
      <c r="E936" s="4"/>
      <c r="F936" s="2"/>
      <c r="G936" s="2"/>
      <c r="H936" s="5"/>
      <c r="I936" s="5"/>
      <c r="J936" s="2"/>
      <c r="K936" s="2"/>
      <c r="L936" s="2"/>
      <c r="M936" s="2"/>
      <c r="N936" s="4"/>
      <c r="O936" s="4"/>
      <c r="P936" s="4"/>
      <c r="Q936" s="4"/>
      <c r="R936" s="5"/>
      <c r="S936" s="5"/>
      <c r="T936" s="4"/>
      <c r="U936" s="4"/>
      <c r="V936" s="4"/>
    </row>
    <row r="937">
      <c r="A937" s="4"/>
      <c r="B937" s="4"/>
      <c r="C937" s="5"/>
      <c r="D937" s="5"/>
      <c r="E937" s="4"/>
      <c r="F937" s="2"/>
      <c r="G937" s="2"/>
      <c r="H937" s="5"/>
      <c r="I937" s="5"/>
      <c r="J937" s="2"/>
      <c r="K937" s="2"/>
      <c r="L937" s="2"/>
      <c r="M937" s="2"/>
      <c r="N937" s="4"/>
      <c r="O937" s="4"/>
      <c r="P937" s="4"/>
      <c r="Q937" s="4"/>
      <c r="R937" s="5"/>
      <c r="S937" s="5"/>
      <c r="T937" s="4"/>
      <c r="U937" s="4"/>
      <c r="V937" s="4"/>
    </row>
    <row r="938">
      <c r="A938" s="4"/>
      <c r="B938" s="4"/>
      <c r="C938" s="5"/>
      <c r="D938" s="5"/>
      <c r="E938" s="4"/>
      <c r="F938" s="2"/>
      <c r="G938" s="2"/>
      <c r="H938" s="5"/>
      <c r="I938" s="5"/>
      <c r="J938" s="2"/>
      <c r="K938" s="2"/>
      <c r="L938" s="2"/>
      <c r="M938" s="2"/>
      <c r="N938" s="4"/>
      <c r="O938" s="4"/>
      <c r="P938" s="4"/>
      <c r="Q938" s="4"/>
      <c r="R938" s="5"/>
      <c r="S938" s="5"/>
      <c r="T938" s="4"/>
      <c r="U938" s="4"/>
      <c r="V938" s="4"/>
    </row>
    <row r="939">
      <c r="A939" s="4"/>
      <c r="B939" s="4"/>
      <c r="C939" s="5"/>
      <c r="D939" s="5"/>
      <c r="E939" s="4"/>
      <c r="F939" s="2"/>
      <c r="G939" s="2"/>
      <c r="H939" s="5"/>
      <c r="I939" s="5"/>
      <c r="J939" s="2"/>
      <c r="K939" s="2"/>
      <c r="L939" s="2"/>
      <c r="M939" s="2"/>
      <c r="N939" s="4"/>
      <c r="O939" s="4"/>
      <c r="P939" s="4"/>
      <c r="Q939" s="4"/>
      <c r="R939" s="5"/>
      <c r="S939" s="5"/>
      <c r="T939" s="4"/>
      <c r="U939" s="4"/>
      <c r="V939" s="4"/>
    </row>
    <row r="940">
      <c r="A940" s="4"/>
      <c r="B940" s="4"/>
      <c r="C940" s="5"/>
      <c r="D940" s="5"/>
      <c r="E940" s="4"/>
      <c r="F940" s="2"/>
      <c r="G940" s="2"/>
      <c r="H940" s="5"/>
      <c r="I940" s="5"/>
      <c r="J940" s="2"/>
      <c r="K940" s="2"/>
      <c r="L940" s="2"/>
      <c r="M940" s="2"/>
      <c r="N940" s="4"/>
      <c r="O940" s="4"/>
      <c r="P940" s="4"/>
      <c r="Q940" s="4"/>
      <c r="R940" s="5"/>
      <c r="S940" s="5"/>
      <c r="T940" s="4"/>
      <c r="U940" s="4"/>
      <c r="V940" s="4"/>
    </row>
    <row r="941">
      <c r="A941" s="4"/>
      <c r="B941" s="4"/>
      <c r="C941" s="5"/>
      <c r="D941" s="5"/>
      <c r="E941" s="4"/>
      <c r="F941" s="2"/>
      <c r="G941" s="2"/>
      <c r="H941" s="5"/>
      <c r="I941" s="5"/>
      <c r="J941" s="2"/>
      <c r="K941" s="2"/>
      <c r="L941" s="2"/>
      <c r="M941" s="2"/>
      <c r="N941" s="4"/>
      <c r="O941" s="4"/>
      <c r="P941" s="4"/>
      <c r="Q941" s="4"/>
      <c r="R941" s="5"/>
      <c r="S941" s="5"/>
      <c r="T941" s="4"/>
      <c r="U941" s="4"/>
      <c r="V941" s="4"/>
    </row>
    <row r="942">
      <c r="A942" s="4"/>
      <c r="B942" s="4"/>
      <c r="C942" s="5"/>
      <c r="D942" s="5"/>
      <c r="E942" s="4"/>
      <c r="F942" s="2"/>
      <c r="G942" s="2"/>
      <c r="H942" s="5"/>
      <c r="I942" s="5"/>
      <c r="J942" s="2"/>
      <c r="K942" s="2"/>
      <c r="L942" s="2"/>
      <c r="M942" s="2"/>
      <c r="N942" s="4"/>
      <c r="O942" s="4"/>
      <c r="P942" s="4"/>
      <c r="Q942" s="4"/>
      <c r="R942" s="5"/>
      <c r="S942" s="5"/>
      <c r="T942" s="4"/>
      <c r="U942" s="4"/>
      <c r="V942" s="4"/>
    </row>
    <row r="943">
      <c r="A943" s="4"/>
      <c r="B943" s="4"/>
      <c r="C943" s="5"/>
      <c r="D943" s="5"/>
      <c r="E943" s="4"/>
      <c r="F943" s="2"/>
      <c r="G943" s="2"/>
      <c r="H943" s="5"/>
      <c r="I943" s="5"/>
      <c r="J943" s="2"/>
      <c r="K943" s="2"/>
      <c r="L943" s="2"/>
      <c r="M943" s="2"/>
      <c r="N943" s="4"/>
      <c r="O943" s="4"/>
      <c r="P943" s="4"/>
      <c r="Q943" s="4"/>
      <c r="R943" s="5"/>
      <c r="S943" s="5"/>
      <c r="T943" s="4"/>
      <c r="U943" s="4"/>
      <c r="V943" s="4"/>
    </row>
    <row r="944">
      <c r="A944" s="4"/>
      <c r="B944" s="4"/>
      <c r="C944" s="5"/>
      <c r="D944" s="5"/>
      <c r="E944" s="4"/>
      <c r="F944" s="2"/>
      <c r="G944" s="2"/>
      <c r="H944" s="5"/>
      <c r="I944" s="5"/>
      <c r="J944" s="2"/>
      <c r="K944" s="2"/>
      <c r="L944" s="2"/>
      <c r="M944" s="2"/>
      <c r="N944" s="4"/>
      <c r="O944" s="4"/>
      <c r="P944" s="4"/>
      <c r="Q944" s="4"/>
      <c r="R944" s="5"/>
      <c r="S944" s="5"/>
      <c r="T944" s="4"/>
      <c r="U944" s="4"/>
      <c r="V944" s="4"/>
    </row>
    <row r="945">
      <c r="A945" s="4"/>
      <c r="B945" s="4"/>
      <c r="C945" s="5"/>
      <c r="D945" s="5"/>
      <c r="E945" s="4"/>
      <c r="F945" s="2"/>
      <c r="G945" s="2"/>
      <c r="H945" s="5"/>
      <c r="I945" s="5"/>
      <c r="J945" s="2"/>
      <c r="K945" s="2"/>
      <c r="L945" s="2"/>
      <c r="M945" s="2"/>
      <c r="N945" s="4"/>
      <c r="O945" s="4"/>
      <c r="P945" s="4"/>
      <c r="Q945" s="4"/>
      <c r="R945" s="5"/>
      <c r="S945" s="5"/>
      <c r="T945" s="4"/>
      <c r="U945" s="4"/>
      <c r="V945" s="4"/>
    </row>
    <row r="946">
      <c r="A946" s="4"/>
      <c r="B946" s="4"/>
      <c r="C946" s="5"/>
      <c r="D946" s="5"/>
      <c r="E946" s="4"/>
      <c r="F946" s="2"/>
      <c r="G946" s="2"/>
      <c r="H946" s="5"/>
      <c r="I946" s="5"/>
      <c r="J946" s="2"/>
      <c r="K946" s="2"/>
      <c r="L946" s="2"/>
      <c r="M946" s="2"/>
      <c r="N946" s="4"/>
      <c r="O946" s="4"/>
      <c r="P946" s="4"/>
      <c r="Q946" s="4"/>
      <c r="R946" s="5"/>
      <c r="S946" s="5"/>
      <c r="T946" s="4"/>
      <c r="U946" s="4"/>
      <c r="V946" s="4"/>
    </row>
    <row r="947">
      <c r="A947" s="4"/>
      <c r="B947" s="4"/>
      <c r="C947" s="5"/>
      <c r="D947" s="5"/>
      <c r="E947" s="4"/>
      <c r="F947" s="2"/>
      <c r="G947" s="2"/>
      <c r="H947" s="5"/>
      <c r="I947" s="5"/>
      <c r="J947" s="2"/>
      <c r="K947" s="2"/>
      <c r="L947" s="2"/>
      <c r="M947" s="2"/>
      <c r="N947" s="4"/>
      <c r="O947" s="4"/>
      <c r="P947" s="4"/>
      <c r="Q947" s="4"/>
      <c r="R947" s="5"/>
      <c r="S947" s="5"/>
      <c r="T947" s="4"/>
      <c r="U947" s="4"/>
      <c r="V947" s="4"/>
    </row>
    <row r="948">
      <c r="A948" s="4"/>
      <c r="B948" s="4"/>
      <c r="C948" s="5"/>
      <c r="D948" s="5"/>
      <c r="E948" s="4"/>
      <c r="F948" s="2"/>
      <c r="G948" s="2"/>
      <c r="H948" s="5"/>
      <c r="I948" s="5"/>
      <c r="J948" s="2"/>
      <c r="K948" s="2"/>
      <c r="L948" s="2"/>
      <c r="M948" s="2"/>
      <c r="N948" s="4"/>
      <c r="O948" s="4"/>
      <c r="P948" s="4"/>
      <c r="Q948" s="4"/>
      <c r="R948" s="5"/>
      <c r="S948" s="5"/>
      <c r="T948" s="4"/>
      <c r="U948" s="4"/>
      <c r="V948" s="4"/>
    </row>
    <row r="949">
      <c r="A949" s="4"/>
      <c r="B949" s="4"/>
      <c r="C949" s="5"/>
      <c r="D949" s="5"/>
      <c r="E949" s="4"/>
      <c r="F949" s="2"/>
      <c r="G949" s="2"/>
      <c r="H949" s="5"/>
      <c r="I949" s="5"/>
      <c r="J949" s="2"/>
      <c r="K949" s="2"/>
      <c r="L949" s="2"/>
      <c r="M949" s="2"/>
      <c r="N949" s="4"/>
      <c r="O949" s="4"/>
      <c r="P949" s="4"/>
      <c r="Q949" s="4"/>
      <c r="R949" s="5"/>
      <c r="S949" s="5"/>
      <c r="T949" s="4"/>
      <c r="U949" s="4"/>
      <c r="V949" s="4"/>
    </row>
    <row r="950">
      <c r="A950" s="4"/>
      <c r="B950" s="4"/>
      <c r="C950" s="5"/>
      <c r="D950" s="5"/>
      <c r="E950" s="4"/>
      <c r="F950" s="2"/>
      <c r="G950" s="2"/>
      <c r="H950" s="5"/>
      <c r="I950" s="5"/>
      <c r="J950" s="2"/>
      <c r="K950" s="2"/>
      <c r="L950" s="2"/>
      <c r="M950" s="2"/>
      <c r="N950" s="4"/>
      <c r="O950" s="4"/>
      <c r="P950" s="4"/>
      <c r="Q950" s="4"/>
      <c r="R950" s="5"/>
      <c r="S950" s="5"/>
      <c r="T950" s="4"/>
      <c r="U950" s="4"/>
      <c r="V950" s="4"/>
    </row>
    <row r="951">
      <c r="A951" s="4"/>
      <c r="B951" s="4"/>
      <c r="C951" s="5"/>
      <c r="D951" s="5"/>
      <c r="E951" s="4"/>
      <c r="F951" s="2"/>
      <c r="G951" s="2"/>
      <c r="H951" s="5"/>
      <c r="I951" s="5"/>
      <c r="J951" s="2"/>
      <c r="K951" s="2"/>
      <c r="L951" s="2"/>
      <c r="M951" s="2"/>
      <c r="N951" s="4"/>
      <c r="O951" s="4"/>
      <c r="P951" s="4"/>
      <c r="Q951" s="4"/>
      <c r="R951" s="5"/>
      <c r="S951" s="5"/>
      <c r="T951" s="4"/>
      <c r="U951" s="4"/>
      <c r="V951" s="4"/>
    </row>
    <row r="952">
      <c r="A952" s="4"/>
      <c r="B952" s="4"/>
      <c r="C952" s="5"/>
      <c r="D952" s="5"/>
      <c r="E952" s="4"/>
      <c r="F952" s="2"/>
      <c r="G952" s="2"/>
      <c r="H952" s="5"/>
      <c r="I952" s="5"/>
      <c r="J952" s="2"/>
      <c r="K952" s="2"/>
      <c r="L952" s="2"/>
      <c r="M952" s="2"/>
      <c r="N952" s="4"/>
      <c r="O952" s="4"/>
      <c r="P952" s="4"/>
      <c r="Q952" s="4"/>
      <c r="R952" s="5"/>
      <c r="S952" s="5"/>
      <c r="T952" s="4"/>
      <c r="U952" s="4"/>
      <c r="V952" s="4"/>
    </row>
    <row r="953">
      <c r="A953" s="4"/>
      <c r="B953" s="4"/>
      <c r="C953" s="5"/>
      <c r="D953" s="5"/>
      <c r="E953" s="4"/>
      <c r="F953" s="2"/>
      <c r="G953" s="2"/>
      <c r="H953" s="5"/>
      <c r="I953" s="5"/>
      <c r="J953" s="2"/>
      <c r="K953" s="2"/>
      <c r="L953" s="2"/>
      <c r="M953" s="2"/>
      <c r="N953" s="4"/>
      <c r="O953" s="4"/>
      <c r="P953" s="4"/>
      <c r="Q953" s="4"/>
      <c r="R953" s="5"/>
      <c r="S953" s="5"/>
      <c r="T953" s="4"/>
      <c r="U953" s="4"/>
      <c r="V953" s="4"/>
    </row>
    <row r="954">
      <c r="A954" s="4"/>
      <c r="B954" s="4"/>
      <c r="C954" s="5"/>
      <c r="D954" s="5"/>
      <c r="E954" s="4"/>
      <c r="F954" s="2"/>
      <c r="G954" s="2"/>
      <c r="H954" s="5"/>
      <c r="I954" s="5"/>
      <c r="J954" s="2"/>
      <c r="K954" s="2"/>
      <c r="L954" s="2"/>
      <c r="M954" s="2"/>
      <c r="N954" s="4"/>
      <c r="O954" s="4"/>
      <c r="P954" s="4"/>
      <c r="Q954" s="4"/>
      <c r="R954" s="5"/>
      <c r="S954" s="5"/>
      <c r="T954" s="4"/>
      <c r="U954" s="4"/>
      <c r="V954" s="4"/>
    </row>
    <row r="955">
      <c r="A955" s="4"/>
      <c r="B955" s="4"/>
      <c r="C955" s="5"/>
      <c r="D955" s="5"/>
      <c r="E955" s="4"/>
      <c r="F955" s="2"/>
      <c r="G955" s="2"/>
      <c r="H955" s="5"/>
      <c r="I955" s="5"/>
      <c r="J955" s="2"/>
      <c r="K955" s="2"/>
      <c r="L955" s="2"/>
      <c r="M955" s="2"/>
      <c r="N955" s="4"/>
      <c r="O955" s="4"/>
      <c r="P955" s="4"/>
      <c r="Q955" s="4"/>
      <c r="R955" s="5"/>
      <c r="S955" s="5"/>
      <c r="T955" s="4"/>
      <c r="U955" s="4"/>
      <c r="V955" s="4"/>
    </row>
    <row r="956">
      <c r="A956" s="4"/>
      <c r="B956" s="4"/>
      <c r="C956" s="5"/>
      <c r="D956" s="5"/>
      <c r="E956" s="4"/>
      <c r="F956" s="2"/>
      <c r="G956" s="2"/>
      <c r="H956" s="5"/>
      <c r="I956" s="5"/>
      <c r="J956" s="2"/>
      <c r="K956" s="2"/>
      <c r="L956" s="2"/>
      <c r="M956" s="2"/>
      <c r="N956" s="4"/>
      <c r="O956" s="4"/>
      <c r="P956" s="4"/>
      <c r="Q956" s="4"/>
      <c r="R956" s="5"/>
      <c r="S956" s="5"/>
      <c r="T956" s="4"/>
      <c r="U956" s="4"/>
      <c r="V956" s="4"/>
    </row>
    <row r="957">
      <c r="A957" s="4"/>
      <c r="B957" s="4"/>
      <c r="C957" s="5"/>
      <c r="D957" s="5"/>
      <c r="E957" s="4"/>
      <c r="F957" s="2"/>
      <c r="G957" s="2"/>
      <c r="H957" s="5"/>
      <c r="I957" s="5"/>
      <c r="J957" s="2"/>
      <c r="K957" s="2"/>
      <c r="L957" s="2"/>
      <c r="M957" s="2"/>
      <c r="N957" s="4"/>
      <c r="O957" s="4"/>
      <c r="P957" s="4"/>
      <c r="Q957" s="4"/>
      <c r="R957" s="5"/>
      <c r="S957" s="5"/>
      <c r="T957" s="4"/>
      <c r="U957" s="4"/>
      <c r="V957" s="4"/>
    </row>
    <row r="958">
      <c r="A958" s="4"/>
      <c r="B958" s="4"/>
      <c r="C958" s="5"/>
      <c r="D958" s="5"/>
      <c r="E958" s="4"/>
      <c r="F958" s="2"/>
      <c r="G958" s="2"/>
      <c r="H958" s="5"/>
      <c r="I958" s="5"/>
      <c r="J958" s="2"/>
      <c r="K958" s="2"/>
      <c r="L958" s="2"/>
      <c r="M958" s="2"/>
      <c r="N958" s="4"/>
      <c r="O958" s="4"/>
      <c r="P958" s="4"/>
      <c r="Q958" s="4"/>
      <c r="R958" s="5"/>
      <c r="S958" s="5"/>
      <c r="T958" s="4"/>
      <c r="U958" s="4"/>
      <c r="V958" s="4"/>
    </row>
    <row r="959">
      <c r="A959" s="4"/>
      <c r="B959" s="4"/>
      <c r="C959" s="5"/>
      <c r="D959" s="5"/>
      <c r="E959" s="4"/>
      <c r="F959" s="2"/>
      <c r="G959" s="2"/>
      <c r="H959" s="5"/>
      <c r="I959" s="5"/>
      <c r="J959" s="2"/>
      <c r="K959" s="2"/>
      <c r="L959" s="2"/>
      <c r="M959" s="2"/>
      <c r="N959" s="4"/>
      <c r="O959" s="4"/>
      <c r="P959" s="4"/>
      <c r="Q959" s="4"/>
      <c r="R959" s="5"/>
      <c r="S959" s="5"/>
      <c r="T959" s="4"/>
      <c r="U959" s="4"/>
      <c r="V959" s="4"/>
    </row>
    <row r="960">
      <c r="A960" s="4"/>
      <c r="B960" s="4"/>
      <c r="C960" s="5"/>
      <c r="D960" s="5"/>
      <c r="E960" s="4"/>
      <c r="F960" s="2"/>
      <c r="G960" s="2"/>
      <c r="H960" s="5"/>
      <c r="I960" s="5"/>
      <c r="J960" s="2"/>
      <c r="K960" s="2"/>
      <c r="L960" s="2"/>
      <c r="M960" s="2"/>
      <c r="N960" s="4"/>
      <c r="O960" s="4"/>
      <c r="P960" s="4"/>
      <c r="Q960" s="4"/>
      <c r="R960" s="5"/>
      <c r="S960" s="5"/>
      <c r="T960" s="4"/>
      <c r="U960" s="4"/>
      <c r="V960" s="4"/>
    </row>
    <row r="961">
      <c r="A961" s="4"/>
      <c r="B961" s="4"/>
      <c r="C961" s="5"/>
      <c r="D961" s="5"/>
      <c r="E961" s="4"/>
      <c r="F961" s="2"/>
      <c r="G961" s="2"/>
      <c r="H961" s="5"/>
      <c r="I961" s="5"/>
      <c r="J961" s="2"/>
      <c r="K961" s="2"/>
      <c r="L961" s="2"/>
      <c r="M961" s="2"/>
      <c r="N961" s="4"/>
      <c r="O961" s="4"/>
      <c r="P961" s="4"/>
      <c r="Q961" s="4"/>
      <c r="R961" s="5"/>
      <c r="S961" s="5"/>
      <c r="T961" s="4"/>
      <c r="U961" s="4"/>
      <c r="V961" s="4"/>
    </row>
    <row r="962">
      <c r="A962" s="4"/>
      <c r="B962" s="4"/>
      <c r="C962" s="5"/>
      <c r="D962" s="5"/>
      <c r="E962" s="4"/>
      <c r="F962" s="2"/>
      <c r="G962" s="2"/>
      <c r="H962" s="5"/>
      <c r="I962" s="5"/>
      <c r="J962" s="2"/>
      <c r="K962" s="2"/>
      <c r="L962" s="2"/>
      <c r="M962" s="2"/>
      <c r="N962" s="4"/>
      <c r="O962" s="4"/>
      <c r="P962" s="4"/>
      <c r="Q962" s="4"/>
      <c r="R962" s="5"/>
      <c r="S962" s="5"/>
      <c r="T962" s="4"/>
      <c r="U962" s="4"/>
      <c r="V962" s="4"/>
    </row>
    <row r="963">
      <c r="A963" s="4"/>
      <c r="B963" s="4"/>
      <c r="C963" s="5"/>
      <c r="D963" s="5"/>
      <c r="E963" s="4"/>
      <c r="F963" s="2"/>
      <c r="G963" s="2"/>
      <c r="H963" s="5"/>
      <c r="I963" s="5"/>
      <c r="J963" s="2"/>
      <c r="K963" s="2"/>
      <c r="L963" s="2"/>
      <c r="M963" s="2"/>
      <c r="N963" s="4"/>
      <c r="O963" s="4"/>
      <c r="P963" s="4"/>
      <c r="Q963" s="4"/>
      <c r="R963" s="5"/>
      <c r="S963" s="5"/>
      <c r="T963" s="4"/>
      <c r="U963" s="4"/>
      <c r="V963" s="4"/>
    </row>
    <row r="964">
      <c r="A964" s="4"/>
      <c r="B964" s="4"/>
      <c r="C964" s="5"/>
      <c r="D964" s="5"/>
      <c r="E964" s="4"/>
      <c r="F964" s="2"/>
      <c r="G964" s="2"/>
      <c r="H964" s="5"/>
      <c r="I964" s="5"/>
      <c r="J964" s="2"/>
      <c r="K964" s="2"/>
      <c r="L964" s="2"/>
      <c r="M964" s="2"/>
      <c r="N964" s="4"/>
      <c r="O964" s="4"/>
      <c r="P964" s="4"/>
      <c r="Q964" s="4"/>
      <c r="R964" s="5"/>
      <c r="S964" s="5"/>
      <c r="T964" s="4"/>
      <c r="U964" s="4"/>
      <c r="V964" s="4"/>
    </row>
    <row r="965">
      <c r="A965" s="4"/>
      <c r="B965" s="4"/>
      <c r="C965" s="5"/>
      <c r="D965" s="5"/>
      <c r="E965" s="4"/>
      <c r="F965" s="2"/>
      <c r="G965" s="2"/>
      <c r="H965" s="5"/>
      <c r="I965" s="5"/>
      <c r="J965" s="2"/>
      <c r="K965" s="2"/>
      <c r="L965" s="2"/>
      <c r="M965" s="2"/>
      <c r="N965" s="4"/>
      <c r="O965" s="4"/>
      <c r="P965" s="4"/>
      <c r="Q965" s="4"/>
      <c r="R965" s="5"/>
      <c r="S965" s="5"/>
      <c r="T965" s="4"/>
      <c r="U965" s="4"/>
      <c r="V965" s="4"/>
    </row>
    <row r="966">
      <c r="A966" s="4"/>
      <c r="B966" s="4"/>
      <c r="C966" s="5"/>
      <c r="D966" s="5"/>
      <c r="E966" s="4"/>
      <c r="F966" s="2"/>
      <c r="G966" s="2"/>
      <c r="H966" s="5"/>
      <c r="I966" s="5"/>
      <c r="J966" s="2"/>
      <c r="K966" s="2"/>
      <c r="L966" s="2"/>
      <c r="M966" s="2"/>
      <c r="N966" s="4"/>
      <c r="O966" s="4"/>
      <c r="P966" s="4"/>
      <c r="Q966" s="4"/>
      <c r="R966" s="5"/>
      <c r="S966" s="5"/>
      <c r="T966" s="4"/>
      <c r="U966" s="4"/>
      <c r="V966" s="4"/>
    </row>
    <row r="967">
      <c r="A967" s="4"/>
      <c r="B967" s="4"/>
      <c r="C967" s="5"/>
      <c r="D967" s="5"/>
      <c r="E967" s="4"/>
      <c r="F967" s="2"/>
      <c r="G967" s="2"/>
      <c r="H967" s="5"/>
      <c r="I967" s="5"/>
      <c r="J967" s="2"/>
      <c r="K967" s="2"/>
      <c r="L967" s="2"/>
      <c r="M967" s="2"/>
      <c r="N967" s="4"/>
      <c r="O967" s="4"/>
      <c r="P967" s="4"/>
      <c r="Q967" s="4"/>
      <c r="R967" s="5"/>
      <c r="S967" s="5"/>
      <c r="T967" s="4"/>
      <c r="U967" s="4"/>
      <c r="V967" s="4"/>
    </row>
    <row r="968">
      <c r="A968" s="4"/>
      <c r="B968" s="4"/>
      <c r="C968" s="5"/>
      <c r="D968" s="5"/>
      <c r="E968" s="4"/>
      <c r="F968" s="2"/>
      <c r="G968" s="2"/>
      <c r="H968" s="5"/>
      <c r="I968" s="5"/>
      <c r="J968" s="2"/>
      <c r="K968" s="2"/>
      <c r="L968" s="2"/>
      <c r="M968" s="2"/>
      <c r="N968" s="4"/>
      <c r="O968" s="4"/>
      <c r="P968" s="4"/>
      <c r="Q968" s="4"/>
      <c r="R968" s="5"/>
      <c r="S968" s="5"/>
      <c r="T968" s="4"/>
      <c r="U968" s="4"/>
      <c r="V968" s="4"/>
    </row>
    <row r="969">
      <c r="A969" s="4"/>
      <c r="B969" s="4"/>
      <c r="C969" s="5"/>
      <c r="D969" s="5"/>
      <c r="E969" s="4"/>
      <c r="F969" s="2"/>
      <c r="G969" s="2"/>
      <c r="H969" s="5"/>
      <c r="I969" s="5"/>
      <c r="J969" s="2"/>
      <c r="K969" s="2"/>
      <c r="L969" s="2"/>
      <c r="M969" s="2"/>
      <c r="N969" s="4"/>
      <c r="O969" s="4"/>
      <c r="P969" s="4"/>
      <c r="Q969" s="4"/>
      <c r="R969" s="5"/>
      <c r="S969" s="5"/>
      <c r="T969" s="4"/>
      <c r="U969" s="4"/>
      <c r="V969" s="4"/>
    </row>
    <row r="970">
      <c r="A970" s="4"/>
      <c r="B970" s="4"/>
      <c r="C970" s="5"/>
      <c r="D970" s="5"/>
      <c r="E970" s="4"/>
      <c r="F970" s="2"/>
      <c r="G970" s="2"/>
      <c r="H970" s="5"/>
      <c r="I970" s="5"/>
      <c r="J970" s="2"/>
      <c r="K970" s="2"/>
      <c r="L970" s="2"/>
      <c r="M970" s="2"/>
      <c r="N970" s="4"/>
      <c r="O970" s="4"/>
      <c r="P970" s="4"/>
      <c r="Q970" s="4"/>
      <c r="R970" s="5"/>
      <c r="S970" s="5"/>
      <c r="T970" s="4"/>
      <c r="U970" s="4"/>
      <c r="V970" s="4"/>
    </row>
    <row r="971">
      <c r="A971" s="4"/>
      <c r="B971" s="4"/>
      <c r="C971" s="5"/>
      <c r="D971" s="5"/>
      <c r="E971" s="4"/>
      <c r="F971" s="2"/>
      <c r="G971" s="2"/>
      <c r="H971" s="5"/>
      <c r="I971" s="5"/>
      <c r="J971" s="2"/>
      <c r="K971" s="2"/>
      <c r="L971" s="2"/>
      <c r="M971" s="2"/>
      <c r="N971" s="4"/>
      <c r="O971" s="4"/>
      <c r="P971" s="4"/>
      <c r="Q971" s="4"/>
      <c r="R971" s="5"/>
      <c r="S971" s="5"/>
      <c r="T971" s="4"/>
      <c r="U971" s="4"/>
      <c r="V971" s="4"/>
    </row>
    <row r="972">
      <c r="A972" s="4"/>
      <c r="B972" s="4"/>
      <c r="C972" s="5"/>
      <c r="D972" s="5"/>
      <c r="E972" s="4"/>
      <c r="F972" s="2"/>
      <c r="G972" s="2"/>
      <c r="H972" s="5"/>
      <c r="I972" s="5"/>
      <c r="J972" s="2"/>
      <c r="K972" s="2"/>
      <c r="L972" s="2"/>
      <c r="M972" s="2"/>
      <c r="N972" s="4"/>
      <c r="O972" s="4"/>
      <c r="P972" s="4"/>
      <c r="Q972" s="4"/>
      <c r="R972" s="5"/>
      <c r="S972" s="5"/>
      <c r="T972" s="4"/>
      <c r="U972" s="4"/>
      <c r="V972" s="4"/>
    </row>
    <row r="973">
      <c r="A973" s="4"/>
      <c r="B973" s="4"/>
      <c r="C973" s="5"/>
      <c r="D973" s="5"/>
      <c r="E973" s="4"/>
      <c r="F973" s="2"/>
      <c r="G973" s="2"/>
      <c r="H973" s="5"/>
      <c r="I973" s="5"/>
      <c r="J973" s="2"/>
      <c r="K973" s="2"/>
      <c r="L973" s="2"/>
      <c r="M973" s="2"/>
      <c r="N973" s="4"/>
      <c r="O973" s="4"/>
      <c r="P973" s="4"/>
      <c r="Q973" s="4"/>
      <c r="R973" s="5"/>
      <c r="S973" s="5"/>
      <c r="T973" s="4"/>
      <c r="U973" s="4"/>
      <c r="V973" s="4"/>
    </row>
    <row r="974">
      <c r="A974" s="4"/>
      <c r="B974" s="4"/>
      <c r="C974" s="5"/>
      <c r="D974" s="5"/>
      <c r="E974" s="4"/>
      <c r="F974" s="2"/>
      <c r="G974" s="2"/>
      <c r="H974" s="5"/>
      <c r="I974" s="5"/>
      <c r="J974" s="2"/>
      <c r="K974" s="2"/>
      <c r="L974" s="2"/>
      <c r="M974" s="2"/>
      <c r="N974" s="4"/>
      <c r="O974" s="4"/>
      <c r="P974" s="4"/>
      <c r="Q974" s="4"/>
      <c r="R974" s="5"/>
      <c r="S974" s="5"/>
      <c r="T974" s="4"/>
      <c r="U974" s="4"/>
      <c r="V974" s="4"/>
    </row>
    <row r="975">
      <c r="A975" s="4"/>
      <c r="B975" s="4"/>
      <c r="C975" s="5"/>
      <c r="D975" s="5"/>
      <c r="E975" s="4"/>
      <c r="F975" s="2"/>
      <c r="G975" s="2"/>
      <c r="H975" s="5"/>
      <c r="I975" s="5"/>
      <c r="J975" s="2"/>
      <c r="K975" s="2"/>
      <c r="L975" s="2"/>
      <c r="M975" s="2"/>
      <c r="N975" s="4"/>
      <c r="O975" s="4"/>
      <c r="P975" s="4"/>
      <c r="Q975" s="4"/>
      <c r="R975" s="5"/>
      <c r="S975" s="5"/>
      <c r="T975" s="4"/>
      <c r="U975" s="4"/>
      <c r="V975" s="4"/>
    </row>
    <row r="976">
      <c r="A976" s="4"/>
      <c r="B976" s="4"/>
      <c r="C976" s="5"/>
      <c r="D976" s="5"/>
      <c r="E976" s="4"/>
      <c r="F976" s="2"/>
      <c r="G976" s="2"/>
      <c r="H976" s="5"/>
      <c r="I976" s="5"/>
      <c r="J976" s="2"/>
      <c r="K976" s="2"/>
      <c r="L976" s="2"/>
      <c r="M976" s="2"/>
      <c r="N976" s="4"/>
      <c r="O976" s="4"/>
      <c r="P976" s="4"/>
      <c r="Q976" s="4"/>
      <c r="R976" s="5"/>
      <c r="S976" s="5"/>
      <c r="T976" s="4"/>
      <c r="U976" s="4"/>
      <c r="V976" s="4"/>
    </row>
    <row r="977">
      <c r="A977" s="4"/>
      <c r="B977" s="4"/>
      <c r="C977" s="5"/>
      <c r="D977" s="5"/>
      <c r="E977" s="4"/>
      <c r="F977" s="2"/>
      <c r="G977" s="2"/>
      <c r="H977" s="5"/>
      <c r="I977" s="5"/>
      <c r="J977" s="2"/>
      <c r="K977" s="2"/>
      <c r="L977" s="2"/>
      <c r="M977" s="2"/>
      <c r="N977" s="4"/>
      <c r="O977" s="4"/>
      <c r="P977" s="4"/>
      <c r="Q977" s="4"/>
      <c r="R977" s="5"/>
      <c r="S977" s="5"/>
      <c r="T977" s="4"/>
      <c r="U977" s="4"/>
      <c r="V977" s="4"/>
    </row>
    <row r="978">
      <c r="A978" s="4"/>
      <c r="B978" s="4"/>
      <c r="C978" s="5"/>
      <c r="D978" s="5"/>
      <c r="E978" s="4"/>
      <c r="F978" s="2"/>
      <c r="G978" s="2"/>
      <c r="H978" s="5"/>
      <c r="I978" s="5"/>
      <c r="J978" s="2"/>
      <c r="K978" s="2"/>
      <c r="L978" s="2"/>
      <c r="M978" s="2"/>
      <c r="N978" s="4"/>
      <c r="O978" s="4"/>
      <c r="P978" s="4"/>
      <c r="Q978" s="4"/>
      <c r="R978" s="5"/>
      <c r="S978" s="5"/>
      <c r="T978" s="4"/>
      <c r="U978" s="4"/>
      <c r="V978" s="4"/>
    </row>
    <row r="979">
      <c r="A979" s="4"/>
      <c r="B979" s="4"/>
      <c r="C979" s="5"/>
      <c r="D979" s="5"/>
      <c r="E979" s="4"/>
      <c r="F979" s="2"/>
      <c r="G979" s="2"/>
      <c r="H979" s="5"/>
      <c r="I979" s="5"/>
      <c r="J979" s="2"/>
      <c r="K979" s="2"/>
      <c r="L979" s="2"/>
      <c r="M979" s="2"/>
      <c r="N979" s="4"/>
      <c r="O979" s="4"/>
      <c r="P979" s="4"/>
      <c r="Q979" s="4"/>
      <c r="R979" s="5"/>
      <c r="S979" s="5"/>
      <c r="T979" s="4"/>
      <c r="U979" s="4"/>
      <c r="V979" s="4"/>
    </row>
    <row r="980">
      <c r="A980" s="4"/>
      <c r="B980" s="4"/>
      <c r="C980" s="5"/>
      <c r="D980" s="5"/>
      <c r="E980" s="4"/>
      <c r="F980" s="2"/>
      <c r="G980" s="2"/>
      <c r="H980" s="5"/>
      <c r="I980" s="5"/>
      <c r="J980" s="2"/>
      <c r="K980" s="2"/>
      <c r="L980" s="2"/>
      <c r="M980" s="2"/>
      <c r="N980" s="4"/>
      <c r="O980" s="4"/>
      <c r="P980" s="4"/>
      <c r="Q980" s="4"/>
      <c r="R980" s="5"/>
      <c r="S980" s="5"/>
      <c r="T980" s="4"/>
      <c r="U980" s="4"/>
      <c r="V980" s="4"/>
    </row>
    <row r="981">
      <c r="A981" s="4"/>
      <c r="B981" s="4"/>
      <c r="C981" s="5"/>
      <c r="D981" s="5"/>
      <c r="E981" s="4"/>
      <c r="F981" s="2"/>
      <c r="G981" s="2"/>
      <c r="H981" s="5"/>
      <c r="I981" s="5"/>
      <c r="J981" s="2"/>
      <c r="K981" s="2"/>
      <c r="L981" s="2"/>
      <c r="M981" s="2"/>
      <c r="N981" s="4"/>
      <c r="O981" s="4"/>
      <c r="P981" s="4"/>
      <c r="Q981" s="4"/>
      <c r="R981" s="5"/>
      <c r="S981" s="5"/>
      <c r="T981" s="4"/>
      <c r="U981" s="4"/>
      <c r="V981" s="4"/>
    </row>
    <row r="982">
      <c r="A982" s="4"/>
      <c r="B982" s="4"/>
      <c r="C982" s="5"/>
      <c r="D982" s="5"/>
      <c r="E982" s="4"/>
      <c r="F982" s="2"/>
      <c r="G982" s="2"/>
      <c r="H982" s="5"/>
      <c r="I982" s="5"/>
      <c r="J982" s="2"/>
      <c r="K982" s="2"/>
      <c r="L982" s="2"/>
      <c r="M982" s="2"/>
      <c r="N982" s="4"/>
      <c r="O982" s="4"/>
      <c r="P982" s="4"/>
      <c r="Q982" s="4"/>
      <c r="R982" s="5"/>
      <c r="S982" s="5"/>
      <c r="T982" s="4"/>
      <c r="U982" s="4"/>
      <c r="V982" s="4"/>
    </row>
    <row r="983">
      <c r="A983" s="4"/>
      <c r="B983" s="4"/>
      <c r="C983" s="5"/>
      <c r="D983" s="5"/>
      <c r="E983" s="4"/>
      <c r="F983" s="2"/>
      <c r="G983" s="2"/>
      <c r="H983" s="5"/>
      <c r="I983" s="5"/>
      <c r="J983" s="2"/>
      <c r="K983" s="2"/>
      <c r="L983" s="2"/>
      <c r="M983" s="2"/>
      <c r="N983" s="4"/>
      <c r="O983" s="4"/>
      <c r="P983" s="4"/>
      <c r="Q983" s="4"/>
      <c r="R983" s="5"/>
      <c r="S983" s="5"/>
      <c r="T983" s="4"/>
      <c r="U983" s="4"/>
      <c r="V983" s="4"/>
    </row>
    <row r="984">
      <c r="A984" s="4"/>
      <c r="B984" s="4"/>
      <c r="C984" s="5"/>
      <c r="D984" s="5"/>
      <c r="E984" s="4"/>
      <c r="F984" s="2"/>
      <c r="G984" s="2"/>
      <c r="H984" s="5"/>
      <c r="I984" s="5"/>
      <c r="J984" s="2"/>
      <c r="K984" s="2"/>
      <c r="L984" s="2"/>
      <c r="M984" s="2"/>
      <c r="N984" s="4"/>
      <c r="O984" s="4"/>
      <c r="P984" s="4"/>
      <c r="Q984" s="4"/>
      <c r="R984" s="5"/>
      <c r="S984" s="5"/>
      <c r="T984" s="4"/>
      <c r="U984" s="4"/>
      <c r="V984" s="4"/>
    </row>
    <row r="985">
      <c r="A985" s="4"/>
      <c r="B985" s="4"/>
      <c r="C985" s="5"/>
      <c r="D985" s="5"/>
      <c r="E985" s="4"/>
      <c r="F985" s="2"/>
      <c r="G985" s="2"/>
      <c r="H985" s="5"/>
      <c r="I985" s="5"/>
      <c r="J985" s="2"/>
      <c r="K985" s="2"/>
      <c r="L985" s="2"/>
      <c r="M985" s="2"/>
      <c r="N985" s="4"/>
      <c r="O985" s="4"/>
      <c r="P985" s="4"/>
      <c r="Q985" s="4"/>
      <c r="R985" s="5"/>
      <c r="S985" s="5"/>
      <c r="T985" s="4"/>
      <c r="U985" s="4"/>
      <c r="V985" s="4"/>
    </row>
    <row r="986">
      <c r="A986" s="4"/>
      <c r="B986" s="4"/>
      <c r="C986" s="5"/>
      <c r="D986" s="5"/>
      <c r="E986" s="4"/>
      <c r="F986" s="2"/>
      <c r="G986" s="2"/>
      <c r="H986" s="5"/>
      <c r="I986" s="5"/>
      <c r="J986" s="2"/>
      <c r="K986" s="2"/>
      <c r="L986" s="2"/>
      <c r="M986" s="2"/>
      <c r="N986" s="4"/>
      <c r="O986" s="4"/>
      <c r="P986" s="4"/>
      <c r="Q986" s="4"/>
      <c r="R986" s="5"/>
      <c r="S986" s="5"/>
      <c r="T986" s="4"/>
      <c r="U986" s="4"/>
      <c r="V986" s="4"/>
    </row>
    <row r="987">
      <c r="A987" s="4"/>
      <c r="B987" s="4"/>
      <c r="C987" s="5"/>
      <c r="D987" s="5"/>
      <c r="E987" s="4"/>
      <c r="F987" s="2"/>
      <c r="G987" s="2"/>
      <c r="H987" s="5"/>
      <c r="I987" s="5"/>
      <c r="J987" s="2"/>
      <c r="K987" s="2"/>
      <c r="L987" s="2"/>
      <c r="M987" s="2"/>
      <c r="N987" s="4"/>
      <c r="O987" s="4"/>
      <c r="P987" s="4"/>
      <c r="Q987" s="4"/>
      <c r="R987" s="5"/>
      <c r="S987" s="5"/>
      <c r="T987" s="4"/>
      <c r="U987" s="4"/>
      <c r="V987" s="4"/>
    </row>
    <row r="988">
      <c r="A988" s="4"/>
      <c r="B988" s="4"/>
      <c r="C988" s="5"/>
      <c r="D988" s="5"/>
      <c r="E988" s="4"/>
      <c r="F988" s="2"/>
      <c r="G988" s="2"/>
      <c r="H988" s="5"/>
      <c r="I988" s="5"/>
      <c r="J988" s="2"/>
      <c r="K988" s="2"/>
      <c r="L988" s="2"/>
      <c r="M988" s="2"/>
      <c r="N988" s="4"/>
      <c r="O988" s="4"/>
      <c r="P988" s="4"/>
      <c r="Q988" s="4"/>
      <c r="R988" s="5"/>
      <c r="S988" s="5"/>
      <c r="T988" s="4"/>
      <c r="U988" s="4"/>
      <c r="V988" s="4"/>
    </row>
    <row r="989">
      <c r="A989" s="4"/>
      <c r="B989" s="4"/>
      <c r="C989" s="5"/>
      <c r="D989" s="5"/>
      <c r="E989" s="4"/>
      <c r="F989" s="2"/>
      <c r="G989" s="2"/>
      <c r="H989" s="5"/>
      <c r="I989" s="5"/>
      <c r="J989" s="2"/>
      <c r="K989" s="2"/>
      <c r="L989" s="2"/>
      <c r="M989" s="2"/>
      <c r="N989" s="4"/>
      <c r="O989" s="4"/>
      <c r="P989" s="4"/>
      <c r="Q989" s="4"/>
      <c r="R989" s="5"/>
      <c r="S989" s="5"/>
      <c r="T989" s="4"/>
      <c r="U989" s="4"/>
      <c r="V989" s="4"/>
    </row>
    <row r="990">
      <c r="A990" s="4"/>
      <c r="B990" s="4"/>
      <c r="C990" s="5"/>
      <c r="D990" s="5"/>
      <c r="E990" s="4"/>
      <c r="F990" s="2"/>
      <c r="G990" s="2"/>
      <c r="H990" s="5"/>
      <c r="I990" s="5"/>
      <c r="J990" s="2"/>
      <c r="K990" s="2"/>
      <c r="L990" s="2"/>
      <c r="M990" s="2"/>
      <c r="N990" s="4"/>
      <c r="O990" s="4"/>
      <c r="P990" s="4"/>
      <c r="Q990" s="4"/>
      <c r="R990" s="5"/>
      <c r="S990" s="5"/>
      <c r="T990" s="4"/>
      <c r="U990" s="4"/>
      <c r="V990" s="4"/>
    </row>
    <row r="991">
      <c r="A991" s="4"/>
      <c r="B991" s="4"/>
      <c r="C991" s="5"/>
      <c r="D991" s="5"/>
      <c r="E991" s="4"/>
      <c r="F991" s="2"/>
      <c r="G991" s="2"/>
      <c r="H991" s="5"/>
      <c r="I991" s="5"/>
      <c r="J991" s="2"/>
      <c r="K991" s="2"/>
      <c r="L991" s="2"/>
      <c r="M991" s="2"/>
      <c r="N991" s="4"/>
      <c r="O991" s="4"/>
      <c r="P991" s="4"/>
      <c r="Q991" s="4"/>
      <c r="R991" s="5"/>
      <c r="S991" s="5"/>
      <c r="T991" s="4"/>
      <c r="U991" s="4"/>
      <c r="V991" s="4"/>
    </row>
    <row r="992">
      <c r="A992" s="4"/>
      <c r="B992" s="4"/>
      <c r="C992" s="5"/>
      <c r="D992" s="5"/>
      <c r="E992" s="4"/>
      <c r="F992" s="2"/>
      <c r="G992" s="2"/>
      <c r="H992" s="5"/>
      <c r="I992" s="5"/>
      <c r="J992" s="2"/>
      <c r="K992" s="2"/>
      <c r="L992" s="2"/>
      <c r="M992" s="2"/>
      <c r="N992" s="4"/>
      <c r="O992" s="4"/>
      <c r="P992" s="4"/>
      <c r="Q992" s="4"/>
      <c r="R992" s="5"/>
      <c r="S992" s="5"/>
      <c r="T992" s="4"/>
      <c r="U992" s="4"/>
      <c r="V992" s="4"/>
    </row>
    <row r="993">
      <c r="A993" s="4"/>
      <c r="B993" s="4"/>
      <c r="C993" s="5"/>
      <c r="D993" s="5"/>
      <c r="E993" s="4"/>
      <c r="F993" s="2"/>
      <c r="G993" s="2"/>
      <c r="H993" s="5"/>
      <c r="I993" s="5"/>
      <c r="J993" s="2"/>
      <c r="K993" s="2"/>
      <c r="L993" s="2"/>
      <c r="M993" s="2"/>
      <c r="N993" s="4"/>
      <c r="O993" s="4"/>
      <c r="P993" s="4"/>
      <c r="Q993" s="4"/>
      <c r="R993" s="5"/>
      <c r="S993" s="5"/>
      <c r="T993" s="4"/>
      <c r="U993" s="4"/>
      <c r="V993" s="4"/>
    </row>
    <row r="994">
      <c r="A994" s="4"/>
      <c r="B994" s="4"/>
      <c r="C994" s="5"/>
      <c r="D994" s="5"/>
      <c r="E994" s="4"/>
      <c r="F994" s="2"/>
      <c r="G994" s="2"/>
      <c r="H994" s="5"/>
      <c r="I994" s="5"/>
      <c r="J994" s="2"/>
      <c r="K994" s="2"/>
      <c r="L994" s="2"/>
      <c r="M994" s="2"/>
      <c r="N994" s="4"/>
      <c r="O994" s="4"/>
      <c r="P994" s="4"/>
      <c r="Q994" s="4"/>
      <c r="R994" s="5"/>
      <c r="S994" s="5"/>
      <c r="T994" s="4"/>
      <c r="U994" s="4"/>
      <c r="V994" s="4"/>
    </row>
    <row r="995">
      <c r="A995" s="4"/>
      <c r="B995" s="4"/>
      <c r="C995" s="5"/>
      <c r="D995" s="5"/>
      <c r="E995" s="4"/>
      <c r="F995" s="2"/>
      <c r="G995" s="2"/>
      <c r="H995" s="5"/>
      <c r="I995" s="5"/>
      <c r="J995" s="2"/>
      <c r="K995" s="2"/>
      <c r="L995" s="2"/>
      <c r="M995" s="2"/>
      <c r="N995" s="4"/>
      <c r="O995" s="4"/>
      <c r="P995" s="4"/>
      <c r="Q995" s="4"/>
      <c r="R995" s="5"/>
      <c r="S995" s="5"/>
      <c r="T995" s="4"/>
      <c r="U995" s="4"/>
      <c r="V995" s="4"/>
    </row>
    <row r="996">
      <c r="A996" s="4"/>
      <c r="B996" s="4"/>
      <c r="C996" s="5"/>
      <c r="D996" s="5"/>
      <c r="E996" s="4"/>
      <c r="F996" s="2"/>
      <c r="G996" s="2"/>
      <c r="H996" s="5"/>
      <c r="I996" s="5"/>
      <c r="J996" s="2"/>
      <c r="K996" s="2"/>
      <c r="L996" s="2"/>
      <c r="M996" s="2"/>
      <c r="N996" s="4"/>
      <c r="O996" s="4"/>
      <c r="P996" s="4"/>
      <c r="Q996" s="4"/>
      <c r="R996" s="5"/>
      <c r="S996" s="5"/>
      <c r="T996" s="4"/>
      <c r="U996" s="4"/>
      <c r="V996" s="4"/>
    </row>
    <row r="997">
      <c r="A997" s="4"/>
      <c r="B997" s="4"/>
      <c r="C997" s="5"/>
      <c r="D997" s="5"/>
      <c r="E997" s="4"/>
      <c r="F997" s="2"/>
      <c r="G997" s="2"/>
      <c r="H997" s="5"/>
      <c r="I997" s="5"/>
      <c r="J997" s="2"/>
      <c r="K997" s="2"/>
      <c r="L997" s="2"/>
      <c r="M997" s="2"/>
      <c r="N997" s="4"/>
      <c r="O997" s="4"/>
      <c r="P997" s="4"/>
      <c r="Q997" s="4"/>
      <c r="R997" s="5"/>
      <c r="S997" s="5"/>
      <c r="T997" s="4"/>
      <c r="U997" s="4"/>
      <c r="V997" s="4"/>
    </row>
    <row r="998">
      <c r="A998" s="4"/>
      <c r="B998" s="4"/>
      <c r="C998" s="5"/>
      <c r="D998" s="5"/>
      <c r="E998" s="4"/>
      <c r="F998" s="2"/>
      <c r="G998" s="2"/>
      <c r="H998" s="5"/>
      <c r="I998" s="5"/>
      <c r="J998" s="2"/>
      <c r="K998" s="2"/>
      <c r="L998" s="2"/>
      <c r="M998" s="2"/>
      <c r="N998" s="4"/>
      <c r="O998" s="4"/>
      <c r="P998" s="4"/>
      <c r="Q998" s="4"/>
      <c r="R998" s="5"/>
      <c r="S998" s="5"/>
      <c r="T998" s="4"/>
      <c r="U998" s="4"/>
      <c r="V998" s="4"/>
    </row>
    <row r="999">
      <c r="A999" s="4"/>
      <c r="B999" s="4"/>
      <c r="C999" s="5"/>
      <c r="D999" s="5"/>
      <c r="E999" s="4"/>
      <c r="F999" s="2"/>
      <c r="G999" s="2"/>
      <c r="H999" s="5"/>
      <c r="I999" s="5"/>
      <c r="J999" s="2"/>
      <c r="K999" s="2"/>
      <c r="L999" s="2"/>
      <c r="M999" s="2"/>
      <c r="N999" s="4"/>
      <c r="O999" s="4"/>
      <c r="P999" s="4"/>
      <c r="Q999" s="4"/>
      <c r="R999" s="5"/>
      <c r="S999" s="5"/>
      <c r="T999" s="4"/>
      <c r="U999" s="4"/>
      <c r="V999" s="4"/>
    </row>
    <row r="1000">
      <c r="A1000" s="4"/>
      <c r="B1000" s="4"/>
      <c r="C1000" s="5"/>
      <c r="D1000" s="5"/>
      <c r="E1000" s="4"/>
      <c r="F1000" s="2"/>
      <c r="G1000" s="2"/>
      <c r="H1000" s="5"/>
      <c r="I1000" s="5"/>
      <c r="J1000" s="2"/>
      <c r="K1000" s="2"/>
      <c r="L1000" s="2"/>
      <c r="M1000" s="2"/>
      <c r="N1000" s="4"/>
      <c r="O1000" s="4"/>
      <c r="P1000" s="4"/>
      <c r="Q1000" s="4"/>
      <c r="R1000" s="5"/>
      <c r="S1000" s="5"/>
      <c r="T1000" s="4"/>
      <c r="U1000" s="4"/>
      <c r="V1000" s="4"/>
    </row>
    <row r="1001">
      <c r="A1001" s="4"/>
      <c r="B1001" s="4"/>
      <c r="C1001" s="5"/>
      <c r="D1001" s="5"/>
      <c r="E1001" s="4"/>
      <c r="F1001" s="2"/>
      <c r="G1001" s="2"/>
      <c r="H1001" s="5"/>
      <c r="I1001" s="5"/>
      <c r="J1001" s="2"/>
      <c r="K1001" s="2"/>
      <c r="L1001" s="2"/>
      <c r="M1001" s="2"/>
      <c r="N1001" s="4"/>
      <c r="O1001" s="4"/>
      <c r="P1001" s="4"/>
      <c r="Q1001" s="4"/>
      <c r="R1001" s="5"/>
      <c r="S1001" s="5"/>
      <c r="T1001" s="4"/>
      <c r="U1001" s="4"/>
      <c r="V1001" s="4"/>
    </row>
    <row r="1002">
      <c r="A1002" s="4"/>
      <c r="B1002" s="4"/>
      <c r="C1002" s="5"/>
      <c r="D1002" s="5"/>
      <c r="E1002" s="4"/>
      <c r="F1002" s="2"/>
      <c r="G1002" s="2"/>
      <c r="H1002" s="5"/>
      <c r="I1002" s="5"/>
      <c r="J1002" s="2"/>
      <c r="K1002" s="2"/>
      <c r="L1002" s="2"/>
      <c r="M1002" s="2"/>
      <c r="N1002" s="4"/>
      <c r="O1002" s="4"/>
      <c r="P1002" s="4"/>
      <c r="Q1002" s="4"/>
      <c r="R1002" s="5"/>
      <c r="S1002" s="5"/>
      <c r="T1002" s="4"/>
      <c r="U1002" s="4"/>
      <c r="V1002" s="4"/>
    </row>
    <row r="1003">
      <c r="A1003" s="4"/>
      <c r="B1003" s="4"/>
      <c r="C1003" s="5"/>
      <c r="D1003" s="5"/>
      <c r="E1003" s="4"/>
      <c r="F1003" s="2"/>
      <c r="G1003" s="2"/>
      <c r="H1003" s="5"/>
      <c r="I1003" s="5"/>
      <c r="J1003" s="2"/>
      <c r="K1003" s="2"/>
      <c r="L1003" s="2"/>
      <c r="M1003" s="2"/>
      <c r="N1003" s="4"/>
      <c r="O1003" s="4"/>
      <c r="P1003" s="4"/>
      <c r="Q1003" s="4"/>
      <c r="R1003" s="5"/>
      <c r="S1003" s="5"/>
      <c r="T1003" s="4"/>
      <c r="U1003" s="4"/>
      <c r="V1003" s="4"/>
    </row>
    <row r="1004">
      <c r="A1004" s="4"/>
      <c r="B1004" s="4"/>
      <c r="C1004" s="5"/>
      <c r="D1004" s="5"/>
      <c r="E1004" s="4"/>
      <c r="F1004" s="2"/>
      <c r="G1004" s="2"/>
      <c r="H1004" s="5"/>
      <c r="I1004" s="5"/>
      <c r="J1004" s="2"/>
      <c r="K1004" s="2"/>
      <c r="L1004" s="2"/>
      <c r="M1004" s="2"/>
      <c r="N1004" s="4"/>
      <c r="O1004" s="4"/>
      <c r="P1004" s="4"/>
      <c r="Q1004" s="4"/>
      <c r="R1004" s="5"/>
      <c r="S1004" s="5"/>
      <c r="T1004" s="4"/>
      <c r="U1004" s="4"/>
      <c r="V1004" s="4"/>
    </row>
    <row r="1005">
      <c r="A1005" s="4"/>
      <c r="B1005" s="4"/>
      <c r="C1005" s="5"/>
      <c r="D1005" s="5"/>
      <c r="E1005" s="4"/>
      <c r="F1005" s="2"/>
      <c r="G1005" s="2"/>
      <c r="H1005" s="5"/>
      <c r="I1005" s="5"/>
      <c r="J1005" s="2"/>
      <c r="K1005" s="2"/>
      <c r="L1005" s="2"/>
      <c r="M1005" s="2"/>
      <c r="N1005" s="4"/>
      <c r="O1005" s="4"/>
      <c r="P1005" s="4"/>
      <c r="Q1005" s="4"/>
      <c r="R1005" s="5"/>
      <c r="S1005" s="5"/>
      <c r="T1005" s="4"/>
      <c r="U1005" s="4"/>
      <c r="V1005" s="4"/>
    </row>
    <row r="1006">
      <c r="A1006" s="4"/>
      <c r="B1006" s="4"/>
      <c r="C1006" s="5"/>
      <c r="D1006" s="5"/>
      <c r="E1006" s="4"/>
      <c r="F1006" s="2"/>
      <c r="G1006" s="2"/>
      <c r="H1006" s="5"/>
      <c r="I1006" s="5"/>
      <c r="J1006" s="2"/>
      <c r="K1006" s="2"/>
      <c r="L1006" s="2"/>
      <c r="M1006" s="2"/>
      <c r="N1006" s="4"/>
      <c r="O1006" s="4"/>
      <c r="P1006" s="4"/>
      <c r="Q1006" s="4"/>
      <c r="R1006" s="5"/>
      <c r="S1006" s="5"/>
      <c r="T1006" s="4"/>
      <c r="U1006" s="4"/>
      <c r="V1006" s="4"/>
    </row>
  </sheetData>
  <mergeCells count="13">
    <mergeCell ref="A7:B7"/>
    <mergeCell ref="A13:B13"/>
    <mergeCell ref="G64:G65"/>
    <mergeCell ref="G66:G72"/>
    <mergeCell ref="G73:G74"/>
    <mergeCell ref="C1:D1"/>
    <mergeCell ref="F1:G1"/>
    <mergeCell ref="H1:I1"/>
    <mergeCell ref="J1:K1"/>
    <mergeCell ref="L1:M1"/>
    <mergeCell ref="N1:O1"/>
    <mergeCell ref="P1:Q1"/>
    <mergeCell ref="R1:S1"/>
  </mergeCells>
  <dataValidations>
    <dataValidation type="list" allowBlank="1" showErrorMessage="1" sqref="C1">
      <formula1>'Config and Summary'!$F$1:$V$1</formula1>
    </dataValidation>
    <dataValidation type="list" allowBlank="1" showErrorMessage="1" sqref="F28:S29 F33:S33">
      <formula1>"w4a4,w4a8,w8a8,w4a16,w8a16,w16a16"</formula1>
    </dataValidation>
    <dataValidation type="list" allowBlank="1" showErrorMessage="1" sqref="F24:S24">
      <formula1>"OptionA. No Overlapping,OptionB. Overlapping Expert Collectives"</formula1>
    </dataValidation>
    <dataValidation type="list" allowBlank="1" showErrorMessage="1" sqref="F4:S4">
      <formula1>DB!$C$1:$M$1</formula1>
    </dataValidation>
    <dataValidation type="list" allowBlank="1" showErrorMessage="1" sqref="F23:S23">
      <formula1>"Option A: Transposed All-To-All,Option B: Reduce-Scatter,Option C: Hierachical RS"</formula1>
    </dataValidation>
    <dataValidation type="list" allowBlank="1" showErrorMessage="1" sqref="F27:S27 F30:S32 F34:S34">
      <formula1>"fp4,fp8,bf16"</formula1>
    </dataValidation>
    <dataValidation type="list" allowBlank="1" showErrorMessage="1" sqref="F22:S22">
      <formula1>"Strategy A: All-To-All,Strategy B: All-Gather Tokens with no chiplet involved,Strategy C: Hirarachical All-Gather,No Collectives"</formula1>
    </dataValidation>
  </dataValidations>
  <drawing r:id="rId2"/>
  <legacyDrawing r:id="rId3"/>
  <tableParts count="4">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08" t="s">
        <v>168</v>
      </c>
      <c r="B1" s="209"/>
      <c r="C1" s="209"/>
      <c r="D1" s="210"/>
      <c r="E1" s="211"/>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217"/>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224"/>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9">
        <v>4096.0</v>
      </c>
      <c r="D4" s="224"/>
      <c r="F4" s="230" t="s">
        <v>96</v>
      </c>
      <c r="G4" s="225">
        <f>'Config and Summary'!$C8</f>
        <v>1</v>
      </c>
      <c r="H4" s="226"/>
      <c r="P4" s="227"/>
      <c r="Q4" s="181" t="s">
        <v>125</v>
      </c>
      <c r="R4" s="181">
        <v>1.0</v>
      </c>
      <c r="T4" s="66" t="str">
        <f t="shared" si="1"/>
        <v>fp4,fp8</v>
      </c>
      <c r="U4" s="181" t="s">
        <v>180</v>
      </c>
      <c r="V4" s="181" t="s">
        <v>125</v>
      </c>
      <c r="W4" s="181" t="s">
        <v>125</v>
      </c>
    </row>
    <row r="5">
      <c r="A5" s="223" t="s">
        <v>183</v>
      </c>
      <c r="B5" s="223" t="s">
        <v>184</v>
      </c>
      <c r="C5" s="229">
        <v>128.0</v>
      </c>
      <c r="D5" s="224"/>
      <c r="F5" s="230" t="s">
        <v>97</v>
      </c>
      <c r="G5" s="225">
        <f>'Config and Summary'!$C9</f>
        <v>8</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224"/>
      <c r="F6" s="230" t="s">
        <v>98</v>
      </c>
      <c r="G6" s="225">
        <f>'Config and Summary'!$C10</f>
        <v>1</v>
      </c>
      <c r="H6" s="226"/>
      <c r="P6" s="227"/>
      <c r="T6" s="66" t="str">
        <f t="shared" si="1"/>
        <v>fp8,fp4</v>
      </c>
      <c r="U6" s="181" t="s">
        <v>125</v>
      </c>
      <c r="V6" s="181" t="s">
        <v>180</v>
      </c>
      <c r="W6" s="181" t="s">
        <v>125</v>
      </c>
    </row>
    <row r="7">
      <c r="A7" s="231" t="s">
        <v>188</v>
      </c>
      <c r="B7" s="231" t="s">
        <v>189</v>
      </c>
      <c r="C7" s="231">
        <v>3.0</v>
      </c>
      <c r="D7" s="224"/>
      <c r="F7" s="230" t="s">
        <v>99</v>
      </c>
      <c r="G7" s="225">
        <f>'Config and Summary'!$C11</f>
        <v>1</v>
      </c>
      <c r="H7" s="226" t="s">
        <v>190</v>
      </c>
      <c r="P7" s="227"/>
      <c r="T7" s="66" t="str">
        <f t="shared" si="1"/>
        <v>fp8,fp8</v>
      </c>
      <c r="U7" s="181" t="s">
        <v>125</v>
      </c>
      <c r="V7" s="181" t="s">
        <v>125</v>
      </c>
      <c r="W7" s="181" t="s">
        <v>125</v>
      </c>
      <c r="AR7" s="161"/>
      <c r="AS7" s="161"/>
      <c r="AT7" s="161"/>
    </row>
    <row r="8">
      <c r="A8" s="223" t="s">
        <v>191</v>
      </c>
      <c r="B8" s="223" t="s">
        <v>192</v>
      </c>
      <c r="C8" s="229">
        <v>4.0</v>
      </c>
      <c r="D8" s="224"/>
      <c r="F8" s="219" t="s">
        <v>193</v>
      </c>
      <c r="P8" s="227"/>
      <c r="U8" s="181"/>
      <c r="V8" s="181"/>
      <c r="W8" s="181"/>
      <c r="AB8" s="181"/>
      <c r="AC8" s="181"/>
      <c r="AD8" s="181"/>
      <c r="AE8" s="181"/>
    </row>
    <row r="9">
      <c r="A9" s="232" t="s">
        <v>194</v>
      </c>
      <c r="B9" s="233" t="s">
        <v>195</v>
      </c>
      <c r="C9" s="223">
        <v>1536.0</v>
      </c>
      <c r="D9" s="224"/>
      <c r="F9" s="234" t="s">
        <v>196</v>
      </c>
      <c r="G9" s="235">
        <f>G5*G4</f>
        <v>8</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224"/>
      <c r="F10" s="237" t="s">
        <v>199</v>
      </c>
      <c r="G10" s="238">
        <f>PRODUCT(G3:G6)</f>
        <v>8</v>
      </c>
      <c r="H10" s="239"/>
      <c r="P10" s="227"/>
      <c r="T10" s="66" t="str">
        <f t="shared" si="2"/>
        <v>bf16,fp4</v>
      </c>
      <c r="U10" s="181" t="s">
        <v>133</v>
      </c>
      <c r="V10" s="181" t="s">
        <v>180</v>
      </c>
      <c r="W10" s="181" t="s">
        <v>133</v>
      </c>
      <c r="AP10" s="218"/>
      <c r="AQ10" s="218"/>
      <c r="AT10" s="228"/>
    </row>
    <row r="11">
      <c r="A11" s="232" t="s">
        <v>200</v>
      </c>
      <c r="B11" s="233" t="s">
        <v>201</v>
      </c>
      <c r="C11" s="223">
        <v>128.0</v>
      </c>
      <c r="D11" s="224"/>
      <c r="F11" s="237" t="s">
        <v>202</v>
      </c>
      <c r="G11" s="238">
        <f>$G$10/$H$18</f>
        <v>8</v>
      </c>
      <c r="H11" s="239"/>
      <c r="P11" s="227"/>
      <c r="T11" s="66" t="str">
        <f t="shared" si="2"/>
        <v>bf16,fp8</v>
      </c>
      <c r="U11" s="181" t="s">
        <v>133</v>
      </c>
      <c r="V11" s="181" t="s">
        <v>125</v>
      </c>
      <c r="W11" s="181" t="s">
        <v>133</v>
      </c>
      <c r="AP11" s="222"/>
    </row>
    <row r="12">
      <c r="A12" s="232" t="s">
        <v>203</v>
      </c>
      <c r="B12" s="233" t="s">
        <v>204</v>
      </c>
      <c r="C12" s="223">
        <v>64.0</v>
      </c>
      <c r="D12" s="224"/>
      <c r="L12" s="240"/>
      <c r="P12" s="227"/>
      <c r="T12" s="66" t="s">
        <v>205</v>
      </c>
      <c r="U12" s="181" t="s">
        <v>133</v>
      </c>
      <c r="V12" s="181" t="s">
        <v>133</v>
      </c>
      <c r="W12" s="181" t="s">
        <v>133</v>
      </c>
      <c r="AP12" s="218"/>
      <c r="AQ12" s="218"/>
      <c r="AT12" s="228"/>
    </row>
    <row r="13">
      <c r="A13" s="223" t="s">
        <v>206</v>
      </c>
      <c r="B13" s="233" t="s">
        <v>207</v>
      </c>
      <c r="C13" s="223">
        <v>128.0</v>
      </c>
      <c r="D13" s="224"/>
    </row>
    <row r="14">
      <c r="A14" s="241" t="s">
        <v>208</v>
      </c>
      <c r="B14" s="242"/>
      <c r="C14" s="242"/>
      <c r="D14" s="243"/>
      <c r="AG14" s="207"/>
      <c r="AH14" s="207"/>
      <c r="AI14" s="161"/>
      <c r="AJ14" s="2"/>
      <c r="AK14" s="2"/>
      <c r="AL14" s="2"/>
      <c r="AM14" s="2"/>
      <c r="AN14" s="161"/>
      <c r="AO14" s="2"/>
      <c r="AP14" s="207"/>
      <c r="AQ14" s="2"/>
      <c r="AR14" s="2"/>
      <c r="AS14" s="161"/>
      <c r="AT14" s="161"/>
    </row>
    <row r="15">
      <c r="A15" s="244" t="s">
        <v>209</v>
      </c>
      <c r="B15" s="244" t="s">
        <v>209</v>
      </c>
      <c r="C15" s="245">
        <f>$C$11+$C$12</f>
        <v>192</v>
      </c>
      <c r="D15" s="246"/>
      <c r="AG15" s="2"/>
      <c r="AH15" s="2"/>
      <c r="AI15" s="161"/>
      <c r="AJ15" s="2"/>
      <c r="AK15" s="2"/>
      <c r="AL15" s="2"/>
      <c r="AM15" s="2"/>
      <c r="AN15" s="161"/>
      <c r="AO15" s="2"/>
      <c r="AP15" s="247"/>
      <c r="AQ15" s="247"/>
      <c r="AR15" s="2"/>
      <c r="AS15" s="161"/>
      <c r="AT15" s="248"/>
    </row>
    <row r="16">
      <c r="A16" s="244" t="s">
        <v>210</v>
      </c>
      <c r="B16" s="244" t="s">
        <v>210</v>
      </c>
      <c r="C16" s="249">
        <f>$C$10+$C$12</f>
        <v>576</v>
      </c>
      <c r="D16" s="224"/>
      <c r="AG16" s="2"/>
      <c r="AH16" s="2"/>
      <c r="AI16" s="161"/>
      <c r="AJ16" s="2"/>
      <c r="AK16" s="2"/>
      <c r="AL16" s="2"/>
      <c r="AM16" s="2"/>
      <c r="AN16" s="161"/>
      <c r="AO16" s="2"/>
      <c r="AP16" s="247"/>
      <c r="AQ16" s="247"/>
      <c r="AR16" s="2"/>
      <c r="AS16" s="161"/>
      <c r="AT16" s="248"/>
    </row>
    <row r="17">
      <c r="A17" s="249" t="s">
        <v>211</v>
      </c>
      <c r="B17" s="249" t="s">
        <v>212</v>
      </c>
      <c r="C17" s="245">
        <f>C8*$C$25</f>
        <v>4</v>
      </c>
      <c r="D17" s="246"/>
      <c r="F17" s="250" t="s">
        <v>213</v>
      </c>
      <c r="G17" s="11"/>
      <c r="H17" s="251" t="str">
        <f>'Config and Summary'!C4</f>
        <v>GB200 Derated</v>
      </c>
      <c r="AG17" s="2"/>
      <c r="AH17" s="2"/>
      <c r="AI17" s="161"/>
      <c r="AJ17" s="2"/>
      <c r="AK17" s="2"/>
      <c r="AL17" s="2"/>
      <c r="AM17" s="2"/>
      <c r="AN17" s="161"/>
      <c r="AO17" s="2"/>
      <c r="AP17" s="247"/>
      <c r="AQ17" s="247"/>
      <c r="AR17" s="2"/>
      <c r="AS17" s="161"/>
      <c r="AT17" s="248"/>
    </row>
    <row r="18">
      <c r="A18" s="252" t="s">
        <v>173</v>
      </c>
      <c r="B18" s="252" t="s">
        <v>214</v>
      </c>
      <c r="C18" s="253">
        <f>$G$10</f>
        <v>8</v>
      </c>
      <c r="D18" s="246"/>
      <c r="F18" s="185" t="str">
        <f t="array" ref="F18:F32">DB!A2:A16</f>
        <v># of TensorCore per Chip</v>
      </c>
      <c r="G18" s="11"/>
      <c r="H18" s="254">
        <f t="array" ref="H18:H32">xlookup($H$17,DB!1:1,DB!2:16)</f>
        <v>1</v>
      </c>
      <c r="AG18" s="2"/>
      <c r="AH18" s="2"/>
      <c r="AI18" s="161"/>
      <c r="AJ18" s="2"/>
      <c r="AK18" s="2"/>
      <c r="AL18" s="2"/>
      <c r="AM18" s="2"/>
      <c r="AN18" s="161"/>
      <c r="AO18" s="2"/>
      <c r="AP18" s="247"/>
      <c r="AQ18" s="2"/>
      <c r="AR18" s="2"/>
      <c r="AS18" s="161"/>
      <c r="AT18" s="161"/>
    </row>
    <row r="19">
      <c r="A19" s="252" t="s">
        <v>215</v>
      </c>
      <c r="B19" s="252" t="s">
        <v>216</v>
      </c>
      <c r="C19" s="253">
        <f>$G$11</f>
        <v>8</v>
      </c>
      <c r="D19" s="246"/>
      <c r="F19" s="185" t="s">
        <v>217</v>
      </c>
      <c r="G19" s="11"/>
      <c r="H19" s="254">
        <v>7200.0</v>
      </c>
      <c r="AG19" s="2"/>
      <c r="AH19" s="2"/>
      <c r="AI19" s="161"/>
      <c r="AJ19" s="2"/>
      <c r="AK19" s="2"/>
      <c r="AL19" s="2"/>
      <c r="AM19" s="2"/>
      <c r="AN19" s="161"/>
      <c r="AO19" s="2"/>
      <c r="AP19" s="247"/>
      <c r="AQ19" s="2"/>
      <c r="AR19" s="2"/>
      <c r="AS19" s="161"/>
      <c r="AT19" s="161"/>
    </row>
    <row r="20">
      <c r="A20" s="255" t="s">
        <v>218</v>
      </c>
      <c r="B20" s="256" t="s">
        <v>219</v>
      </c>
      <c r="C20" s="257" t="str">
        <f>vlookup(C19, DB!$A$26:$F$31, 5, False)</f>
        <v>2x2x2</v>
      </c>
      <c r="D20" s="258"/>
      <c r="F20" s="185" t="s">
        <v>220</v>
      </c>
      <c r="G20" s="11"/>
      <c r="H20" s="254">
        <v>7500.0</v>
      </c>
      <c r="AG20" s="2"/>
      <c r="AH20" s="2"/>
      <c r="AI20" s="161"/>
      <c r="AJ20" s="2"/>
      <c r="AK20" s="2"/>
      <c r="AL20" s="2"/>
      <c r="AM20" s="2"/>
      <c r="AN20" s="161"/>
      <c r="AO20" s="2"/>
      <c r="AP20" s="247"/>
      <c r="AQ20" s="2"/>
      <c r="AR20" s="2"/>
      <c r="AS20" s="161"/>
      <c r="AT20" s="161"/>
    </row>
    <row r="21">
      <c r="A21" s="259" t="s">
        <v>221</v>
      </c>
      <c r="B21" s="260" t="s">
        <v>222</v>
      </c>
      <c r="C21" s="257">
        <f>vlookup(C19, DB!$A$26:$F$31, 6, False)</f>
        <v>12</v>
      </c>
      <c r="D21" s="261"/>
      <c r="F21" s="185" t="s">
        <v>223</v>
      </c>
      <c r="G21" s="11"/>
      <c r="H21" s="254">
        <v>3750.0</v>
      </c>
      <c r="AG21" s="2"/>
      <c r="AH21" s="2"/>
      <c r="AI21" s="161"/>
      <c r="AJ21" s="2"/>
      <c r="AK21" s="2"/>
      <c r="AL21" s="2"/>
      <c r="AM21" s="2"/>
      <c r="AN21" s="161"/>
      <c r="AO21" s="2"/>
      <c r="AP21" s="247"/>
      <c r="AQ21" s="2"/>
      <c r="AR21" s="2"/>
      <c r="AS21" s="161"/>
      <c r="AT21" s="161"/>
    </row>
    <row r="22">
      <c r="A22" s="253"/>
      <c r="B22" s="253"/>
      <c r="C22" s="253"/>
      <c r="D22" s="246"/>
      <c r="F22" s="185" t="s">
        <v>224</v>
      </c>
      <c r="G22" s="11"/>
      <c r="H22" s="254">
        <v>1875.0</v>
      </c>
      <c r="AG22" s="2"/>
      <c r="AH22" s="2"/>
      <c r="AI22" s="161"/>
      <c r="AJ22" s="2"/>
      <c r="AK22" s="2"/>
      <c r="AL22" s="2"/>
      <c r="AM22" s="2"/>
      <c r="AN22" s="161"/>
      <c r="AO22" s="2"/>
      <c r="AP22" s="247"/>
      <c r="AQ22" s="247"/>
      <c r="AR22" s="2"/>
      <c r="AS22" s="161"/>
      <c r="AT22" s="248"/>
    </row>
    <row r="23">
      <c r="A23" s="262" t="s">
        <v>225</v>
      </c>
      <c r="B23" s="263"/>
      <c r="C23" s="264"/>
      <c r="D23" s="265"/>
      <c r="F23" s="185" t="s">
        <v>226</v>
      </c>
      <c r="G23" s="11"/>
      <c r="H23" s="266">
        <v>179.0</v>
      </c>
      <c r="AG23" s="2"/>
      <c r="AH23" s="2"/>
      <c r="AI23" s="161"/>
      <c r="AJ23" s="2"/>
      <c r="AK23" s="2"/>
      <c r="AL23" s="2"/>
      <c r="AM23" s="2"/>
      <c r="AN23" s="161"/>
      <c r="AO23" s="2"/>
      <c r="AP23" s="247"/>
      <c r="AQ23" s="247"/>
      <c r="AR23" s="2"/>
      <c r="AS23" s="161"/>
      <c r="AT23" s="248"/>
    </row>
    <row r="24">
      <c r="A24" s="249" t="s">
        <v>227</v>
      </c>
      <c r="B24" s="249" t="s">
        <v>228</v>
      </c>
      <c r="C24" s="249" t="s">
        <v>18</v>
      </c>
      <c r="D24" s="224"/>
      <c r="F24" s="185" t="s">
        <v>229</v>
      </c>
      <c r="G24" s="11"/>
      <c r="H24" s="266">
        <v>7200.0</v>
      </c>
      <c r="AG24" s="2"/>
      <c r="AH24" s="2"/>
      <c r="AI24" s="161"/>
      <c r="AJ24" s="2"/>
      <c r="AK24" s="2"/>
      <c r="AL24" s="2"/>
      <c r="AM24" s="2"/>
      <c r="AN24" s="161"/>
      <c r="AO24" s="2"/>
      <c r="AP24" s="247"/>
      <c r="AQ24" s="247"/>
      <c r="AR24" s="2"/>
      <c r="AS24" s="161"/>
      <c r="AT24" s="248"/>
    </row>
    <row r="25">
      <c r="A25" s="267" t="s">
        <v>101</v>
      </c>
      <c r="B25" s="267" t="s">
        <v>102</v>
      </c>
      <c r="C25" s="267">
        <f>'Config and Summary'!C14</f>
        <v>1</v>
      </c>
      <c r="D25" s="224"/>
      <c r="F25" s="185" t="s">
        <v>230</v>
      </c>
      <c r="G25" s="11"/>
      <c r="H25" s="254">
        <v>7500.0</v>
      </c>
      <c r="AG25" s="2"/>
      <c r="AH25" s="2"/>
      <c r="AI25" s="161"/>
      <c r="AJ25" s="248"/>
      <c r="AK25" s="2"/>
      <c r="AL25" s="2"/>
      <c r="AM25" s="2"/>
    </row>
    <row r="26">
      <c r="A26" s="249" t="s">
        <v>103</v>
      </c>
      <c r="B26" s="249" t="s">
        <v>104</v>
      </c>
      <c r="C26" s="249">
        <f>'Config and Summary'!C15</f>
        <v>128</v>
      </c>
      <c r="D26" s="268"/>
      <c r="F26" s="185" t="s">
        <v>231</v>
      </c>
      <c r="G26" s="11"/>
      <c r="H26" s="254">
        <v>3750.0</v>
      </c>
      <c r="AG26" s="207"/>
      <c r="AH26" s="207"/>
      <c r="AI26" s="207"/>
      <c r="AK26" s="2"/>
      <c r="AL26" s="2"/>
      <c r="AM26" s="2"/>
      <c r="AN26" s="161"/>
      <c r="AO26" s="2"/>
      <c r="AP26" s="2"/>
      <c r="AQ26" s="2"/>
      <c r="AR26" s="2"/>
      <c r="AS26" s="161"/>
      <c r="AT26" s="161"/>
    </row>
    <row r="27">
      <c r="A27" s="249" t="s">
        <v>105</v>
      </c>
      <c r="B27" s="252" t="s">
        <v>106</v>
      </c>
      <c r="C27" s="269">
        <f>'Config and Summary'!C17</f>
        <v>2048</v>
      </c>
      <c r="D27" s="270" t="s">
        <v>232</v>
      </c>
      <c r="F27" s="185" t="s">
        <v>233</v>
      </c>
      <c r="G27" s="11"/>
      <c r="H27" s="254">
        <v>1875.0</v>
      </c>
      <c r="AG27" s="207"/>
      <c r="AH27" s="207"/>
      <c r="AI27" s="207"/>
      <c r="AK27" s="2"/>
      <c r="AL27" s="2"/>
      <c r="AM27" s="2"/>
      <c r="AN27" s="161"/>
      <c r="AO27" s="2"/>
      <c r="AP27" s="2"/>
      <c r="AQ27" s="2"/>
      <c r="AR27" s="2"/>
      <c r="AS27" s="161"/>
      <c r="AT27" s="161"/>
    </row>
    <row r="28">
      <c r="A28" s="249" t="s">
        <v>110</v>
      </c>
      <c r="B28" s="253"/>
      <c r="C28" s="252">
        <f>'Config and Summary'!C18</f>
        <v>0</v>
      </c>
      <c r="D28" s="224"/>
      <c r="F28" s="185" t="s">
        <v>234</v>
      </c>
      <c r="G28" s="11"/>
      <c r="H28" s="271">
        <v>179.0</v>
      </c>
      <c r="AG28" s="207"/>
      <c r="AH28" s="207"/>
      <c r="AI28" s="207"/>
      <c r="AL28" s="2"/>
      <c r="AM28" s="2"/>
      <c r="AN28" s="161"/>
      <c r="AO28" s="2"/>
      <c r="AP28" s="2"/>
      <c r="AQ28" s="2"/>
      <c r="AR28" s="2"/>
      <c r="AS28" s="161"/>
      <c r="AT28" s="161"/>
    </row>
    <row r="29">
      <c r="A29" s="249" t="s">
        <v>111</v>
      </c>
      <c r="B29" s="253"/>
      <c r="C29" s="252">
        <f>'Config and Summary'!C19</f>
        <v>1</v>
      </c>
      <c r="D29" s="224"/>
      <c r="F29" s="185" t="s">
        <v>235</v>
      </c>
      <c r="G29" s="11"/>
      <c r="H29" s="254">
        <v>900.0</v>
      </c>
      <c r="AB29" s="181"/>
      <c r="AC29" s="181"/>
      <c r="AD29" s="181"/>
      <c r="AE29" s="181"/>
      <c r="AM29" s="222"/>
      <c r="AN29" s="218"/>
      <c r="AO29" s="222"/>
      <c r="AP29" s="222"/>
      <c r="AQ29" s="272"/>
      <c r="AR29" s="222"/>
      <c r="AS29" s="66"/>
    </row>
    <row r="30">
      <c r="A30" s="249" t="s">
        <v>112</v>
      </c>
      <c r="B30" s="252" t="s">
        <v>113</v>
      </c>
      <c r="C30" s="273" t="b">
        <f>'Config and Summary'!C20</f>
        <v>1</v>
      </c>
      <c r="D30" s="274"/>
      <c r="F30" s="11" t="s">
        <v>236</v>
      </c>
      <c r="G30" s="11"/>
      <c r="H30" s="275">
        <v>900.0</v>
      </c>
      <c r="AB30" s="181"/>
      <c r="AC30" s="181"/>
      <c r="AD30" s="181"/>
      <c r="AE30" s="181"/>
      <c r="AM30" s="222"/>
      <c r="AN30" s="218"/>
      <c r="AO30" s="222"/>
      <c r="AP30" s="222"/>
      <c r="AQ30" s="272"/>
      <c r="AR30" s="222"/>
      <c r="AS30" s="66"/>
    </row>
    <row r="31">
      <c r="A31" s="9" t="s">
        <v>114</v>
      </c>
      <c r="B31" s="9" t="s">
        <v>115</v>
      </c>
      <c r="C31" s="273" t="b">
        <f>'Config and Summary'!C21</f>
        <v>1</v>
      </c>
      <c r="D31" s="274"/>
      <c r="F31" s="182" t="s">
        <v>237</v>
      </c>
      <c r="G31" s="11"/>
      <c r="H31" s="182">
        <v>0.0</v>
      </c>
      <c r="AM31" s="222"/>
      <c r="AN31" s="218"/>
      <c r="AO31" s="218"/>
      <c r="AP31" s="218"/>
      <c r="AQ31" s="218"/>
      <c r="AR31" s="222"/>
      <c r="AT31" s="228"/>
    </row>
    <row r="32">
      <c r="A32" s="262" t="s">
        <v>238</v>
      </c>
      <c r="B32" s="263"/>
      <c r="C32" s="264"/>
      <c r="D32" s="265"/>
      <c r="F32" s="182" t="s">
        <v>239</v>
      </c>
      <c r="G32" s="11"/>
      <c r="H32" s="182">
        <v>1.0</v>
      </c>
      <c r="AM32" s="222"/>
      <c r="AN32" s="218"/>
      <c r="AO32" s="218"/>
      <c r="AP32" s="218"/>
      <c r="AQ32" s="218"/>
      <c r="AR32" s="222"/>
      <c r="AT32" s="228"/>
    </row>
    <row r="33">
      <c r="A33" s="249" t="s">
        <v>123</v>
      </c>
      <c r="B33" s="252" t="s">
        <v>124</v>
      </c>
      <c r="C33" s="273" t="str">
        <f>'Config and Summary'!C27</f>
        <v>fp8</v>
      </c>
      <c r="D33" s="276"/>
      <c r="AM33" s="222"/>
      <c r="AN33" s="218"/>
      <c r="AO33" s="218"/>
      <c r="AP33" s="222"/>
      <c r="AQ33" s="222"/>
      <c r="AR33" s="222"/>
    </row>
    <row r="34">
      <c r="A34" s="249" t="s">
        <v>126</v>
      </c>
      <c r="B34" s="244" t="s">
        <v>127</v>
      </c>
      <c r="C34" s="277" t="str">
        <f>'Config and Summary'!C28</f>
        <v>w8a8</v>
      </c>
      <c r="D34" s="276"/>
      <c r="AM34" s="222"/>
      <c r="AN34" s="218"/>
      <c r="AO34" s="218"/>
      <c r="AP34" s="222"/>
      <c r="AQ34" s="222"/>
      <c r="AR34" s="222"/>
    </row>
    <row r="35">
      <c r="A35" s="249" t="s">
        <v>129</v>
      </c>
      <c r="B35" s="244" t="s">
        <v>130</v>
      </c>
      <c r="C35" s="277" t="str">
        <f>'Config and Summary'!C29</f>
        <v>w8a8</v>
      </c>
      <c r="D35" s="276"/>
      <c r="AM35" s="222"/>
      <c r="AN35" s="218"/>
      <c r="AO35" s="218"/>
      <c r="AP35" s="222"/>
      <c r="AQ35" s="222"/>
      <c r="AR35" s="222"/>
    </row>
    <row r="36">
      <c r="A36" s="249" t="s">
        <v>131</v>
      </c>
      <c r="B36" s="244" t="s">
        <v>132</v>
      </c>
      <c r="C36" s="273" t="str">
        <f>'Config and Summary'!C30</f>
        <v>bf16</v>
      </c>
      <c r="D36" s="276"/>
      <c r="AM36" s="222"/>
      <c r="AN36" s="218"/>
      <c r="AO36" s="218"/>
      <c r="AP36" s="222"/>
      <c r="AQ36" s="222"/>
      <c r="AR36" s="222"/>
    </row>
    <row r="37">
      <c r="A37" s="249" t="s">
        <v>134</v>
      </c>
      <c r="B37" s="244" t="s">
        <v>135</v>
      </c>
      <c r="C37" s="273" t="str">
        <f>'Config and Summary'!C31</f>
        <v>bf16</v>
      </c>
      <c r="D37" s="276"/>
      <c r="AM37" s="222"/>
      <c r="AN37" s="218"/>
      <c r="AO37" s="218"/>
      <c r="AP37" s="222"/>
      <c r="AQ37" s="222"/>
      <c r="AR37" s="222"/>
    </row>
    <row r="38">
      <c r="A38" s="249" t="s">
        <v>136</v>
      </c>
      <c r="B38" s="244" t="s">
        <v>137</v>
      </c>
      <c r="C38" s="273" t="str">
        <f>'Config and Summary'!C32</f>
        <v>fp8</v>
      </c>
      <c r="D38" s="276"/>
      <c r="AM38" s="222"/>
      <c r="AN38" s="218"/>
      <c r="AO38" s="218"/>
      <c r="AP38" s="222"/>
      <c r="AQ38" s="222"/>
      <c r="AR38" s="222"/>
    </row>
    <row r="39">
      <c r="A39" s="9" t="s">
        <v>138</v>
      </c>
      <c r="B39" s="244" t="s">
        <v>139</v>
      </c>
      <c r="C39" s="277" t="str">
        <f>'Config and Summary'!C33</f>
        <v>w8a8</v>
      </c>
      <c r="D39" s="276"/>
      <c r="AM39" s="222"/>
      <c r="AN39" s="218"/>
      <c r="AO39" s="218"/>
      <c r="AP39" s="222"/>
      <c r="AQ39" s="222"/>
      <c r="AR39" s="222"/>
    </row>
    <row r="40">
      <c r="A40" s="249" t="s">
        <v>140</v>
      </c>
      <c r="B40" s="244" t="s">
        <v>141</v>
      </c>
      <c r="C40" s="273" t="str">
        <f>'Config and Summary'!C34</f>
        <v>bf16</v>
      </c>
      <c r="D40" s="276"/>
      <c r="AM40" s="222"/>
      <c r="AN40" s="218"/>
      <c r="AO40" s="218"/>
      <c r="AP40" s="222"/>
      <c r="AQ40" s="222"/>
      <c r="AR40" s="222"/>
    </row>
    <row r="41">
      <c r="A41" s="181"/>
      <c r="B41" s="278"/>
      <c r="C41" s="278"/>
      <c r="D41" s="278"/>
      <c r="AM41" s="222"/>
      <c r="AN41" s="218"/>
      <c r="AO41" s="218"/>
      <c r="AP41" s="222"/>
      <c r="AQ41" s="222"/>
      <c r="AR41" s="222"/>
    </row>
    <row r="42">
      <c r="A42" s="199" t="s">
        <v>94</v>
      </c>
      <c r="B42" s="185" t="s">
        <v>240</v>
      </c>
      <c r="C42" s="182" t="b">
        <f>'Config and Summary'!C5</f>
        <v>1</v>
      </c>
      <c r="AG42" s="2"/>
      <c r="AH42" s="2"/>
      <c r="AI42" s="2"/>
      <c r="AJ42" s="2"/>
      <c r="AK42" s="2"/>
      <c r="AL42" s="2"/>
      <c r="AM42" s="247"/>
      <c r="AN42" s="247"/>
      <c r="AO42" s="279"/>
      <c r="AP42" s="222"/>
      <c r="AQ42" s="247"/>
      <c r="AR42" s="247"/>
      <c r="AT42" s="280"/>
    </row>
    <row r="43" ht="27.0" customHeight="1">
      <c r="A43" s="281"/>
      <c r="AG43" s="2"/>
      <c r="AH43" s="2"/>
      <c r="AI43" s="2"/>
      <c r="AJ43" s="2"/>
      <c r="AK43" s="2"/>
      <c r="AL43" s="2"/>
      <c r="AM43" s="247"/>
      <c r="AN43" s="247"/>
      <c r="AO43" s="279"/>
      <c r="AP43" s="222"/>
      <c r="AQ43" s="247"/>
      <c r="AR43" s="247"/>
      <c r="AT43" s="280"/>
    </row>
    <row r="44" ht="27.0" customHeight="1">
      <c r="A44" s="281" t="s">
        <v>241</v>
      </c>
      <c r="AG44" s="2"/>
      <c r="AH44" s="2"/>
      <c r="AI44" s="2"/>
      <c r="AJ44" s="2"/>
      <c r="AK44" s="2"/>
      <c r="AL44" s="2"/>
      <c r="AM44" s="247"/>
      <c r="AN44" s="247"/>
      <c r="AO44" s="279"/>
      <c r="AP44" s="222"/>
      <c r="AQ44" s="247"/>
      <c r="AR44" s="247"/>
      <c r="AT44" s="280"/>
    </row>
    <row r="45" ht="30.0" customHeight="1">
      <c r="A45" s="282" t="s">
        <v>242</v>
      </c>
      <c r="B45" s="282" t="str">
        <f> "Value (" &amp; H17 &amp; ")"</f>
        <v>Value (GB200 Derated)</v>
      </c>
      <c r="D45" s="4"/>
      <c r="E45" s="4"/>
      <c r="F45" s="4"/>
      <c r="G45" s="4"/>
      <c r="H45" s="4"/>
      <c r="I45" s="4"/>
      <c r="J45" s="4"/>
      <c r="K45" s="4"/>
      <c r="L45" s="4"/>
      <c r="M45" s="4"/>
      <c r="N45" s="4"/>
      <c r="O45" s="4"/>
      <c r="P45" s="283"/>
      <c r="Q45" s="4"/>
      <c r="R45" s="4"/>
      <c r="S45" s="4"/>
      <c r="T45" s="4"/>
      <c r="U45" s="4"/>
      <c r="V45" s="4"/>
      <c r="W45" s="4"/>
      <c r="X45" s="4"/>
      <c r="Y45" s="4"/>
      <c r="Z45" s="4"/>
      <c r="AA45" s="4"/>
      <c r="AB45" s="4"/>
      <c r="AC45" s="4"/>
      <c r="AD45" s="4"/>
      <c r="AE45" s="4"/>
      <c r="AF45" s="4"/>
      <c r="AG45" s="284"/>
      <c r="AH45" s="284"/>
      <c r="AI45" s="284"/>
      <c r="AJ45" s="284"/>
      <c r="AK45" s="284"/>
      <c r="AL45" s="284"/>
      <c r="AM45" s="285"/>
      <c r="AN45" s="285"/>
      <c r="AO45" s="286"/>
      <c r="AP45" s="104"/>
      <c r="AQ45" s="285"/>
      <c r="AR45" s="285"/>
      <c r="AS45" s="4"/>
      <c r="AT45" s="287"/>
    </row>
    <row r="46" ht="15.0" customHeight="1">
      <c r="A46" s="185" t="s">
        <v>76</v>
      </c>
      <c r="B46" s="271">
        <f>$C26*$C25</f>
        <v>128</v>
      </c>
      <c r="P46" s="227"/>
      <c r="AG46" s="2"/>
      <c r="AH46" s="2"/>
      <c r="AI46" s="2"/>
      <c r="AJ46" s="2"/>
      <c r="AK46" s="2"/>
      <c r="AL46" s="2"/>
      <c r="AM46" s="247"/>
      <c r="AN46" s="247"/>
      <c r="AO46" s="279"/>
      <c r="AP46" s="222"/>
      <c r="AQ46" s="247"/>
      <c r="AR46" s="247"/>
      <c r="AT46" s="280"/>
    </row>
    <row r="47" ht="15.0" customHeight="1">
      <c r="A47" s="185" t="s">
        <v>243</v>
      </c>
      <c r="B47" s="288">
        <f>G10</f>
        <v>8</v>
      </c>
      <c r="P47" s="227"/>
      <c r="AG47" s="2"/>
      <c r="AH47" s="2"/>
      <c r="AI47" s="2"/>
      <c r="AJ47" s="2"/>
      <c r="AK47" s="2"/>
      <c r="AL47" s="2"/>
      <c r="AM47" s="247"/>
      <c r="AN47" s="247"/>
      <c r="AO47" s="279"/>
      <c r="AP47" s="222"/>
      <c r="AQ47" s="247"/>
      <c r="AR47" s="247"/>
      <c r="AT47" s="280"/>
    </row>
    <row r="48" ht="15.0" customHeight="1">
      <c r="A48" s="185" t="s">
        <v>146</v>
      </c>
      <c r="B48" s="289">
        <f>$G$76/1000 * $C$6</f>
        <v>0.01302977267</v>
      </c>
      <c r="P48" s="227"/>
      <c r="AG48" s="2"/>
      <c r="AH48" s="2"/>
      <c r="AI48" s="2"/>
      <c r="AJ48" s="2"/>
      <c r="AK48" s="2"/>
      <c r="AL48" s="2"/>
      <c r="AM48" s="247"/>
      <c r="AN48" s="247"/>
      <c r="AO48" s="279"/>
      <c r="AP48" s="222"/>
      <c r="AQ48" s="247"/>
      <c r="AR48" s="247"/>
      <c r="AT48" s="280"/>
    </row>
    <row r="49" ht="15.0" customHeight="1">
      <c r="A49" s="185" t="s">
        <v>147</v>
      </c>
      <c r="B49" s="271">
        <f>$B$46/$B$48</f>
        <v>9823.655655</v>
      </c>
      <c r="P49" s="227"/>
      <c r="AG49" s="2"/>
      <c r="AH49" s="2"/>
      <c r="AI49" s="2"/>
      <c r="AJ49" s="2"/>
      <c r="AK49" s="2"/>
      <c r="AL49" s="2"/>
      <c r="AM49" s="247"/>
      <c r="AN49" s="247"/>
      <c r="AO49" s="279"/>
      <c r="AP49" s="222"/>
      <c r="AQ49" s="247"/>
      <c r="AR49" s="247"/>
      <c r="AT49" s="280"/>
    </row>
    <row r="50" ht="15.0" customHeight="1">
      <c r="A50" s="185" t="s">
        <v>148</v>
      </c>
      <c r="B50" s="193">
        <f>B46/(B48*(1+C28))*C29</f>
        <v>9823.655655</v>
      </c>
      <c r="P50" s="227"/>
      <c r="AG50" s="2"/>
      <c r="AH50" s="2"/>
      <c r="AI50" s="2"/>
      <c r="AJ50" s="2"/>
      <c r="AK50" s="2"/>
      <c r="AL50" s="2"/>
      <c r="AM50" s="247"/>
      <c r="AN50" s="247"/>
      <c r="AO50" s="279"/>
      <c r="AP50" s="222"/>
      <c r="AQ50" s="247"/>
      <c r="AR50" s="247"/>
      <c r="AT50" s="280"/>
    </row>
    <row r="51" ht="15.0" customHeight="1">
      <c r="A51" s="185" t="s">
        <v>149</v>
      </c>
      <c r="B51" s="193">
        <f>B50/$G$11</f>
        <v>1227.956957</v>
      </c>
      <c r="P51" s="227"/>
      <c r="AG51" s="2"/>
      <c r="AH51" s="2"/>
      <c r="AI51" s="2"/>
      <c r="AJ51" s="2"/>
      <c r="AK51" s="2"/>
      <c r="AL51" s="2"/>
      <c r="AM51" s="247"/>
      <c r="AN51" s="247"/>
      <c r="AO51" s="279"/>
      <c r="AP51" s="222"/>
      <c r="AQ51" s="247"/>
      <c r="AR51" s="247"/>
      <c r="AT51" s="280"/>
    </row>
    <row r="52" ht="15.0" customHeight="1">
      <c r="P52" s="227"/>
      <c r="AG52" s="2"/>
      <c r="AH52" s="2"/>
      <c r="AI52" s="2"/>
      <c r="AJ52" s="2"/>
      <c r="AK52" s="2"/>
      <c r="AL52" s="2"/>
      <c r="AM52" s="247"/>
      <c r="AN52" s="247"/>
      <c r="AO52" s="279"/>
      <c r="AP52" s="222"/>
      <c r="AQ52" s="247"/>
      <c r="AR52" s="247"/>
      <c r="AT52" s="280"/>
    </row>
    <row r="53" ht="15.0" customHeight="1">
      <c r="G53" s="67">
        <f>sum(G57:G60)+G67+G69</f>
        <v>0.02491765552</v>
      </c>
      <c r="P53" s="227"/>
      <c r="AG53" s="2"/>
      <c r="AH53" s="2"/>
      <c r="AI53" s="2"/>
      <c r="AJ53" s="2"/>
      <c r="AK53" s="2"/>
      <c r="AL53" s="2"/>
      <c r="AM53" s="247"/>
      <c r="AN53" s="247"/>
      <c r="AO53" s="279"/>
      <c r="AP53" s="222"/>
      <c r="AQ53" s="247"/>
      <c r="AR53" s="247"/>
      <c r="AT53" s="280"/>
    </row>
    <row r="54">
      <c r="A54" s="281"/>
      <c r="B54" s="281"/>
      <c r="D54" s="181"/>
      <c r="E54" s="181"/>
      <c r="F54" s="181"/>
      <c r="G54" s="181"/>
      <c r="AM54" s="222"/>
      <c r="AN54" s="218"/>
      <c r="AO54" s="218"/>
      <c r="AP54" s="218"/>
      <c r="AQ54" s="218"/>
      <c r="AR54" s="222"/>
      <c r="AT54" s="280"/>
    </row>
    <row r="55">
      <c r="A55" s="281" t="s">
        <v>244</v>
      </c>
      <c r="B55" s="281"/>
      <c r="D55" s="181"/>
      <c r="E55" s="181"/>
      <c r="F55" s="181"/>
      <c r="G55" s="181"/>
      <c r="AM55" s="222"/>
      <c r="AN55" s="218"/>
      <c r="AO55" s="218"/>
      <c r="AP55" s="218"/>
      <c r="AQ55" s="218"/>
      <c r="AR55" s="222"/>
      <c r="AT55" s="280"/>
    </row>
    <row r="56">
      <c r="A56" s="290" t="s">
        <v>245</v>
      </c>
      <c r="B56" s="290" t="s">
        <v>246</v>
      </c>
      <c r="C56" s="290" t="s">
        <v>247</v>
      </c>
      <c r="D56" s="290" t="s">
        <v>248</v>
      </c>
      <c r="E56" s="290" t="s">
        <v>249</v>
      </c>
      <c r="F56" s="290" t="s">
        <v>250</v>
      </c>
      <c r="G56" s="290" t="s">
        <v>251</v>
      </c>
      <c r="H56" s="290" t="s">
        <v>252</v>
      </c>
      <c r="I56" s="291"/>
      <c r="J56" s="290" t="s">
        <v>253</v>
      </c>
      <c r="K56" s="290" t="s">
        <v>254</v>
      </c>
      <c r="AG56" s="207"/>
      <c r="AH56" s="207"/>
      <c r="AI56" s="2"/>
      <c r="AJ56" s="2"/>
      <c r="AK56" s="2"/>
      <c r="AL56" s="2"/>
      <c r="AM56" s="247"/>
      <c r="AN56" s="279"/>
      <c r="AO56" s="279"/>
      <c r="AP56" s="292"/>
      <c r="AQ56" s="279"/>
      <c r="AR56" s="247"/>
      <c r="AS56" s="66"/>
      <c r="AT56" s="280"/>
    </row>
    <row r="57">
      <c r="A57" s="293" t="s">
        <v>29</v>
      </c>
      <c r="B57" s="294" t="s">
        <v>255</v>
      </c>
      <c r="C57" s="295">
        <f>$H$141</f>
        <v>0.001445346408</v>
      </c>
      <c r="D57" s="295">
        <f>$H$139</f>
        <v>0.0000939524096</v>
      </c>
      <c r="E57" s="296">
        <f>$H$136</f>
        <v>0</v>
      </c>
      <c r="F57" s="295">
        <f>H134</f>
        <v>0</v>
      </c>
      <c r="G57" s="295">
        <f t="shared" ref="G57:G61" si="3">IF(K57,max(C57:F57),
max(C57:D57)+max(E57:F57))</f>
        <v>0.001445346408</v>
      </c>
      <c r="H57" s="297" t="str">
        <f t="shared" ref="H57:H73" si="4">LET(maxtime, MAX(C57:F57),
 IFS(maxtime=0, "", C57=maxtime, "HBM", D57=maxtime, "Compute", E57=maxtime, "ICI Lt", F57=maxtime, "ICI BW"))</f>
        <v>HBM</v>
      </c>
      <c r="I57" s="298"/>
      <c r="J57" s="299">
        <f t="shared" ref="J57:J63" si="5">G57/$G$74</f>
        <v>0.006766513364</v>
      </c>
      <c r="K57" s="300" t="b">
        <v>1</v>
      </c>
      <c r="P57" s="301"/>
      <c r="AG57" s="2"/>
      <c r="AH57" s="2"/>
      <c r="AI57" s="207"/>
      <c r="AJ57" s="2"/>
      <c r="AK57" s="2"/>
      <c r="AL57" s="2"/>
      <c r="AM57" s="247"/>
      <c r="AN57" s="218"/>
      <c r="AO57" s="218"/>
      <c r="AP57" s="218"/>
      <c r="AQ57" s="218"/>
      <c r="AR57" s="247"/>
      <c r="AT57" s="280"/>
    </row>
    <row r="58">
      <c r="A58" s="293" t="s">
        <v>29</v>
      </c>
      <c r="B58" s="294" t="s">
        <v>32</v>
      </c>
      <c r="C58" s="295">
        <f>$H$168</f>
        <v>0.004987716675</v>
      </c>
      <c r="D58" s="295">
        <f>$H$166</f>
        <v>0.0003221225472</v>
      </c>
      <c r="E58" s="297"/>
      <c r="F58" s="295">
        <f>H163</f>
        <v>0</v>
      </c>
      <c r="G58" s="295">
        <f t="shared" si="3"/>
        <v>0.004987716675</v>
      </c>
      <c r="H58" s="297" t="str">
        <f t="shared" si="4"/>
        <v>HBM</v>
      </c>
      <c r="I58" s="298"/>
      <c r="J58" s="299">
        <f t="shared" si="5"/>
        <v>0.02335042405</v>
      </c>
      <c r="K58" s="300" t="b">
        <v>1</v>
      </c>
      <c r="P58" s="227"/>
      <c r="AG58" s="2"/>
      <c r="AH58" s="2"/>
      <c r="AI58" s="2"/>
      <c r="AJ58" s="2"/>
      <c r="AK58" s="2"/>
      <c r="AL58" s="2"/>
      <c r="AM58" s="247"/>
      <c r="AN58" s="247"/>
      <c r="AO58" s="279"/>
      <c r="AP58" s="222"/>
      <c r="AQ58" s="247"/>
      <c r="AR58" s="247"/>
      <c r="AT58" s="280"/>
    </row>
    <row r="59">
      <c r="A59" s="293" t="s">
        <v>29</v>
      </c>
      <c r="B59" s="294" t="s">
        <v>34</v>
      </c>
      <c r="C59" s="295">
        <f>$H$187</f>
        <v>0.001390245226</v>
      </c>
      <c r="D59" s="295">
        <f>$H$185</f>
        <v>0.00007158278827</v>
      </c>
      <c r="E59" s="297"/>
      <c r="F59" s="295"/>
      <c r="G59" s="295">
        <f t="shared" si="3"/>
        <v>0.001390245226</v>
      </c>
      <c r="H59" s="297" t="str">
        <f t="shared" si="4"/>
        <v>HBM</v>
      </c>
      <c r="I59" s="298"/>
      <c r="J59" s="299">
        <f t="shared" si="5"/>
        <v>0.006508552444</v>
      </c>
      <c r="K59" s="300"/>
      <c r="P59" s="227"/>
      <c r="AG59" s="2"/>
      <c r="AH59" s="2"/>
      <c r="AI59" s="2"/>
      <c r="AJ59" s="2"/>
      <c r="AK59" s="2"/>
      <c r="AL59" s="2"/>
      <c r="AM59" s="247"/>
      <c r="AN59" s="218"/>
      <c r="AO59" s="218"/>
      <c r="AP59" s="218"/>
      <c r="AQ59" s="218"/>
      <c r="AR59" s="247"/>
      <c r="AT59" s="280"/>
    </row>
    <row r="60">
      <c r="A60" s="293" t="s">
        <v>29</v>
      </c>
      <c r="B60" s="294" t="s">
        <v>256</v>
      </c>
      <c r="C60" s="295">
        <f>$H$206</f>
        <v>0.0005512767368</v>
      </c>
      <c r="D60" s="295">
        <f>$H$204</f>
        <v>0.0000352321536</v>
      </c>
      <c r="E60" s="297"/>
      <c r="F60" s="295"/>
      <c r="G60" s="295">
        <f t="shared" si="3"/>
        <v>0.0005512767368</v>
      </c>
      <c r="H60" s="297" t="str">
        <f t="shared" si="4"/>
        <v>HBM</v>
      </c>
      <c r="I60" s="298"/>
      <c r="J60" s="299">
        <f t="shared" si="5"/>
        <v>0.002580849397</v>
      </c>
      <c r="K60" s="300"/>
      <c r="P60" s="227"/>
      <c r="AM60" s="222"/>
      <c r="AO60" s="222"/>
      <c r="AP60" s="222"/>
      <c r="AQ60" s="222"/>
      <c r="AR60" s="247"/>
      <c r="AS60" s="66"/>
      <c r="AT60" s="280"/>
    </row>
    <row r="61">
      <c r="A61" s="293" t="s">
        <v>29</v>
      </c>
      <c r="B61" s="294" t="s">
        <v>257</v>
      </c>
      <c r="C61" s="295"/>
      <c r="D61" s="295"/>
      <c r="E61" s="297"/>
      <c r="F61" s="295">
        <f>$H$236</f>
        <v>0</v>
      </c>
      <c r="G61" s="295">
        <f t="shared" si="3"/>
        <v>0</v>
      </c>
      <c r="H61" s="297" t="str">
        <f t="shared" si="4"/>
        <v/>
      </c>
      <c r="I61" s="298"/>
      <c r="J61" s="299">
        <f t="shared" si="5"/>
        <v>0</v>
      </c>
      <c r="K61" s="300"/>
      <c r="P61" s="227"/>
      <c r="R61" s="203"/>
      <c r="S61" s="203"/>
      <c r="T61" s="203"/>
      <c r="U61" s="203"/>
      <c r="V61" s="203"/>
      <c r="W61" s="2"/>
      <c r="AM61" s="222"/>
      <c r="AO61" s="218"/>
      <c r="AP61" s="218"/>
      <c r="AQ61" s="218"/>
      <c r="AR61" s="247"/>
      <c r="AT61" s="280"/>
    </row>
    <row r="62">
      <c r="A62" s="293" t="s">
        <v>29</v>
      </c>
      <c r="B62" s="302" t="s">
        <v>258</v>
      </c>
      <c r="C62" s="295">
        <f t="shared" ref="C62:D62" si="6">SUM(C64:C66)</f>
        <v>0.003017849392</v>
      </c>
      <c r="D62" s="295">
        <f t="shared" si="6"/>
        <v>0.004867629602</v>
      </c>
      <c r="E62" s="297"/>
      <c r="F62" s="295"/>
      <c r="G62" s="295">
        <f>IF(PARAMS("flash_attn"),MAX(C62:F62),0)</f>
        <v>0.004867629602</v>
      </c>
      <c r="H62" s="297" t="str">
        <f t="shared" si="4"/>
        <v>Compute</v>
      </c>
      <c r="I62" s="298"/>
      <c r="J62" s="299">
        <f t="shared" si="5"/>
        <v>0.0227882261</v>
      </c>
      <c r="K62" s="300"/>
      <c r="P62" s="227"/>
      <c r="R62" s="203"/>
      <c r="S62" s="203"/>
      <c r="T62" s="203"/>
      <c r="U62" s="203"/>
      <c r="V62" s="203"/>
      <c r="W62" s="2"/>
      <c r="AM62" s="222"/>
      <c r="AO62" s="218"/>
      <c r="AP62" s="218"/>
      <c r="AQ62" s="218"/>
      <c r="AR62" s="247"/>
      <c r="AT62" s="280"/>
    </row>
    <row r="63">
      <c r="A63" s="293" t="s">
        <v>29</v>
      </c>
      <c r="B63" s="302" t="s">
        <v>259</v>
      </c>
      <c r="C63" s="295"/>
      <c r="D63" s="295"/>
      <c r="E63" s="297"/>
      <c r="F63" s="295"/>
      <c r="G63" s="295">
        <f>IF(PARAMS("flash_attn"),0,SUM(G64:G66))</f>
        <v>0</v>
      </c>
      <c r="H63" s="297" t="str">
        <f t="shared" si="4"/>
        <v/>
      </c>
      <c r="I63" s="298"/>
      <c r="J63" s="299">
        <f t="shared" si="5"/>
        <v>0</v>
      </c>
      <c r="K63" s="300"/>
      <c r="P63" s="227"/>
      <c r="R63" s="203"/>
      <c r="S63" s="203"/>
      <c r="T63" s="203"/>
      <c r="U63" s="203"/>
      <c r="V63" s="203"/>
      <c r="W63" s="2"/>
      <c r="AM63" s="222"/>
      <c r="AO63" s="218"/>
      <c r="AP63" s="218"/>
      <c r="AQ63" s="218"/>
      <c r="AR63" s="247"/>
      <c r="AT63" s="280"/>
    </row>
    <row r="64">
      <c r="A64" s="293" t="s">
        <v>29</v>
      </c>
      <c r="B64" s="294" t="s">
        <v>260</v>
      </c>
      <c r="C64" s="295">
        <f>$H$255</f>
        <v>0.00244140625</v>
      </c>
      <c r="D64" s="295">
        <f>$H$253</f>
        <v>0.002290649225</v>
      </c>
      <c r="E64" s="297"/>
      <c r="F64" s="295"/>
      <c r="G64" s="295">
        <f t="shared" ref="G64:G66" si="7">max(C64:F64)</f>
        <v>0.00244140625</v>
      </c>
      <c r="H64" s="297" t="str">
        <f t="shared" si="4"/>
        <v>HBM</v>
      </c>
      <c r="I64" s="298"/>
      <c r="J64" s="299"/>
      <c r="K64" s="300"/>
      <c r="P64" s="227"/>
      <c r="R64" s="203"/>
      <c r="S64" s="203"/>
      <c r="T64" s="203"/>
      <c r="U64" s="203"/>
      <c r="V64" s="203"/>
      <c r="W64" s="2"/>
      <c r="AM64" s="222"/>
      <c r="AO64" s="218"/>
      <c r="AP64" s="218"/>
      <c r="AQ64" s="218"/>
      <c r="AR64" s="247"/>
      <c r="AT64" s="280"/>
    </row>
    <row r="65">
      <c r="A65" s="293" t="s">
        <v>29</v>
      </c>
      <c r="B65" s="294" t="s">
        <v>261</v>
      </c>
      <c r="C65" s="295">
        <f>$H$274</f>
        <v>0.0003051757813</v>
      </c>
      <c r="D65" s="295">
        <f>$H$272</f>
        <v>0.0002863311531</v>
      </c>
      <c r="E65" s="297"/>
      <c r="F65" s="295"/>
      <c r="G65" s="295">
        <f t="shared" si="7"/>
        <v>0.0003051757813</v>
      </c>
      <c r="H65" s="297" t="str">
        <f t="shared" si="4"/>
        <v>HBM</v>
      </c>
      <c r="I65" s="298"/>
      <c r="J65" s="299"/>
      <c r="K65" s="300"/>
      <c r="P65" s="227"/>
      <c r="R65" s="303"/>
      <c r="S65" s="303"/>
      <c r="T65" s="303"/>
      <c r="U65" s="303"/>
      <c r="V65" s="303"/>
      <c r="W65" s="2"/>
      <c r="AM65" s="222"/>
      <c r="AN65" s="218"/>
      <c r="AO65" s="222"/>
      <c r="AP65" s="222"/>
      <c r="AQ65" s="218"/>
      <c r="AR65" s="247"/>
      <c r="AT65" s="280"/>
    </row>
    <row r="66">
      <c r="A66" s="293" t="s">
        <v>29</v>
      </c>
      <c r="B66" s="294" t="s">
        <v>262</v>
      </c>
      <c r="C66" s="295">
        <f>$H$293</f>
        <v>0.0002712673611</v>
      </c>
      <c r="D66" s="295">
        <f>$H$291</f>
        <v>0.002290649225</v>
      </c>
      <c r="E66" s="297"/>
      <c r="F66" s="295"/>
      <c r="G66" s="295">
        <f t="shared" si="7"/>
        <v>0.002290649225</v>
      </c>
      <c r="H66" s="297" t="str">
        <f t="shared" si="4"/>
        <v>Compute</v>
      </c>
      <c r="I66" s="298"/>
      <c r="J66" s="299"/>
      <c r="K66" s="300"/>
      <c r="P66" s="227"/>
      <c r="R66" s="303"/>
      <c r="S66" s="303"/>
      <c r="T66" s="303"/>
      <c r="U66" s="303"/>
      <c r="V66" s="303"/>
      <c r="W66" s="2"/>
      <c r="AM66" s="222"/>
      <c r="AN66" s="218"/>
      <c r="AO66" s="218"/>
      <c r="AP66" s="218"/>
      <c r="AQ66" s="218"/>
      <c r="AR66" s="247"/>
      <c r="AT66" s="280"/>
    </row>
    <row r="67">
      <c r="A67" s="293" t="s">
        <v>29</v>
      </c>
      <c r="B67" s="294" t="s">
        <v>38</v>
      </c>
      <c r="C67" s="295">
        <f>H312</f>
        <v>0.001288519965</v>
      </c>
      <c r="D67" s="295">
        <f>H310</f>
        <v>0.00007158278827</v>
      </c>
      <c r="E67" s="297"/>
      <c r="F67" s="295"/>
      <c r="G67" s="295">
        <f t="shared" ref="G67:G73" si="8">IF(K67,max(C67:F67),
max(C67:D67)+max(E67:F67))</f>
        <v>0.001288519965</v>
      </c>
      <c r="H67" s="297" t="str">
        <f t="shared" si="4"/>
        <v>HBM</v>
      </c>
      <c r="I67" s="298"/>
      <c r="J67" s="299">
        <f t="shared" ref="J67:J74" si="9">G67/$G$74</f>
        <v>0.006032316899</v>
      </c>
      <c r="K67" s="300" t="b">
        <v>1</v>
      </c>
      <c r="P67" s="227"/>
      <c r="R67" s="303"/>
      <c r="S67" s="303"/>
      <c r="T67" s="303"/>
      <c r="U67" s="303"/>
      <c r="V67" s="303"/>
      <c r="W67" s="304"/>
      <c r="AK67" s="280"/>
      <c r="AM67" s="222"/>
      <c r="AN67" s="218"/>
      <c r="AO67" s="218"/>
      <c r="AP67" s="218"/>
      <c r="AQ67" s="218"/>
      <c r="AR67" s="247"/>
      <c r="AT67" s="280"/>
    </row>
    <row r="68">
      <c r="A68" s="293" t="s">
        <v>29</v>
      </c>
      <c r="B68" s="302" t="s">
        <v>263</v>
      </c>
      <c r="C68" s="295"/>
      <c r="D68" s="295"/>
      <c r="E68" s="297"/>
      <c r="F68" s="295">
        <f>$G$327</f>
        <v>0</v>
      </c>
      <c r="G68" s="295">
        <f t="shared" si="8"/>
        <v>0</v>
      </c>
      <c r="H68" s="297" t="str">
        <f t="shared" si="4"/>
        <v/>
      </c>
      <c r="I68" s="298"/>
      <c r="J68" s="299">
        <f t="shared" si="9"/>
        <v>0</v>
      </c>
      <c r="K68" s="300"/>
      <c r="P68" s="227"/>
      <c r="R68" s="303"/>
      <c r="S68" s="303"/>
      <c r="T68" s="303"/>
      <c r="U68" s="305"/>
      <c r="V68" s="305"/>
      <c r="W68" s="2"/>
      <c r="AK68" s="306"/>
      <c r="AL68" s="307"/>
      <c r="AM68" s="247"/>
      <c r="AN68" s="218"/>
      <c r="AO68" s="218"/>
      <c r="AP68" s="218"/>
      <c r="AQ68" s="218"/>
      <c r="AR68" s="247"/>
      <c r="AT68" s="280"/>
    </row>
    <row r="69">
      <c r="A69" s="293" t="s">
        <v>29</v>
      </c>
      <c r="B69" s="294" t="s">
        <v>40</v>
      </c>
      <c r="C69" s="295">
        <f>H354</f>
        <v>0.01525455051</v>
      </c>
      <c r="D69" s="295">
        <f>H352</f>
        <v>0.001002159036</v>
      </c>
      <c r="E69" s="297"/>
      <c r="F69" s="295">
        <f>$H$349</f>
        <v>0</v>
      </c>
      <c r="G69" s="295">
        <f t="shared" si="8"/>
        <v>0.01525455051</v>
      </c>
      <c r="H69" s="297" t="str">
        <f t="shared" si="4"/>
        <v>HBM</v>
      </c>
      <c r="I69" s="298"/>
      <c r="J69" s="299">
        <f t="shared" si="9"/>
        <v>0.07141548855</v>
      </c>
      <c r="K69" s="300" t="b">
        <v>1</v>
      </c>
      <c r="P69" s="227"/>
      <c r="R69" s="303"/>
      <c r="S69" s="303"/>
      <c r="T69" s="303"/>
      <c r="U69" s="305"/>
      <c r="V69" s="305"/>
      <c r="W69" s="2"/>
      <c r="AK69" s="306"/>
      <c r="AL69" s="307"/>
      <c r="AM69" s="247"/>
      <c r="AN69" s="218"/>
      <c r="AO69" s="218"/>
      <c r="AP69" s="218"/>
      <c r="AQ69" s="218"/>
      <c r="AR69" s="247"/>
      <c r="AT69" s="280"/>
    </row>
    <row r="70">
      <c r="A70" s="293" t="s">
        <v>264</v>
      </c>
      <c r="B70" s="308" t="s">
        <v>44</v>
      </c>
      <c r="C70" s="295"/>
      <c r="D70" s="295"/>
      <c r="E70" s="296">
        <f>$H$406</f>
        <v>0</v>
      </c>
      <c r="F70" s="295" t="str">
        <f>$H$404</f>
        <v>N/A</v>
      </c>
      <c r="G70" s="295">
        <f t="shared" si="8"/>
        <v>0</v>
      </c>
      <c r="H70" s="297" t="str">
        <f t="shared" si="4"/>
        <v/>
      </c>
      <c r="I70" s="298"/>
      <c r="J70" s="299">
        <f t="shared" si="9"/>
        <v>0</v>
      </c>
      <c r="K70" s="300"/>
      <c r="P70" s="227"/>
      <c r="R70" s="2"/>
      <c r="S70" s="2"/>
      <c r="T70" s="2"/>
      <c r="U70" s="2"/>
      <c r="V70" s="2"/>
      <c r="W70" s="2"/>
      <c r="AM70" s="222"/>
      <c r="AN70" s="218"/>
      <c r="AO70" s="222"/>
      <c r="AP70" s="222"/>
      <c r="AQ70" s="272"/>
      <c r="AR70" s="222"/>
    </row>
    <row r="71">
      <c r="A71" s="293" t="s">
        <v>264</v>
      </c>
      <c r="B71" s="308" t="s">
        <v>46</v>
      </c>
      <c r="C71" s="295">
        <f>$H$454</f>
        <v>0.1220703125</v>
      </c>
      <c r="D71" s="295">
        <f>$H$452</f>
        <v>0.002004318071</v>
      </c>
      <c r="E71" s="297"/>
      <c r="F71" s="295">
        <f>$H$444</f>
        <v>0</v>
      </c>
      <c r="G71" s="295">
        <f t="shared" si="8"/>
        <v>0.1220703125</v>
      </c>
      <c r="H71" s="297" t="str">
        <f t="shared" si="4"/>
        <v>HBM</v>
      </c>
      <c r="I71" s="298"/>
      <c r="J71" s="299">
        <f t="shared" si="9"/>
        <v>0.5714826536</v>
      </c>
      <c r="K71" s="300" t="b">
        <v>1</v>
      </c>
      <c r="P71" s="227"/>
      <c r="R71" s="2"/>
      <c r="S71" s="2"/>
      <c r="T71" s="2"/>
      <c r="U71" s="2"/>
      <c r="V71" s="2"/>
      <c r="W71" s="309"/>
      <c r="AM71" s="222"/>
      <c r="AN71" s="218"/>
      <c r="AO71" s="218"/>
      <c r="AP71" s="218"/>
      <c r="AQ71" s="218"/>
      <c r="AR71" s="222"/>
      <c r="AT71" s="228"/>
    </row>
    <row r="72">
      <c r="A72" s="293" t="s">
        <v>264</v>
      </c>
      <c r="B72" s="308" t="s">
        <v>48</v>
      </c>
      <c r="C72" s="295">
        <f>$H$490</f>
        <v>0.06174723307</v>
      </c>
      <c r="D72" s="295">
        <f>$H$488</f>
        <v>0.001002159036</v>
      </c>
      <c r="E72" s="297"/>
      <c r="F72" s="295">
        <f>$H$479</f>
        <v>0</v>
      </c>
      <c r="G72" s="295">
        <f t="shared" si="8"/>
        <v>0.06174723307</v>
      </c>
      <c r="H72" s="297" t="str">
        <f t="shared" si="4"/>
        <v>HBM</v>
      </c>
      <c r="I72" s="298"/>
      <c r="J72" s="299">
        <f t="shared" si="9"/>
        <v>0.2890749756</v>
      </c>
      <c r="K72" s="300" t="b">
        <v>1</v>
      </c>
      <c r="P72" s="227"/>
      <c r="R72" s="2"/>
      <c r="S72" s="2"/>
      <c r="T72" s="2"/>
      <c r="U72" s="2"/>
      <c r="V72" s="2"/>
      <c r="W72" s="309"/>
      <c r="AM72" s="222"/>
      <c r="AN72" s="218"/>
      <c r="AO72" s="218"/>
      <c r="AP72" s="222"/>
      <c r="AQ72" s="222"/>
      <c r="AR72" s="222"/>
    </row>
    <row r="73">
      <c r="A73" s="293" t="s">
        <v>264</v>
      </c>
      <c r="B73" s="308" t="s">
        <v>52</v>
      </c>
      <c r="C73" s="295"/>
      <c r="D73" s="295"/>
      <c r="E73" s="296">
        <f>$H$538</f>
        <v>0</v>
      </c>
      <c r="F73" s="295" t="str">
        <f>$H$536</f>
        <v>N/A</v>
      </c>
      <c r="G73" s="295">
        <f t="shared" si="8"/>
        <v>0</v>
      </c>
      <c r="H73" s="297" t="str">
        <f t="shared" si="4"/>
        <v/>
      </c>
      <c r="I73" s="298"/>
      <c r="J73" s="299">
        <f t="shared" si="9"/>
        <v>0</v>
      </c>
      <c r="K73" s="300"/>
      <c r="P73" s="227"/>
      <c r="AM73" s="222"/>
      <c r="AN73" s="218"/>
      <c r="AO73" s="218"/>
      <c r="AP73" s="218"/>
      <c r="AQ73" s="218"/>
      <c r="AR73" s="222"/>
      <c r="AT73" s="280"/>
    </row>
    <row r="74">
      <c r="A74" s="310"/>
      <c r="B74" s="311"/>
      <c r="C74" s="311"/>
      <c r="D74" s="311"/>
      <c r="E74" s="310" t="s">
        <v>265</v>
      </c>
      <c r="F74" s="312" t="s">
        <v>121</v>
      </c>
      <c r="G74" s="313">
        <f>SUM(G57:G63,G67:G73)</f>
        <v>0.2136028307</v>
      </c>
      <c r="H74" s="311"/>
      <c r="I74" s="314"/>
      <c r="J74" s="315">
        <f t="shared" si="9"/>
        <v>1</v>
      </c>
      <c r="K74" s="298"/>
      <c r="P74" s="227"/>
      <c r="AG74" s="207"/>
      <c r="AH74" s="207"/>
      <c r="AI74" s="2"/>
      <c r="AJ74" s="2"/>
      <c r="AK74" s="2"/>
      <c r="AL74" s="2"/>
      <c r="AM74" s="247"/>
      <c r="AN74" s="279"/>
      <c r="AO74" s="279"/>
      <c r="AP74" s="292"/>
      <c r="AQ74" s="279"/>
      <c r="AR74" s="247"/>
      <c r="AT74" s="280"/>
    </row>
    <row r="75">
      <c r="A75" s="316"/>
      <c r="B75" s="311"/>
      <c r="C75" s="311"/>
      <c r="D75" s="311"/>
      <c r="E75" s="316"/>
      <c r="F75" s="312" t="s">
        <v>266</v>
      </c>
      <c r="G75" s="317">
        <f>SUM(G57:G63,G67:G69)+MAX(G70:G71)+MAX(G72:G73)</f>
        <v>0.2136028307</v>
      </c>
      <c r="H75" s="311"/>
      <c r="I75" s="314"/>
      <c r="J75" s="315"/>
      <c r="K75" s="298"/>
      <c r="P75" s="227"/>
      <c r="AG75" s="207"/>
      <c r="AH75" s="207"/>
      <c r="AI75" s="2"/>
      <c r="AJ75" s="2"/>
      <c r="AK75" s="2"/>
      <c r="AL75" s="2"/>
      <c r="AM75" s="247"/>
      <c r="AN75" s="279"/>
      <c r="AO75" s="279"/>
      <c r="AP75" s="292"/>
      <c r="AQ75" s="279"/>
      <c r="AR75" s="247"/>
      <c r="AT75" s="280"/>
    </row>
    <row r="76">
      <c r="A76" s="318" t="s">
        <v>267</v>
      </c>
      <c r="B76" s="319"/>
      <c r="C76" s="319"/>
      <c r="D76" s="319"/>
      <c r="E76" s="318" t="s">
        <v>268</v>
      </c>
      <c r="F76" s="320" t="str">
        <f>'Config and Summary'!C24</f>
        <v>OptionA. No Overlapping</v>
      </c>
      <c r="G76" s="321">
        <f>IF(F76=F74,G74,G75)</f>
        <v>0.2136028307</v>
      </c>
      <c r="H76" s="319"/>
      <c r="I76" s="322"/>
      <c r="J76" s="322"/>
      <c r="K76" s="322"/>
      <c r="P76" s="227"/>
      <c r="AG76" s="2"/>
      <c r="AH76" s="2"/>
      <c r="AI76" s="2"/>
      <c r="AJ76" s="2"/>
      <c r="AK76" s="2"/>
      <c r="AL76" s="2"/>
      <c r="AM76" s="247"/>
      <c r="AN76" s="247"/>
      <c r="AO76" s="279"/>
      <c r="AP76" s="222"/>
      <c r="AQ76" s="247"/>
      <c r="AR76" s="247"/>
      <c r="AT76" s="280"/>
    </row>
    <row r="77" ht="15.0" customHeight="1">
      <c r="P77" s="227"/>
      <c r="AG77" s="2"/>
      <c r="AH77" s="2"/>
      <c r="AI77" s="2"/>
      <c r="AJ77" s="2"/>
      <c r="AK77" s="2"/>
      <c r="AL77" s="2"/>
      <c r="AM77" s="247"/>
      <c r="AN77" s="247"/>
      <c r="AO77" s="279"/>
      <c r="AP77" s="222"/>
      <c r="AQ77" s="247"/>
      <c r="AR77" s="247"/>
      <c r="AT77" s="280"/>
    </row>
    <row r="78">
      <c r="P78" s="227"/>
      <c r="AG78" s="2"/>
      <c r="AH78" s="2"/>
      <c r="AI78" s="2"/>
      <c r="AJ78" s="2"/>
      <c r="AK78" s="2"/>
      <c r="AL78" s="2"/>
      <c r="AM78" s="247"/>
      <c r="AN78" s="247"/>
      <c r="AO78" s="279"/>
      <c r="AP78" s="222"/>
      <c r="AQ78" s="247"/>
      <c r="AR78" s="247"/>
      <c r="AT78" s="280"/>
    </row>
    <row r="79">
      <c r="A79" s="323" t="s">
        <v>269</v>
      </c>
      <c r="E79" s="281" t="s">
        <v>270</v>
      </c>
      <c r="P79" s="227"/>
      <c r="AG79" s="2"/>
      <c r="AH79" s="2"/>
      <c r="AI79" s="2"/>
      <c r="AJ79" s="2"/>
      <c r="AK79" s="2"/>
      <c r="AL79" s="2"/>
      <c r="AM79" s="247"/>
      <c r="AN79" s="218"/>
      <c r="AO79" s="218"/>
      <c r="AP79" s="218"/>
      <c r="AQ79" s="218"/>
      <c r="AR79" s="247"/>
      <c r="AT79" s="280"/>
    </row>
    <row r="80">
      <c r="A80" s="183" t="s">
        <v>271</v>
      </c>
      <c r="B80" s="183" t="s">
        <v>171</v>
      </c>
      <c r="C80" s="183" t="s">
        <v>174</v>
      </c>
      <c r="E80" s="324" t="s">
        <v>272</v>
      </c>
      <c r="F80" s="325" t="s">
        <v>273</v>
      </c>
      <c r="G80" s="326"/>
      <c r="H80" s="327"/>
      <c r="I80" s="325" t="s">
        <v>274</v>
      </c>
      <c r="J80" s="326"/>
      <c r="K80" s="326"/>
      <c r="L80" s="326"/>
      <c r="M80" s="326"/>
      <c r="N80" s="327"/>
      <c r="O80" s="328" t="s">
        <v>275</v>
      </c>
      <c r="P80" s="329" t="s">
        <v>276</v>
      </c>
      <c r="Q80" s="330" t="s">
        <v>277</v>
      </c>
      <c r="AM80" s="222"/>
      <c r="AO80" s="222"/>
      <c r="AP80" s="222"/>
      <c r="AQ80" s="222"/>
      <c r="AR80" s="247"/>
      <c r="AT80" s="280"/>
    </row>
    <row r="81">
      <c r="A81" s="185" t="s">
        <v>278</v>
      </c>
      <c r="B81" s="331">
        <f>SUM(P90,P147,P174,P193,P299,P333) * PARAMS("L") / 1024</f>
        <v>10.62957764</v>
      </c>
      <c r="C81" s="332"/>
      <c r="D81" s="2"/>
      <c r="E81" s="333" t="s">
        <v>279</v>
      </c>
      <c r="F81" s="334" t="s">
        <v>280</v>
      </c>
      <c r="G81" s="335"/>
      <c r="H81" s="336" t="s">
        <v>281</v>
      </c>
      <c r="I81" s="336" t="s">
        <v>282</v>
      </c>
      <c r="J81" s="336"/>
      <c r="K81" s="337" t="s">
        <v>104</v>
      </c>
      <c r="L81" s="337" t="s">
        <v>102</v>
      </c>
      <c r="M81" s="336" t="s">
        <v>178</v>
      </c>
      <c r="N81" s="336" t="s">
        <v>283</v>
      </c>
      <c r="O81" s="338" t="s">
        <v>125</v>
      </c>
      <c r="P81" s="339"/>
      <c r="Q81" s="337"/>
      <c r="AM81" s="222"/>
      <c r="AO81" s="218"/>
      <c r="AP81" s="218"/>
      <c r="AQ81" s="218"/>
      <c r="AR81" s="247"/>
      <c r="AT81" s="280"/>
    </row>
    <row r="82">
      <c r="A82" s="185" t="s">
        <v>284</v>
      </c>
      <c r="B82" s="340">
        <f>SUM($P$362,$P$460) * PARAMS("L") / 1024</f>
        <v>213.7084961</v>
      </c>
      <c r="C82" s="11"/>
      <c r="D82" s="2"/>
      <c r="E82" s="341"/>
      <c r="F82" s="342"/>
      <c r="G82" s="343"/>
      <c r="H82" s="344" t="s">
        <v>285</v>
      </c>
      <c r="I82" s="345" t="s">
        <v>282</v>
      </c>
      <c r="J82" s="346"/>
      <c r="K82" s="345">
        <f t="shared" ref="K82:M82" si="10">PARAMS(K81)</f>
        <v>128</v>
      </c>
      <c r="L82" s="345">
        <f t="shared" si="10"/>
        <v>1</v>
      </c>
      <c r="M82" s="345">
        <f t="shared" si="10"/>
        <v>7168</v>
      </c>
      <c r="N82" s="345" t="s">
        <v>283</v>
      </c>
      <c r="O82" s="347"/>
      <c r="P82" s="348">
        <f>SIZEOF_IN_MIB(J82:M82, $O81)</f>
        <v>0.875</v>
      </c>
      <c r="Q82" s="344"/>
      <c r="AM82" s="222"/>
      <c r="AN82" s="218"/>
      <c r="AO82" s="222"/>
      <c r="AP82" s="222"/>
      <c r="AQ82" s="218"/>
      <c r="AR82" s="247"/>
      <c r="AT82" s="280"/>
    </row>
    <row r="83">
      <c r="A83" s="9" t="s">
        <v>286</v>
      </c>
      <c r="B83" s="11"/>
      <c r="C83" s="11"/>
      <c r="D83" s="2"/>
      <c r="E83" s="341"/>
      <c r="F83" s="342"/>
      <c r="G83" s="343"/>
      <c r="H83" s="349" t="s">
        <v>287</v>
      </c>
      <c r="I83" s="349" t="s">
        <v>282</v>
      </c>
      <c r="J83" s="336"/>
      <c r="K83" s="337" t="s">
        <v>196</v>
      </c>
      <c r="L83" s="337"/>
      <c r="M83" s="337"/>
      <c r="N83" s="349" t="s">
        <v>283</v>
      </c>
      <c r="O83" s="350"/>
      <c r="P83" s="351"/>
      <c r="Q83" s="337"/>
      <c r="AM83" s="222"/>
      <c r="AN83" s="218"/>
      <c r="AO83" s="218"/>
      <c r="AP83" s="218"/>
      <c r="AQ83" s="218"/>
      <c r="AR83" s="247"/>
      <c r="AT83" s="280"/>
    </row>
    <row r="84">
      <c r="A84" s="185" t="s">
        <v>288</v>
      </c>
      <c r="B84" s="340">
        <f>SIZEOF_IN_MIB(PARAMS("B")*PARAMS("S")*PARAMS("L")*(PARAMS("c_kv")+PARAMS("h_rope")), PARAMS("kv_dtype"))/1024</f>
        <v>8.578125</v>
      </c>
      <c r="C84" s="11"/>
      <c r="D84" s="2"/>
      <c r="E84" s="352"/>
      <c r="F84" s="353"/>
      <c r="G84" s="354"/>
      <c r="H84" s="344" t="s">
        <v>289</v>
      </c>
      <c r="I84" s="346" t="s">
        <v>282</v>
      </c>
      <c r="J84" s="345"/>
      <c r="K84" s="346">
        <f t="shared" ref="K84:M84" si="11">K82/SHARDING(K83)</f>
        <v>16</v>
      </c>
      <c r="L84" s="346">
        <f t="shared" si="11"/>
        <v>1</v>
      </c>
      <c r="M84" s="346">
        <f t="shared" si="11"/>
        <v>7168</v>
      </c>
      <c r="N84" s="346" t="s">
        <v>283</v>
      </c>
      <c r="O84" s="355"/>
      <c r="P84" s="348">
        <f>SIZEOF_IN_MIB(J84:M84, $O81)</f>
        <v>0.109375</v>
      </c>
      <c r="Q84" s="344"/>
      <c r="AG84" s="181"/>
      <c r="AK84" s="280"/>
      <c r="AM84" s="222"/>
      <c r="AN84" s="218"/>
      <c r="AO84" s="218"/>
      <c r="AP84" s="218"/>
      <c r="AQ84" s="218"/>
      <c r="AR84" s="247"/>
      <c r="AT84" s="280"/>
    </row>
    <row r="85">
      <c r="A85" s="9" t="s">
        <v>290</v>
      </c>
      <c r="B85" s="356">
        <f>MAX(P90,P109,P139,P166,P185,P204,P253,P272,P291,P307,P369,P419,P504,P524)/1024</f>
        <v>0.01025390625</v>
      </c>
      <c r="C85" s="9"/>
      <c r="D85" s="2"/>
      <c r="E85" s="333" t="s">
        <v>291</v>
      </c>
      <c r="F85" s="357" t="s">
        <v>292</v>
      </c>
      <c r="G85" s="335"/>
      <c r="H85" s="336" t="s">
        <v>281</v>
      </c>
      <c r="I85" s="336" t="s">
        <v>282</v>
      </c>
      <c r="J85" s="336"/>
      <c r="K85" s="337" t="s">
        <v>104</v>
      </c>
      <c r="L85" s="337" t="s">
        <v>102</v>
      </c>
      <c r="M85" s="358" t="s">
        <v>178</v>
      </c>
      <c r="N85" s="336" t="s">
        <v>283</v>
      </c>
      <c r="O85" s="338" t="str">
        <f>EXTRACT_ACTIVATION_DTYPE(PARAMS("attn_proj_dtype"))</f>
        <v>fp8</v>
      </c>
      <c r="P85" s="339"/>
      <c r="Q85" s="338" t="b">
        <v>0</v>
      </c>
      <c r="AG85" s="181"/>
      <c r="AK85" s="306"/>
      <c r="AL85" s="307"/>
      <c r="AM85" s="247"/>
      <c r="AN85" s="218"/>
      <c r="AO85" s="218"/>
      <c r="AP85" s="218"/>
      <c r="AQ85" s="218"/>
      <c r="AR85" s="247"/>
      <c r="AT85" s="280"/>
    </row>
    <row r="86">
      <c r="A86" s="8" t="s">
        <v>293</v>
      </c>
      <c r="B86" s="359">
        <f>SUM(B81:B84)</f>
        <v>232.9161987</v>
      </c>
      <c r="C86" s="8" t="str">
        <f>"&lt;=" &amp; ($H$28 * PARAMS("num_devices")) &amp; " (Capacity)?"</f>
        <v>&lt;=1432 (Capacity)?</v>
      </c>
      <c r="D86" s="2"/>
      <c r="E86" s="341"/>
      <c r="F86" s="342"/>
      <c r="G86" s="343"/>
      <c r="H86" s="344" t="s">
        <v>285</v>
      </c>
      <c r="I86" s="345" t="s">
        <v>282</v>
      </c>
      <c r="J86" s="346"/>
      <c r="K86" s="345">
        <f t="shared" ref="K86:M86" si="12">PARAMS(K85)</f>
        <v>128</v>
      </c>
      <c r="L86" s="345">
        <f t="shared" si="12"/>
        <v>1</v>
      </c>
      <c r="M86" s="345">
        <f t="shared" si="12"/>
        <v>7168</v>
      </c>
      <c r="N86" s="345" t="s">
        <v>283</v>
      </c>
      <c r="O86" s="347"/>
      <c r="P86" s="348">
        <f>SIZEOF_IN_MIB(J86:M86, $O85)</f>
        <v>0.875</v>
      </c>
      <c r="Q86" s="347"/>
      <c r="AG86" s="181"/>
      <c r="AM86" s="2"/>
      <c r="AR86" s="2"/>
    </row>
    <row r="87">
      <c r="A87" s="11"/>
      <c r="B87" s="11"/>
      <c r="C87" s="11"/>
      <c r="D87" s="161"/>
      <c r="E87" s="341"/>
      <c r="F87" s="342"/>
      <c r="G87" s="343"/>
      <c r="H87" s="349" t="s">
        <v>287</v>
      </c>
      <c r="I87" s="349" t="s">
        <v>282</v>
      </c>
      <c r="J87" s="336"/>
      <c r="K87" s="337" t="s">
        <v>196</v>
      </c>
      <c r="L87" s="337"/>
      <c r="M87" s="349"/>
      <c r="N87" s="349" t="s">
        <v>283</v>
      </c>
      <c r="O87" s="350"/>
      <c r="P87" s="351"/>
      <c r="Q87" s="350"/>
    </row>
    <row r="88">
      <c r="A88" s="185" t="s">
        <v>294</v>
      </c>
      <c r="B88" s="331">
        <f>SUM(P92,P149,P176,P195,P301,P335) * PARAMS("L") / 1024</f>
        <v>10.62957764</v>
      </c>
      <c r="C88" s="332"/>
      <c r="D88" s="161"/>
      <c r="E88" s="341"/>
      <c r="F88" s="353"/>
      <c r="G88" s="354"/>
      <c r="H88" s="344" t="s">
        <v>289</v>
      </c>
      <c r="I88" s="346" t="s">
        <v>282</v>
      </c>
      <c r="J88" s="345"/>
      <c r="K88" s="346">
        <f t="shared" ref="K88:M88" si="13">K86/SHARDING(K87)</f>
        <v>16</v>
      </c>
      <c r="L88" s="346">
        <f t="shared" si="13"/>
        <v>1</v>
      </c>
      <c r="M88" s="346">
        <f t="shared" si="13"/>
        <v>7168</v>
      </c>
      <c r="N88" s="346" t="s">
        <v>283</v>
      </c>
      <c r="O88" s="355"/>
      <c r="P88" s="348">
        <f>SIZEOF_IN_MIB(J88:M88, $O85)</f>
        <v>0.109375</v>
      </c>
      <c r="Q88" s="355"/>
      <c r="AG88" s="181"/>
    </row>
    <row r="89">
      <c r="A89" s="185" t="s">
        <v>295</v>
      </c>
      <c r="B89" s="340">
        <f>SUM(P414,P462) * PARAMS("L") / 1024</f>
        <v>80.0625</v>
      </c>
      <c r="C89" s="332"/>
      <c r="D89" s="161"/>
      <c r="E89" s="341"/>
      <c r="F89" s="334" t="s">
        <v>296</v>
      </c>
      <c r="G89" s="335"/>
      <c r="H89" s="349" t="s">
        <v>281</v>
      </c>
      <c r="I89" s="349" t="s">
        <v>282</v>
      </c>
      <c r="J89" s="336"/>
      <c r="K89" s="336"/>
      <c r="L89" s="360" t="s">
        <v>178</v>
      </c>
      <c r="M89" s="337" t="s">
        <v>195</v>
      </c>
      <c r="N89" s="349" t="s">
        <v>283</v>
      </c>
      <c r="O89" s="338" t="str">
        <f>EXTRACT_WEIGHT_DTYPE(PARAMS("attn_proj_dtype"))</f>
        <v>fp8</v>
      </c>
      <c r="P89" s="351"/>
      <c r="Q89" s="338" t="b">
        <v>0</v>
      </c>
      <c r="AP89" s="218"/>
      <c r="AQ89" s="218"/>
      <c r="AT89" s="228"/>
    </row>
    <row r="90">
      <c r="A90" s="9" t="s">
        <v>286</v>
      </c>
      <c r="B90" s="11"/>
      <c r="C90" s="332"/>
      <c r="D90" s="161"/>
      <c r="E90" s="341"/>
      <c r="F90" s="342"/>
      <c r="G90" s="343"/>
      <c r="H90" s="344" t="s">
        <v>285</v>
      </c>
      <c r="I90" s="346" t="s">
        <v>282</v>
      </c>
      <c r="J90" s="345"/>
      <c r="K90" s="345"/>
      <c r="L90" s="346">
        <f t="shared" ref="L90:M90" si="14">PARAMS(L89)</f>
        <v>7168</v>
      </c>
      <c r="M90" s="346">
        <f t="shared" si="14"/>
        <v>1536</v>
      </c>
      <c r="N90" s="346" t="s">
        <v>283</v>
      </c>
      <c r="O90" s="347"/>
      <c r="P90" s="348">
        <f>SIZEOF_IN_MIB(J90:M90, $O89)</f>
        <v>10.5</v>
      </c>
      <c r="Q90" s="347"/>
      <c r="AP90" s="222"/>
    </row>
    <row r="91">
      <c r="A91" s="185" t="s">
        <v>297</v>
      </c>
      <c r="B91" s="340">
        <f>B84/PARAMS("num_devices")</f>
        <v>1.072265625</v>
      </c>
      <c r="C91" s="332"/>
      <c r="D91" s="161"/>
      <c r="E91" s="341"/>
      <c r="F91" s="342"/>
      <c r="G91" s="343"/>
      <c r="H91" s="349" t="s">
        <v>287</v>
      </c>
      <c r="I91" s="349" t="s">
        <v>282</v>
      </c>
      <c r="J91" s="336"/>
      <c r="K91" s="336"/>
      <c r="L91" s="349"/>
      <c r="M91" s="349"/>
      <c r="N91" s="349" t="s">
        <v>283</v>
      </c>
      <c r="O91" s="350"/>
      <c r="P91" s="351"/>
      <c r="Q91" s="350"/>
      <c r="AP91" s="218"/>
      <c r="AQ91" s="218"/>
      <c r="AT91" s="228"/>
    </row>
    <row r="92">
      <c r="A92" s="185" t="s">
        <v>298</v>
      </c>
      <c r="B92" s="340">
        <f>MAX(P92,P111,P141,P168,P187,P206,P255,P274,P293,P309,P371,P421,P506,P526)/1024</f>
        <v>0.01025390625</v>
      </c>
      <c r="C92" s="332"/>
      <c r="D92" s="161"/>
      <c r="E92" s="341"/>
      <c r="F92" s="353"/>
      <c r="G92" s="354"/>
      <c r="H92" s="346" t="s">
        <v>289</v>
      </c>
      <c r="I92" s="346" t="s">
        <v>282</v>
      </c>
      <c r="J92" s="345"/>
      <c r="K92" s="345"/>
      <c r="L92" s="346">
        <f t="shared" ref="L92:M92" si="15">L90/SHARDING(L91)</f>
        <v>7168</v>
      </c>
      <c r="M92" s="346">
        <f t="shared" si="15"/>
        <v>1536</v>
      </c>
      <c r="N92" s="346" t="s">
        <v>283</v>
      </c>
      <c r="O92" s="355"/>
      <c r="P92" s="348">
        <f>SIZEOF_IN_MIB(J92:M92, $O89)</f>
        <v>10.5</v>
      </c>
      <c r="Q92" s="355"/>
    </row>
    <row r="93">
      <c r="A93" s="199" t="s">
        <v>299</v>
      </c>
      <c r="B93" s="361">
        <f>SUM(B88:B91)</f>
        <v>91.76434326</v>
      </c>
      <c r="C93" s="362" t="str">
        <f>"&lt;=" &amp; ($H$28) &amp; " (Capacity)?"</f>
        <v>&lt;=179 (Capacity)?</v>
      </c>
      <c r="D93" s="161"/>
      <c r="E93" s="341"/>
      <c r="F93" s="334" t="s">
        <v>56</v>
      </c>
      <c r="G93" s="335"/>
      <c r="H93" s="363" t="s">
        <v>281</v>
      </c>
      <c r="I93" s="363" t="s">
        <v>282</v>
      </c>
      <c r="J93" s="364"/>
      <c r="K93" s="273" t="s">
        <v>104</v>
      </c>
      <c r="L93" s="273" t="s">
        <v>102</v>
      </c>
      <c r="M93" s="273" t="s">
        <v>195</v>
      </c>
      <c r="N93" s="363" t="s">
        <v>283</v>
      </c>
      <c r="O93" s="365" t="s">
        <v>133</v>
      </c>
      <c r="P93" s="366"/>
      <c r="Q93" s="365" t="b">
        <v>0</v>
      </c>
    </row>
    <row r="94">
      <c r="A94" s="367" t="s">
        <v>145</v>
      </c>
      <c r="B94" s="368" t="b">
        <f>if(B93 &lt;= HW_SPEC("Per-Core HBM Capacity (GiB)"), TRUE, FALSE)</f>
        <v>1</v>
      </c>
      <c r="C94" s="369"/>
      <c r="D94" s="161"/>
      <c r="E94" s="341"/>
      <c r="F94" s="342"/>
      <c r="G94" s="343"/>
      <c r="H94" s="273" t="s">
        <v>285</v>
      </c>
      <c r="I94" s="363" t="s">
        <v>282</v>
      </c>
      <c r="J94" s="364"/>
      <c r="K94" s="363">
        <f t="shared" ref="K94:M94" si="16">PARAMS(K93)</f>
        <v>128</v>
      </c>
      <c r="L94" s="364">
        <f t="shared" si="16"/>
        <v>1</v>
      </c>
      <c r="M94" s="363">
        <f t="shared" si="16"/>
        <v>1536</v>
      </c>
      <c r="N94" s="363" t="s">
        <v>283</v>
      </c>
      <c r="O94" s="341"/>
      <c r="P94" s="366">
        <f>SIZEOF_IN_MIB(K94:M94, $O93)</f>
        <v>0.375</v>
      </c>
      <c r="Q94" s="341"/>
    </row>
    <row r="95">
      <c r="A95" s="161"/>
      <c r="B95" s="161"/>
      <c r="C95" s="161"/>
      <c r="D95" s="161"/>
      <c r="E95" s="341"/>
      <c r="F95" s="342"/>
      <c r="G95" s="343"/>
      <c r="H95" s="363" t="s">
        <v>287</v>
      </c>
      <c r="I95" s="363" t="s">
        <v>282</v>
      </c>
      <c r="J95" s="364"/>
      <c r="K95" s="273" t="s">
        <v>196</v>
      </c>
      <c r="L95" s="273"/>
      <c r="M95" s="363"/>
      <c r="N95" s="363" t="s">
        <v>283</v>
      </c>
      <c r="O95" s="341"/>
      <c r="P95" s="366"/>
      <c r="Q95" s="341"/>
    </row>
    <row r="96">
      <c r="A96" s="161"/>
      <c r="B96" s="161"/>
      <c r="C96" s="161"/>
      <c r="D96" s="161"/>
      <c r="E96" s="341"/>
      <c r="F96" s="353"/>
      <c r="G96" s="354"/>
      <c r="H96" s="363" t="s">
        <v>289</v>
      </c>
      <c r="I96" s="363" t="s">
        <v>282</v>
      </c>
      <c r="J96" s="364"/>
      <c r="K96" s="363">
        <f t="shared" ref="K96:M96" si="17">K94/SHARDING(K95)</f>
        <v>16</v>
      </c>
      <c r="L96" s="363">
        <f t="shared" si="17"/>
        <v>1</v>
      </c>
      <c r="M96" s="363">
        <f t="shared" si="17"/>
        <v>1536</v>
      </c>
      <c r="N96" s="363" t="s">
        <v>283</v>
      </c>
      <c r="O96" s="352"/>
      <c r="P96" s="366">
        <f>SIZEOF_IN_MIB(K96:M96, $O93)</f>
        <v>0.046875</v>
      </c>
      <c r="Q96" s="352"/>
    </row>
    <row r="97">
      <c r="A97" s="161"/>
      <c r="B97" s="161"/>
      <c r="C97" s="161"/>
      <c r="E97" s="341"/>
      <c r="F97" s="370" t="s">
        <v>300</v>
      </c>
      <c r="G97" s="371" t="s">
        <v>301</v>
      </c>
      <c r="H97" s="372" t="s">
        <v>281</v>
      </c>
      <c r="I97" s="364" t="s">
        <v>282</v>
      </c>
      <c r="J97" s="364" t="str">
        <f t="array" ref="J97:M100">J81:M84</f>
        <v/>
      </c>
      <c r="K97" s="273" t="s">
        <v>104</v>
      </c>
      <c r="L97" s="273" t="s">
        <v>102</v>
      </c>
      <c r="M97" s="373" t="s">
        <v>178</v>
      </c>
      <c r="N97" s="364" t="s">
        <v>283</v>
      </c>
      <c r="O97" s="365" t="str">
        <f>O85</f>
        <v>fp8</v>
      </c>
      <c r="P97" s="364"/>
      <c r="Q97" s="365"/>
    </row>
    <row r="98">
      <c r="A98" s="161"/>
      <c r="B98" s="161"/>
      <c r="C98" s="161"/>
      <c r="E98" s="341"/>
      <c r="F98" s="341"/>
      <c r="G98" s="341"/>
      <c r="H98" s="374" t="s">
        <v>285</v>
      </c>
      <c r="I98" s="364" t="s">
        <v>282</v>
      </c>
      <c r="J98" s="363"/>
      <c r="K98" s="364">
        <v>128.0</v>
      </c>
      <c r="L98" s="364">
        <v>1.0</v>
      </c>
      <c r="M98" s="364">
        <v>7168.0</v>
      </c>
      <c r="N98" s="364" t="s">
        <v>283</v>
      </c>
      <c r="O98" s="341"/>
      <c r="P98" s="375">
        <f>SIZEOF_IN_MIB(J98:M98, O97)</f>
        <v>0.875</v>
      </c>
      <c r="Q98" s="341"/>
    </row>
    <row r="99">
      <c r="A99" s="161"/>
      <c r="B99" s="161"/>
      <c r="C99" s="161"/>
      <c r="E99" s="341"/>
      <c r="F99" s="341"/>
      <c r="G99" s="341"/>
      <c r="H99" s="374" t="s">
        <v>302</v>
      </c>
      <c r="I99" s="363" t="s">
        <v>282</v>
      </c>
      <c r="J99" s="364"/>
      <c r="K99" s="273" t="s">
        <v>196</v>
      </c>
      <c r="L99" s="273"/>
      <c r="M99" s="273"/>
      <c r="N99" s="363" t="s">
        <v>283</v>
      </c>
      <c r="O99" s="341"/>
      <c r="P99" s="375"/>
      <c r="Q99" s="341"/>
    </row>
    <row r="100">
      <c r="A100" s="161"/>
      <c r="B100" s="161"/>
      <c r="C100" s="161"/>
      <c r="E100" s="341"/>
      <c r="F100" s="341"/>
      <c r="G100" s="341"/>
      <c r="H100" s="376" t="s">
        <v>303</v>
      </c>
      <c r="I100" s="349" t="s">
        <v>282</v>
      </c>
      <c r="J100" s="336"/>
      <c r="K100" s="349">
        <v>16.0</v>
      </c>
      <c r="L100" s="349">
        <v>1.0</v>
      </c>
      <c r="M100" s="349">
        <v>7168.0</v>
      </c>
      <c r="N100" s="337" t="s">
        <v>283</v>
      </c>
      <c r="O100" s="350"/>
      <c r="P100" s="377">
        <f>SIZEOF_IN_MIB(J100:M100, O97)</f>
        <v>0.109375</v>
      </c>
      <c r="Q100" s="350"/>
    </row>
    <row r="101">
      <c r="A101" s="161"/>
      <c r="B101" s="161"/>
      <c r="C101" s="161"/>
      <c r="E101" s="341"/>
      <c r="F101" s="341"/>
      <c r="G101" s="352"/>
      <c r="H101" s="378" t="s">
        <v>304</v>
      </c>
      <c r="I101" s="346" t="s">
        <v>282</v>
      </c>
      <c r="J101" s="345"/>
      <c r="K101" s="344"/>
      <c r="L101" s="344"/>
      <c r="M101" s="344"/>
      <c r="N101" s="346" t="s">
        <v>283</v>
      </c>
      <c r="O101" s="355"/>
      <c r="P101" s="379"/>
      <c r="Q101" s="355"/>
      <c r="R101" s="2"/>
      <c r="S101" s="2"/>
      <c r="AG101" s="2"/>
      <c r="AH101" s="2"/>
      <c r="AI101" s="2"/>
      <c r="AJ101" s="2"/>
      <c r="AK101" s="2"/>
      <c r="AL101" s="2"/>
      <c r="AM101" s="2"/>
      <c r="AN101" s="2"/>
      <c r="AO101" s="2"/>
      <c r="AP101" s="2"/>
      <c r="AQ101" s="2"/>
      <c r="AR101" s="2"/>
      <c r="AS101" s="2"/>
      <c r="AT101" s="2"/>
    </row>
    <row r="102">
      <c r="A102" s="161"/>
      <c r="B102" s="161"/>
      <c r="C102" s="161"/>
      <c r="E102" s="341"/>
      <c r="F102" s="341"/>
      <c r="G102" s="380" t="s">
        <v>305</v>
      </c>
      <c r="H102" s="381"/>
      <c r="I102" s="382"/>
      <c r="J102" s="382"/>
      <c r="K102" s="382"/>
      <c r="L102" s="383"/>
      <c r="M102" s="383"/>
      <c r="N102" s="383"/>
      <c r="O102" s="382"/>
      <c r="P102" s="384"/>
      <c r="Q102" s="382"/>
      <c r="R102" s="2"/>
      <c r="S102" s="2"/>
      <c r="AG102" s="2"/>
      <c r="AH102" s="2"/>
      <c r="AI102" s="2"/>
      <c r="AJ102" s="2"/>
      <c r="AK102" s="2"/>
      <c r="AL102" s="2"/>
      <c r="AM102" s="2"/>
      <c r="AN102" s="2"/>
      <c r="AO102" s="2"/>
      <c r="AP102" s="2"/>
      <c r="AQ102" s="2"/>
      <c r="AR102" s="2"/>
      <c r="AS102" s="2"/>
      <c r="AT102" s="2"/>
    </row>
    <row r="103">
      <c r="A103" s="161"/>
      <c r="B103" s="161"/>
      <c r="C103" s="161"/>
      <c r="E103" s="341"/>
      <c r="F103" s="341"/>
      <c r="G103" s="385" t="s">
        <v>306</v>
      </c>
      <c r="H103" s="386">
        <f>SHARDING(K99)*SHARDING(L99)*SHARDING(M99)</f>
        <v>8</v>
      </c>
      <c r="I103" s="387"/>
      <c r="J103" s="387"/>
      <c r="K103" s="387"/>
      <c r="L103" s="388"/>
      <c r="M103" s="388"/>
      <c r="N103" s="388"/>
      <c r="O103" s="387"/>
      <c r="P103" s="389"/>
      <c r="Q103" s="387"/>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5" t="s">
        <v>307</v>
      </c>
      <c r="H104" s="390">
        <f>P100 * (H103-1)</f>
        <v>0.765625</v>
      </c>
      <c r="I104" s="298"/>
      <c r="J104" s="391"/>
      <c r="K104" s="391"/>
      <c r="L104" s="392"/>
      <c r="M104" s="392"/>
      <c r="N104" s="392"/>
      <c r="O104" s="391"/>
      <c r="P104" s="393"/>
      <c r="Q104" s="391"/>
      <c r="R104" s="2"/>
      <c r="S104" s="2"/>
      <c r="AG104" s="2"/>
      <c r="AH104" s="2"/>
      <c r="AI104" s="2"/>
      <c r="AJ104" s="2"/>
      <c r="AK104" s="2"/>
      <c r="AL104" s="2"/>
      <c r="AM104" s="2"/>
      <c r="AN104" s="2"/>
      <c r="AO104" s="2"/>
      <c r="AP104" s="2"/>
      <c r="AQ104" s="2"/>
      <c r="AR104" s="2"/>
      <c r="AS104" s="2"/>
      <c r="AT104" s="2"/>
    </row>
    <row r="105">
      <c r="A105" s="161"/>
      <c r="B105" s="161"/>
      <c r="C105" s="161"/>
      <c r="E105" s="341"/>
      <c r="F105" s="341"/>
      <c r="G105" s="394" t="s">
        <v>308</v>
      </c>
      <c r="H105" s="395">
        <f>H104*H103</f>
        <v>6.125</v>
      </c>
      <c r="I105" s="387"/>
      <c r="J105" s="379"/>
      <c r="K105" s="379"/>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6" t="s">
        <v>309</v>
      </c>
      <c r="H106" s="397">
        <f>IFS(H103=8,12,
H103=4,4,
H103=2,1,
H103=1,0,
TRUE,NA())</f>
        <v>12</v>
      </c>
      <c r="I106" s="391"/>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9" t="s">
        <v>310</v>
      </c>
      <c r="H107" s="398">
        <v>1.0</v>
      </c>
      <c r="I107" s="399"/>
      <c r="J107" s="399"/>
      <c r="K107" s="399"/>
      <c r="L107" s="400"/>
      <c r="M107" s="400"/>
      <c r="N107" s="400"/>
      <c r="O107" s="399"/>
      <c r="P107" s="401"/>
      <c r="Q107" s="399"/>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2" t="s">
        <v>311</v>
      </c>
      <c r="H108" s="403">
        <f>ALL_GATHER_CHIP2CHIP_TIME_MS2(H105 * H107, H106)</f>
        <v>0.0002769187645</v>
      </c>
      <c r="I108" s="404"/>
      <c r="J108" s="404"/>
      <c r="K108" s="404"/>
      <c r="L108" s="405"/>
      <c r="M108" s="405"/>
      <c r="N108" s="405"/>
      <c r="O108" s="404"/>
      <c r="P108" s="406"/>
      <c r="Q108" s="404"/>
      <c r="R108" s="2"/>
      <c r="S108" s="2"/>
      <c r="AG108" s="2"/>
      <c r="AH108" s="2"/>
      <c r="AI108" s="2"/>
      <c r="AJ108" s="2"/>
      <c r="AK108" s="2"/>
      <c r="AL108" s="2"/>
      <c r="AM108" s="2"/>
      <c r="AN108" s="2"/>
      <c r="AO108" s="2"/>
      <c r="AP108" s="2"/>
      <c r="AQ108" s="2"/>
      <c r="AR108" s="2"/>
      <c r="AS108" s="2"/>
      <c r="AT108" s="2"/>
    </row>
    <row r="109">
      <c r="A109" s="161"/>
      <c r="B109" s="161"/>
      <c r="C109" s="161"/>
      <c r="E109" s="341"/>
      <c r="F109" s="341"/>
      <c r="G109" s="394"/>
      <c r="H109" s="407"/>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380" t="s">
        <v>312</v>
      </c>
      <c r="H110" s="381"/>
      <c r="I110" s="382"/>
      <c r="J110" s="382"/>
      <c r="K110" s="382"/>
      <c r="L110" s="383"/>
      <c r="M110" s="383"/>
      <c r="N110" s="383"/>
      <c r="O110" s="382"/>
      <c r="P110" s="384"/>
      <c r="Q110" s="382"/>
      <c r="R110" s="2"/>
      <c r="S110" s="2"/>
      <c r="AG110" s="2"/>
      <c r="AH110" s="2"/>
      <c r="AI110" s="2"/>
      <c r="AJ110" s="2"/>
      <c r="AK110" s="2"/>
      <c r="AL110" s="2"/>
      <c r="AM110" s="2"/>
      <c r="AN110" s="2"/>
      <c r="AO110" s="2"/>
      <c r="AP110" s="2"/>
      <c r="AQ110" s="2"/>
      <c r="AR110" s="2"/>
      <c r="AS110" s="2"/>
      <c r="AT110" s="2"/>
    </row>
    <row r="111">
      <c r="A111" s="161"/>
      <c r="B111" s="161"/>
      <c r="C111" s="161"/>
      <c r="E111" s="341"/>
      <c r="F111" s="341"/>
      <c r="G111" s="408" t="s">
        <v>313</v>
      </c>
      <c r="H111" s="409" t="s">
        <v>306</v>
      </c>
      <c r="I111" s="379"/>
      <c r="J111" s="410">
        <f>SHARDING(K99)*SHARDING(L99)*SHARDING(M99)/HW_SPEC("# of TensorCore per Chip")</f>
        <v>8</v>
      </c>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385" t="s">
        <v>307</v>
      </c>
      <c r="I112" s="11"/>
      <c r="J112" s="411">
        <f>P100 * HW_SPEC("# of TensorCore per Chip") * (J111-1)</f>
        <v>0.765625</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41"/>
      <c r="H113" s="394" t="s">
        <v>308</v>
      </c>
      <c r="I113" s="11"/>
      <c r="J113" s="411">
        <f>J112*J111</f>
        <v>6.125</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96" t="s">
        <v>309</v>
      </c>
      <c r="I114" s="11"/>
      <c r="J114" s="415">
        <f>IFS(J111=8,12,
J111=4,4,
J111=2,1,
J111=1,0,
TRUE,NA())</f>
        <v>12</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9" t="s">
        <v>310</v>
      </c>
      <c r="I115" s="11"/>
      <c r="J115" s="416">
        <v>2.0</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52"/>
      <c r="H116" s="385" t="s">
        <v>311</v>
      </c>
      <c r="I116" s="11"/>
      <c r="J116" s="417">
        <f>ALL_GATHER_CHIP2CHIP_TIME_MS2(J113 * J115, J114)</f>
        <v>0.0005538375289</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408" t="s">
        <v>314</v>
      </c>
      <c r="H117" s="396" t="s">
        <v>306</v>
      </c>
      <c r="I117" s="418"/>
      <c r="J117" s="419">
        <f>HW_SPEC("# of TensorCore per Chip")</f>
        <v>1</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41"/>
      <c r="H118" s="396" t="s">
        <v>307</v>
      </c>
      <c r="I118" s="418"/>
      <c r="J118" s="411">
        <f>P84 / J117 * (J117-1)</f>
        <v>0</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341"/>
      <c r="H119" s="396" t="s">
        <v>308</v>
      </c>
      <c r="I119" s="418"/>
      <c r="J119" s="411">
        <f>J118*J117</f>
        <v>0</v>
      </c>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41"/>
      <c r="H120" s="396" t="s">
        <v>311</v>
      </c>
      <c r="I120" s="418"/>
      <c r="J120" s="421">
        <f>ALL_GATHER_CORE2CORE_TIME_MS(J119)</f>
        <v>0</v>
      </c>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352"/>
      <c r="H121" s="394" t="s">
        <v>315</v>
      </c>
      <c r="I121" s="11"/>
      <c r="J121" s="421">
        <f>J120/J111</f>
        <v>0</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402" t="s">
        <v>316</v>
      </c>
      <c r="H122" s="422">
        <f>J116+J121</f>
        <v>0.0005538375289</v>
      </c>
      <c r="I122" s="11"/>
      <c r="J122" s="417"/>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94"/>
      <c r="H123" s="422"/>
      <c r="I123" s="11"/>
      <c r="J123" s="417"/>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23" t="s">
        <v>317</v>
      </c>
      <c r="H124" s="424"/>
      <c r="I124" s="382"/>
      <c r="J124" s="425" t="s">
        <v>318</v>
      </c>
      <c r="K124" s="382"/>
      <c r="L124" s="383"/>
      <c r="M124" s="383"/>
      <c r="N124" s="383"/>
      <c r="O124" s="382"/>
      <c r="P124" s="384"/>
      <c r="Q124" s="38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426" t="s">
        <v>319</v>
      </c>
      <c r="H125" s="427" t="s">
        <v>97</v>
      </c>
      <c r="I125" s="428"/>
      <c r="J125" s="429"/>
      <c r="K125" s="428"/>
      <c r="L125" s="430"/>
      <c r="M125" s="430"/>
      <c r="N125" s="430"/>
      <c r="O125" s="428"/>
      <c r="P125" s="431"/>
      <c r="Q125" s="428"/>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32" t="s">
        <v>320</v>
      </c>
      <c r="H126" s="433" t="s">
        <v>321</v>
      </c>
      <c r="I126" s="434"/>
      <c r="J126" s="435">
        <f>SHARDING(H125)</f>
        <v>8</v>
      </c>
      <c r="K126" s="434"/>
      <c r="L126" s="436"/>
      <c r="M126" s="436"/>
      <c r="N126" s="436"/>
      <c r="O126" s="434"/>
      <c r="P126" s="437"/>
      <c r="Q126" s="434"/>
      <c r="R126" s="420"/>
      <c r="S126" s="420"/>
      <c r="AG126" s="2"/>
      <c r="AH126" s="2"/>
      <c r="AI126" s="2"/>
      <c r="AJ126" s="2"/>
      <c r="AK126" s="2"/>
      <c r="AL126" s="2"/>
      <c r="AM126" s="2"/>
      <c r="AN126" s="2"/>
      <c r="AO126" s="2"/>
      <c r="AP126" s="2"/>
      <c r="AQ126" s="2"/>
      <c r="AR126" s="2"/>
      <c r="AS126" s="2"/>
      <c r="AT126" s="2"/>
    </row>
    <row r="127">
      <c r="A127" s="161"/>
      <c r="B127" s="161"/>
      <c r="C127" s="161"/>
      <c r="E127" s="341"/>
      <c r="F127" s="341"/>
      <c r="G127" s="341"/>
      <c r="H127" s="438" t="s">
        <v>307</v>
      </c>
      <c r="I127" s="428"/>
      <c r="J127" s="439">
        <f>P100 * (J126-1)</f>
        <v>0.765625</v>
      </c>
      <c r="K127" s="428"/>
      <c r="L127" s="430"/>
      <c r="M127" s="430"/>
      <c r="N127" s="430"/>
      <c r="O127" s="428"/>
      <c r="P127" s="431"/>
      <c r="Q127" s="428"/>
      <c r="R127" s="420"/>
      <c r="S127" s="420"/>
      <c r="AG127" s="2"/>
      <c r="AH127" s="2"/>
      <c r="AI127" s="2"/>
      <c r="AJ127" s="2"/>
      <c r="AK127" s="2"/>
      <c r="AL127" s="2"/>
      <c r="AM127" s="2"/>
      <c r="AN127" s="2"/>
      <c r="AO127" s="2"/>
      <c r="AP127" s="2"/>
      <c r="AQ127" s="2"/>
      <c r="AR127" s="2"/>
      <c r="AS127" s="2"/>
      <c r="AT127" s="2"/>
    </row>
    <row r="128">
      <c r="A128" s="161"/>
      <c r="B128" s="161"/>
      <c r="C128" s="161"/>
      <c r="E128" s="341"/>
      <c r="F128" s="341"/>
      <c r="G128" s="341"/>
      <c r="H128" s="440" t="s">
        <v>308</v>
      </c>
      <c r="I128" s="434"/>
      <c r="J128" s="441">
        <f>J127*J126</f>
        <v>6.125</v>
      </c>
      <c r="K128" s="434"/>
      <c r="L128" s="436"/>
      <c r="M128" s="436"/>
      <c r="N128" s="436"/>
      <c r="O128" s="434"/>
      <c r="P128" s="437"/>
      <c r="Q128" s="434"/>
      <c r="R128" s="420"/>
      <c r="S128" s="420"/>
      <c r="AG128" s="2"/>
      <c r="AH128" s="2"/>
      <c r="AI128" s="2"/>
      <c r="AJ128" s="2"/>
      <c r="AK128" s="2"/>
      <c r="AL128" s="2"/>
      <c r="AM128" s="2"/>
      <c r="AN128" s="2"/>
      <c r="AO128" s="2"/>
      <c r="AP128" s="2"/>
      <c r="AQ128" s="2"/>
      <c r="AR128" s="2"/>
      <c r="AS128" s="2"/>
      <c r="AT128" s="2"/>
    </row>
    <row r="129">
      <c r="A129" s="161"/>
      <c r="B129" s="161"/>
      <c r="C129" s="161"/>
      <c r="E129" s="341"/>
      <c r="F129" s="341"/>
      <c r="G129" s="352"/>
      <c r="H129" s="438" t="s">
        <v>311</v>
      </c>
      <c r="I129" s="428"/>
      <c r="J129" s="442">
        <f>ALL_GATHER_CORE2CORE_TIME_MS(J128)</f>
        <v>0.003323025174</v>
      </c>
      <c r="K129" s="428"/>
      <c r="L129" s="430"/>
      <c r="M129" s="430"/>
      <c r="N129" s="430"/>
      <c r="O129" s="428"/>
      <c r="P129" s="431"/>
      <c r="Q129" s="428"/>
      <c r="R129" s="420"/>
      <c r="S129" s="420"/>
      <c r="AG129" s="2"/>
      <c r="AH129" s="2"/>
      <c r="AI129" s="2"/>
      <c r="AJ129" s="2"/>
      <c r="AK129" s="2"/>
      <c r="AL129" s="2"/>
      <c r="AM129" s="2"/>
      <c r="AN129" s="2"/>
      <c r="AO129" s="2"/>
      <c r="AP129" s="2"/>
      <c r="AQ129" s="2"/>
      <c r="AR129" s="2"/>
      <c r="AS129" s="2"/>
      <c r="AT129" s="2"/>
    </row>
    <row r="130">
      <c r="A130" s="161"/>
      <c r="B130" s="161"/>
      <c r="C130" s="161"/>
      <c r="E130" s="341"/>
      <c r="F130" s="341"/>
      <c r="G130" s="394"/>
      <c r="H130" s="422"/>
      <c r="I130" s="11"/>
      <c r="J130" s="417"/>
      <c r="K130" s="412"/>
      <c r="L130" s="413"/>
      <c r="M130" s="413"/>
      <c r="N130" s="413"/>
      <c r="O130" s="412"/>
      <c r="P130" s="414"/>
      <c r="Q130" s="412"/>
      <c r="R130" s="420"/>
      <c r="S130" s="420"/>
      <c r="AG130" s="2"/>
      <c r="AH130" s="2"/>
      <c r="AI130" s="2"/>
      <c r="AJ130" s="2"/>
      <c r="AK130" s="2"/>
      <c r="AL130" s="2"/>
      <c r="AM130" s="2"/>
      <c r="AN130" s="2"/>
      <c r="AO130" s="2"/>
      <c r="AP130" s="2"/>
      <c r="AQ130" s="2"/>
      <c r="AR130" s="2"/>
      <c r="AS130" s="2"/>
      <c r="AT130" s="2"/>
    </row>
    <row r="131">
      <c r="A131" s="161"/>
      <c r="B131" s="161"/>
      <c r="C131" s="161"/>
      <c r="E131" s="341"/>
      <c r="F131" s="341"/>
      <c r="G131" s="394"/>
      <c r="H131" s="422"/>
      <c r="I131" s="11"/>
      <c r="J131" s="417"/>
      <c r="K131" s="412"/>
      <c r="L131" s="413"/>
      <c r="M131" s="413"/>
      <c r="N131" s="413"/>
      <c r="O131" s="412"/>
      <c r="P131" s="414"/>
      <c r="Q131" s="412"/>
      <c r="R131" s="420"/>
      <c r="S131" s="420"/>
      <c r="AG131" s="2"/>
      <c r="AH131" s="2"/>
      <c r="AI131" s="2"/>
      <c r="AJ131" s="2"/>
      <c r="AK131" s="2"/>
      <c r="AL131" s="2"/>
      <c r="AM131" s="2"/>
      <c r="AN131" s="2"/>
      <c r="AO131" s="2"/>
      <c r="AP131" s="2"/>
      <c r="AQ131" s="2"/>
      <c r="AR131" s="2"/>
      <c r="AS131" s="2"/>
      <c r="AT131" s="2"/>
    </row>
    <row r="132">
      <c r="A132" s="161"/>
      <c r="B132" s="161"/>
      <c r="C132" s="161"/>
      <c r="E132" s="341"/>
      <c r="F132" s="341"/>
      <c r="G132" s="394"/>
      <c r="H132" s="422"/>
      <c r="I132" s="11"/>
      <c r="J132" s="417"/>
      <c r="K132" s="412"/>
      <c r="L132" s="413"/>
      <c r="M132" s="413"/>
      <c r="N132" s="413"/>
      <c r="O132" s="412"/>
      <c r="P132" s="414"/>
      <c r="Q132" s="412"/>
      <c r="R132" s="420"/>
      <c r="S132" s="420"/>
      <c r="AG132" s="2"/>
      <c r="AH132" s="2"/>
      <c r="AI132" s="2"/>
      <c r="AJ132" s="2"/>
      <c r="AK132" s="2"/>
      <c r="AL132" s="2"/>
      <c r="AM132" s="2"/>
      <c r="AN132" s="2"/>
      <c r="AO132" s="2"/>
      <c r="AP132" s="2"/>
      <c r="AQ132" s="2"/>
      <c r="AR132" s="2"/>
      <c r="AS132" s="2"/>
      <c r="AT132" s="2"/>
    </row>
    <row r="133">
      <c r="A133" s="161"/>
      <c r="B133" s="161"/>
      <c r="C133" s="161"/>
      <c r="E133" s="341"/>
      <c r="F133" s="341"/>
      <c r="G133" s="443" t="s">
        <v>322</v>
      </c>
      <c r="H133" s="444" t="s">
        <v>323</v>
      </c>
      <c r="I133" s="445"/>
      <c r="J133" s="445"/>
      <c r="K133" s="382"/>
      <c r="L133" s="383"/>
      <c r="M133" s="383"/>
      <c r="N133" s="383"/>
      <c r="O133" s="382"/>
      <c r="P133" s="384"/>
      <c r="Q133" s="382"/>
      <c r="R133" s="420"/>
      <c r="S133" s="420"/>
      <c r="AG133" s="2"/>
      <c r="AH133" s="2"/>
      <c r="AI133" s="2"/>
      <c r="AJ133" s="2"/>
      <c r="AK133" s="2"/>
      <c r="AL133" s="2"/>
      <c r="AM133" s="2"/>
      <c r="AN133" s="2"/>
      <c r="AO133" s="2"/>
      <c r="AP133" s="2"/>
      <c r="AQ133" s="2"/>
      <c r="AR133" s="2"/>
      <c r="AS133" s="2"/>
      <c r="AT133" s="2"/>
    </row>
    <row r="134">
      <c r="A134" s="161"/>
      <c r="B134" s="207"/>
      <c r="C134" s="161"/>
      <c r="E134" s="341"/>
      <c r="F134" s="341"/>
      <c r="G134" s="446" t="s">
        <v>324</v>
      </c>
      <c r="H134" s="447">
        <f>IFS(H133=G102,H108,
H133=G110,H122 ,
H133=G124,J129,
TRUE,0)</f>
        <v>0</v>
      </c>
      <c r="I134" s="448"/>
      <c r="J134" s="448"/>
      <c r="K134" s="448"/>
      <c r="L134" s="449"/>
      <c r="M134" s="449"/>
      <c r="N134" s="449"/>
      <c r="O134" s="450"/>
      <c r="P134" s="451"/>
      <c r="Q134" s="450"/>
      <c r="AG134" s="2"/>
      <c r="AH134" s="2"/>
      <c r="AI134" s="2"/>
      <c r="AJ134" s="2"/>
      <c r="AK134" s="2"/>
      <c r="AL134" s="2"/>
      <c r="AM134" s="2"/>
      <c r="AN134" s="2"/>
      <c r="AO134" s="2"/>
      <c r="AP134" s="2"/>
      <c r="AQ134" s="2"/>
      <c r="AR134" s="2"/>
      <c r="AS134" s="2"/>
      <c r="AT134" s="2"/>
    </row>
    <row r="135">
      <c r="A135" s="161"/>
      <c r="B135" s="161"/>
      <c r="C135" s="161"/>
      <c r="E135" s="341"/>
      <c r="F135" s="341"/>
      <c r="G135" s="452" t="s">
        <v>325</v>
      </c>
      <c r="H135" s="453">
        <f>IFS(PARAMS("topo")="2x2x2", (2+2+2)/2,
PARAMS("topo")="2x2", (2+2)/2,
TRUE, NA())</f>
        <v>3</v>
      </c>
      <c r="I135" s="454"/>
      <c r="J135" s="454"/>
      <c r="K135" s="454"/>
      <c r="L135" s="455"/>
      <c r="M135" s="455"/>
      <c r="N135" s="455"/>
      <c r="O135" s="456"/>
      <c r="P135" s="457"/>
      <c r="Q135" s="456"/>
      <c r="AG135" s="2"/>
      <c r="AH135" s="2"/>
      <c r="AI135" s="2"/>
      <c r="AJ135" s="2"/>
      <c r="AK135" s="2"/>
      <c r="AL135" s="2"/>
      <c r="AM135" s="2"/>
      <c r="AN135" s="2"/>
      <c r="AO135" s="2"/>
      <c r="AP135" s="2"/>
      <c r="AQ135" s="2"/>
      <c r="AR135" s="2"/>
      <c r="AS135" s="2"/>
      <c r="AT135" s="2"/>
    </row>
    <row r="136">
      <c r="A136" s="161"/>
      <c r="B136" s="161"/>
      <c r="C136" s="161"/>
      <c r="E136" s="341"/>
      <c r="F136" s="352"/>
      <c r="G136" s="446" t="s">
        <v>326</v>
      </c>
      <c r="H136" s="447">
        <f>IF(H133="No Collectives", 0, H135 * HW_SPEC("Chip-to-Chip ICI Latency (ms)"))</f>
        <v>0</v>
      </c>
      <c r="I136" s="448"/>
      <c r="J136" s="448"/>
      <c r="K136" s="448"/>
      <c r="L136" s="449"/>
      <c r="M136" s="449"/>
      <c r="N136" s="449"/>
      <c r="O136" s="450"/>
      <c r="P136" s="451"/>
      <c r="Q136" s="450"/>
      <c r="AG136" s="2"/>
      <c r="AH136" s="2"/>
      <c r="AI136" s="2"/>
      <c r="AJ136" s="2"/>
      <c r="AK136" s="2"/>
      <c r="AL136" s="2"/>
      <c r="AM136" s="2"/>
      <c r="AN136" s="2"/>
      <c r="AO136" s="2"/>
      <c r="AP136" s="2"/>
      <c r="AQ136" s="2"/>
      <c r="AR136" s="2"/>
      <c r="AS136" s="2"/>
      <c r="AT136" s="2"/>
    </row>
    <row r="137">
      <c r="A137" s="161"/>
      <c r="B137" s="161"/>
      <c r="C137" s="161"/>
      <c r="E137" s="341"/>
      <c r="F137" s="458" t="s">
        <v>327</v>
      </c>
      <c r="G137" s="459" t="s">
        <v>328</v>
      </c>
      <c r="H137" s="455" t="str">
        <f>VLOOKUP(O85&amp;","&amp;O89,$T$3:$W$12,4, FALSE)</f>
        <v>fp8</v>
      </c>
      <c r="I137" s="460"/>
      <c r="J137" s="454"/>
      <c r="K137" s="454"/>
      <c r="L137" s="455"/>
      <c r="M137" s="455"/>
      <c r="N137" s="455"/>
      <c r="O137" s="454"/>
      <c r="P137" s="457"/>
      <c r="Q137" s="11"/>
      <c r="AG137" s="2"/>
      <c r="AH137" s="2"/>
      <c r="AI137" s="2"/>
      <c r="AJ137" s="2"/>
      <c r="AK137" s="2"/>
      <c r="AL137" s="2"/>
      <c r="AM137" s="2"/>
      <c r="AN137" s="2"/>
      <c r="AO137" s="2"/>
      <c r="AP137" s="2"/>
      <c r="AQ137" s="2"/>
      <c r="AR137" s="2"/>
      <c r="AS137" s="2"/>
      <c r="AT137" s="2"/>
    </row>
    <row r="138">
      <c r="A138" s="161"/>
      <c r="B138" s="161"/>
      <c r="C138" s="161"/>
      <c r="E138" s="341"/>
      <c r="F138" s="341"/>
      <c r="G138" s="459" t="s">
        <v>329</v>
      </c>
      <c r="H138" s="461">
        <f>CALCULATE_FLOPS(J88:M88,J92:M92,L92,1,H137)</f>
        <v>352321536</v>
      </c>
      <c r="I138" s="460"/>
      <c r="J138" s="454"/>
      <c r="K138" s="454"/>
      <c r="L138" s="455"/>
      <c r="M138" s="455"/>
      <c r="N138" s="455"/>
      <c r="O138" s="454"/>
      <c r="P138" s="457"/>
      <c r="Q138" s="11"/>
      <c r="AG138" s="2"/>
      <c r="AH138" s="2"/>
      <c r="AI138" s="2"/>
      <c r="AJ138" s="2"/>
      <c r="AK138" s="2"/>
      <c r="AL138" s="2"/>
      <c r="AM138" s="2"/>
      <c r="AN138" s="2"/>
      <c r="AO138" s="2"/>
      <c r="AP138" s="2"/>
      <c r="AQ138" s="2"/>
      <c r="AR138" s="2"/>
      <c r="AS138" s="2"/>
      <c r="AT138" s="2"/>
    </row>
    <row r="139">
      <c r="A139" s="161"/>
      <c r="B139" s="161"/>
      <c r="C139" s="161"/>
      <c r="E139" s="341"/>
      <c r="F139" s="352"/>
      <c r="G139" s="462" t="s">
        <v>330</v>
      </c>
      <c r="H139" s="463">
        <f>COMPUTE_TIME_MS(H138, H137)</f>
        <v>0.0000939524096</v>
      </c>
      <c r="I139" s="464"/>
      <c r="J139" s="465"/>
      <c r="K139" s="465"/>
      <c r="L139" s="466"/>
      <c r="M139" s="466"/>
      <c r="N139" s="466"/>
      <c r="O139" s="465"/>
      <c r="P139" s="467"/>
      <c r="Q139" s="11"/>
      <c r="AG139" s="2"/>
      <c r="AH139" s="2"/>
      <c r="AI139" s="2"/>
      <c r="AJ139" s="2"/>
      <c r="AK139" s="2"/>
      <c r="AL139" s="2"/>
      <c r="AM139" s="2"/>
      <c r="AN139" s="2"/>
      <c r="AO139" s="2"/>
      <c r="AP139" s="2"/>
      <c r="AQ139" s="2"/>
      <c r="AR139" s="2"/>
      <c r="AS139" s="2"/>
      <c r="AT139" s="2"/>
    </row>
    <row r="140">
      <c r="A140" s="161"/>
      <c r="B140" s="161"/>
      <c r="C140" s="161"/>
      <c r="E140" s="341"/>
      <c r="F140" s="458" t="s">
        <v>331</v>
      </c>
      <c r="G140" s="455" t="s">
        <v>332</v>
      </c>
      <c r="H140" s="468">
        <f>IF(Q85,0,P88)+IF(Q89,0,P92)+IF(Q93,0,P96)</f>
        <v>10.65625</v>
      </c>
      <c r="I140" s="454"/>
      <c r="J140" s="454"/>
      <c r="K140" s="454"/>
      <c r="L140" s="455"/>
      <c r="M140" s="455"/>
      <c r="N140" s="455"/>
      <c r="O140" s="454"/>
      <c r="P140" s="457"/>
      <c r="Q140" s="11"/>
      <c r="AG140" s="2"/>
      <c r="AH140" s="2"/>
      <c r="AI140" s="2"/>
      <c r="AJ140" s="2"/>
      <c r="AK140" s="2"/>
      <c r="AL140" s="2"/>
      <c r="AM140" s="2"/>
      <c r="AN140" s="2"/>
      <c r="AO140" s="2"/>
      <c r="AP140" s="2"/>
      <c r="AQ140" s="2"/>
      <c r="AR140" s="2"/>
      <c r="AS140" s="2"/>
      <c r="AT140" s="2"/>
    </row>
    <row r="141">
      <c r="A141" s="161"/>
      <c r="B141" s="161"/>
      <c r="C141" s="161"/>
      <c r="E141" s="352"/>
      <c r="F141" s="352"/>
      <c r="G141" s="469" t="s">
        <v>333</v>
      </c>
      <c r="H141" s="470">
        <f>HBM_TIME_MS(H140)</f>
        <v>0.001445346408</v>
      </c>
      <c r="I141" s="465"/>
      <c r="J141" s="465"/>
      <c r="K141" s="465"/>
      <c r="L141" s="466"/>
      <c r="M141" s="466"/>
      <c r="N141" s="466"/>
      <c r="O141" s="465"/>
      <c r="P141" s="467"/>
      <c r="Q141" s="11"/>
      <c r="AH141" s="471"/>
      <c r="AI141" s="471"/>
      <c r="AJ141" s="471"/>
      <c r="AK141" s="2"/>
      <c r="AL141" s="2"/>
      <c r="AM141" s="2"/>
      <c r="AN141" s="2"/>
      <c r="AO141" s="2"/>
      <c r="AP141" s="2"/>
      <c r="AQ141" s="2"/>
      <c r="AR141" s="2"/>
      <c r="AS141" s="2"/>
      <c r="AT141" s="2"/>
    </row>
    <row r="142">
      <c r="E142" s="333" t="s">
        <v>334</v>
      </c>
      <c r="F142" s="357" t="s">
        <v>292</v>
      </c>
      <c r="G142" s="335"/>
      <c r="H142" s="364" t="s">
        <v>281</v>
      </c>
      <c r="I142" s="364" t="s">
        <v>282</v>
      </c>
      <c r="J142" s="364"/>
      <c r="K142" s="273" t="s">
        <v>104</v>
      </c>
      <c r="L142" s="273" t="s">
        <v>102</v>
      </c>
      <c r="M142" s="472" t="s">
        <v>195</v>
      </c>
      <c r="N142" s="364" t="s">
        <v>283</v>
      </c>
      <c r="O142" s="365" t="str">
        <f>EXTRACT_ACTIVATION_DTYPE(PARAMS("attn_proj_dtype"))</f>
        <v>fp8</v>
      </c>
      <c r="P142" s="366"/>
      <c r="Q142" s="365" t="b">
        <v>0</v>
      </c>
      <c r="R142" s="2"/>
      <c r="S142" s="2"/>
      <c r="AH142" s="471"/>
      <c r="AI142" s="471"/>
      <c r="AJ142" s="471"/>
      <c r="AK142" s="2"/>
      <c r="AL142" s="2"/>
      <c r="AM142" s="2"/>
      <c r="AN142" s="2"/>
      <c r="AO142" s="2"/>
      <c r="AP142" s="2"/>
      <c r="AQ142" s="2"/>
      <c r="AR142" s="2"/>
      <c r="AS142" s="2"/>
      <c r="AT142" s="2"/>
    </row>
    <row r="143">
      <c r="E143" s="341"/>
      <c r="F143" s="342"/>
      <c r="G143" s="343"/>
      <c r="H143" s="273" t="s">
        <v>285</v>
      </c>
      <c r="I143" s="364" t="s">
        <v>282</v>
      </c>
      <c r="J143" s="363"/>
      <c r="K143" s="363">
        <f t="shared" ref="K143:M143" si="18">PARAMS(K142)</f>
        <v>128</v>
      </c>
      <c r="L143" s="364">
        <f t="shared" si="18"/>
        <v>1</v>
      </c>
      <c r="M143" s="364">
        <f t="shared" si="18"/>
        <v>1536</v>
      </c>
      <c r="N143" s="364" t="s">
        <v>283</v>
      </c>
      <c r="O143" s="341"/>
      <c r="P143" s="366">
        <f>SIZEOF_IN_MIB(J143:M143, $O142)</f>
        <v>0.1875</v>
      </c>
      <c r="Q143" s="341"/>
      <c r="R143" s="2"/>
      <c r="S143" s="2"/>
      <c r="AH143" s="471"/>
      <c r="AI143" s="471"/>
      <c r="AJ143" s="471"/>
      <c r="AK143" s="2"/>
      <c r="AL143" s="2"/>
      <c r="AM143" s="2"/>
      <c r="AN143" s="2"/>
      <c r="AO143" s="2"/>
      <c r="AP143" s="2"/>
      <c r="AQ143" s="2"/>
      <c r="AR143" s="2"/>
      <c r="AS143" s="2"/>
      <c r="AT143" s="2"/>
    </row>
    <row r="144">
      <c r="E144" s="341"/>
      <c r="F144" s="342"/>
      <c r="G144" s="343"/>
      <c r="H144" s="363" t="s">
        <v>287</v>
      </c>
      <c r="I144" s="363" t="s">
        <v>282</v>
      </c>
      <c r="J144" s="364"/>
      <c r="K144" s="273" t="s">
        <v>196</v>
      </c>
      <c r="L144" s="273"/>
      <c r="M144" s="363"/>
      <c r="N144" s="363" t="s">
        <v>283</v>
      </c>
      <c r="O144" s="341"/>
      <c r="P144" s="366"/>
      <c r="Q144" s="341"/>
      <c r="R144" s="2"/>
      <c r="S144" s="2"/>
      <c r="AH144" s="471"/>
      <c r="AI144" s="471"/>
      <c r="AJ144" s="471"/>
      <c r="AK144" s="2"/>
      <c r="AL144" s="2"/>
      <c r="AM144" s="2"/>
      <c r="AN144" s="2"/>
      <c r="AO144" s="2"/>
      <c r="AP144" s="2"/>
      <c r="AQ144" s="2"/>
      <c r="AR144" s="2"/>
      <c r="AS144" s="2"/>
      <c r="AT144" s="2"/>
    </row>
    <row r="145">
      <c r="E145" s="341"/>
      <c r="F145" s="353"/>
      <c r="G145" s="354"/>
      <c r="H145" s="273" t="s">
        <v>289</v>
      </c>
      <c r="I145" s="363" t="s">
        <v>282</v>
      </c>
      <c r="J145" s="364"/>
      <c r="K145" s="363">
        <f t="shared" ref="K145:M145" si="19">K143/SHARDING(K144)</f>
        <v>16</v>
      </c>
      <c r="L145" s="363">
        <f t="shared" si="19"/>
        <v>1</v>
      </c>
      <c r="M145" s="363">
        <f t="shared" si="19"/>
        <v>1536</v>
      </c>
      <c r="N145" s="363" t="s">
        <v>283</v>
      </c>
      <c r="O145" s="352"/>
      <c r="P145" s="366">
        <f>SIZEOF_IN_MIB(J145:M145, $O142)</f>
        <v>0.0234375</v>
      </c>
      <c r="Q145" s="352"/>
      <c r="R145" s="2"/>
      <c r="S145" s="2"/>
      <c r="AK145" s="2"/>
      <c r="AL145" s="2"/>
      <c r="AM145" s="2"/>
      <c r="AN145" s="2"/>
      <c r="AO145" s="2"/>
      <c r="AP145" s="2"/>
      <c r="AQ145" s="2"/>
      <c r="AR145" s="2"/>
      <c r="AS145" s="2"/>
      <c r="AT145" s="2"/>
    </row>
    <row r="146">
      <c r="E146" s="341"/>
      <c r="F146" s="334" t="s">
        <v>296</v>
      </c>
      <c r="G146" s="335"/>
      <c r="H146" s="363" t="s">
        <v>281</v>
      </c>
      <c r="I146" s="363" t="s">
        <v>282</v>
      </c>
      <c r="J146" s="364"/>
      <c r="K146" s="472" t="s">
        <v>195</v>
      </c>
      <c r="L146" s="273" t="s">
        <v>207</v>
      </c>
      <c r="M146" s="273" t="s">
        <v>209</v>
      </c>
      <c r="N146" s="363" t="s">
        <v>283</v>
      </c>
      <c r="O146" s="365" t="str">
        <f>EXTRACT_WEIGHT_DTYPE(PARAMS("attn_proj_dtype"))</f>
        <v>fp8</v>
      </c>
      <c r="P146" s="366"/>
      <c r="Q146" s="365" t="b">
        <v>0</v>
      </c>
      <c r="R146" s="2"/>
      <c r="S146" s="2"/>
      <c r="AK146" s="2"/>
      <c r="AL146" s="2"/>
      <c r="AM146" s="2"/>
      <c r="AN146" s="2"/>
      <c r="AO146" s="2"/>
      <c r="AP146" s="2"/>
      <c r="AQ146" s="2"/>
      <c r="AR146" s="2"/>
      <c r="AS146" s="2"/>
      <c r="AT146" s="2"/>
    </row>
    <row r="147">
      <c r="E147" s="341"/>
      <c r="F147" s="342"/>
      <c r="G147" s="343"/>
      <c r="H147" s="273" t="s">
        <v>285</v>
      </c>
      <c r="I147" s="363" t="s">
        <v>282</v>
      </c>
      <c r="J147" s="364"/>
      <c r="K147" s="363">
        <f t="shared" ref="K147:M147" si="20">PARAMS(K146)</f>
        <v>1536</v>
      </c>
      <c r="L147" s="363">
        <f t="shared" si="20"/>
        <v>128</v>
      </c>
      <c r="M147" s="363">
        <f t="shared" si="20"/>
        <v>192</v>
      </c>
      <c r="N147" s="363" t="s">
        <v>283</v>
      </c>
      <c r="O147" s="341"/>
      <c r="P147" s="366">
        <f>SIZEOF_IN_MIB(J147:M147, $O146)</f>
        <v>36</v>
      </c>
      <c r="Q147" s="341"/>
      <c r="R147" s="2"/>
      <c r="S147" s="2"/>
      <c r="AK147" s="2"/>
      <c r="AL147" s="2"/>
      <c r="AM147" s="2"/>
      <c r="AN147" s="2"/>
      <c r="AO147" s="2"/>
      <c r="AP147" s="2"/>
      <c r="AQ147" s="2"/>
      <c r="AR147" s="2"/>
      <c r="AS147" s="2"/>
      <c r="AT147" s="2"/>
    </row>
    <row r="148">
      <c r="E148" s="341"/>
      <c r="F148" s="342"/>
      <c r="G148" s="343"/>
      <c r="H148" s="363" t="s">
        <v>287</v>
      </c>
      <c r="I148" s="363" t="s">
        <v>282</v>
      </c>
      <c r="J148" s="364"/>
      <c r="K148" s="364"/>
      <c r="L148" s="363"/>
      <c r="M148" s="363"/>
      <c r="N148" s="363" t="s">
        <v>283</v>
      </c>
      <c r="O148" s="341"/>
      <c r="P148" s="366"/>
      <c r="Q148" s="341"/>
      <c r="R148" s="2"/>
      <c r="S148" s="2"/>
      <c r="AK148" s="2"/>
      <c r="AL148" s="2"/>
      <c r="AM148" s="2"/>
      <c r="AN148" s="2"/>
      <c r="AO148" s="2"/>
      <c r="AP148" s="2"/>
      <c r="AQ148" s="2"/>
      <c r="AR148" s="2"/>
      <c r="AS148" s="2"/>
      <c r="AT148" s="2"/>
    </row>
    <row r="149">
      <c r="E149" s="341"/>
      <c r="F149" s="353"/>
      <c r="G149" s="354"/>
      <c r="H149" s="349" t="s">
        <v>289</v>
      </c>
      <c r="I149" s="349" t="s">
        <v>282</v>
      </c>
      <c r="J149" s="336"/>
      <c r="K149" s="349">
        <f t="shared" ref="K149:M149" si="21">K147/SHARDING(K148)</f>
        <v>1536</v>
      </c>
      <c r="L149" s="349">
        <f t="shared" si="21"/>
        <v>128</v>
      </c>
      <c r="M149" s="349">
        <f t="shared" si="21"/>
        <v>192</v>
      </c>
      <c r="N149" s="349" t="s">
        <v>283</v>
      </c>
      <c r="O149" s="316"/>
      <c r="P149" s="351">
        <f>SIZEOF_IN_MIB(J149:M149, $O146)</f>
        <v>36</v>
      </c>
      <c r="Q149" s="316"/>
      <c r="R149" s="2"/>
      <c r="S149" s="2"/>
      <c r="AK149" s="2"/>
      <c r="AL149" s="2"/>
      <c r="AM149" s="2"/>
      <c r="AN149" s="2"/>
      <c r="AO149" s="2"/>
      <c r="AP149" s="2"/>
      <c r="AQ149" s="2"/>
      <c r="AR149" s="2"/>
      <c r="AS149" s="2"/>
      <c r="AT149" s="2"/>
    </row>
    <row r="150">
      <c r="E150" s="341"/>
      <c r="F150" s="334" t="s">
        <v>56</v>
      </c>
      <c r="G150" s="335"/>
      <c r="H150" s="346" t="s">
        <v>281</v>
      </c>
      <c r="I150" s="346" t="s">
        <v>282</v>
      </c>
      <c r="J150" s="344" t="s">
        <v>104</v>
      </c>
      <c r="K150" s="344" t="s">
        <v>102</v>
      </c>
      <c r="L150" s="344" t="s">
        <v>207</v>
      </c>
      <c r="M150" s="344" t="s">
        <v>209</v>
      </c>
      <c r="N150" s="346" t="s">
        <v>283</v>
      </c>
      <c r="O150" s="473" t="s">
        <v>133</v>
      </c>
      <c r="P150" s="348"/>
      <c r="Q150" s="473" t="b">
        <v>0</v>
      </c>
      <c r="R150" s="2"/>
      <c r="S150" s="2"/>
      <c r="AK150" s="2"/>
      <c r="AL150" s="2"/>
      <c r="AM150" s="2"/>
      <c r="AN150" s="2"/>
      <c r="AO150" s="2"/>
      <c r="AP150" s="2"/>
      <c r="AQ150" s="2"/>
      <c r="AR150" s="2"/>
      <c r="AS150" s="2"/>
      <c r="AT150" s="2"/>
    </row>
    <row r="151">
      <c r="E151" s="341"/>
      <c r="F151" s="342"/>
      <c r="G151" s="343"/>
      <c r="H151" s="337" t="s">
        <v>285</v>
      </c>
      <c r="I151" s="349" t="s">
        <v>282</v>
      </c>
      <c r="J151" s="349">
        <f t="shared" ref="J151:M151" si="22">PARAMS(J150)</f>
        <v>128</v>
      </c>
      <c r="K151" s="349">
        <f t="shared" si="22"/>
        <v>1</v>
      </c>
      <c r="L151" s="349">
        <f t="shared" si="22"/>
        <v>128</v>
      </c>
      <c r="M151" s="349">
        <f t="shared" si="22"/>
        <v>192</v>
      </c>
      <c r="N151" s="349" t="s">
        <v>283</v>
      </c>
      <c r="O151" s="350"/>
      <c r="P151" s="351">
        <f>SIZEOF_IN_MIB(J151:M151, $O150)</f>
        <v>6</v>
      </c>
      <c r="Q151" s="350"/>
      <c r="R151" s="2"/>
      <c r="S151" s="2"/>
      <c r="AK151" s="2"/>
      <c r="AL151" s="2"/>
      <c r="AM151" s="2"/>
      <c r="AN151" s="2"/>
      <c r="AO151" s="2"/>
      <c r="AP151" s="2"/>
      <c r="AQ151" s="2"/>
      <c r="AR151" s="2"/>
      <c r="AS151" s="2"/>
      <c r="AT151" s="2"/>
    </row>
    <row r="152">
      <c r="E152" s="341"/>
      <c r="F152" s="342"/>
      <c r="G152" s="343"/>
      <c r="H152" s="346" t="s">
        <v>287</v>
      </c>
      <c r="I152" s="346" t="s">
        <v>282</v>
      </c>
      <c r="J152" s="344" t="s">
        <v>196</v>
      </c>
      <c r="K152" s="344"/>
      <c r="L152" s="344"/>
      <c r="M152" s="346"/>
      <c r="N152" s="346" t="s">
        <v>283</v>
      </c>
      <c r="O152" s="347"/>
      <c r="P152" s="348"/>
      <c r="Q152" s="347"/>
      <c r="R152" s="2"/>
      <c r="S152" s="2"/>
      <c r="AK152" s="2"/>
      <c r="AL152" s="2"/>
      <c r="AM152" s="2"/>
      <c r="AN152" s="2"/>
      <c r="AO152" s="2"/>
      <c r="AP152" s="2"/>
      <c r="AQ152" s="2"/>
      <c r="AR152" s="2"/>
      <c r="AS152" s="2"/>
      <c r="AT152" s="2"/>
    </row>
    <row r="153">
      <c r="E153" s="341"/>
      <c r="F153" s="353"/>
      <c r="G153" s="354"/>
      <c r="H153" s="349" t="s">
        <v>289</v>
      </c>
      <c r="I153" s="349" t="s">
        <v>282</v>
      </c>
      <c r="J153" s="349">
        <f t="shared" ref="J153:M153" si="23">J151/SHARDING(J152)</f>
        <v>16</v>
      </c>
      <c r="K153" s="349">
        <f t="shared" si="23"/>
        <v>1</v>
      </c>
      <c r="L153" s="349">
        <f t="shared" si="23"/>
        <v>128</v>
      </c>
      <c r="M153" s="349">
        <f t="shared" si="23"/>
        <v>192</v>
      </c>
      <c r="N153" s="349" t="s">
        <v>283</v>
      </c>
      <c r="O153" s="316"/>
      <c r="P153" s="351">
        <f>SIZEOF_IN_MIB(J153:M153, $O150)</f>
        <v>0.75</v>
      </c>
      <c r="Q153" s="316"/>
      <c r="R153" s="2"/>
      <c r="S153" s="2"/>
      <c r="AK153" s="2"/>
      <c r="AL153" s="2"/>
      <c r="AM153" s="2"/>
      <c r="AN153" s="2"/>
      <c r="AO153" s="2"/>
      <c r="AP153" s="2"/>
      <c r="AQ153" s="2"/>
      <c r="AR153" s="2"/>
      <c r="AS153" s="2"/>
      <c r="AT153" s="2"/>
    </row>
    <row r="154">
      <c r="E154" s="341"/>
      <c r="F154" s="474" t="s">
        <v>335</v>
      </c>
      <c r="G154" s="423" t="s">
        <v>336</v>
      </c>
      <c r="H154" s="475"/>
      <c r="I154" s="476" t="s">
        <v>337</v>
      </c>
      <c r="J154" s="477"/>
      <c r="K154" s="382"/>
      <c r="L154" s="383"/>
      <c r="M154" s="383"/>
      <c r="N154" s="383"/>
      <c r="O154" s="382"/>
      <c r="P154" s="384"/>
      <c r="Q154" s="382"/>
      <c r="R154" s="2"/>
      <c r="S154" s="2"/>
      <c r="AK154" s="2"/>
      <c r="AL154" s="2"/>
      <c r="AM154" s="2"/>
      <c r="AN154" s="2"/>
      <c r="AO154" s="2"/>
      <c r="AP154" s="2"/>
      <c r="AQ154" s="2"/>
      <c r="AR154" s="2"/>
      <c r="AS154" s="2"/>
      <c r="AT154" s="2"/>
    </row>
    <row r="155">
      <c r="E155" s="341"/>
      <c r="F155" s="341"/>
      <c r="G155" s="432" t="s">
        <v>338</v>
      </c>
      <c r="H155" s="478" t="str">
        <f>K148</f>
        <v/>
      </c>
      <c r="I155" s="479"/>
      <c r="J155" s="391"/>
      <c r="K155" s="404"/>
      <c r="L155" s="405"/>
      <c r="M155" s="405"/>
      <c r="N155" s="405"/>
      <c r="O155" s="404"/>
      <c r="P155" s="480"/>
      <c r="Q155" s="391"/>
      <c r="R155" s="2"/>
      <c r="S155" s="2"/>
      <c r="AK155" s="2"/>
      <c r="AL155" s="2"/>
      <c r="AM155" s="2"/>
      <c r="AN155" s="2"/>
      <c r="AO155" s="2"/>
      <c r="AP155" s="2"/>
      <c r="AQ155" s="2"/>
      <c r="AR155" s="2"/>
      <c r="AS155" s="2"/>
      <c r="AT155" s="2"/>
    </row>
    <row r="156">
      <c r="E156" s="341"/>
      <c r="F156" s="341"/>
      <c r="G156" s="432" t="s">
        <v>339</v>
      </c>
      <c r="H156" s="481" t="s">
        <v>306</v>
      </c>
      <c r="I156" s="482"/>
      <c r="J156" s="483">
        <v>2.0</v>
      </c>
      <c r="K156" s="399"/>
      <c r="L156" s="400"/>
      <c r="M156" s="400"/>
      <c r="N156" s="400"/>
      <c r="O156" s="399"/>
      <c r="P156" s="484"/>
      <c r="Q156" s="387"/>
      <c r="R156" s="2"/>
      <c r="S156" s="2"/>
      <c r="AK156" s="2"/>
      <c r="AL156" s="2"/>
      <c r="AM156" s="2"/>
      <c r="AN156" s="2"/>
      <c r="AO156" s="2"/>
      <c r="AP156" s="2"/>
      <c r="AQ156" s="2"/>
      <c r="AR156" s="2"/>
      <c r="AS156" s="2"/>
      <c r="AT156" s="2"/>
    </row>
    <row r="157">
      <c r="E157" s="341"/>
      <c r="F157" s="341"/>
      <c r="G157" s="341"/>
      <c r="H157" s="485" t="s">
        <v>307</v>
      </c>
      <c r="I157" s="479"/>
      <c r="J157" s="390">
        <f>P153/J156 * (J156-1)</f>
        <v>0.375</v>
      </c>
      <c r="K157" s="404"/>
      <c r="L157" s="405"/>
      <c r="M157" s="405"/>
      <c r="N157" s="405"/>
      <c r="O157" s="404"/>
      <c r="P157" s="480"/>
      <c r="Q157" s="391"/>
      <c r="R157" s="2"/>
      <c r="S157" s="2"/>
      <c r="AK157" s="2"/>
      <c r="AL157" s="2"/>
      <c r="AM157" s="2"/>
      <c r="AN157" s="2"/>
      <c r="AO157" s="2"/>
      <c r="AP157" s="2"/>
      <c r="AQ157" s="2"/>
      <c r="AR157" s="2"/>
      <c r="AS157" s="2"/>
      <c r="AT157" s="2"/>
    </row>
    <row r="158">
      <c r="E158" s="341"/>
      <c r="F158" s="341"/>
      <c r="G158" s="341"/>
      <c r="H158" s="481" t="s">
        <v>308</v>
      </c>
      <c r="I158" s="482"/>
      <c r="J158" s="395">
        <f>J157*J156</f>
        <v>0.75</v>
      </c>
      <c r="K158" s="399"/>
      <c r="L158" s="400"/>
      <c r="M158" s="400"/>
      <c r="N158" s="400"/>
      <c r="O158" s="399"/>
      <c r="P158" s="484"/>
      <c r="Q158" s="387"/>
      <c r="R158" s="2"/>
      <c r="S158" s="2"/>
      <c r="AK158" s="2"/>
      <c r="AL158" s="2"/>
      <c r="AM158" s="2"/>
      <c r="AN158" s="2"/>
      <c r="AO158" s="2"/>
      <c r="AP158" s="2"/>
      <c r="AQ158" s="2"/>
      <c r="AR158" s="2"/>
      <c r="AS158" s="2"/>
      <c r="AT158" s="2"/>
    </row>
    <row r="159">
      <c r="E159" s="341"/>
      <c r="F159" s="341"/>
      <c r="G159" s="352"/>
      <c r="H159" s="485" t="s">
        <v>311</v>
      </c>
      <c r="I159" s="479"/>
      <c r="J159" s="486">
        <f>ALL_GATHER_CORE2CORE_TIME_MS(J158)</f>
        <v>0.0004069010417</v>
      </c>
      <c r="K159" s="404"/>
      <c r="L159" s="405"/>
      <c r="M159" s="405"/>
      <c r="N159" s="405"/>
      <c r="O159" s="404"/>
      <c r="P159" s="480"/>
      <c r="Q159" s="391"/>
      <c r="R159" s="2"/>
      <c r="S159" s="2"/>
      <c r="AK159" s="2"/>
      <c r="AL159" s="2"/>
      <c r="AM159" s="2"/>
      <c r="AN159" s="2"/>
      <c r="AO159" s="2"/>
      <c r="AP159" s="2"/>
      <c r="AQ159" s="2"/>
      <c r="AR159" s="2"/>
      <c r="AS159" s="2"/>
      <c r="AT159" s="2"/>
    </row>
    <row r="160">
      <c r="E160" s="341"/>
      <c r="F160" s="341"/>
      <c r="G160" s="487" t="s">
        <v>340</v>
      </c>
      <c r="H160" s="488">
        <f>J159</f>
        <v>0.0004069010417</v>
      </c>
      <c r="I160" s="489"/>
      <c r="J160" s="399"/>
      <c r="K160" s="399"/>
      <c r="L160" s="400"/>
      <c r="M160" s="400"/>
      <c r="N160" s="400"/>
      <c r="O160" s="399"/>
      <c r="P160" s="484"/>
      <c r="Q160" s="387"/>
      <c r="R160" s="2"/>
      <c r="S160" s="2"/>
      <c r="AK160" s="2"/>
      <c r="AL160" s="2"/>
      <c r="AM160" s="2"/>
      <c r="AN160" s="2"/>
      <c r="AO160" s="2"/>
      <c r="AP160" s="2"/>
      <c r="AQ160" s="2"/>
      <c r="AR160" s="2"/>
      <c r="AS160" s="2"/>
      <c r="AT160" s="2"/>
    </row>
    <row r="161">
      <c r="E161" s="341"/>
      <c r="F161" s="341"/>
      <c r="G161" s="490"/>
      <c r="H161" s="491"/>
      <c r="I161" s="492"/>
      <c r="J161" s="336"/>
      <c r="K161" s="336"/>
      <c r="L161" s="349"/>
      <c r="M161" s="349"/>
      <c r="N161" s="349"/>
      <c r="O161" s="336"/>
      <c r="P161" s="351"/>
      <c r="Q161" s="298"/>
      <c r="R161" s="2"/>
      <c r="S161" s="2"/>
      <c r="AK161" s="2"/>
      <c r="AL161" s="2"/>
      <c r="AM161" s="2"/>
      <c r="AN161" s="2"/>
      <c r="AO161" s="2"/>
      <c r="AP161" s="2"/>
      <c r="AQ161" s="2"/>
      <c r="AR161" s="2"/>
      <c r="AS161" s="2"/>
      <c r="AT161" s="2"/>
    </row>
    <row r="162">
      <c r="E162" s="341"/>
      <c r="F162" s="341"/>
      <c r="G162" s="443" t="s">
        <v>322</v>
      </c>
      <c r="H162" s="444" t="s">
        <v>323</v>
      </c>
      <c r="I162" s="493"/>
      <c r="J162" s="345"/>
      <c r="K162" s="345"/>
      <c r="L162" s="346"/>
      <c r="M162" s="346"/>
      <c r="N162" s="346"/>
      <c r="O162" s="345"/>
      <c r="P162" s="348"/>
      <c r="Q162" s="379"/>
      <c r="R162" s="2"/>
      <c r="S162" s="2"/>
      <c r="AK162" s="2"/>
      <c r="AL162" s="2"/>
      <c r="AM162" s="2"/>
      <c r="AN162" s="2"/>
      <c r="AO162" s="2"/>
      <c r="AP162" s="2"/>
      <c r="AQ162" s="2"/>
      <c r="AR162" s="2"/>
      <c r="AS162" s="2"/>
      <c r="AT162" s="2"/>
    </row>
    <row r="163">
      <c r="E163" s="341"/>
      <c r="F163" s="352"/>
      <c r="G163" s="446" t="s">
        <v>324</v>
      </c>
      <c r="H163" s="447">
        <f>IF(H162=G154,H160,0)</f>
        <v>0</v>
      </c>
      <c r="I163" s="492"/>
      <c r="J163" s="336"/>
      <c r="K163" s="336"/>
      <c r="L163" s="349"/>
      <c r="M163" s="349"/>
      <c r="N163" s="349"/>
      <c r="O163" s="336"/>
      <c r="P163" s="351"/>
      <c r="Q163" s="298"/>
      <c r="R163" s="2"/>
      <c r="S163" s="2"/>
      <c r="AK163" s="2"/>
      <c r="AL163" s="2"/>
      <c r="AM163" s="2"/>
      <c r="AN163" s="2"/>
      <c r="AO163" s="2"/>
      <c r="AP163" s="2"/>
      <c r="AQ163" s="2"/>
      <c r="AR163" s="2"/>
      <c r="AS163" s="2"/>
      <c r="AT163" s="2"/>
    </row>
    <row r="164">
      <c r="E164" s="341"/>
      <c r="F164" s="458" t="s">
        <v>327</v>
      </c>
      <c r="G164" s="459" t="s">
        <v>328</v>
      </c>
      <c r="H164" s="346" t="str">
        <f>VLOOKUP(O142&amp;","&amp;O146,$T$3:$W$12,4, FALSE)</f>
        <v>fp8</v>
      </c>
      <c r="I164" s="493"/>
      <c r="J164" s="345"/>
      <c r="K164" s="345"/>
      <c r="L164" s="346"/>
      <c r="M164" s="346"/>
      <c r="N164" s="346"/>
      <c r="O164" s="345"/>
      <c r="P164" s="348"/>
      <c r="Q164" s="379"/>
      <c r="R164" s="2"/>
      <c r="S164" s="2"/>
      <c r="AK164" s="2"/>
      <c r="AL164" s="2"/>
      <c r="AM164" s="2"/>
      <c r="AN164" s="2"/>
      <c r="AO164" s="2"/>
      <c r="AP164" s="2"/>
      <c r="AQ164" s="2"/>
      <c r="AR164" s="2"/>
      <c r="AS164" s="2"/>
      <c r="AT164" s="2"/>
    </row>
    <row r="165">
      <c r="E165" s="341"/>
      <c r="F165" s="341"/>
      <c r="G165" s="455" t="s">
        <v>341</v>
      </c>
      <c r="H165" s="494">
        <f>CALCULATE_FLOPS(K145:M145,K149:M149,K149,1,H164)</f>
        <v>1207959552</v>
      </c>
      <c r="I165" s="492"/>
      <c r="J165" s="336"/>
      <c r="K165" s="336"/>
      <c r="L165" s="349"/>
      <c r="M165" s="349"/>
      <c r="N165" s="349"/>
      <c r="O165" s="336"/>
      <c r="P165" s="351"/>
      <c r="Q165" s="298"/>
      <c r="R165" s="2"/>
      <c r="S165" s="2"/>
      <c r="AK165" s="2"/>
      <c r="AL165" s="2"/>
      <c r="AM165" s="2"/>
      <c r="AN165" s="2"/>
      <c r="AO165" s="2"/>
      <c r="AP165" s="2"/>
      <c r="AQ165" s="2"/>
      <c r="AR165" s="2"/>
      <c r="AS165" s="2"/>
      <c r="AT165" s="2"/>
    </row>
    <row r="166">
      <c r="A166" s="207"/>
      <c r="B166" s="2"/>
      <c r="C166" s="2"/>
      <c r="D166" s="2"/>
      <c r="E166" s="341"/>
      <c r="F166" s="352"/>
      <c r="G166" s="462" t="s">
        <v>330</v>
      </c>
      <c r="H166" s="495">
        <f>COMPUTE_TIME_MS(H165, H164)</f>
        <v>0.0003221225472</v>
      </c>
      <c r="I166" s="464"/>
      <c r="J166" s="465"/>
      <c r="K166" s="465"/>
      <c r="L166" s="466"/>
      <c r="M166" s="466"/>
      <c r="N166" s="466"/>
      <c r="O166" s="465"/>
      <c r="P166" s="467"/>
      <c r="Q166" s="379"/>
      <c r="R166" s="2"/>
      <c r="S166" s="2"/>
      <c r="AK166" s="2"/>
      <c r="AL166" s="2"/>
      <c r="AM166" s="2"/>
      <c r="AN166" s="2"/>
      <c r="AO166" s="2"/>
      <c r="AP166" s="2"/>
      <c r="AQ166" s="2"/>
      <c r="AR166" s="2"/>
      <c r="AS166" s="2"/>
      <c r="AT166" s="2"/>
    </row>
    <row r="167">
      <c r="A167" s="207"/>
      <c r="B167" s="2"/>
      <c r="C167" s="2"/>
      <c r="D167" s="2"/>
      <c r="E167" s="341"/>
      <c r="F167" s="458" t="s">
        <v>331</v>
      </c>
      <c r="G167" s="455" t="s">
        <v>332</v>
      </c>
      <c r="H167" s="377">
        <f>IF(Q142,0,P145)+IF(Q146,0,P149)+IF(Q150,0,P153)</f>
        <v>36.7734375</v>
      </c>
      <c r="I167" s="336"/>
      <c r="J167" s="336"/>
      <c r="K167" s="336"/>
      <c r="L167" s="349"/>
      <c r="M167" s="349"/>
      <c r="N167" s="349"/>
      <c r="O167" s="336"/>
      <c r="P167" s="351"/>
      <c r="Q167" s="298"/>
      <c r="R167" s="2"/>
      <c r="S167" s="2"/>
      <c r="AK167" s="2"/>
      <c r="AL167" s="2"/>
      <c r="AM167" s="2"/>
      <c r="AN167" s="2"/>
      <c r="AO167" s="2"/>
      <c r="AP167" s="2"/>
      <c r="AQ167" s="2"/>
      <c r="AR167" s="2"/>
      <c r="AS167" s="2"/>
      <c r="AT167" s="2"/>
    </row>
    <row r="168">
      <c r="A168" s="2"/>
      <c r="B168" s="2"/>
      <c r="C168" s="2"/>
      <c r="D168" s="2"/>
      <c r="E168" s="352"/>
      <c r="F168" s="352"/>
      <c r="G168" s="469" t="s">
        <v>333</v>
      </c>
      <c r="H168" s="496">
        <f>HBM_TIME_MS(H167)</f>
        <v>0.004987716675</v>
      </c>
      <c r="I168" s="465"/>
      <c r="J168" s="465"/>
      <c r="K168" s="465"/>
      <c r="L168" s="466"/>
      <c r="M168" s="466"/>
      <c r="N168" s="466"/>
      <c r="O168" s="465"/>
      <c r="P168" s="467"/>
      <c r="Q168" s="379"/>
      <c r="R168" s="2"/>
      <c r="S168" s="2"/>
      <c r="AK168" s="2"/>
      <c r="AL168" s="2"/>
      <c r="AM168" s="2"/>
      <c r="AN168" s="2"/>
      <c r="AO168" s="2"/>
      <c r="AP168" s="2"/>
      <c r="AQ168" s="2"/>
      <c r="AR168" s="2"/>
      <c r="AS168" s="2"/>
      <c r="AT168" s="2"/>
    </row>
    <row r="169">
      <c r="A169" s="161"/>
      <c r="B169" s="161"/>
      <c r="C169" s="161"/>
      <c r="D169" s="161"/>
      <c r="E169" s="333" t="s">
        <v>342</v>
      </c>
      <c r="F169" s="357" t="s">
        <v>292</v>
      </c>
      <c r="G169" s="335"/>
      <c r="H169" s="364" t="s">
        <v>281</v>
      </c>
      <c r="I169" s="364" t="s">
        <v>282</v>
      </c>
      <c r="J169" s="273" t="s">
        <v>104</v>
      </c>
      <c r="K169" s="273" t="s">
        <v>102</v>
      </c>
      <c r="L169" s="273" t="s">
        <v>207</v>
      </c>
      <c r="M169" s="472" t="s">
        <v>201</v>
      </c>
      <c r="N169" s="364" t="s">
        <v>283</v>
      </c>
      <c r="O169" s="365" t="str">
        <f>EXTRACT_ACTIVATION_DTYPE(PARAMS("attn_proj_dtype"))</f>
        <v>fp8</v>
      </c>
      <c r="P169" s="366"/>
      <c r="Q169" s="365" t="b">
        <v>0</v>
      </c>
      <c r="R169" s="2"/>
      <c r="S169" s="2"/>
      <c r="AK169" s="2"/>
      <c r="AL169" s="2"/>
      <c r="AM169" s="2"/>
      <c r="AN169" s="2"/>
      <c r="AO169" s="2"/>
      <c r="AP169" s="2"/>
      <c r="AQ169" s="2"/>
      <c r="AR169" s="2"/>
      <c r="AS169" s="2"/>
      <c r="AT169" s="2"/>
    </row>
    <row r="170">
      <c r="A170" s="161"/>
      <c r="B170" s="161"/>
      <c r="C170" s="161"/>
      <c r="D170" s="161"/>
      <c r="E170" s="341"/>
      <c r="F170" s="342"/>
      <c r="G170" s="343"/>
      <c r="H170" s="273" t="s">
        <v>285</v>
      </c>
      <c r="I170" s="364" t="s">
        <v>282</v>
      </c>
      <c r="J170" s="363">
        <f t="shared" ref="J170:M170" si="24">PARAMS(J169)</f>
        <v>128</v>
      </c>
      <c r="K170" s="364">
        <f t="shared" si="24"/>
        <v>1</v>
      </c>
      <c r="L170" s="364">
        <f t="shared" si="24"/>
        <v>128</v>
      </c>
      <c r="M170" s="364">
        <f t="shared" si="24"/>
        <v>128</v>
      </c>
      <c r="N170" s="364" t="s">
        <v>283</v>
      </c>
      <c r="O170" s="341"/>
      <c r="P170" s="366">
        <f>SIZEOF_IN_MIB(J170:M170, $O169)</f>
        <v>2</v>
      </c>
      <c r="Q170" s="341"/>
      <c r="R170" s="2"/>
      <c r="S170" s="2"/>
      <c r="AK170" s="2"/>
      <c r="AL170" s="2"/>
      <c r="AM170" s="2"/>
      <c r="AN170" s="2"/>
      <c r="AO170" s="2"/>
      <c r="AP170" s="2"/>
      <c r="AQ170" s="2"/>
      <c r="AR170" s="2"/>
      <c r="AS170" s="2"/>
      <c r="AT170" s="2"/>
    </row>
    <row r="171">
      <c r="A171" s="161"/>
      <c r="B171" s="161"/>
      <c r="C171" s="161"/>
      <c r="D171" s="161"/>
      <c r="E171" s="341"/>
      <c r="F171" s="342"/>
      <c r="G171" s="343"/>
      <c r="H171" s="363" t="s">
        <v>287</v>
      </c>
      <c r="I171" s="363" t="s">
        <v>282</v>
      </c>
      <c r="J171" s="273" t="s">
        <v>196</v>
      </c>
      <c r="K171" s="273"/>
      <c r="L171" s="273"/>
      <c r="M171" s="363"/>
      <c r="N171" s="363" t="s">
        <v>283</v>
      </c>
      <c r="O171" s="341"/>
      <c r="P171" s="366"/>
      <c r="Q171" s="341"/>
      <c r="R171" s="2"/>
      <c r="S171" s="2"/>
      <c r="AG171" s="2"/>
      <c r="AH171" s="2"/>
      <c r="AI171" s="2"/>
      <c r="AJ171" s="2"/>
      <c r="AK171" s="2"/>
      <c r="AL171" s="2"/>
      <c r="AM171" s="2"/>
      <c r="AN171" s="2"/>
      <c r="AO171" s="2"/>
      <c r="AP171" s="2"/>
      <c r="AQ171" s="2"/>
      <c r="AR171" s="2"/>
      <c r="AS171" s="2"/>
      <c r="AT171" s="2"/>
    </row>
    <row r="172">
      <c r="A172" s="161"/>
      <c r="B172" s="161"/>
      <c r="C172" s="161"/>
      <c r="D172" s="161"/>
      <c r="E172" s="341"/>
      <c r="F172" s="353"/>
      <c r="G172" s="354"/>
      <c r="H172" s="273" t="s">
        <v>289</v>
      </c>
      <c r="I172" s="363" t="s">
        <v>282</v>
      </c>
      <c r="J172" s="363">
        <f t="shared" ref="J172:M172" si="25">J170/SHARDING(J171)</f>
        <v>16</v>
      </c>
      <c r="K172" s="363">
        <f t="shared" si="25"/>
        <v>1</v>
      </c>
      <c r="L172" s="363">
        <f t="shared" si="25"/>
        <v>128</v>
      </c>
      <c r="M172" s="363">
        <f t="shared" si="25"/>
        <v>128</v>
      </c>
      <c r="N172" s="363" t="s">
        <v>283</v>
      </c>
      <c r="O172" s="352"/>
      <c r="P172" s="366">
        <f>SIZEOF_IN_MIB(J172:M172, $O169)</f>
        <v>0.25</v>
      </c>
      <c r="Q172" s="352"/>
      <c r="R172" s="2"/>
      <c r="S172" s="2"/>
      <c r="AG172" s="2"/>
      <c r="AH172" s="2"/>
      <c r="AI172" s="2"/>
      <c r="AJ172" s="2"/>
      <c r="AK172" s="2"/>
      <c r="AL172" s="2"/>
      <c r="AM172" s="2"/>
      <c r="AN172" s="2"/>
      <c r="AO172" s="2"/>
      <c r="AP172" s="2"/>
      <c r="AQ172" s="2"/>
      <c r="AR172" s="2"/>
      <c r="AS172" s="2"/>
      <c r="AT172" s="2"/>
    </row>
    <row r="173">
      <c r="A173" s="161"/>
      <c r="B173" s="161"/>
      <c r="C173" s="161"/>
      <c r="D173" s="161"/>
      <c r="E173" s="341"/>
      <c r="F173" s="334" t="s">
        <v>296</v>
      </c>
      <c r="G173" s="335"/>
      <c r="H173" s="363" t="s">
        <v>281</v>
      </c>
      <c r="I173" s="363" t="s">
        <v>282</v>
      </c>
      <c r="J173" s="364"/>
      <c r="K173" s="273" t="s">
        <v>207</v>
      </c>
      <c r="L173" s="472" t="s">
        <v>201</v>
      </c>
      <c r="M173" s="273" t="s">
        <v>198</v>
      </c>
      <c r="N173" s="363" t="s">
        <v>283</v>
      </c>
      <c r="O173" s="365" t="str">
        <f>EXTRACT_WEIGHT_DTYPE(PARAMS("attn_proj_dtype"))</f>
        <v>fp8</v>
      </c>
      <c r="P173" s="366"/>
      <c r="Q173" s="365" t="b">
        <v>0</v>
      </c>
      <c r="R173" s="2"/>
      <c r="S173" s="2"/>
      <c r="AG173" s="2"/>
      <c r="AH173" s="2"/>
      <c r="AI173" s="2"/>
      <c r="AJ173" s="2"/>
      <c r="AK173" s="2"/>
      <c r="AL173" s="2"/>
      <c r="AM173" s="2"/>
      <c r="AN173" s="2"/>
      <c r="AO173" s="2"/>
      <c r="AP173" s="2"/>
      <c r="AQ173" s="2"/>
      <c r="AR173" s="2"/>
      <c r="AS173" s="2"/>
      <c r="AT173" s="2"/>
    </row>
    <row r="174">
      <c r="A174" s="161"/>
      <c r="B174" s="161"/>
      <c r="C174" s="161"/>
      <c r="D174" s="161"/>
      <c r="E174" s="341"/>
      <c r="F174" s="342"/>
      <c r="G174" s="343"/>
      <c r="H174" s="273" t="s">
        <v>285</v>
      </c>
      <c r="I174" s="363" t="s">
        <v>282</v>
      </c>
      <c r="J174" s="364"/>
      <c r="K174" s="363">
        <f t="shared" ref="K174:M174" si="26">PARAMS(K173)</f>
        <v>128</v>
      </c>
      <c r="L174" s="363">
        <f t="shared" si="26"/>
        <v>128</v>
      </c>
      <c r="M174" s="363">
        <f t="shared" si="26"/>
        <v>512</v>
      </c>
      <c r="N174" s="363" t="s">
        <v>283</v>
      </c>
      <c r="O174" s="341"/>
      <c r="P174" s="366">
        <f>SIZEOF_IN_MIB(J174:M174, $O173)</f>
        <v>8</v>
      </c>
      <c r="Q174" s="341"/>
      <c r="R174" s="2"/>
      <c r="S174" s="2"/>
      <c r="AG174" s="2"/>
      <c r="AH174" s="2"/>
      <c r="AI174" s="2"/>
      <c r="AJ174" s="2"/>
      <c r="AK174" s="2"/>
      <c r="AL174" s="2"/>
      <c r="AM174" s="2"/>
      <c r="AN174" s="2"/>
      <c r="AO174" s="2"/>
      <c r="AP174" s="2"/>
      <c r="AQ174" s="2"/>
      <c r="AR174" s="2"/>
      <c r="AS174" s="2"/>
      <c r="AT174" s="2"/>
    </row>
    <row r="175">
      <c r="A175" s="161"/>
      <c r="B175" s="161"/>
      <c r="C175" s="161"/>
      <c r="D175" s="161"/>
      <c r="E175" s="341"/>
      <c r="F175" s="342"/>
      <c r="G175" s="343"/>
      <c r="H175" s="363" t="s">
        <v>287</v>
      </c>
      <c r="I175" s="363" t="s">
        <v>282</v>
      </c>
      <c r="J175" s="364"/>
      <c r="K175" s="364"/>
      <c r="L175" s="363"/>
      <c r="M175" s="363"/>
      <c r="N175" s="363" t="s">
        <v>283</v>
      </c>
      <c r="O175" s="341"/>
      <c r="P175" s="366"/>
      <c r="Q175" s="341"/>
      <c r="R175" s="2"/>
      <c r="S175" s="2"/>
      <c r="AG175" s="2"/>
      <c r="AH175" s="2"/>
      <c r="AI175" s="2"/>
      <c r="AJ175" s="2"/>
      <c r="AK175" s="2"/>
      <c r="AL175" s="2"/>
      <c r="AM175" s="2"/>
      <c r="AN175" s="2"/>
      <c r="AO175" s="2"/>
      <c r="AP175" s="2"/>
      <c r="AQ175" s="2"/>
      <c r="AR175" s="2"/>
      <c r="AS175" s="2"/>
      <c r="AT175" s="2"/>
    </row>
    <row r="176">
      <c r="A176" s="161"/>
      <c r="B176" s="161"/>
      <c r="C176" s="161"/>
      <c r="D176" s="161"/>
      <c r="E176" s="341"/>
      <c r="F176" s="353"/>
      <c r="G176" s="354"/>
      <c r="H176" s="349" t="s">
        <v>289</v>
      </c>
      <c r="I176" s="349" t="s">
        <v>282</v>
      </c>
      <c r="J176" s="336"/>
      <c r="K176" s="349">
        <f t="shared" ref="K176:M176" si="27">K174/SHARDING(K175)</f>
        <v>128</v>
      </c>
      <c r="L176" s="349">
        <f t="shared" si="27"/>
        <v>128</v>
      </c>
      <c r="M176" s="349">
        <f t="shared" si="27"/>
        <v>512</v>
      </c>
      <c r="N176" s="349" t="s">
        <v>283</v>
      </c>
      <c r="O176" s="316"/>
      <c r="P176" s="351">
        <f>SIZEOF_IN_MIB(J176:M176, $O173)</f>
        <v>8</v>
      </c>
      <c r="Q176" s="316"/>
      <c r="R176" s="2"/>
      <c r="S176" s="2"/>
      <c r="T176" s="284"/>
      <c r="U176" s="284"/>
      <c r="V176" s="284"/>
      <c r="W176" s="284"/>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34" t="s">
        <v>56</v>
      </c>
      <c r="G177" s="335"/>
      <c r="H177" s="346" t="s">
        <v>281</v>
      </c>
      <c r="I177" s="346" t="s">
        <v>282</v>
      </c>
      <c r="J177" s="344" t="s">
        <v>104</v>
      </c>
      <c r="K177" s="344" t="s">
        <v>102</v>
      </c>
      <c r="L177" s="344" t="s">
        <v>207</v>
      </c>
      <c r="M177" s="344" t="s">
        <v>198</v>
      </c>
      <c r="N177" s="346" t="s">
        <v>283</v>
      </c>
      <c r="O177" s="473" t="s">
        <v>133</v>
      </c>
      <c r="P177" s="348"/>
      <c r="Q177" s="473" t="b">
        <v>0</v>
      </c>
      <c r="R177" s="2"/>
      <c r="S177" s="2"/>
      <c r="T177" s="284"/>
      <c r="U177" s="284"/>
      <c r="V177" s="284"/>
      <c r="W177" s="284"/>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 r="A178" s="161"/>
      <c r="B178" s="161"/>
      <c r="C178" s="161"/>
      <c r="D178" s="161"/>
      <c r="E178" s="341"/>
      <c r="F178" s="342"/>
      <c r="G178" s="343"/>
      <c r="H178" s="337" t="s">
        <v>285</v>
      </c>
      <c r="I178" s="349" t="s">
        <v>282</v>
      </c>
      <c r="J178" s="349">
        <f t="shared" ref="J178:M178" si="28">PARAMS(J177)</f>
        <v>128</v>
      </c>
      <c r="K178" s="349">
        <f t="shared" si="28"/>
        <v>1</v>
      </c>
      <c r="L178" s="349">
        <f t="shared" si="28"/>
        <v>128</v>
      </c>
      <c r="M178" s="349">
        <f t="shared" si="28"/>
        <v>512</v>
      </c>
      <c r="N178" s="349" t="s">
        <v>283</v>
      </c>
      <c r="O178" s="350"/>
      <c r="P178" s="351">
        <f>SIZEOF_IN_MIB(J178:M178, $O177)</f>
        <v>16</v>
      </c>
      <c r="Q178" s="350"/>
      <c r="R178" s="2"/>
      <c r="S178" s="2"/>
      <c r="T178" s="284"/>
      <c r="U178" s="284"/>
      <c r="V178" s="284"/>
      <c r="W178" s="284"/>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61"/>
      <c r="B179" s="161"/>
      <c r="C179" s="161"/>
      <c r="D179" s="161"/>
      <c r="E179" s="341"/>
      <c r="F179" s="342"/>
      <c r="G179" s="343"/>
      <c r="H179" s="346" t="s">
        <v>287</v>
      </c>
      <c r="I179" s="346" t="s">
        <v>282</v>
      </c>
      <c r="J179" s="344" t="s">
        <v>196</v>
      </c>
      <c r="K179" s="344"/>
      <c r="L179" s="344"/>
      <c r="M179" s="346"/>
      <c r="N179" s="346" t="s">
        <v>283</v>
      </c>
      <c r="O179" s="347"/>
      <c r="P179" s="348"/>
      <c r="Q179" s="347"/>
      <c r="R179" s="2"/>
      <c r="S179" s="2"/>
      <c r="T179" s="284"/>
      <c r="U179" s="284"/>
      <c r="V179" s="284"/>
      <c r="W179" s="284"/>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61"/>
      <c r="B180" s="161"/>
      <c r="C180" s="161"/>
      <c r="D180" s="161"/>
      <c r="E180" s="341"/>
      <c r="F180" s="353"/>
      <c r="G180" s="354"/>
      <c r="H180" s="349" t="s">
        <v>289</v>
      </c>
      <c r="I180" s="349" t="s">
        <v>282</v>
      </c>
      <c r="J180" s="349">
        <f t="shared" ref="J180:M180" si="29">J178/SHARDING(J179)</f>
        <v>16</v>
      </c>
      <c r="K180" s="349">
        <f t="shared" si="29"/>
        <v>1</v>
      </c>
      <c r="L180" s="349">
        <f t="shared" si="29"/>
        <v>128</v>
      </c>
      <c r="M180" s="349">
        <f t="shared" si="29"/>
        <v>512</v>
      </c>
      <c r="N180" s="349" t="s">
        <v>283</v>
      </c>
      <c r="O180" s="316"/>
      <c r="P180" s="351">
        <f>SIZEOF_IN_MIB(J180:M180, $O177)</f>
        <v>2</v>
      </c>
      <c r="Q180" s="316"/>
      <c r="R180" s="2"/>
      <c r="S180" s="2"/>
      <c r="T180" s="284"/>
      <c r="U180" s="284"/>
      <c r="V180" s="284"/>
      <c r="W180" s="284"/>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61"/>
      <c r="B181" s="161"/>
      <c r="C181" s="161"/>
      <c r="D181" s="161"/>
      <c r="E181" s="341"/>
      <c r="F181" s="474" t="s">
        <v>335</v>
      </c>
      <c r="G181" s="459" t="s">
        <v>109</v>
      </c>
      <c r="H181" s="497"/>
      <c r="I181" s="498"/>
      <c r="J181" s="345"/>
      <c r="K181" s="345"/>
      <c r="L181" s="346"/>
      <c r="M181" s="346"/>
      <c r="N181" s="346"/>
      <c r="O181" s="345"/>
      <c r="P181" s="348"/>
      <c r="Q181" s="379"/>
      <c r="T181" s="4"/>
      <c r="U181" s="4"/>
      <c r="V181" s="4"/>
      <c r="W181" s="4"/>
    </row>
    <row r="182">
      <c r="A182" s="161"/>
      <c r="B182" s="2"/>
      <c r="C182" s="2"/>
      <c r="D182" s="2"/>
      <c r="E182" s="341"/>
      <c r="F182" s="352"/>
      <c r="G182" s="459"/>
      <c r="H182" s="349"/>
      <c r="I182" s="492"/>
      <c r="J182" s="336"/>
      <c r="K182" s="336"/>
      <c r="L182" s="349"/>
      <c r="M182" s="349"/>
      <c r="N182" s="349"/>
      <c r="O182" s="336"/>
      <c r="P182" s="351"/>
      <c r="Q182" s="298"/>
      <c r="T182" s="4"/>
      <c r="U182" s="4"/>
      <c r="V182" s="4"/>
      <c r="W182" s="4"/>
    </row>
    <row r="183">
      <c r="A183" s="2"/>
      <c r="B183" s="2"/>
      <c r="C183" s="2"/>
      <c r="D183" s="2"/>
      <c r="E183" s="341"/>
      <c r="F183" s="458" t="s">
        <v>327</v>
      </c>
      <c r="G183" s="459" t="s">
        <v>328</v>
      </c>
      <c r="H183" s="346" t="str">
        <f>VLOOKUP(O169&amp;","&amp;O173,$T$3:$W$12,4, FALSE)</f>
        <v>fp8</v>
      </c>
      <c r="I183" s="493"/>
      <c r="J183" s="345"/>
      <c r="K183" s="345"/>
      <c r="L183" s="346"/>
      <c r="M183" s="346"/>
      <c r="N183" s="346"/>
      <c r="O183" s="345"/>
      <c r="P183" s="348"/>
      <c r="Q183" s="379"/>
      <c r="T183" s="4"/>
      <c r="U183" s="4"/>
      <c r="V183" s="4"/>
      <c r="W183" s="4"/>
    </row>
    <row r="184">
      <c r="A184" s="161"/>
      <c r="B184" s="161"/>
      <c r="C184" s="161"/>
      <c r="D184" s="161"/>
      <c r="E184" s="341"/>
      <c r="F184" s="341"/>
      <c r="G184" s="455" t="s">
        <v>341</v>
      </c>
      <c r="H184" s="494">
        <f>CALCULATE_FLOPS(J172:M172,J176:M176,L176,K176,H183)</f>
        <v>268435456</v>
      </c>
      <c r="I184" s="492"/>
      <c r="J184" s="336"/>
      <c r="K184" s="336"/>
      <c r="L184" s="349"/>
      <c r="M184" s="349"/>
      <c r="N184" s="349"/>
      <c r="O184" s="336"/>
      <c r="P184" s="351"/>
      <c r="Q184" s="298"/>
      <c r="T184" s="4"/>
      <c r="U184" s="4"/>
      <c r="V184" s="4"/>
      <c r="W184" s="4"/>
    </row>
    <row r="185">
      <c r="A185" s="161"/>
      <c r="B185" s="161"/>
      <c r="C185" s="161"/>
      <c r="D185" s="161"/>
      <c r="E185" s="341"/>
      <c r="F185" s="352"/>
      <c r="G185" s="462" t="s">
        <v>330</v>
      </c>
      <c r="H185" s="463">
        <f>COMPUTE_TIME_MS(H184, H183)</f>
        <v>0.00007158278827</v>
      </c>
      <c r="I185" s="464"/>
      <c r="J185" s="465"/>
      <c r="K185" s="465"/>
      <c r="L185" s="466"/>
      <c r="M185" s="466"/>
      <c r="N185" s="466"/>
      <c r="O185" s="465"/>
      <c r="P185" s="467"/>
      <c r="Q185" s="379"/>
      <c r="T185" s="4"/>
      <c r="U185" s="4"/>
      <c r="V185" s="4"/>
      <c r="W185" s="4"/>
    </row>
    <row r="186">
      <c r="A186" s="161"/>
      <c r="B186" s="161"/>
      <c r="C186" s="161"/>
      <c r="D186" s="161"/>
      <c r="E186" s="341"/>
      <c r="F186" s="458" t="s">
        <v>331</v>
      </c>
      <c r="G186" s="455" t="s">
        <v>332</v>
      </c>
      <c r="H186" s="377">
        <f>IF(Q169,0,P172)+IF(Q173,0,P176)+IF(Q177,0,P180)</f>
        <v>10.25</v>
      </c>
      <c r="I186" s="336"/>
      <c r="J186" s="336"/>
      <c r="K186" s="336"/>
      <c r="L186" s="349"/>
      <c r="M186" s="349"/>
      <c r="N186" s="349"/>
      <c r="O186" s="336"/>
      <c r="P186" s="351"/>
      <c r="Q186" s="298"/>
      <c r="R186" s="2"/>
      <c r="S186" s="2"/>
      <c r="T186" s="284"/>
      <c r="U186" s="284"/>
      <c r="V186" s="284"/>
      <c r="W186" s="284"/>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 r="A187" s="161"/>
      <c r="B187" s="161"/>
      <c r="C187" s="161"/>
      <c r="D187" s="161"/>
      <c r="E187" s="352"/>
      <c r="F187" s="352"/>
      <c r="G187" s="469" t="s">
        <v>333</v>
      </c>
      <c r="H187" s="496">
        <f>HBM_TIME_MS(H186)</f>
        <v>0.001390245226</v>
      </c>
      <c r="I187" s="465"/>
      <c r="J187" s="465"/>
      <c r="K187" s="465"/>
      <c r="L187" s="466"/>
      <c r="M187" s="466"/>
      <c r="N187" s="466"/>
      <c r="O187" s="465"/>
      <c r="P187" s="467"/>
      <c r="Q187" s="379"/>
      <c r="R187" s="2"/>
      <c r="S187" s="2"/>
      <c r="T187" s="284"/>
      <c r="U187" s="284"/>
      <c r="V187" s="284"/>
      <c r="W187" s="284"/>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 r="A188" s="161"/>
      <c r="B188" s="161"/>
      <c r="C188" s="161"/>
      <c r="D188" s="161"/>
      <c r="E188" s="333" t="s">
        <v>343</v>
      </c>
      <c r="F188" s="357" t="s">
        <v>292</v>
      </c>
      <c r="G188" s="335"/>
      <c r="H188" s="336" t="s">
        <v>281</v>
      </c>
      <c r="I188" s="336" t="s">
        <v>282</v>
      </c>
      <c r="J188" s="337"/>
      <c r="K188" s="337" t="s">
        <v>104</v>
      </c>
      <c r="L188" s="337" t="s">
        <v>102</v>
      </c>
      <c r="M188" s="499" t="s">
        <v>178</v>
      </c>
      <c r="N188" s="336" t="s">
        <v>283</v>
      </c>
      <c r="O188" s="338" t="str">
        <f>EXTRACT_ACTIVATION_DTYPE(PARAMS("attn_proj_dtype"))</f>
        <v>fp8</v>
      </c>
      <c r="P188" s="351"/>
      <c r="Q188" s="338" t="b">
        <v>0</v>
      </c>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 r="A189" s="161"/>
      <c r="B189" s="161"/>
      <c r="C189" s="161"/>
      <c r="D189" s="161"/>
      <c r="E189" s="341"/>
      <c r="F189" s="342"/>
      <c r="G189" s="343"/>
      <c r="H189" s="273" t="s">
        <v>285</v>
      </c>
      <c r="I189" s="364" t="s">
        <v>282</v>
      </c>
      <c r="J189" s="363"/>
      <c r="K189" s="363">
        <f t="shared" ref="K189:M189" si="30">PARAMS(K188)</f>
        <v>128</v>
      </c>
      <c r="L189" s="364">
        <f t="shared" si="30"/>
        <v>1</v>
      </c>
      <c r="M189" s="364">
        <f t="shared" si="30"/>
        <v>7168</v>
      </c>
      <c r="N189" s="364" t="s">
        <v>283</v>
      </c>
      <c r="O189" s="341"/>
      <c r="P189" s="366">
        <f>SIZEOF_IN_MIB(J189:M189, $O188)</f>
        <v>0.875</v>
      </c>
      <c r="Q189" s="341"/>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 r="A190" s="161"/>
      <c r="B190" s="161"/>
      <c r="C190" s="161"/>
      <c r="D190" s="161"/>
      <c r="E190" s="341"/>
      <c r="F190" s="342"/>
      <c r="G190" s="343"/>
      <c r="H190" s="363" t="s">
        <v>287</v>
      </c>
      <c r="I190" s="363" t="s">
        <v>282</v>
      </c>
      <c r="J190" s="364"/>
      <c r="K190" s="273" t="s">
        <v>196</v>
      </c>
      <c r="L190" s="273"/>
      <c r="M190" s="363"/>
      <c r="N190" s="363" t="s">
        <v>283</v>
      </c>
      <c r="O190" s="341"/>
      <c r="P190" s="366"/>
      <c r="Q190" s="341"/>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 r="A191" s="161"/>
      <c r="B191" s="161"/>
      <c r="C191" s="161"/>
      <c r="D191" s="161"/>
      <c r="E191" s="341"/>
      <c r="F191" s="353"/>
      <c r="G191" s="354"/>
      <c r="H191" s="273" t="s">
        <v>289</v>
      </c>
      <c r="I191" s="363" t="s">
        <v>282</v>
      </c>
      <c r="J191" s="364"/>
      <c r="K191" s="363">
        <f t="shared" ref="K191:M191" si="31">K189/SHARDING(K190)</f>
        <v>16</v>
      </c>
      <c r="L191" s="363">
        <f t="shared" si="31"/>
        <v>1</v>
      </c>
      <c r="M191" s="363">
        <f t="shared" si="31"/>
        <v>7168</v>
      </c>
      <c r="N191" s="363" t="s">
        <v>283</v>
      </c>
      <c r="O191" s="352"/>
      <c r="P191" s="366">
        <f>SIZEOF_IN_MIB(J191:M191, $O188)</f>
        <v>0.109375</v>
      </c>
      <c r="Q191" s="35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 r="A192" s="161"/>
      <c r="B192" s="161"/>
      <c r="C192" s="161"/>
      <c r="D192" s="161"/>
      <c r="E192" s="341"/>
      <c r="F192" s="334" t="s">
        <v>296</v>
      </c>
      <c r="G192" s="335"/>
      <c r="H192" s="363" t="s">
        <v>281</v>
      </c>
      <c r="I192" s="363" t="s">
        <v>282</v>
      </c>
      <c r="J192" s="364"/>
      <c r="K192" s="273"/>
      <c r="L192" s="472" t="s">
        <v>178</v>
      </c>
      <c r="M192" s="273" t="s">
        <v>210</v>
      </c>
      <c r="N192" s="363" t="s">
        <v>283</v>
      </c>
      <c r="O192" s="365" t="str">
        <f>EXTRACT_WEIGHT_DTYPE(PARAMS("attn_proj_dtype"))</f>
        <v>fp8</v>
      </c>
      <c r="P192" s="366"/>
      <c r="Q192" s="365" t="b">
        <v>0</v>
      </c>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 r="A193" s="161"/>
      <c r="B193" s="161"/>
      <c r="C193" s="161"/>
      <c r="D193" s="161"/>
      <c r="E193" s="341"/>
      <c r="F193" s="342"/>
      <c r="G193" s="343"/>
      <c r="H193" s="273" t="s">
        <v>285</v>
      </c>
      <c r="I193" s="363" t="s">
        <v>282</v>
      </c>
      <c r="J193" s="364"/>
      <c r="K193" s="363"/>
      <c r="L193" s="363">
        <f t="shared" ref="L193:M193" si="32">PARAMS(L192)</f>
        <v>7168</v>
      </c>
      <c r="M193" s="363">
        <f t="shared" si="32"/>
        <v>576</v>
      </c>
      <c r="N193" s="363" t="s">
        <v>283</v>
      </c>
      <c r="O193" s="341"/>
      <c r="P193" s="366">
        <f>SIZEOF_IN_MIB(J193:M193, $O192)</f>
        <v>3.9375</v>
      </c>
      <c r="Q193" s="341"/>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 r="A194" s="161"/>
      <c r="B194" s="161"/>
      <c r="C194" s="161"/>
      <c r="D194" s="161"/>
      <c r="E194" s="341"/>
      <c r="F194" s="342"/>
      <c r="G194" s="343"/>
      <c r="H194" s="363" t="s">
        <v>287</v>
      </c>
      <c r="I194" s="363" t="s">
        <v>282</v>
      </c>
      <c r="J194" s="364"/>
      <c r="K194" s="364"/>
      <c r="L194" s="363"/>
      <c r="M194" s="363"/>
      <c r="N194" s="363" t="s">
        <v>283</v>
      </c>
      <c r="O194" s="341"/>
      <c r="P194" s="366"/>
      <c r="Q194" s="341"/>
    </row>
    <row r="195">
      <c r="A195" s="161"/>
      <c r="B195" s="161"/>
      <c r="C195" s="161"/>
      <c r="D195" s="161"/>
      <c r="E195" s="341"/>
      <c r="F195" s="353"/>
      <c r="G195" s="354"/>
      <c r="H195" s="349" t="s">
        <v>289</v>
      </c>
      <c r="I195" s="349" t="s">
        <v>282</v>
      </c>
      <c r="J195" s="336"/>
      <c r="K195" s="349"/>
      <c r="L195" s="349">
        <f t="shared" ref="L195:M195" si="33">L193/SHARDING(L194)</f>
        <v>7168</v>
      </c>
      <c r="M195" s="349">
        <f t="shared" si="33"/>
        <v>576</v>
      </c>
      <c r="N195" s="349" t="s">
        <v>283</v>
      </c>
      <c r="O195" s="316"/>
      <c r="P195" s="351">
        <f>SIZEOF_IN_MIB(J195:M195, $O192)</f>
        <v>3.9375</v>
      </c>
      <c r="Q195" s="316"/>
    </row>
    <row r="196">
      <c r="A196" s="161"/>
      <c r="B196" s="161"/>
      <c r="C196" s="161"/>
      <c r="D196" s="161"/>
      <c r="E196" s="341"/>
      <c r="F196" s="334" t="s">
        <v>56</v>
      </c>
      <c r="G196" s="335"/>
      <c r="H196" s="346" t="s">
        <v>281</v>
      </c>
      <c r="I196" s="346" t="s">
        <v>282</v>
      </c>
      <c r="J196" s="345"/>
      <c r="K196" s="344" t="s">
        <v>104</v>
      </c>
      <c r="L196" s="344" t="s">
        <v>102</v>
      </c>
      <c r="M196" s="344" t="s">
        <v>210</v>
      </c>
      <c r="N196" s="346" t="s">
        <v>283</v>
      </c>
      <c r="O196" s="473" t="s">
        <v>133</v>
      </c>
      <c r="P196" s="348"/>
      <c r="Q196" s="473" t="b">
        <v>0</v>
      </c>
    </row>
    <row r="197">
      <c r="A197" s="161"/>
      <c r="B197" s="2"/>
      <c r="C197" s="2"/>
      <c r="D197" s="2"/>
      <c r="E197" s="341"/>
      <c r="F197" s="342"/>
      <c r="G197" s="343"/>
      <c r="H197" s="337" t="s">
        <v>285</v>
      </c>
      <c r="I197" s="349" t="s">
        <v>282</v>
      </c>
      <c r="J197" s="336"/>
      <c r="K197" s="349">
        <f t="shared" ref="K197:M197" si="34">PARAMS(K196)</f>
        <v>128</v>
      </c>
      <c r="L197" s="349">
        <f t="shared" si="34"/>
        <v>1</v>
      </c>
      <c r="M197" s="349">
        <f t="shared" si="34"/>
        <v>576</v>
      </c>
      <c r="N197" s="349" t="s">
        <v>283</v>
      </c>
      <c r="O197" s="350"/>
      <c r="P197" s="351">
        <f>SIZEOF_IN_MIB(K197:M197, $O196)</f>
        <v>0.140625</v>
      </c>
      <c r="Q197" s="350"/>
    </row>
    <row r="198">
      <c r="A198" s="2"/>
      <c r="B198" s="2"/>
      <c r="C198" s="2"/>
      <c r="D198" s="2"/>
      <c r="E198" s="341"/>
      <c r="F198" s="342"/>
      <c r="G198" s="343"/>
      <c r="H198" s="346" t="s">
        <v>287</v>
      </c>
      <c r="I198" s="346" t="s">
        <v>282</v>
      </c>
      <c r="J198" s="345"/>
      <c r="K198" s="344" t="s">
        <v>196</v>
      </c>
      <c r="L198" s="344"/>
      <c r="M198" s="346"/>
      <c r="N198" s="346" t="s">
        <v>283</v>
      </c>
      <c r="O198" s="347"/>
      <c r="P198" s="348"/>
      <c r="Q198" s="347"/>
    </row>
    <row r="199">
      <c r="A199" s="161"/>
      <c r="B199" s="161"/>
      <c r="C199" s="161"/>
      <c r="D199" s="161"/>
      <c r="E199" s="341"/>
      <c r="F199" s="353"/>
      <c r="G199" s="354"/>
      <c r="H199" s="349" t="s">
        <v>289</v>
      </c>
      <c r="I199" s="349" t="s">
        <v>282</v>
      </c>
      <c r="J199" s="349"/>
      <c r="K199" s="349">
        <f t="shared" ref="K199:M199" si="35">K197/SHARDING(K198)</f>
        <v>16</v>
      </c>
      <c r="L199" s="349">
        <f t="shared" si="35"/>
        <v>1</v>
      </c>
      <c r="M199" s="349">
        <f t="shared" si="35"/>
        <v>576</v>
      </c>
      <c r="N199" s="349" t="s">
        <v>283</v>
      </c>
      <c r="O199" s="316"/>
      <c r="P199" s="351">
        <f>SIZEOF_IN_MIB(K199:M199, $O196)</f>
        <v>0.017578125</v>
      </c>
      <c r="Q199" s="316"/>
    </row>
    <row r="200">
      <c r="A200" s="161"/>
      <c r="B200" s="161"/>
      <c r="C200" s="161"/>
      <c r="D200" s="161"/>
      <c r="E200" s="341"/>
      <c r="F200" s="474" t="s">
        <v>335</v>
      </c>
      <c r="G200" s="459" t="s">
        <v>109</v>
      </c>
      <c r="H200" s="497"/>
      <c r="I200" s="498"/>
      <c r="J200" s="345"/>
      <c r="K200" s="345"/>
      <c r="L200" s="346"/>
      <c r="M200" s="346"/>
      <c r="N200" s="346"/>
      <c r="O200" s="345"/>
      <c r="P200" s="348"/>
      <c r="Q200" s="379"/>
    </row>
    <row r="201">
      <c r="A201" s="161"/>
      <c r="B201" s="161"/>
      <c r="C201" s="161"/>
      <c r="D201" s="161"/>
      <c r="E201" s="341"/>
      <c r="F201" s="352"/>
      <c r="G201" s="459"/>
      <c r="H201" s="349"/>
      <c r="I201" s="492"/>
      <c r="J201" s="336"/>
      <c r="K201" s="336"/>
      <c r="L201" s="349"/>
      <c r="M201" s="349"/>
      <c r="N201" s="349"/>
      <c r="O201" s="336"/>
      <c r="P201" s="351"/>
      <c r="Q201" s="298"/>
    </row>
    <row r="202">
      <c r="A202" s="161"/>
      <c r="B202" s="161"/>
      <c r="C202" s="161"/>
      <c r="D202" s="161"/>
      <c r="E202" s="341"/>
      <c r="F202" s="458" t="s">
        <v>327</v>
      </c>
      <c r="G202" s="459" t="s">
        <v>328</v>
      </c>
      <c r="H202" s="346" t="str">
        <f>VLOOKUP(O188&amp;","&amp;O192,$T$3:$W$12,4, FALSE)</f>
        <v>fp8</v>
      </c>
      <c r="I202" s="493"/>
      <c r="J202" s="345"/>
      <c r="K202" s="345"/>
      <c r="L202" s="346"/>
      <c r="M202" s="346"/>
      <c r="N202" s="346"/>
      <c r="O202" s="345"/>
      <c r="P202" s="348"/>
      <c r="Q202" s="379"/>
    </row>
    <row r="203">
      <c r="A203" s="161"/>
      <c r="B203" s="161"/>
      <c r="C203" s="161"/>
      <c r="D203" s="161"/>
      <c r="E203" s="341"/>
      <c r="F203" s="341"/>
      <c r="G203" s="455" t="s">
        <v>341</v>
      </c>
      <c r="H203" s="494">
        <f>CALCULATE_FLOPS(J191:M191,J195:M195,L195,1,H202)</f>
        <v>132120576</v>
      </c>
      <c r="I203" s="492"/>
      <c r="J203" s="336"/>
      <c r="K203" s="336"/>
      <c r="L203" s="349"/>
      <c r="M203" s="349"/>
      <c r="N203" s="349"/>
      <c r="O203" s="336"/>
      <c r="P203" s="351"/>
      <c r="Q203" s="298"/>
    </row>
    <row r="204">
      <c r="A204" s="161"/>
      <c r="B204" s="161"/>
      <c r="C204" s="161"/>
      <c r="D204" s="161"/>
      <c r="E204" s="341"/>
      <c r="F204" s="352"/>
      <c r="G204" s="462" t="s">
        <v>330</v>
      </c>
      <c r="H204" s="495">
        <f>COMPUTE_TIME_MS(H203, H202)</f>
        <v>0.0000352321536</v>
      </c>
      <c r="I204" s="464"/>
      <c r="J204" s="465"/>
      <c r="K204" s="465"/>
      <c r="L204" s="466"/>
      <c r="M204" s="466"/>
      <c r="N204" s="466"/>
      <c r="O204" s="465"/>
      <c r="P204" s="467"/>
      <c r="Q204" s="379"/>
    </row>
    <row r="205">
      <c r="A205" s="161"/>
      <c r="B205" s="161"/>
      <c r="C205" s="161"/>
      <c r="D205" s="161"/>
      <c r="E205" s="341"/>
      <c r="F205" s="458" t="s">
        <v>331</v>
      </c>
      <c r="G205" s="455" t="s">
        <v>332</v>
      </c>
      <c r="H205" s="377">
        <f>IF(Q188,0,P191)+IF(Q192,0,P195)+IF(Q196,0,P199)</f>
        <v>4.064453125</v>
      </c>
      <c r="I205" s="336"/>
      <c r="J205" s="336"/>
      <c r="K205" s="336"/>
      <c r="L205" s="349"/>
      <c r="M205" s="349"/>
      <c r="N205" s="349"/>
      <c r="O205" s="336"/>
      <c r="P205" s="351"/>
      <c r="Q205" s="298"/>
    </row>
    <row r="206">
      <c r="A206" s="161"/>
      <c r="B206" s="161"/>
      <c r="C206" s="161"/>
      <c r="D206" s="161"/>
      <c r="E206" s="352"/>
      <c r="F206" s="352"/>
      <c r="G206" s="469" t="s">
        <v>333</v>
      </c>
      <c r="H206" s="500">
        <f>HBM_TIME_MS(H205)</f>
        <v>0.0005512767368</v>
      </c>
      <c r="I206" s="465"/>
      <c r="J206" s="465"/>
      <c r="K206" s="465"/>
      <c r="L206" s="466"/>
      <c r="M206" s="466"/>
      <c r="N206" s="466"/>
      <c r="O206" s="465"/>
      <c r="P206" s="467"/>
      <c r="Q206" s="379"/>
    </row>
    <row r="207">
      <c r="A207" s="161"/>
      <c r="B207" s="161"/>
      <c r="C207" s="161"/>
      <c r="D207" s="161"/>
      <c r="E207" s="501" t="s">
        <v>344</v>
      </c>
      <c r="F207" s="474" t="s">
        <v>345</v>
      </c>
      <c r="G207" s="502" t="s">
        <v>301</v>
      </c>
      <c r="H207" s="503" t="s">
        <v>281</v>
      </c>
      <c r="I207" s="336" t="s">
        <v>282</v>
      </c>
      <c r="J207" s="504" t="str">
        <f t="array" ref="J207:M210">J196:M199</f>
        <v/>
      </c>
      <c r="K207" s="337" t="s">
        <v>104</v>
      </c>
      <c r="L207" s="337" t="s">
        <v>102</v>
      </c>
      <c r="M207" s="337" t="s">
        <v>210</v>
      </c>
      <c r="N207" s="349" t="s">
        <v>283</v>
      </c>
      <c r="O207" s="338" t="s">
        <v>125</v>
      </c>
      <c r="P207" s="505"/>
      <c r="Q207" s="506"/>
    </row>
    <row r="208">
      <c r="A208" s="161"/>
      <c r="B208" s="161"/>
      <c r="C208" s="161"/>
      <c r="D208" s="161"/>
      <c r="E208" s="341"/>
      <c r="F208" s="341"/>
      <c r="G208" s="341"/>
      <c r="H208" s="507" t="s">
        <v>285</v>
      </c>
      <c r="I208" s="345" t="s">
        <v>282</v>
      </c>
      <c r="J208" s="508"/>
      <c r="K208" s="345">
        <v>128.0</v>
      </c>
      <c r="L208" s="346">
        <v>1.0</v>
      </c>
      <c r="M208" s="346">
        <v>576.0</v>
      </c>
      <c r="N208" s="346" t="s">
        <v>283</v>
      </c>
      <c r="O208" s="347"/>
      <c r="P208" s="509">
        <f>SIZEOF_IN_MIB(J208:M208, O207)</f>
        <v>0.0703125</v>
      </c>
      <c r="Q208" s="347"/>
    </row>
    <row r="209">
      <c r="A209" s="161"/>
      <c r="B209" s="161"/>
      <c r="C209" s="161"/>
      <c r="D209" s="161"/>
      <c r="E209" s="341"/>
      <c r="F209" s="341"/>
      <c r="G209" s="341"/>
      <c r="H209" s="503" t="s">
        <v>302</v>
      </c>
      <c r="I209" s="336" t="s">
        <v>282</v>
      </c>
      <c r="J209" s="504"/>
      <c r="K209" s="504" t="s">
        <v>196</v>
      </c>
      <c r="L209" s="349"/>
      <c r="M209" s="510"/>
      <c r="N209" s="349" t="s">
        <v>283</v>
      </c>
      <c r="O209" s="350"/>
      <c r="P209" s="511"/>
      <c r="Q209" s="350"/>
    </row>
    <row r="210">
      <c r="A210" s="161"/>
      <c r="B210" s="161"/>
      <c r="C210" s="161"/>
      <c r="D210" s="161"/>
      <c r="E210" s="341"/>
      <c r="F210" s="341"/>
      <c r="G210" s="341"/>
      <c r="H210" s="507" t="s">
        <v>303</v>
      </c>
      <c r="I210" s="345" t="s">
        <v>282</v>
      </c>
      <c r="J210" s="508"/>
      <c r="K210" s="346">
        <v>16.0</v>
      </c>
      <c r="L210" s="346">
        <v>1.0</v>
      </c>
      <c r="M210" s="346">
        <v>576.0</v>
      </c>
      <c r="N210" s="346" t="s">
        <v>283</v>
      </c>
      <c r="O210" s="347"/>
      <c r="P210" s="509">
        <f>SIZEOF_IN_MIB(J210:M210, O207)</f>
        <v>0.0087890625</v>
      </c>
      <c r="Q210" s="347"/>
    </row>
    <row r="211">
      <c r="A211" s="161"/>
      <c r="B211" s="161"/>
      <c r="C211" s="161"/>
      <c r="D211" s="161"/>
      <c r="E211" s="341"/>
      <c r="F211" s="341"/>
      <c r="G211" s="341"/>
      <c r="H211" s="503" t="s">
        <v>304</v>
      </c>
      <c r="I211" s="336" t="s">
        <v>282</v>
      </c>
      <c r="J211" s="504"/>
      <c r="K211" s="504"/>
      <c r="L211" s="510"/>
      <c r="M211" s="510"/>
      <c r="N211" s="349" t="s">
        <v>283</v>
      </c>
      <c r="O211" s="350"/>
      <c r="P211" s="505"/>
      <c r="Q211" s="350"/>
    </row>
    <row r="212">
      <c r="A212" s="161"/>
      <c r="B212" s="161"/>
      <c r="C212" s="161"/>
      <c r="D212" s="161"/>
      <c r="E212" s="341"/>
      <c r="F212" s="341"/>
      <c r="G212" s="352"/>
      <c r="H212" s="507" t="s">
        <v>303</v>
      </c>
      <c r="I212" s="345" t="s">
        <v>282</v>
      </c>
      <c r="J212" s="508"/>
      <c r="K212" s="346">
        <f t="shared" ref="K212:M212" si="36">K208/SHARDING(K211)</f>
        <v>128</v>
      </c>
      <c r="L212" s="346">
        <f t="shared" si="36"/>
        <v>1</v>
      </c>
      <c r="M212" s="346">
        <f t="shared" si="36"/>
        <v>576</v>
      </c>
      <c r="N212" s="346" t="s">
        <v>283</v>
      </c>
      <c r="O212" s="355"/>
      <c r="P212" s="509">
        <f>SIZEOF_IN_MIB(J212:M212, O207)</f>
        <v>0.0703125</v>
      </c>
      <c r="Q212" s="355"/>
    </row>
    <row r="213">
      <c r="A213" s="161"/>
      <c r="B213" s="161"/>
      <c r="C213" s="161"/>
      <c r="D213" s="161"/>
      <c r="E213" s="341"/>
      <c r="F213" s="341"/>
      <c r="G213" s="512" t="s">
        <v>305</v>
      </c>
      <c r="H213" s="513"/>
      <c r="I213" s="445"/>
      <c r="J213" s="445"/>
      <c r="K213" s="445"/>
      <c r="L213" s="514"/>
      <c r="M213" s="514"/>
      <c r="N213" s="514"/>
      <c r="O213" s="445"/>
      <c r="P213" s="515"/>
      <c r="Q213" s="445"/>
    </row>
    <row r="214">
      <c r="A214" s="161"/>
      <c r="B214" s="161"/>
      <c r="C214" s="161"/>
      <c r="D214" s="161"/>
      <c r="E214" s="341"/>
      <c r="F214" s="341"/>
      <c r="G214" s="516" t="s">
        <v>306</v>
      </c>
      <c r="H214" s="517">
        <f>SHARDING(K209)*SHARDING(L209)*SHARDING(M209)</f>
        <v>8</v>
      </c>
      <c r="I214" s="508"/>
      <c r="J214" s="508"/>
      <c r="K214" s="508"/>
      <c r="L214" s="518"/>
      <c r="M214" s="518"/>
      <c r="N214" s="518"/>
      <c r="O214" s="508"/>
      <c r="P214" s="519"/>
      <c r="Q214" s="508"/>
    </row>
    <row r="215">
      <c r="A215" s="161"/>
      <c r="B215" s="161"/>
      <c r="C215" s="161"/>
      <c r="D215" s="161"/>
      <c r="E215" s="341"/>
      <c r="F215" s="341"/>
      <c r="G215" s="516" t="s">
        <v>307</v>
      </c>
      <c r="H215" s="520">
        <f>P210 * (H214-1)</f>
        <v>0.0615234375</v>
      </c>
      <c r="I215" s="504"/>
      <c r="J215" s="504"/>
      <c r="K215" s="504"/>
      <c r="L215" s="510"/>
      <c r="M215" s="510"/>
      <c r="N215" s="510"/>
      <c r="O215" s="504"/>
      <c r="P215" s="511"/>
      <c r="Q215" s="504"/>
    </row>
    <row r="216">
      <c r="A216" s="161"/>
      <c r="B216" s="161"/>
      <c r="C216" s="161"/>
      <c r="D216" s="161"/>
      <c r="E216" s="341"/>
      <c r="F216" s="341"/>
      <c r="G216" s="516" t="s">
        <v>308</v>
      </c>
      <c r="H216" s="521">
        <f>H215*H214</f>
        <v>0.4921875</v>
      </c>
      <c r="I216" s="508"/>
      <c r="J216" s="508"/>
      <c r="K216" s="508"/>
      <c r="L216" s="518"/>
      <c r="M216" s="518"/>
      <c r="N216" s="518"/>
      <c r="O216" s="508"/>
      <c r="P216" s="519"/>
      <c r="Q216" s="508"/>
    </row>
    <row r="217">
      <c r="A217" s="161"/>
      <c r="B217" s="161"/>
      <c r="C217" s="161"/>
      <c r="D217" s="161"/>
      <c r="E217" s="341"/>
      <c r="F217" s="341"/>
      <c r="G217" s="516" t="s">
        <v>309</v>
      </c>
      <c r="H217" s="503">
        <f>IFS(H214=8,12,
H214=4,4,
H214=2,1,
H214=1,0,
TRUE,NA())</f>
        <v>12</v>
      </c>
      <c r="I217" s="504"/>
      <c r="J217" s="504"/>
      <c r="K217" s="504"/>
      <c r="L217" s="510"/>
      <c r="M217" s="510"/>
      <c r="N217" s="510"/>
      <c r="O217" s="504"/>
      <c r="P217" s="511"/>
      <c r="Q217" s="504"/>
    </row>
    <row r="218">
      <c r="A218" s="161"/>
      <c r="B218" s="161"/>
      <c r="C218" s="161"/>
      <c r="D218" s="161"/>
      <c r="E218" s="341"/>
      <c r="F218" s="341"/>
      <c r="G218" s="522" t="s">
        <v>310</v>
      </c>
      <c r="H218" s="523">
        <v>1.0</v>
      </c>
      <c r="I218" s="508"/>
      <c r="J218" s="508"/>
      <c r="K218" s="508"/>
      <c r="L218" s="518"/>
      <c r="M218" s="518"/>
      <c r="N218" s="518"/>
      <c r="O218" s="508"/>
      <c r="P218" s="519"/>
      <c r="Q218" s="508"/>
    </row>
    <row r="219">
      <c r="A219" s="161"/>
      <c r="B219" s="161"/>
      <c r="C219" s="161"/>
      <c r="D219" s="161"/>
      <c r="E219" s="341"/>
      <c r="F219" s="341"/>
      <c r="G219" s="524" t="s">
        <v>311</v>
      </c>
      <c r="H219" s="525">
        <f>ALL_GATHER_CHIP2CHIP_TIME_MS2(H216 * H218, H217)</f>
        <v>0.00002225240072</v>
      </c>
      <c r="I219" s="504"/>
      <c r="J219" s="504"/>
      <c r="K219" s="504"/>
      <c r="L219" s="510"/>
      <c r="M219" s="510"/>
      <c r="N219" s="510"/>
      <c r="O219" s="504"/>
      <c r="P219" s="511"/>
      <c r="Q219" s="504"/>
    </row>
    <row r="220">
      <c r="A220" s="161"/>
      <c r="B220" s="161"/>
      <c r="C220" s="161"/>
      <c r="D220" s="161"/>
      <c r="E220" s="341"/>
      <c r="F220" s="341"/>
      <c r="G220" s="522"/>
      <c r="H220" s="526"/>
      <c r="I220" s="508"/>
      <c r="J220" s="508"/>
      <c r="K220" s="508"/>
      <c r="L220" s="518"/>
      <c r="M220" s="518"/>
      <c r="N220" s="518"/>
      <c r="O220" s="508"/>
      <c r="P220" s="519"/>
      <c r="Q220" s="508"/>
    </row>
    <row r="221">
      <c r="A221" s="161"/>
      <c r="B221" s="161"/>
      <c r="C221" s="161"/>
      <c r="D221" s="161"/>
      <c r="E221" s="341"/>
      <c r="F221" s="341"/>
      <c r="G221" s="512" t="s">
        <v>312</v>
      </c>
      <c r="H221" s="513"/>
      <c r="I221" s="445"/>
      <c r="J221" s="445"/>
      <c r="K221" s="445"/>
      <c r="L221" s="514"/>
      <c r="M221" s="514"/>
      <c r="N221" s="514"/>
      <c r="O221" s="445"/>
      <c r="P221" s="515"/>
      <c r="Q221" s="445"/>
    </row>
    <row r="222">
      <c r="A222" s="161"/>
      <c r="B222" s="161"/>
      <c r="C222" s="161"/>
      <c r="D222" s="161"/>
      <c r="E222" s="341"/>
      <c r="F222" s="341"/>
      <c r="G222" s="527" t="s">
        <v>313</v>
      </c>
      <c r="H222" s="528" t="s">
        <v>306</v>
      </c>
      <c r="I222" s="508"/>
      <c r="J222" s="529">
        <f>SHARDING(K209)*SHARDING(L209)*SHARDING(M209)/HW_SPEC("# of TensorCore per Chip")</f>
        <v>8</v>
      </c>
      <c r="K222" s="508"/>
      <c r="L222" s="518"/>
      <c r="M222" s="518"/>
      <c r="N222" s="518"/>
      <c r="O222" s="508"/>
      <c r="P222" s="519"/>
      <c r="Q222" s="508"/>
    </row>
    <row r="223">
      <c r="A223" s="161"/>
      <c r="B223" s="161"/>
      <c r="C223" s="161"/>
      <c r="D223" s="161"/>
      <c r="E223" s="341"/>
      <c r="F223" s="341"/>
      <c r="G223" s="341"/>
      <c r="H223" s="530" t="s">
        <v>307</v>
      </c>
      <c r="I223" s="504"/>
      <c r="J223" s="520">
        <f>P210 * HW_SPEC("# of TensorCore per Chip") * (J222-1)</f>
        <v>0.0615234375</v>
      </c>
      <c r="K223" s="504"/>
      <c r="L223" s="510"/>
      <c r="M223" s="510"/>
      <c r="N223" s="510"/>
      <c r="O223" s="504"/>
      <c r="P223" s="511"/>
      <c r="Q223" s="504"/>
    </row>
    <row r="224">
      <c r="A224" s="161"/>
      <c r="B224" s="161"/>
      <c r="C224" s="161"/>
      <c r="D224" s="161"/>
      <c r="E224" s="341"/>
      <c r="F224" s="341"/>
      <c r="G224" s="341"/>
      <c r="H224" s="528" t="s">
        <v>308</v>
      </c>
      <c r="I224" s="508"/>
      <c r="J224" s="521">
        <f>J223*J222</f>
        <v>0.4921875</v>
      </c>
      <c r="K224" s="508"/>
      <c r="L224" s="518"/>
      <c r="M224" s="518"/>
      <c r="N224" s="518"/>
      <c r="O224" s="508"/>
      <c r="P224" s="519"/>
      <c r="Q224" s="508"/>
    </row>
    <row r="225">
      <c r="A225" s="161"/>
      <c r="B225" s="161"/>
      <c r="C225" s="161"/>
      <c r="D225" s="161"/>
      <c r="E225" s="341"/>
      <c r="F225" s="341"/>
      <c r="G225" s="341"/>
      <c r="H225" s="530" t="s">
        <v>309</v>
      </c>
      <c r="I225" s="504"/>
      <c r="J225" s="531">
        <f>IFS(J222=8,12,
J222=4,4,
J222=2,1,
J222=1,0,
TRUE,NA())</f>
        <v>12</v>
      </c>
      <c r="K225" s="504"/>
      <c r="L225" s="510"/>
      <c r="M225" s="510"/>
      <c r="N225" s="510"/>
      <c r="O225" s="504"/>
      <c r="P225" s="511"/>
      <c r="Q225" s="504"/>
    </row>
    <row r="226">
      <c r="A226" s="161"/>
      <c r="B226" s="161"/>
      <c r="C226" s="161"/>
      <c r="D226" s="161"/>
      <c r="E226" s="341"/>
      <c r="F226" s="341"/>
      <c r="G226" s="341"/>
      <c r="H226" s="526" t="s">
        <v>310</v>
      </c>
      <c r="I226" s="508"/>
      <c r="J226" s="345">
        <v>2.0</v>
      </c>
      <c r="K226" s="508"/>
      <c r="L226" s="518"/>
      <c r="M226" s="518"/>
      <c r="N226" s="518"/>
      <c r="O226" s="508"/>
      <c r="P226" s="519"/>
      <c r="Q226" s="508"/>
    </row>
    <row r="227">
      <c r="A227" s="161"/>
      <c r="B227" s="161"/>
      <c r="C227" s="161"/>
      <c r="D227" s="161"/>
      <c r="E227" s="341"/>
      <c r="F227" s="341"/>
      <c r="G227" s="352"/>
      <c r="H227" s="530" t="s">
        <v>311</v>
      </c>
      <c r="I227" s="504"/>
      <c r="J227" s="532">
        <f>ALL_GATHER_CHIP2CHIP_TIME_MS2(J224 * J226, J225)</f>
        <v>0.00004450480143</v>
      </c>
      <c r="K227" s="504"/>
      <c r="L227" s="510"/>
      <c r="M227" s="510"/>
      <c r="N227" s="510"/>
      <c r="O227" s="504"/>
      <c r="P227" s="511"/>
      <c r="Q227" s="504"/>
    </row>
    <row r="228">
      <c r="A228" s="161"/>
      <c r="B228" s="161"/>
      <c r="C228" s="161"/>
      <c r="D228" s="161"/>
      <c r="E228" s="341"/>
      <c r="F228" s="341"/>
      <c r="G228" s="527" t="s">
        <v>314</v>
      </c>
      <c r="H228" s="528" t="s">
        <v>306</v>
      </c>
      <c r="I228" s="508"/>
      <c r="J228" s="533">
        <f>HW_SPEC("# of TensorCore per Chip")</f>
        <v>1</v>
      </c>
      <c r="K228" s="508"/>
      <c r="L228" s="518"/>
      <c r="M228" s="518"/>
      <c r="N228" s="518"/>
      <c r="O228" s="508"/>
      <c r="P228" s="519"/>
      <c r="Q228" s="508"/>
    </row>
    <row r="229">
      <c r="A229" s="161"/>
      <c r="B229" s="161"/>
      <c r="C229" s="161"/>
      <c r="D229" s="161"/>
      <c r="E229" s="341"/>
      <c r="F229" s="341"/>
      <c r="G229" s="341"/>
      <c r="H229" s="530" t="s">
        <v>307</v>
      </c>
      <c r="I229" s="504"/>
      <c r="J229" s="520">
        <f>P210*J222 * (J228-1)</f>
        <v>0</v>
      </c>
      <c r="K229" s="504"/>
      <c r="L229" s="510"/>
      <c r="M229" s="510"/>
      <c r="N229" s="510"/>
      <c r="O229" s="504"/>
      <c r="P229" s="511"/>
      <c r="Q229" s="504"/>
    </row>
    <row r="230">
      <c r="A230" s="161"/>
      <c r="B230" s="161"/>
      <c r="C230" s="161"/>
      <c r="D230" s="161"/>
      <c r="E230" s="341"/>
      <c r="F230" s="341"/>
      <c r="G230" s="341"/>
      <c r="H230" s="528" t="s">
        <v>308</v>
      </c>
      <c r="I230" s="508"/>
      <c r="J230" s="521">
        <f>J229*J228</f>
        <v>0</v>
      </c>
      <c r="K230" s="508"/>
      <c r="L230" s="518"/>
      <c r="M230" s="518"/>
      <c r="N230" s="518"/>
      <c r="O230" s="508"/>
      <c r="P230" s="519"/>
      <c r="Q230" s="508"/>
    </row>
    <row r="231">
      <c r="A231" s="161"/>
      <c r="B231" s="161"/>
      <c r="C231" s="161"/>
      <c r="D231" s="161"/>
      <c r="E231" s="341"/>
      <c r="F231" s="341"/>
      <c r="G231" s="341"/>
      <c r="H231" s="530" t="s">
        <v>311</v>
      </c>
      <c r="I231" s="504"/>
      <c r="J231" s="534">
        <f>ALL_GATHER_CORE2CORE_TIME_MS(J230)</f>
        <v>0</v>
      </c>
      <c r="K231" s="504"/>
      <c r="L231" s="510"/>
      <c r="M231" s="510"/>
      <c r="N231" s="510"/>
      <c r="O231" s="504"/>
      <c r="P231" s="511"/>
      <c r="Q231" s="504"/>
    </row>
    <row r="232">
      <c r="A232" s="161"/>
      <c r="B232" s="161"/>
      <c r="C232" s="161"/>
      <c r="D232" s="161"/>
      <c r="E232" s="341"/>
      <c r="F232" s="341"/>
      <c r="G232" s="352"/>
      <c r="H232" s="535" t="s">
        <v>346</v>
      </c>
      <c r="I232" s="508"/>
      <c r="J232" s="536">
        <f>J231/J222</f>
        <v>0</v>
      </c>
      <c r="K232" s="508"/>
      <c r="L232" s="518"/>
      <c r="M232" s="518"/>
      <c r="N232" s="518"/>
      <c r="O232" s="508"/>
      <c r="P232" s="519"/>
      <c r="Q232" s="508"/>
    </row>
    <row r="233">
      <c r="A233" s="161"/>
      <c r="B233" s="161"/>
      <c r="C233" s="161"/>
      <c r="D233" s="161"/>
      <c r="E233" s="341"/>
      <c r="F233" s="341"/>
      <c r="G233" s="524" t="s">
        <v>316</v>
      </c>
      <c r="H233" s="537">
        <f>J227+J232</f>
        <v>0.00004450480143</v>
      </c>
      <c r="I233" s="504"/>
      <c r="J233" s="538"/>
      <c r="K233" s="504"/>
      <c r="L233" s="510"/>
      <c r="M233" s="510"/>
      <c r="N233" s="510"/>
      <c r="O233" s="504"/>
      <c r="P233" s="511"/>
      <c r="Q233" s="504"/>
    </row>
    <row r="234">
      <c r="A234" s="161"/>
      <c r="B234" s="161"/>
      <c r="C234" s="161"/>
      <c r="D234" s="161"/>
      <c r="E234" s="341"/>
      <c r="F234" s="341"/>
      <c r="G234" s="522"/>
      <c r="H234" s="539"/>
      <c r="I234" s="508"/>
      <c r="J234" s="540"/>
      <c r="K234" s="508"/>
      <c r="L234" s="518"/>
      <c r="M234" s="518"/>
      <c r="N234" s="518"/>
      <c r="O234" s="508"/>
      <c r="P234" s="519"/>
      <c r="Q234" s="508"/>
    </row>
    <row r="235">
      <c r="A235" s="161"/>
      <c r="B235" s="161"/>
      <c r="C235" s="161"/>
      <c r="D235" s="161"/>
      <c r="E235" s="341"/>
      <c r="F235" s="341"/>
      <c r="G235" s="541" t="s">
        <v>322</v>
      </c>
      <c r="H235" s="444" t="s">
        <v>323</v>
      </c>
      <c r="I235" s="445"/>
      <c r="J235" s="445"/>
      <c r="K235" s="445"/>
      <c r="L235" s="514"/>
      <c r="M235" s="514"/>
      <c r="N235" s="514"/>
      <c r="O235" s="445"/>
      <c r="P235" s="515"/>
      <c r="Q235" s="445"/>
    </row>
    <row r="236">
      <c r="A236" s="161"/>
      <c r="B236" s="161"/>
      <c r="C236" s="161"/>
      <c r="D236" s="161"/>
      <c r="E236" s="341"/>
      <c r="F236" s="341"/>
      <c r="G236" s="541" t="s">
        <v>340</v>
      </c>
      <c r="H236" s="542">
        <f>IFS(H235=G213,H219,
H235=G221,H233 ,
TRUE,0)</f>
        <v>0</v>
      </c>
      <c r="I236" s="445"/>
      <c r="J236" s="445"/>
      <c r="K236" s="445"/>
      <c r="L236" s="514"/>
      <c r="M236" s="514"/>
      <c r="N236" s="514"/>
      <c r="O236" s="445"/>
      <c r="P236" s="543"/>
      <c r="Q236" s="445"/>
    </row>
    <row r="237">
      <c r="A237" s="161"/>
      <c r="B237" s="161"/>
      <c r="C237" s="161"/>
      <c r="D237" s="161"/>
      <c r="E237" s="333" t="s">
        <v>347</v>
      </c>
      <c r="F237" s="357" t="s">
        <v>292</v>
      </c>
      <c r="G237" s="335"/>
      <c r="H237" s="364" t="s">
        <v>281</v>
      </c>
      <c r="I237" s="364" t="s">
        <v>282</v>
      </c>
      <c r="J237" s="273" t="s">
        <v>104</v>
      </c>
      <c r="K237" s="273" t="s">
        <v>102</v>
      </c>
      <c r="L237" s="273" t="s">
        <v>207</v>
      </c>
      <c r="M237" s="472" t="s">
        <v>198</v>
      </c>
      <c r="N237" s="364" t="s">
        <v>283</v>
      </c>
      <c r="O237" s="365" t="str">
        <f>PARAMS("attn_kv_k_dtype")</f>
        <v>bf16</v>
      </c>
      <c r="P237" s="366"/>
      <c r="Q237" s="365" t="b">
        <v>0</v>
      </c>
    </row>
    <row r="238">
      <c r="A238" s="161"/>
      <c r="B238" s="161"/>
      <c r="C238" s="161"/>
      <c r="D238" s="161"/>
      <c r="E238" s="341"/>
      <c r="F238" s="342"/>
      <c r="G238" s="343"/>
      <c r="H238" s="273" t="s">
        <v>285</v>
      </c>
      <c r="I238" s="364" t="s">
        <v>282</v>
      </c>
      <c r="J238" s="363">
        <f t="shared" ref="J238:M238" si="37">PARAMS(J237)</f>
        <v>128</v>
      </c>
      <c r="K238" s="364">
        <f t="shared" si="37"/>
        <v>1</v>
      </c>
      <c r="L238" s="364">
        <f t="shared" si="37"/>
        <v>128</v>
      </c>
      <c r="M238" s="364">
        <f t="shared" si="37"/>
        <v>512</v>
      </c>
      <c r="N238" s="364" t="s">
        <v>283</v>
      </c>
      <c r="O238" s="341"/>
      <c r="P238" s="366">
        <f>SIZEOF_IN_MIB(J238:M238, $O237)</f>
        <v>16</v>
      </c>
      <c r="Q238" s="341"/>
    </row>
    <row r="239">
      <c r="A239" s="161"/>
      <c r="B239" s="161"/>
      <c r="C239" s="161"/>
      <c r="D239" s="161"/>
      <c r="E239" s="341"/>
      <c r="F239" s="342"/>
      <c r="G239" s="343"/>
      <c r="H239" s="363" t="s">
        <v>287</v>
      </c>
      <c r="I239" s="363" t="s">
        <v>282</v>
      </c>
      <c r="J239" s="273" t="s">
        <v>196</v>
      </c>
      <c r="K239" s="273"/>
      <c r="L239" s="273"/>
      <c r="M239" s="363"/>
      <c r="N239" s="363" t="s">
        <v>283</v>
      </c>
      <c r="O239" s="341"/>
      <c r="P239" s="366"/>
      <c r="Q239" s="341"/>
    </row>
    <row r="240">
      <c r="A240" s="161"/>
      <c r="B240" s="161"/>
      <c r="C240" s="161"/>
      <c r="D240" s="161"/>
      <c r="E240" s="341"/>
      <c r="F240" s="353"/>
      <c r="G240" s="354"/>
      <c r="H240" s="273" t="s">
        <v>289</v>
      </c>
      <c r="I240" s="363" t="s">
        <v>282</v>
      </c>
      <c r="J240" s="363">
        <f t="shared" ref="J240:M240" si="38">J238/SHARDING(J239)</f>
        <v>16</v>
      </c>
      <c r="K240" s="363">
        <f t="shared" si="38"/>
        <v>1</v>
      </c>
      <c r="L240" s="363">
        <f t="shared" si="38"/>
        <v>128</v>
      </c>
      <c r="M240" s="363">
        <f t="shared" si="38"/>
        <v>512</v>
      </c>
      <c r="N240" s="363" t="s">
        <v>283</v>
      </c>
      <c r="O240" s="352"/>
      <c r="P240" s="366">
        <f>SIZEOF_IN_MIB(J240:M240, $O237)</f>
        <v>2</v>
      </c>
      <c r="Q240" s="352"/>
    </row>
    <row r="241">
      <c r="A241" s="161"/>
      <c r="B241" s="161"/>
      <c r="C241" s="161"/>
      <c r="D241" s="161"/>
      <c r="E241" s="341"/>
      <c r="F241" s="334" t="s">
        <v>296</v>
      </c>
      <c r="G241" s="335"/>
      <c r="H241" s="363" t="s">
        <v>281</v>
      </c>
      <c r="I241" s="363" t="s">
        <v>282</v>
      </c>
      <c r="J241" s="364"/>
      <c r="K241" s="273" t="s">
        <v>104</v>
      </c>
      <c r="L241" s="273" t="s">
        <v>106</v>
      </c>
      <c r="M241" s="472" t="s">
        <v>198</v>
      </c>
      <c r="N241" s="363" t="s">
        <v>283</v>
      </c>
      <c r="O241" s="365" t="str">
        <f>PARAMS("kv_dtype")</f>
        <v>fp8</v>
      </c>
      <c r="P241" s="366"/>
      <c r="Q241" s="365" t="b">
        <v>0</v>
      </c>
    </row>
    <row r="242">
      <c r="E242" s="341"/>
      <c r="F242" s="342"/>
      <c r="G242" s="343"/>
      <c r="H242" s="273" t="s">
        <v>285</v>
      </c>
      <c r="I242" s="363" t="s">
        <v>282</v>
      </c>
      <c r="J242" s="364"/>
      <c r="K242" s="363">
        <f t="shared" ref="K242:M242" si="39">PARAMS(K241)</f>
        <v>128</v>
      </c>
      <c r="L242" s="363">
        <f t="shared" si="39"/>
        <v>2048</v>
      </c>
      <c r="M242" s="363">
        <f t="shared" si="39"/>
        <v>512</v>
      </c>
      <c r="N242" s="363" t="s">
        <v>283</v>
      </c>
      <c r="O242" s="341"/>
      <c r="P242" s="366">
        <f>SIZEOF_IN_MIB(J242:M242, $O241)</f>
        <v>128</v>
      </c>
      <c r="Q242" s="341"/>
    </row>
    <row r="243">
      <c r="E243" s="341"/>
      <c r="F243" s="342"/>
      <c r="G243" s="343"/>
      <c r="H243" s="363" t="s">
        <v>287</v>
      </c>
      <c r="I243" s="363" t="s">
        <v>282</v>
      </c>
      <c r="J243" s="364"/>
      <c r="K243" s="273" t="s">
        <v>196</v>
      </c>
      <c r="L243" s="363"/>
      <c r="M243" s="363"/>
      <c r="N243" s="363" t="s">
        <v>283</v>
      </c>
      <c r="O243" s="341"/>
      <c r="P243" s="366"/>
      <c r="Q243" s="341"/>
    </row>
    <row r="244">
      <c r="E244" s="341"/>
      <c r="F244" s="353"/>
      <c r="G244" s="354"/>
      <c r="H244" s="349" t="s">
        <v>289</v>
      </c>
      <c r="I244" s="349" t="s">
        <v>282</v>
      </c>
      <c r="J244" s="336"/>
      <c r="K244" s="349">
        <f t="shared" ref="K244:M244" si="40">K242/SHARDING(K243)</f>
        <v>16</v>
      </c>
      <c r="L244" s="349">
        <f t="shared" si="40"/>
        <v>2048</v>
      </c>
      <c r="M244" s="349">
        <f t="shared" si="40"/>
        <v>512</v>
      </c>
      <c r="N244" s="349" t="s">
        <v>283</v>
      </c>
      <c r="O244" s="316"/>
      <c r="P244" s="351">
        <f>SIZEOF_IN_MIB(J244:M244, $O241)</f>
        <v>16</v>
      </c>
      <c r="Q244" s="316"/>
    </row>
    <row r="245">
      <c r="E245" s="341"/>
      <c r="F245" s="334" t="s">
        <v>56</v>
      </c>
      <c r="G245" s="335"/>
      <c r="H245" s="346" t="s">
        <v>281</v>
      </c>
      <c r="I245" s="346" t="s">
        <v>282</v>
      </c>
      <c r="J245" s="344" t="s">
        <v>104</v>
      </c>
      <c r="K245" s="344" t="s">
        <v>102</v>
      </c>
      <c r="L245" s="344" t="s">
        <v>106</v>
      </c>
      <c r="M245" s="344" t="s">
        <v>207</v>
      </c>
      <c r="N245" s="346" t="s">
        <v>283</v>
      </c>
      <c r="O245" s="473" t="s">
        <v>133</v>
      </c>
      <c r="P245" s="348"/>
      <c r="Q245" s="473" t="b">
        <v>1</v>
      </c>
    </row>
    <row r="246">
      <c r="E246" s="341"/>
      <c r="F246" s="342"/>
      <c r="G246" s="343"/>
      <c r="H246" s="337" t="s">
        <v>285</v>
      </c>
      <c r="I246" s="349" t="s">
        <v>282</v>
      </c>
      <c r="J246" s="349">
        <f t="shared" ref="J246:M246" si="41">PARAMS(J245)</f>
        <v>128</v>
      </c>
      <c r="K246" s="349">
        <f t="shared" si="41"/>
        <v>1</v>
      </c>
      <c r="L246" s="349">
        <f t="shared" si="41"/>
        <v>2048</v>
      </c>
      <c r="M246" s="349">
        <f t="shared" si="41"/>
        <v>128</v>
      </c>
      <c r="N246" s="349" t="s">
        <v>283</v>
      </c>
      <c r="O246" s="350"/>
      <c r="P246" s="351">
        <f>SIZEOF_IN_MIB(J246:M246, $O245)</f>
        <v>64</v>
      </c>
      <c r="Q246" s="350"/>
    </row>
    <row r="247">
      <c r="E247" s="341"/>
      <c r="F247" s="342"/>
      <c r="G247" s="343"/>
      <c r="H247" s="346" t="s">
        <v>287</v>
      </c>
      <c r="I247" s="346" t="s">
        <v>282</v>
      </c>
      <c r="J247" s="344" t="s">
        <v>196</v>
      </c>
      <c r="K247" s="344"/>
      <c r="L247" s="344"/>
      <c r="M247" s="346"/>
      <c r="N247" s="346" t="s">
        <v>283</v>
      </c>
      <c r="O247" s="347"/>
      <c r="P247" s="348"/>
      <c r="Q247" s="347"/>
    </row>
    <row r="248">
      <c r="E248" s="341"/>
      <c r="F248" s="353"/>
      <c r="G248" s="354"/>
      <c r="H248" s="349" t="s">
        <v>289</v>
      </c>
      <c r="I248" s="349" t="s">
        <v>282</v>
      </c>
      <c r="J248" s="349">
        <f t="shared" ref="J248:M248" si="42">J246/SHARDING(J247)</f>
        <v>16</v>
      </c>
      <c r="K248" s="349">
        <f t="shared" si="42"/>
        <v>1</v>
      </c>
      <c r="L248" s="349">
        <f t="shared" si="42"/>
        <v>2048</v>
      </c>
      <c r="M248" s="349">
        <f t="shared" si="42"/>
        <v>128</v>
      </c>
      <c r="N248" s="349" t="s">
        <v>283</v>
      </c>
      <c r="O248" s="316"/>
      <c r="P248" s="351">
        <f>SIZEOF_IN_MIB(J248:M248, $O245)</f>
        <v>8</v>
      </c>
      <c r="Q248" s="316"/>
    </row>
    <row r="249">
      <c r="E249" s="341"/>
      <c r="F249" s="474" t="s">
        <v>335</v>
      </c>
      <c r="G249" s="459" t="s">
        <v>109</v>
      </c>
      <c r="H249" s="544" t="s">
        <v>348</v>
      </c>
      <c r="I249" s="345"/>
      <c r="J249" s="345"/>
      <c r="K249" s="345"/>
      <c r="L249" s="346"/>
      <c r="M249" s="346"/>
      <c r="N249" s="346"/>
      <c r="O249" s="545"/>
      <c r="P249" s="348"/>
      <c r="Q249" s="545"/>
    </row>
    <row r="250">
      <c r="E250" s="341"/>
      <c r="F250" s="352"/>
      <c r="G250" s="459"/>
      <c r="H250" s="349"/>
      <c r="I250" s="492"/>
      <c r="J250" s="336"/>
      <c r="K250" s="336"/>
      <c r="L250" s="349"/>
      <c r="M250" s="349"/>
      <c r="N250" s="349"/>
      <c r="O250" s="336"/>
      <c r="P250" s="351"/>
      <c r="Q250" s="298"/>
    </row>
    <row r="251">
      <c r="E251" s="341"/>
      <c r="F251" s="458" t="s">
        <v>327</v>
      </c>
      <c r="G251" s="459" t="s">
        <v>328</v>
      </c>
      <c r="H251" s="346" t="str">
        <f>VLOOKUP(O237&amp;","&amp;O241,$T$3:$W$12,4, FALSE)</f>
        <v>bf16</v>
      </c>
      <c r="I251" s="493"/>
      <c r="J251" s="345"/>
      <c r="K251" s="345"/>
      <c r="L251" s="346"/>
      <c r="M251" s="346"/>
      <c r="N251" s="346"/>
      <c r="O251" s="345"/>
      <c r="P251" s="348"/>
      <c r="Q251" s="379"/>
    </row>
    <row r="252">
      <c r="E252" s="341"/>
      <c r="F252" s="341"/>
      <c r="G252" s="455" t="s">
        <v>341</v>
      </c>
      <c r="H252" s="494">
        <f>CALCULATE_FLOPS(J240:M240,J244:M244,M244,K244,H251)</f>
        <v>4294967296</v>
      </c>
      <c r="I252" s="492"/>
      <c r="J252" s="336"/>
      <c r="K252" s="336"/>
      <c r="L252" s="349"/>
      <c r="M252" s="349"/>
      <c r="N252" s="349"/>
      <c r="O252" s="336"/>
      <c r="P252" s="351"/>
      <c r="Q252" s="298"/>
    </row>
    <row r="253">
      <c r="E253" s="341"/>
      <c r="F253" s="352"/>
      <c r="G253" s="462" t="s">
        <v>330</v>
      </c>
      <c r="H253" s="463">
        <f>COMPUTE_TIME_MS(H252, H251)</f>
        <v>0.002290649225</v>
      </c>
      <c r="I253" s="464"/>
      <c r="J253" s="465"/>
      <c r="K253" s="465"/>
      <c r="L253" s="466"/>
      <c r="M253" s="466"/>
      <c r="N253" s="466"/>
      <c r="O253" s="465"/>
      <c r="P253" s="467"/>
      <c r="Q253" s="379"/>
    </row>
    <row r="254">
      <c r="E254" s="341"/>
      <c r="F254" s="458" t="s">
        <v>331</v>
      </c>
      <c r="G254" s="455" t="s">
        <v>332</v>
      </c>
      <c r="H254" s="377">
        <f>IF(Q237,0,P240)+IF(Q241,0,P244)+IF(Q245,0,P248)</f>
        <v>18</v>
      </c>
      <c r="I254" s="336"/>
      <c r="J254" s="336"/>
      <c r="K254" s="336"/>
      <c r="L254" s="349"/>
      <c r="M254" s="349"/>
      <c r="N254" s="349"/>
      <c r="O254" s="336"/>
      <c r="P254" s="351"/>
      <c r="Q254" s="298"/>
    </row>
    <row r="255">
      <c r="E255" s="352"/>
      <c r="F255" s="352"/>
      <c r="G255" s="469" t="s">
        <v>333</v>
      </c>
      <c r="H255" s="500">
        <f>HBM_TIME_MS(H254)</f>
        <v>0.00244140625</v>
      </c>
      <c r="I255" s="465"/>
      <c r="J255" s="465"/>
      <c r="K255" s="465"/>
      <c r="L255" s="466"/>
      <c r="M255" s="466"/>
      <c r="N255" s="466"/>
      <c r="O255" s="465"/>
      <c r="P255" s="467"/>
      <c r="Q255" s="379"/>
    </row>
    <row r="256">
      <c r="E256" s="333" t="s">
        <v>349</v>
      </c>
      <c r="F256" s="357" t="s">
        <v>292</v>
      </c>
      <c r="G256" s="335"/>
      <c r="H256" s="364" t="s">
        <v>281</v>
      </c>
      <c r="I256" s="364" t="s">
        <v>282</v>
      </c>
      <c r="J256" s="273" t="s">
        <v>104</v>
      </c>
      <c r="K256" s="273" t="s">
        <v>102</v>
      </c>
      <c r="L256" s="273" t="s">
        <v>207</v>
      </c>
      <c r="M256" s="472" t="s">
        <v>204</v>
      </c>
      <c r="N256" s="364" t="s">
        <v>283</v>
      </c>
      <c r="O256" s="365" t="str">
        <f>PARAMS("attn_kv_k_dtype")</f>
        <v>bf16</v>
      </c>
      <c r="P256" s="366"/>
      <c r="Q256" s="365" t="b">
        <v>0</v>
      </c>
    </row>
    <row r="257">
      <c r="E257" s="341"/>
      <c r="F257" s="342"/>
      <c r="G257" s="343"/>
      <c r="H257" s="273" t="s">
        <v>285</v>
      </c>
      <c r="I257" s="364" t="s">
        <v>282</v>
      </c>
      <c r="J257" s="363">
        <f t="shared" ref="J257:M257" si="43">PARAMS(J256)</f>
        <v>128</v>
      </c>
      <c r="K257" s="364">
        <f t="shared" si="43"/>
        <v>1</v>
      </c>
      <c r="L257" s="364">
        <f t="shared" si="43"/>
        <v>128</v>
      </c>
      <c r="M257" s="364">
        <f t="shared" si="43"/>
        <v>64</v>
      </c>
      <c r="N257" s="364" t="s">
        <v>283</v>
      </c>
      <c r="O257" s="341"/>
      <c r="P257" s="366">
        <f>SIZEOF_IN_MIB(J257:M257, $O256)</f>
        <v>2</v>
      </c>
      <c r="Q257" s="341"/>
    </row>
    <row r="258">
      <c r="E258" s="341"/>
      <c r="F258" s="342"/>
      <c r="G258" s="343"/>
      <c r="H258" s="363" t="s">
        <v>287</v>
      </c>
      <c r="I258" s="363" t="s">
        <v>282</v>
      </c>
      <c r="J258" s="273" t="s">
        <v>196</v>
      </c>
      <c r="K258" s="273"/>
      <c r="L258" s="273"/>
      <c r="M258" s="363"/>
      <c r="N258" s="363" t="s">
        <v>283</v>
      </c>
      <c r="O258" s="341"/>
      <c r="P258" s="366"/>
      <c r="Q258" s="341"/>
    </row>
    <row r="259">
      <c r="E259" s="341"/>
      <c r="F259" s="353"/>
      <c r="G259" s="354"/>
      <c r="H259" s="273" t="s">
        <v>289</v>
      </c>
      <c r="I259" s="363" t="s">
        <v>282</v>
      </c>
      <c r="J259" s="363">
        <f t="shared" ref="J259:M259" si="44">J257/SHARDING(J258)</f>
        <v>16</v>
      </c>
      <c r="K259" s="363">
        <f t="shared" si="44"/>
        <v>1</v>
      </c>
      <c r="L259" s="363">
        <f t="shared" si="44"/>
        <v>128</v>
      </c>
      <c r="M259" s="363">
        <f t="shared" si="44"/>
        <v>64</v>
      </c>
      <c r="N259" s="363" t="s">
        <v>283</v>
      </c>
      <c r="O259" s="352"/>
      <c r="P259" s="366">
        <f>SIZEOF_IN_MIB(J259:M259, $O256)</f>
        <v>0.25</v>
      </c>
      <c r="Q259" s="352"/>
    </row>
    <row r="260">
      <c r="E260" s="341"/>
      <c r="F260" s="334" t="s">
        <v>296</v>
      </c>
      <c r="G260" s="335"/>
      <c r="H260" s="363" t="s">
        <v>281</v>
      </c>
      <c r="I260" s="363" t="s">
        <v>282</v>
      </c>
      <c r="J260" s="364"/>
      <c r="K260" s="273" t="s">
        <v>104</v>
      </c>
      <c r="L260" s="273" t="s">
        <v>106</v>
      </c>
      <c r="M260" s="472" t="s">
        <v>204</v>
      </c>
      <c r="N260" s="363" t="s">
        <v>283</v>
      </c>
      <c r="O260" s="365" t="str">
        <f>PARAMS("kv_dtype")</f>
        <v>fp8</v>
      </c>
      <c r="P260" s="366"/>
      <c r="Q260" s="365" t="b">
        <v>0</v>
      </c>
    </row>
    <row r="261">
      <c r="E261" s="341"/>
      <c r="F261" s="342"/>
      <c r="G261" s="343"/>
      <c r="H261" s="273" t="s">
        <v>285</v>
      </c>
      <c r="I261" s="363" t="s">
        <v>282</v>
      </c>
      <c r="J261" s="364"/>
      <c r="K261" s="363">
        <f t="shared" ref="K261:M261" si="45">PARAMS(K260)</f>
        <v>128</v>
      </c>
      <c r="L261" s="363">
        <f t="shared" si="45"/>
        <v>2048</v>
      </c>
      <c r="M261" s="363">
        <f t="shared" si="45"/>
        <v>64</v>
      </c>
      <c r="N261" s="363" t="s">
        <v>283</v>
      </c>
      <c r="O261" s="341"/>
      <c r="P261" s="366">
        <f>SIZEOF_IN_MIB(J261:M261, $O260)</f>
        <v>16</v>
      </c>
      <c r="Q261" s="341"/>
    </row>
    <row r="262">
      <c r="E262" s="341"/>
      <c r="F262" s="342"/>
      <c r="G262" s="343"/>
      <c r="H262" s="363" t="s">
        <v>287</v>
      </c>
      <c r="I262" s="363" t="s">
        <v>282</v>
      </c>
      <c r="J262" s="364"/>
      <c r="K262" s="273" t="s">
        <v>196</v>
      </c>
      <c r="L262" s="363"/>
      <c r="M262" s="363"/>
      <c r="N262" s="363" t="s">
        <v>283</v>
      </c>
      <c r="O262" s="341"/>
      <c r="P262" s="366"/>
      <c r="Q262" s="341"/>
    </row>
    <row r="263">
      <c r="E263" s="341"/>
      <c r="F263" s="353"/>
      <c r="G263" s="354"/>
      <c r="H263" s="349" t="s">
        <v>289</v>
      </c>
      <c r="I263" s="349" t="s">
        <v>282</v>
      </c>
      <c r="J263" s="336"/>
      <c r="K263" s="349">
        <f t="shared" ref="K263:M263" si="46">K261/SHARDING(K262)</f>
        <v>16</v>
      </c>
      <c r="L263" s="349">
        <f t="shared" si="46"/>
        <v>2048</v>
      </c>
      <c r="M263" s="349">
        <f t="shared" si="46"/>
        <v>64</v>
      </c>
      <c r="N263" s="349" t="s">
        <v>283</v>
      </c>
      <c r="O263" s="316"/>
      <c r="P263" s="351">
        <f>SIZEOF_IN_MIB(J263:M263, $O260)</f>
        <v>2</v>
      </c>
      <c r="Q263" s="316"/>
    </row>
    <row r="264">
      <c r="E264" s="341"/>
      <c r="F264" s="334" t="s">
        <v>56</v>
      </c>
      <c r="G264" s="335"/>
      <c r="H264" s="346" t="s">
        <v>281</v>
      </c>
      <c r="I264" s="346" t="s">
        <v>282</v>
      </c>
      <c r="J264" s="344" t="s">
        <v>104</v>
      </c>
      <c r="K264" s="344" t="s">
        <v>102</v>
      </c>
      <c r="L264" s="344" t="s">
        <v>106</v>
      </c>
      <c r="M264" s="344" t="s">
        <v>207</v>
      </c>
      <c r="N264" s="346" t="s">
        <v>283</v>
      </c>
      <c r="O264" s="546" t="s">
        <v>133</v>
      </c>
      <c r="P264" s="348"/>
      <c r="Q264" s="473" t="b">
        <v>1</v>
      </c>
    </row>
    <row r="265">
      <c r="E265" s="341"/>
      <c r="F265" s="342"/>
      <c r="G265" s="343"/>
      <c r="H265" s="337" t="s">
        <v>285</v>
      </c>
      <c r="I265" s="349" t="s">
        <v>282</v>
      </c>
      <c r="J265" s="349">
        <f t="shared" ref="J265:M265" si="47">PARAMS(J264)</f>
        <v>128</v>
      </c>
      <c r="K265" s="349">
        <f t="shared" si="47"/>
        <v>1</v>
      </c>
      <c r="L265" s="349">
        <f t="shared" si="47"/>
        <v>2048</v>
      </c>
      <c r="M265" s="349">
        <f t="shared" si="47"/>
        <v>128</v>
      </c>
      <c r="N265" s="349" t="s">
        <v>283</v>
      </c>
      <c r="O265" s="350"/>
      <c r="P265" s="351">
        <f>SIZEOF_IN_MIB(J265:M265, $O264)</f>
        <v>64</v>
      </c>
      <c r="Q265" s="350"/>
    </row>
    <row r="266">
      <c r="E266" s="341"/>
      <c r="F266" s="342"/>
      <c r="G266" s="343"/>
      <c r="H266" s="346" t="s">
        <v>287</v>
      </c>
      <c r="I266" s="346" t="s">
        <v>282</v>
      </c>
      <c r="J266" s="344" t="s">
        <v>196</v>
      </c>
      <c r="K266" s="344"/>
      <c r="L266" s="344"/>
      <c r="M266" s="346"/>
      <c r="N266" s="346" t="s">
        <v>283</v>
      </c>
      <c r="O266" s="347"/>
      <c r="P266" s="348"/>
      <c r="Q266" s="347"/>
    </row>
    <row r="267">
      <c r="E267" s="341"/>
      <c r="F267" s="353"/>
      <c r="G267" s="354"/>
      <c r="H267" s="349" t="s">
        <v>289</v>
      </c>
      <c r="I267" s="349" t="s">
        <v>282</v>
      </c>
      <c r="J267" s="349">
        <f t="shared" ref="J267:M267" si="48">J265/SHARDING(J266)</f>
        <v>16</v>
      </c>
      <c r="K267" s="349">
        <f t="shared" si="48"/>
        <v>1</v>
      </c>
      <c r="L267" s="349">
        <f t="shared" si="48"/>
        <v>2048</v>
      </c>
      <c r="M267" s="349">
        <f t="shared" si="48"/>
        <v>128</v>
      </c>
      <c r="N267" s="349" t="s">
        <v>283</v>
      </c>
      <c r="O267" s="316"/>
      <c r="P267" s="351">
        <f>SIZEOF_IN_MIB(J267:M267, $O264)</f>
        <v>8</v>
      </c>
      <c r="Q267" s="316"/>
    </row>
    <row r="268">
      <c r="E268" s="341"/>
      <c r="F268" s="474" t="s">
        <v>335</v>
      </c>
      <c r="G268" s="459" t="s">
        <v>109</v>
      </c>
      <c r="H268" s="497"/>
      <c r="I268" s="498"/>
      <c r="J268" s="345"/>
      <c r="K268" s="345"/>
      <c r="L268" s="346"/>
      <c r="M268" s="346"/>
      <c r="N268" s="346"/>
      <c r="O268" s="345"/>
      <c r="P268" s="348"/>
      <c r="Q268" s="379"/>
    </row>
    <row r="269">
      <c r="E269" s="341"/>
      <c r="F269" s="352"/>
      <c r="G269" s="459"/>
      <c r="H269" s="349"/>
      <c r="I269" s="492"/>
      <c r="J269" s="336"/>
      <c r="K269" s="336"/>
      <c r="L269" s="349"/>
      <c r="M269" s="349"/>
      <c r="N269" s="349"/>
      <c r="O269" s="336"/>
      <c r="P269" s="351"/>
      <c r="Q269" s="298"/>
    </row>
    <row r="270">
      <c r="E270" s="341"/>
      <c r="F270" s="458" t="s">
        <v>327</v>
      </c>
      <c r="G270" s="459" t="s">
        <v>328</v>
      </c>
      <c r="H270" s="346" t="str">
        <f>VLOOKUP(O256&amp;","&amp;O260,$T$3:$W$12,4, FALSE)</f>
        <v>bf16</v>
      </c>
      <c r="I270" s="493"/>
      <c r="J270" s="345"/>
      <c r="K270" s="345"/>
      <c r="L270" s="346"/>
      <c r="M270" s="346"/>
      <c r="N270" s="346"/>
      <c r="O270" s="345"/>
      <c r="P270" s="348"/>
      <c r="Q270" s="379"/>
    </row>
    <row r="271">
      <c r="E271" s="341"/>
      <c r="F271" s="341"/>
      <c r="G271" s="455" t="s">
        <v>341</v>
      </c>
      <c r="H271" s="494">
        <f>CALCULATE_FLOPS(J259:M259,J263:M263,M263,K263,H270)</f>
        <v>536870912</v>
      </c>
      <c r="I271" s="492"/>
      <c r="J271" s="336"/>
      <c r="K271" s="336"/>
      <c r="L271" s="349"/>
      <c r="M271" s="349"/>
      <c r="N271" s="349"/>
      <c r="O271" s="336"/>
      <c r="P271" s="351"/>
      <c r="Q271" s="298"/>
    </row>
    <row r="272">
      <c r="E272" s="341"/>
      <c r="F272" s="352"/>
      <c r="G272" s="462" t="s">
        <v>330</v>
      </c>
      <c r="H272" s="495">
        <f>COMPUTE_TIME_MS(H271, H270)</f>
        <v>0.0002863311531</v>
      </c>
      <c r="I272" s="464"/>
      <c r="J272" s="465"/>
      <c r="K272" s="465"/>
      <c r="L272" s="466"/>
      <c r="M272" s="466"/>
      <c r="N272" s="466"/>
      <c r="O272" s="465"/>
      <c r="P272" s="467"/>
      <c r="Q272" s="379"/>
    </row>
    <row r="273">
      <c r="E273" s="341"/>
      <c r="F273" s="458" t="s">
        <v>331</v>
      </c>
      <c r="G273" s="455" t="s">
        <v>332</v>
      </c>
      <c r="H273" s="377">
        <f>IF(Q256,0,P259)+IF(Q260,0,P263)+IF(Q264,0,P267)</f>
        <v>2.25</v>
      </c>
      <c r="I273" s="336"/>
      <c r="J273" s="336"/>
      <c r="K273" s="336"/>
      <c r="L273" s="349"/>
      <c r="M273" s="349"/>
      <c r="N273" s="349"/>
      <c r="O273" s="336"/>
      <c r="P273" s="351"/>
      <c r="Q273" s="298"/>
    </row>
    <row r="274">
      <c r="E274" s="352"/>
      <c r="F274" s="352"/>
      <c r="G274" s="469" t="s">
        <v>333</v>
      </c>
      <c r="H274" s="500">
        <f>HBM_TIME_MS(H273)</f>
        <v>0.0003051757813</v>
      </c>
      <c r="I274" s="465"/>
      <c r="J274" s="465"/>
      <c r="K274" s="465"/>
      <c r="L274" s="466"/>
      <c r="M274" s="466"/>
      <c r="N274" s="466"/>
      <c r="O274" s="465"/>
      <c r="P274" s="467"/>
      <c r="Q274" s="379"/>
    </row>
    <row r="275">
      <c r="E275" s="333" t="s">
        <v>350</v>
      </c>
      <c r="F275" s="357" t="s">
        <v>292</v>
      </c>
      <c r="G275" s="335"/>
      <c r="H275" s="364" t="s">
        <v>281</v>
      </c>
      <c r="I275" s="364" t="s">
        <v>282</v>
      </c>
      <c r="J275" s="273" t="s">
        <v>104</v>
      </c>
      <c r="K275" s="273" t="s">
        <v>102</v>
      </c>
      <c r="L275" s="472" t="s">
        <v>106</v>
      </c>
      <c r="M275" s="273" t="s">
        <v>207</v>
      </c>
      <c r="N275" s="364" t="s">
        <v>283</v>
      </c>
      <c r="O275" s="365" t="str">
        <f>PARAMS("attn_av_a_dtype")</f>
        <v>bf16</v>
      </c>
      <c r="P275" s="366"/>
      <c r="Q275" s="365" t="b">
        <v>1</v>
      </c>
    </row>
    <row r="276">
      <c r="E276" s="341"/>
      <c r="F276" s="342"/>
      <c r="G276" s="343"/>
      <c r="H276" s="273" t="s">
        <v>285</v>
      </c>
      <c r="I276" s="364" t="s">
        <v>282</v>
      </c>
      <c r="J276" s="363">
        <f t="shared" ref="J276:M276" si="49">PARAMS(J275)</f>
        <v>128</v>
      </c>
      <c r="K276" s="364">
        <f t="shared" si="49"/>
        <v>1</v>
      </c>
      <c r="L276" s="364">
        <f t="shared" si="49"/>
        <v>2048</v>
      </c>
      <c r="M276" s="364">
        <f t="shared" si="49"/>
        <v>128</v>
      </c>
      <c r="N276" s="364" t="s">
        <v>283</v>
      </c>
      <c r="O276" s="341"/>
      <c r="P276" s="366">
        <f>SIZEOF_IN_MIB(J276:M276, $O275)</f>
        <v>64</v>
      </c>
      <c r="Q276" s="341"/>
    </row>
    <row r="277">
      <c r="E277" s="341"/>
      <c r="F277" s="342"/>
      <c r="G277" s="343"/>
      <c r="H277" s="363" t="s">
        <v>287</v>
      </c>
      <c r="I277" s="363" t="s">
        <v>282</v>
      </c>
      <c r="J277" s="273" t="s">
        <v>196</v>
      </c>
      <c r="K277" s="273"/>
      <c r="L277" s="273"/>
      <c r="M277" s="363"/>
      <c r="N277" s="363" t="s">
        <v>283</v>
      </c>
      <c r="O277" s="341"/>
      <c r="P277" s="366"/>
      <c r="Q277" s="341"/>
    </row>
    <row r="278">
      <c r="E278" s="341"/>
      <c r="F278" s="353"/>
      <c r="G278" s="354"/>
      <c r="H278" s="273" t="s">
        <v>289</v>
      </c>
      <c r="I278" s="363" t="s">
        <v>282</v>
      </c>
      <c r="J278" s="363">
        <f t="shared" ref="J278:M278" si="50">J276/SHARDING(J277)</f>
        <v>16</v>
      </c>
      <c r="K278" s="363">
        <f t="shared" si="50"/>
        <v>1</v>
      </c>
      <c r="L278" s="363">
        <f t="shared" si="50"/>
        <v>2048</v>
      </c>
      <c r="M278" s="363">
        <f t="shared" si="50"/>
        <v>128</v>
      </c>
      <c r="N278" s="363" t="s">
        <v>283</v>
      </c>
      <c r="O278" s="352"/>
      <c r="P278" s="366">
        <f>SIZEOF_IN_MIB(J278:M278, $O275)</f>
        <v>8</v>
      </c>
      <c r="Q278" s="352"/>
    </row>
    <row r="279">
      <c r="E279" s="341"/>
      <c r="F279" s="334" t="s">
        <v>296</v>
      </c>
      <c r="G279" s="335"/>
      <c r="H279" s="363" t="s">
        <v>281</v>
      </c>
      <c r="I279" s="363" t="s">
        <v>282</v>
      </c>
      <c r="J279" s="273" t="s">
        <v>104</v>
      </c>
      <c r="K279" s="273"/>
      <c r="L279" s="472" t="s">
        <v>106</v>
      </c>
      <c r="M279" s="273" t="s">
        <v>198</v>
      </c>
      <c r="N279" s="363" t="s">
        <v>283</v>
      </c>
      <c r="O279" s="365" t="str">
        <f>PARAMS("kv_dtype")</f>
        <v>fp8</v>
      </c>
      <c r="P279" s="366"/>
      <c r="Q279" s="365" t="b">
        <v>1</v>
      </c>
    </row>
    <row r="280">
      <c r="E280" s="341"/>
      <c r="F280" s="342"/>
      <c r="G280" s="343"/>
      <c r="H280" s="273" t="s">
        <v>285</v>
      </c>
      <c r="I280" s="363" t="s">
        <v>282</v>
      </c>
      <c r="J280" s="363">
        <f>PARAMS(J279)</f>
        <v>128</v>
      </c>
      <c r="K280" s="363"/>
      <c r="L280" s="363">
        <f t="shared" ref="L280:M280" si="51">PARAMS(L279)</f>
        <v>2048</v>
      </c>
      <c r="M280" s="363">
        <f t="shared" si="51"/>
        <v>512</v>
      </c>
      <c r="N280" s="363" t="s">
        <v>283</v>
      </c>
      <c r="O280" s="341"/>
      <c r="P280" s="366">
        <f>SIZEOF_IN_MIB(J280:M280, $O279)</f>
        <v>128</v>
      </c>
      <c r="Q280" s="341"/>
    </row>
    <row r="281">
      <c r="E281" s="341"/>
      <c r="F281" s="342"/>
      <c r="G281" s="343"/>
      <c r="H281" s="363" t="s">
        <v>287</v>
      </c>
      <c r="I281" s="363" t="s">
        <v>282</v>
      </c>
      <c r="J281" s="273" t="s">
        <v>196</v>
      </c>
      <c r="K281" s="364"/>
      <c r="L281" s="363"/>
      <c r="M281" s="363"/>
      <c r="N281" s="363" t="s">
        <v>283</v>
      </c>
      <c r="O281" s="341"/>
      <c r="P281" s="366"/>
      <c r="Q281" s="341"/>
    </row>
    <row r="282">
      <c r="E282" s="341"/>
      <c r="F282" s="353"/>
      <c r="G282" s="354"/>
      <c r="H282" s="349" t="s">
        <v>289</v>
      </c>
      <c r="I282" s="349" t="s">
        <v>282</v>
      </c>
      <c r="J282" s="349">
        <f>J280/SHARDING(J281)</f>
        <v>16</v>
      </c>
      <c r="K282" s="349"/>
      <c r="L282" s="349">
        <f t="shared" ref="L282:M282" si="52">L280/SHARDING(L281)</f>
        <v>2048</v>
      </c>
      <c r="M282" s="349">
        <f t="shared" si="52"/>
        <v>512</v>
      </c>
      <c r="N282" s="349" t="s">
        <v>283</v>
      </c>
      <c r="O282" s="316"/>
      <c r="P282" s="351">
        <f>SIZEOF_IN_MIB(J282:M282, $O279)</f>
        <v>16</v>
      </c>
      <c r="Q282" s="316"/>
    </row>
    <row r="283">
      <c r="E283" s="341"/>
      <c r="F283" s="334" t="s">
        <v>56</v>
      </c>
      <c r="G283" s="335"/>
      <c r="H283" s="346" t="s">
        <v>281</v>
      </c>
      <c r="I283" s="346" t="s">
        <v>282</v>
      </c>
      <c r="J283" s="344" t="s">
        <v>104</v>
      </c>
      <c r="K283" s="344" t="s">
        <v>102</v>
      </c>
      <c r="L283" s="344" t="s">
        <v>207</v>
      </c>
      <c r="M283" s="344" t="s">
        <v>198</v>
      </c>
      <c r="N283" s="346" t="s">
        <v>283</v>
      </c>
      <c r="O283" s="546" t="s">
        <v>133</v>
      </c>
      <c r="P283" s="348"/>
      <c r="Q283" s="473" t="b">
        <v>0</v>
      </c>
    </row>
    <row r="284">
      <c r="E284" s="341"/>
      <c r="F284" s="342"/>
      <c r="G284" s="343"/>
      <c r="H284" s="337" t="s">
        <v>285</v>
      </c>
      <c r="I284" s="349" t="s">
        <v>282</v>
      </c>
      <c r="J284" s="349">
        <f t="shared" ref="J284:M284" si="53">PARAMS(J283)</f>
        <v>128</v>
      </c>
      <c r="K284" s="349">
        <f t="shared" si="53"/>
        <v>1</v>
      </c>
      <c r="L284" s="349">
        <f t="shared" si="53"/>
        <v>128</v>
      </c>
      <c r="M284" s="349">
        <f t="shared" si="53"/>
        <v>512</v>
      </c>
      <c r="N284" s="349" t="s">
        <v>283</v>
      </c>
      <c r="O284" s="350"/>
      <c r="P284" s="351">
        <f>SIZEOF_IN_MIB(J284:M284, $O283)</f>
        <v>16</v>
      </c>
      <c r="Q284" s="350"/>
    </row>
    <row r="285">
      <c r="E285" s="341"/>
      <c r="F285" s="342"/>
      <c r="G285" s="343"/>
      <c r="H285" s="346" t="s">
        <v>287</v>
      </c>
      <c r="I285" s="346" t="s">
        <v>282</v>
      </c>
      <c r="J285" s="344" t="s">
        <v>196</v>
      </c>
      <c r="K285" s="344"/>
      <c r="L285" s="344"/>
      <c r="M285" s="346"/>
      <c r="N285" s="346" t="s">
        <v>283</v>
      </c>
      <c r="O285" s="347"/>
      <c r="P285" s="348"/>
      <c r="Q285" s="347"/>
    </row>
    <row r="286">
      <c r="E286" s="341"/>
      <c r="F286" s="353"/>
      <c r="G286" s="354"/>
      <c r="H286" s="349" t="s">
        <v>289</v>
      </c>
      <c r="I286" s="349" t="s">
        <v>282</v>
      </c>
      <c r="J286" s="349">
        <f t="shared" ref="J286:M286" si="54">J284/SHARDING(J285)</f>
        <v>16</v>
      </c>
      <c r="K286" s="349">
        <f t="shared" si="54"/>
        <v>1</v>
      </c>
      <c r="L286" s="349">
        <f t="shared" si="54"/>
        <v>128</v>
      </c>
      <c r="M286" s="349">
        <f t="shared" si="54"/>
        <v>512</v>
      </c>
      <c r="N286" s="349" t="s">
        <v>283</v>
      </c>
      <c r="O286" s="316"/>
      <c r="P286" s="351">
        <f>SIZEOF_IN_MIB(J286:M286, $O283)</f>
        <v>2</v>
      </c>
      <c r="Q286" s="316"/>
    </row>
    <row r="287">
      <c r="E287" s="341"/>
      <c r="F287" s="474" t="s">
        <v>335</v>
      </c>
      <c r="G287" s="459" t="s">
        <v>109</v>
      </c>
      <c r="H287" s="497"/>
      <c r="I287" s="498"/>
      <c r="J287" s="345"/>
      <c r="K287" s="345"/>
      <c r="L287" s="346"/>
      <c r="M287" s="346"/>
      <c r="N287" s="346"/>
      <c r="O287" s="345"/>
      <c r="P287" s="348"/>
      <c r="Q287" s="379"/>
    </row>
    <row r="288">
      <c r="E288" s="341"/>
      <c r="F288" s="352"/>
      <c r="G288" s="459"/>
      <c r="H288" s="349"/>
      <c r="I288" s="492"/>
      <c r="J288" s="336"/>
      <c r="K288" s="336"/>
      <c r="L288" s="349"/>
      <c r="M288" s="349"/>
      <c r="N288" s="349"/>
      <c r="O288" s="336"/>
      <c r="P288" s="351"/>
      <c r="Q288" s="298"/>
    </row>
    <row r="289">
      <c r="E289" s="341"/>
      <c r="F289" s="458" t="s">
        <v>327</v>
      </c>
      <c r="G289" s="459" t="s">
        <v>328</v>
      </c>
      <c r="H289" s="346" t="str">
        <f>VLOOKUP(O275&amp;","&amp;O279,$T$3:$W$12,4, FALSE)</f>
        <v>bf16</v>
      </c>
      <c r="I289" s="493"/>
      <c r="J289" s="345"/>
      <c r="K289" s="345"/>
      <c r="L289" s="346"/>
      <c r="M289" s="346"/>
      <c r="N289" s="346"/>
      <c r="O289" s="345"/>
      <c r="P289" s="348"/>
      <c r="Q289" s="379"/>
    </row>
    <row r="290">
      <c r="E290" s="341"/>
      <c r="F290" s="341"/>
      <c r="G290" s="455" t="s">
        <v>341</v>
      </c>
      <c r="H290" s="494">
        <f>CALCULATE_FLOPS(J278:M278,J282:M282,L282,J282,H289)</f>
        <v>4294967296</v>
      </c>
      <c r="I290" s="492"/>
      <c r="J290" s="336"/>
      <c r="K290" s="336"/>
      <c r="L290" s="349"/>
      <c r="M290" s="349"/>
      <c r="N290" s="349"/>
      <c r="O290" s="336"/>
      <c r="P290" s="351"/>
      <c r="Q290" s="298"/>
    </row>
    <row r="291">
      <c r="E291" s="341"/>
      <c r="F291" s="352"/>
      <c r="G291" s="462" t="s">
        <v>330</v>
      </c>
      <c r="H291" s="495">
        <f>COMPUTE_TIME_MS(H290, H289)</f>
        <v>0.002290649225</v>
      </c>
      <c r="I291" s="464"/>
      <c r="J291" s="465"/>
      <c r="K291" s="465"/>
      <c r="L291" s="466"/>
      <c r="M291" s="466"/>
      <c r="N291" s="466"/>
      <c r="O291" s="465"/>
      <c r="P291" s="467"/>
      <c r="Q291" s="379"/>
    </row>
    <row r="292">
      <c r="E292" s="341"/>
      <c r="F292" s="458" t="s">
        <v>331</v>
      </c>
      <c r="G292" s="455" t="s">
        <v>332</v>
      </c>
      <c r="H292" s="377">
        <f>IF(Q275,0,P278)+IF(Q279,0,P282)+IF(Q283,0,P286)</f>
        <v>2</v>
      </c>
      <c r="I292" s="336"/>
      <c r="J292" s="336"/>
      <c r="K292" s="336"/>
      <c r="L292" s="349"/>
      <c r="M292" s="349"/>
      <c r="N292" s="349"/>
      <c r="O292" s="336"/>
      <c r="P292" s="351"/>
      <c r="Q292" s="298"/>
    </row>
    <row r="293">
      <c r="E293" s="352"/>
      <c r="F293" s="352"/>
      <c r="G293" s="469" t="s">
        <v>333</v>
      </c>
      <c r="H293" s="547">
        <f>HBM_TIME_MS(H292)</f>
        <v>0.0002712673611</v>
      </c>
      <c r="I293" s="465"/>
      <c r="J293" s="465"/>
      <c r="K293" s="465"/>
      <c r="L293" s="466"/>
      <c r="M293" s="466"/>
      <c r="N293" s="466"/>
      <c r="O293" s="465"/>
      <c r="P293" s="467"/>
      <c r="Q293" s="379"/>
    </row>
    <row r="294">
      <c r="E294" s="333" t="s">
        <v>351</v>
      </c>
      <c r="F294" s="357" t="s">
        <v>292</v>
      </c>
      <c r="G294" s="335"/>
      <c r="H294" s="336" t="s">
        <v>281</v>
      </c>
      <c r="I294" s="336" t="s">
        <v>282</v>
      </c>
      <c r="J294" s="337" t="s">
        <v>104</v>
      </c>
      <c r="K294" s="337" t="s">
        <v>102</v>
      </c>
      <c r="L294" s="337" t="s">
        <v>207</v>
      </c>
      <c r="M294" s="499" t="s">
        <v>198</v>
      </c>
      <c r="N294" s="336" t="s">
        <v>283</v>
      </c>
      <c r="O294" s="338" t="str">
        <f>EXTRACT_ACTIVATION_DTYPE(PARAMS("attn_proj_dtype"))</f>
        <v>fp8</v>
      </c>
      <c r="P294" s="351"/>
      <c r="Q294" s="338" t="b">
        <v>0</v>
      </c>
    </row>
    <row r="295">
      <c r="E295" s="341"/>
      <c r="F295" s="342"/>
      <c r="G295" s="343"/>
      <c r="H295" s="344" t="s">
        <v>285</v>
      </c>
      <c r="I295" s="345" t="s">
        <v>282</v>
      </c>
      <c r="J295" s="346">
        <f t="shared" ref="J295:M295" si="55">PARAMS(J294)</f>
        <v>128</v>
      </c>
      <c r="K295" s="345">
        <f t="shared" si="55"/>
        <v>1</v>
      </c>
      <c r="L295" s="345">
        <f t="shared" si="55"/>
        <v>128</v>
      </c>
      <c r="M295" s="345">
        <f t="shared" si="55"/>
        <v>512</v>
      </c>
      <c r="N295" s="345" t="s">
        <v>283</v>
      </c>
      <c r="O295" s="347"/>
      <c r="P295" s="348">
        <f>SIZEOF_IN_MIB(J295:M295, $O294)</f>
        <v>8</v>
      </c>
      <c r="Q295" s="347"/>
    </row>
    <row r="296">
      <c r="E296" s="341"/>
      <c r="F296" s="342"/>
      <c r="G296" s="343"/>
      <c r="H296" s="349" t="s">
        <v>287</v>
      </c>
      <c r="I296" s="349" t="s">
        <v>282</v>
      </c>
      <c r="J296" s="337" t="s">
        <v>196</v>
      </c>
      <c r="K296" s="337"/>
      <c r="L296" s="337"/>
      <c r="M296" s="349"/>
      <c r="N296" s="349" t="s">
        <v>283</v>
      </c>
      <c r="O296" s="350"/>
      <c r="P296" s="351"/>
      <c r="Q296" s="350"/>
    </row>
    <row r="297">
      <c r="E297" s="341"/>
      <c r="F297" s="353"/>
      <c r="G297" s="354"/>
      <c r="H297" s="344" t="s">
        <v>289</v>
      </c>
      <c r="I297" s="346" t="s">
        <v>282</v>
      </c>
      <c r="J297" s="346">
        <f t="shared" ref="J297:M297" si="56">J295/SHARDING(J296)</f>
        <v>16</v>
      </c>
      <c r="K297" s="346">
        <f t="shared" si="56"/>
        <v>1</v>
      </c>
      <c r="L297" s="346">
        <f t="shared" si="56"/>
        <v>128</v>
      </c>
      <c r="M297" s="346">
        <f t="shared" si="56"/>
        <v>512</v>
      </c>
      <c r="N297" s="346" t="s">
        <v>283</v>
      </c>
      <c r="O297" s="355"/>
      <c r="P297" s="348">
        <f>SIZEOF_IN_MIB(J297:M297, $O294)</f>
        <v>1</v>
      </c>
      <c r="Q297" s="355"/>
    </row>
    <row r="298">
      <c r="E298" s="341"/>
      <c r="F298" s="334" t="s">
        <v>296</v>
      </c>
      <c r="G298" s="335"/>
      <c r="H298" s="349" t="s">
        <v>281</v>
      </c>
      <c r="I298" s="349" t="s">
        <v>282</v>
      </c>
      <c r="J298" s="336"/>
      <c r="K298" s="337" t="s">
        <v>207</v>
      </c>
      <c r="L298" s="337" t="s">
        <v>201</v>
      </c>
      <c r="M298" s="499" t="s">
        <v>198</v>
      </c>
      <c r="N298" s="349" t="s">
        <v>283</v>
      </c>
      <c r="O298" s="338" t="str">
        <f>EXTRACT_WEIGHT_DTYPE(PARAMS("attn_proj_dtype"))</f>
        <v>fp8</v>
      </c>
      <c r="P298" s="351"/>
      <c r="Q298" s="338" t="b">
        <v>0</v>
      </c>
    </row>
    <row r="299">
      <c r="E299" s="341"/>
      <c r="F299" s="342"/>
      <c r="G299" s="343"/>
      <c r="H299" s="344" t="s">
        <v>285</v>
      </c>
      <c r="I299" s="346" t="s">
        <v>282</v>
      </c>
      <c r="J299" s="345"/>
      <c r="K299" s="346">
        <f t="shared" ref="K299:M299" si="57">PARAMS(K298)</f>
        <v>128</v>
      </c>
      <c r="L299" s="346">
        <f t="shared" si="57"/>
        <v>128</v>
      </c>
      <c r="M299" s="346">
        <f t="shared" si="57"/>
        <v>512</v>
      </c>
      <c r="N299" s="346" t="s">
        <v>283</v>
      </c>
      <c r="O299" s="347"/>
      <c r="P299" s="348">
        <f>SIZEOF_IN_MIB(J299:M299, $O298)</f>
        <v>8</v>
      </c>
      <c r="Q299" s="347"/>
    </row>
    <row r="300">
      <c r="E300" s="341"/>
      <c r="F300" s="342"/>
      <c r="G300" s="343"/>
      <c r="H300" s="349" t="s">
        <v>287</v>
      </c>
      <c r="I300" s="349" t="s">
        <v>282</v>
      </c>
      <c r="J300" s="336"/>
      <c r="K300" s="336"/>
      <c r="L300" s="349"/>
      <c r="M300" s="349"/>
      <c r="N300" s="349" t="s">
        <v>283</v>
      </c>
      <c r="O300" s="350"/>
      <c r="P300" s="351"/>
      <c r="Q300" s="350"/>
    </row>
    <row r="301">
      <c r="E301" s="341"/>
      <c r="F301" s="353"/>
      <c r="G301" s="354"/>
      <c r="H301" s="346" t="s">
        <v>289</v>
      </c>
      <c r="I301" s="346" t="s">
        <v>282</v>
      </c>
      <c r="J301" s="345"/>
      <c r="K301" s="346">
        <f t="shared" ref="K301:M301" si="58">K299/SHARDING(K300)</f>
        <v>128</v>
      </c>
      <c r="L301" s="346">
        <f t="shared" si="58"/>
        <v>128</v>
      </c>
      <c r="M301" s="346">
        <f t="shared" si="58"/>
        <v>512</v>
      </c>
      <c r="N301" s="346" t="s">
        <v>283</v>
      </c>
      <c r="O301" s="355"/>
      <c r="P301" s="348">
        <f>SIZEOF_IN_MIB(J301:M301, $O298)</f>
        <v>8</v>
      </c>
      <c r="Q301" s="355"/>
    </row>
    <row r="302">
      <c r="E302" s="341"/>
      <c r="F302" s="334" t="s">
        <v>56</v>
      </c>
      <c r="G302" s="335"/>
      <c r="H302" s="349" t="s">
        <v>281</v>
      </c>
      <c r="I302" s="349" t="s">
        <v>282</v>
      </c>
      <c r="J302" s="337" t="s">
        <v>104</v>
      </c>
      <c r="K302" s="337" t="s">
        <v>102</v>
      </c>
      <c r="L302" s="337" t="s">
        <v>207</v>
      </c>
      <c r="M302" s="337" t="s">
        <v>201</v>
      </c>
      <c r="N302" s="349" t="s">
        <v>283</v>
      </c>
      <c r="O302" s="338" t="s">
        <v>133</v>
      </c>
      <c r="P302" s="351"/>
      <c r="Q302" s="338" t="b">
        <v>0</v>
      </c>
    </row>
    <row r="303">
      <c r="E303" s="341"/>
      <c r="F303" s="342"/>
      <c r="G303" s="343"/>
      <c r="H303" s="344" t="s">
        <v>285</v>
      </c>
      <c r="I303" s="346" t="s">
        <v>282</v>
      </c>
      <c r="J303" s="346">
        <f t="shared" ref="J303:M303" si="59">PARAMS(J302)</f>
        <v>128</v>
      </c>
      <c r="K303" s="346">
        <f t="shared" si="59"/>
        <v>1</v>
      </c>
      <c r="L303" s="346">
        <f t="shared" si="59"/>
        <v>128</v>
      </c>
      <c r="M303" s="346">
        <f t="shared" si="59"/>
        <v>128</v>
      </c>
      <c r="N303" s="346" t="s">
        <v>283</v>
      </c>
      <c r="O303" s="347"/>
      <c r="P303" s="348">
        <f>SIZEOF_IN_MIB(J303:M303, $O302)</f>
        <v>4</v>
      </c>
      <c r="Q303" s="347"/>
    </row>
    <row r="304">
      <c r="E304" s="341"/>
      <c r="F304" s="342"/>
      <c r="G304" s="343"/>
      <c r="H304" s="349" t="s">
        <v>287</v>
      </c>
      <c r="I304" s="349" t="s">
        <v>282</v>
      </c>
      <c r="J304" s="337" t="s">
        <v>196</v>
      </c>
      <c r="K304" s="337"/>
      <c r="L304" s="337"/>
      <c r="M304" s="349"/>
      <c r="N304" s="349" t="s">
        <v>283</v>
      </c>
      <c r="O304" s="350"/>
      <c r="P304" s="351"/>
      <c r="Q304" s="350"/>
    </row>
    <row r="305">
      <c r="E305" s="341"/>
      <c r="F305" s="353"/>
      <c r="G305" s="354"/>
      <c r="H305" s="346" t="s">
        <v>289</v>
      </c>
      <c r="I305" s="346" t="s">
        <v>282</v>
      </c>
      <c r="J305" s="346">
        <f t="shared" ref="J305:M305" si="60">J303/SHARDING(J304)</f>
        <v>16</v>
      </c>
      <c r="K305" s="346">
        <f t="shared" si="60"/>
        <v>1</v>
      </c>
      <c r="L305" s="346">
        <f t="shared" si="60"/>
        <v>128</v>
      </c>
      <c r="M305" s="346">
        <f t="shared" si="60"/>
        <v>128</v>
      </c>
      <c r="N305" s="346" t="s">
        <v>283</v>
      </c>
      <c r="O305" s="355"/>
      <c r="P305" s="348">
        <f>SIZEOF_IN_MIB(J305:M305, $O302)</f>
        <v>0.5</v>
      </c>
      <c r="Q305" s="355"/>
    </row>
    <row r="306">
      <c r="E306" s="341"/>
      <c r="F306" s="474" t="s">
        <v>335</v>
      </c>
      <c r="G306" s="459" t="s">
        <v>109</v>
      </c>
      <c r="H306" s="548"/>
      <c r="I306" s="549"/>
      <c r="J306" s="336"/>
      <c r="K306" s="336"/>
      <c r="L306" s="349"/>
      <c r="M306" s="349"/>
      <c r="N306" s="349"/>
      <c r="O306" s="336"/>
      <c r="P306" s="351"/>
      <c r="Q306" s="298"/>
    </row>
    <row r="307">
      <c r="E307" s="341"/>
      <c r="F307" s="352"/>
      <c r="G307" s="459"/>
      <c r="H307" s="346"/>
      <c r="I307" s="493"/>
      <c r="J307" s="345"/>
      <c r="K307" s="345"/>
      <c r="L307" s="346"/>
      <c r="M307" s="346"/>
      <c r="N307" s="346"/>
      <c r="O307" s="345"/>
      <c r="P307" s="348"/>
      <c r="Q307" s="379"/>
    </row>
    <row r="308">
      <c r="E308" s="341"/>
      <c r="F308" s="458" t="s">
        <v>327</v>
      </c>
      <c r="G308" s="459" t="s">
        <v>328</v>
      </c>
      <c r="H308" s="349" t="str">
        <f>VLOOKUP(O294&amp;","&amp;O298,$T$3:$W$12,4, FALSE)</f>
        <v>fp8</v>
      </c>
      <c r="I308" s="492"/>
      <c r="J308" s="336"/>
      <c r="K308" s="336"/>
      <c r="L308" s="349"/>
      <c r="M308" s="349"/>
      <c r="N308" s="349"/>
      <c r="O308" s="336"/>
      <c r="P308" s="351"/>
      <c r="Q308" s="298"/>
    </row>
    <row r="309">
      <c r="E309" s="341"/>
      <c r="F309" s="341"/>
      <c r="G309" s="455" t="s">
        <v>341</v>
      </c>
      <c r="H309" s="550">
        <f>CALCULATE_FLOPS(J297:M297,J301:M301,M301,K301,H308)</f>
        <v>268435456</v>
      </c>
      <c r="I309" s="493"/>
      <c r="J309" s="345"/>
      <c r="K309" s="345"/>
      <c r="L309" s="346"/>
      <c r="M309" s="346"/>
      <c r="N309" s="346"/>
      <c r="O309" s="345"/>
      <c r="P309" s="348"/>
      <c r="Q309" s="379"/>
    </row>
    <row r="310">
      <c r="E310" s="341"/>
      <c r="F310" s="352"/>
      <c r="G310" s="462" t="s">
        <v>330</v>
      </c>
      <c r="H310" s="495">
        <f>COMPUTE_TIME_MS(H309, H308)</f>
        <v>0.00007158278827</v>
      </c>
      <c r="I310" s="464"/>
      <c r="J310" s="465"/>
      <c r="K310" s="465"/>
      <c r="L310" s="466"/>
      <c r="M310" s="466"/>
      <c r="N310" s="466"/>
      <c r="O310" s="465"/>
      <c r="P310" s="467"/>
      <c r="Q310" s="298"/>
    </row>
    <row r="311">
      <c r="E311" s="341"/>
      <c r="F311" s="458" t="s">
        <v>331</v>
      </c>
      <c r="G311" s="455" t="s">
        <v>332</v>
      </c>
      <c r="H311" s="509">
        <f>IF(Q294,0,P297)+IF(Q298,0,P301)+IF(Q302,0,P305)</f>
        <v>9.5</v>
      </c>
      <c r="I311" s="345"/>
      <c r="J311" s="345"/>
      <c r="K311" s="345"/>
      <c r="L311" s="346"/>
      <c r="M311" s="346"/>
      <c r="N311" s="346"/>
      <c r="O311" s="345"/>
      <c r="P311" s="348"/>
      <c r="Q311" s="379"/>
    </row>
    <row r="312">
      <c r="E312" s="352"/>
      <c r="F312" s="352"/>
      <c r="G312" s="469" t="s">
        <v>333</v>
      </c>
      <c r="H312" s="500">
        <f>HBM_TIME_MS(H311)</f>
        <v>0.001288519965</v>
      </c>
      <c r="I312" s="465"/>
      <c r="J312" s="465"/>
      <c r="K312" s="465"/>
      <c r="L312" s="466"/>
      <c r="M312" s="466"/>
      <c r="N312" s="466"/>
      <c r="O312" s="465"/>
      <c r="P312" s="467"/>
      <c r="Q312" s="298"/>
    </row>
    <row r="313">
      <c r="E313" s="333" t="s">
        <v>352</v>
      </c>
      <c r="F313" s="551" t="s">
        <v>353</v>
      </c>
      <c r="G313" s="424"/>
      <c r="H313" s="552" t="s">
        <v>354</v>
      </c>
      <c r="I313" s="448"/>
      <c r="J313" s="553"/>
      <c r="K313" s="553"/>
      <c r="L313" s="553"/>
      <c r="M313" s="446"/>
      <c r="N313" s="448"/>
      <c r="O313" s="553"/>
      <c r="P313" s="451"/>
      <c r="Q313" s="553"/>
    </row>
    <row r="314">
      <c r="E314" s="341"/>
      <c r="F314" s="334" t="s">
        <v>301</v>
      </c>
      <c r="G314" s="335"/>
      <c r="H314" s="336" t="s">
        <v>281</v>
      </c>
      <c r="I314" s="336" t="s">
        <v>282</v>
      </c>
      <c r="J314" s="337" t="s">
        <v>104</v>
      </c>
      <c r="K314" s="337" t="s">
        <v>102</v>
      </c>
      <c r="L314" s="337" t="s">
        <v>207</v>
      </c>
      <c r="M314" s="499" t="s">
        <v>198</v>
      </c>
      <c r="N314" s="336" t="s">
        <v>283</v>
      </c>
      <c r="O314" s="338" t="str">
        <f>EXTRACT_ACTIVATION_DTYPE(PARAMS("attn_proj_dtype"))</f>
        <v>fp8</v>
      </c>
      <c r="P314" s="351"/>
      <c r="Q314" s="338"/>
    </row>
    <row r="315">
      <c r="E315" s="341"/>
      <c r="F315" s="342"/>
      <c r="G315" s="343"/>
      <c r="H315" s="344" t="s">
        <v>285</v>
      </c>
      <c r="I315" s="345" t="s">
        <v>282</v>
      </c>
      <c r="J315" s="346">
        <f t="shared" ref="J315:M315" si="61">PARAMS(J314)</f>
        <v>128</v>
      </c>
      <c r="K315" s="345">
        <f t="shared" si="61"/>
        <v>1</v>
      </c>
      <c r="L315" s="345">
        <f t="shared" si="61"/>
        <v>128</v>
      </c>
      <c r="M315" s="345">
        <f t="shared" si="61"/>
        <v>512</v>
      </c>
      <c r="N315" s="345" t="s">
        <v>283</v>
      </c>
      <c r="O315" s="347"/>
      <c r="P315" s="348">
        <f>SIZEOF_IN_MIB(J315:M315, $O314)</f>
        <v>8</v>
      </c>
      <c r="Q315" s="347"/>
    </row>
    <row r="316">
      <c r="E316" s="341"/>
      <c r="F316" s="342"/>
      <c r="G316" s="343"/>
      <c r="H316" s="349" t="s">
        <v>287</v>
      </c>
      <c r="I316" s="349" t="s">
        <v>282</v>
      </c>
      <c r="J316" s="337" t="s">
        <v>196</v>
      </c>
      <c r="K316" s="337"/>
      <c r="L316" s="337"/>
      <c r="M316" s="349"/>
      <c r="N316" s="349" t="s">
        <v>283</v>
      </c>
      <c r="O316" s="350"/>
      <c r="P316" s="351"/>
      <c r="Q316" s="350"/>
    </row>
    <row r="317">
      <c r="E317" s="341"/>
      <c r="F317" s="342"/>
      <c r="G317" s="343"/>
      <c r="H317" s="344" t="s">
        <v>289</v>
      </c>
      <c r="I317" s="346" t="s">
        <v>282</v>
      </c>
      <c r="J317" s="346">
        <f t="shared" ref="J317:M317" si="62">J315/SHARDING(J316)</f>
        <v>16</v>
      </c>
      <c r="K317" s="346">
        <f t="shared" si="62"/>
        <v>1</v>
      </c>
      <c r="L317" s="346">
        <f t="shared" si="62"/>
        <v>128</v>
      </c>
      <c r="M317" s="346">
        <f t="shared" si="62"/>
        <v>512</v>
      </c>
      <c r="N317" s="346" t="s">
        <v>283</v>
      </c>
      <c r="O317" s="355"/>
      <c r="P317" s="348">
        <f>SIZEOF_IN_MIB(J317:M317, $O314)</f>
        <v>1</v>
      </c>
      <c r="Q317" s="355"/>
    </row>
    <row r="318">
      <c r="E318" s="341"/>
      <c r="F318" s="353"/>
      <c r="G318" s="354"/>
      <c r="H318" s="337" t="s">
        <v>304</v>
      </c>
      <c r="I318" s="349"/>
      <c r="J318" s="337" t="s">
        <v>96</v>
      </c>
      <c r="K318" s="337"/>
      <c r="L318" s="337"/>
      <c r="M318" s="499"/>
      <c r="N318" s="349"/>
      <c r="O318" s="337"/>
      <c r="P318" s="351"/>
      <c r="Q318" s="337"/>
    </row>
    <row r="319">
      <c r="E319" s="341"/>
      <c r="F319" s="426" t="s">
        <v>319</v>
      </c>
      <c r="G319" s="554" t="s">
        <v>97</v>
      </c>
      <c r="H319" s="388"/>
      <c r="I319" s="555"/>
      <c r="J319" s="345"/>
      <c r="K319" s="344"/>
      <c r="L319" s="344"/>
      <c r="M319" s="556"/>
      <c r="N319" s="346"/>
      <c r="O319" s="473"/>
      <c r="P319" s="348"/>
      <c r="Q319" s="473"/>
    </row>
    <row r="320">
      <c r="E320" s="341"/>
      <c r="F320" s="432" t="s">
        <v>320</v>
      </c>
      <c r="G320" s="557" t="s">
        <v>306</v>
      </c>
      <c r="H320" s="558">
        <f>HW_SPEC("# of TensorCore per Chip")</f>
        <v>1</v>
      </c>
      <c r="J320" s="336"/>
      <c r="K320" s="349"/>
      <c r="L320" s="349"/>
      <c r="M320" s="349"/>
      <c r="N320" s="349"/>
      <c r="O320" s="350"/>
      <c r="P320" s="351"/>
      <c r="Q320" s="350"/>
    </row>
    <row r="321">
      <c r="E321" s="341"/>
      <c r="F321" s="341"/>
      <c r="G321" s="559" t="s">
        <v>307</v>
      </c>
      <c r="H321" s="395">
        <f>P317*(H320-1)</f>
        <v>0</v>
      </c>
      <c r="J321" s="345"/>
      <c r="K321" s="345"/>
      <c r="L321" s="346"/>
      <c r="M321" s="346"/>
      <c r="N321" s="346"/>
      <c r="O321" s="347"/>
      <c r="P321" s="348"/>
      <c r="Q321" s="347"/>
    </row>
    <row r="322">
      <c r="E322" s="341"/>
      <c r="F322" s="341"/>
      <c r="G322" s="557" t="s">
        <v>308</v>
      </c>
      <c r="H322" s="390">
        <f>H321*H320</f>
        <v>0</v>
      </c>
      <c r="J322" s="336"/>
      <c r="K322" s="349"/>
      <c r="L322" s="349"/>
      <c r="M322" s="349"/>
      <c r="N322" s="349"/>
      <c r="O322" s="316"/>
      <c r="P322" s="351"/>
      <c r="Q322" s="316"/>
    </row>
    <row r="323">
      <c r="E323" s="341"/>
      <c r="F323" s="352"/>
      <c r="G323" s="559" t="s">
        <v>311</v>
      </c>
      <c r="H323" s="560">
        <f>ALL_GATHER_CORE2CORE_TIME_MS(H322)</f>
        <v>0</v>
      </c>
      <c r="J323" s="344"/>
      <c r="K323" s="344"/>
      <c r="L323" s="344"/>
      <c r="M323" s="344"/>
      <c r="N323" s="346"/>
      <c r="O323" s="473"/>
      <c r="P323" s="348"/>
      <c r="Q323" s="473"/>
    </row>
    <row r="324">
      <c r="E324" s="341"/>
      <c r="F324" s="487" t="s">
        <v>340</v>
      </c>
      <c r="G324" s="561">
        <f>H323</f>
        <v>0</v>
      </c>
      <c r="H324" s="562"/>
      <c r="I324" s="405"/>
      <c r="J324" s="349"/>
      <c r="K324" s="349"/>
      <c r="L324" s="349"/>
      <c r="M324" s="349"/>
      <c r="N324" s="349"/>
      <c r="O324" s="563"/>
      <c r="P324" s="351"/>
      <c r="Q324" s="316"/>
    </row>
    <row r="325">
      <c r="E325" s="341"/>
      <c r="F325" s="564"/>
      <c r="G325" s="565"/>
      <c r="H325" s="566"/>
      <c r="I325" s="465"/>
      <c r="J325" s="465"/>
      <c r="K325" s="465"/>
      <c r="L325" s="466"/>
      <c r="M325" s="466"/>
      <c r="N325" s="466"/>
      <c r="O325" s="567"/>
      <c r="P325" s="467"/>
      <c r="Q325" s="379"/>
    </row>
    <row r="326">
      <c r="E326" s="341"/>
      <c r="F326" s="568" t="s">
        <v>322</v>
      </c>
      <c r="G326" s="569" t="s">
        <v>323</v>
      </c>
      <c r="H326" s="570"/>
      <c r="I326" s="448"/>
      <c r="J326" s="448"/>
      <c r="K326" s="448"/>
      <c r="L326" s="449"/>
      <c r="M326" s="449"/>
      <c r="N326" s="449"/>
      <c r="O326" s="571"/>
      <c r="P326" s="451"/>
      <c r="Q326" s="572"/>
    </row>
    <row r="327">
      <c r="E327" s="352"/>
      <c r="F327" s="568" t="s">
        <v>340</v>
      </c>
      <c r="G327" s="573">
        <f>IF(G326=F313,G324,0)</f>
        <v>0</v>
      </c>
      <c r="H327" s="570"/>
      <c r="I327" s="448"/>
      <c r="J327" s="448"/>
      <c r="K327" s="448"/>
      <c r="L327" s="449"/>
      <c r="M327" s="449"/>
      <c r="N327" s="449"/>
      <c r="O327" s="448"/>
      <c r="P327" s="451"/>
      <c r="Q327" s="572"/>
    </row>
    <row r="328">
      <c r="E328" s="333" t="s">
        <v>355</v>
      </c>
      <c r="F328" s="357" t="s">
        <v>292</v>
      </c>
      <c r="G328" s="335"/>
      <c r="H328" s="336" t="s">
        <v>281</v>
      </c>
      <c r="I328" s="336" t="s">
        <v>282</v>
      </c>
      <c r="J328" s="337" t="s">
        <v>104</v>
      </c>
      <c r="K328" s="337" t="s">
        <v>102</v>
      </c>
      <c r="L328" s="499" t="s">
        <v>207</v>
      </c>
      <c r="M328" s="499" t="s">
        <v>201</v>
      </c>
      <c r="N328" s="336" t="s">
        <v>283</v>
      </c>
      <c r="O328" s="338" t="str">
        <f>EXTRACT_ACTIVATION_DTYPE(PARAMS("attn_oproj_dtype"))</f>
        <v>fp8</v>
      </c>
      <c r="P328" s="351"/>
      <c r="Q328" s="338" t="b">
        <v>0</v>
      </c>
    </row>
    <row r="329">
      <c r="E329" s="341"/>
      <c r="F329" s="342"/>
      <c r="G329" s="343"/>
      <c r="H329" s="344" t="s">
        <v>285</v>
      </c>
      <c r="I329" s="345" t="s">
        <v>282</v>
      </c>
      <c r="J329" s="346">
        <f t="shared" ref="J329:M329" si="63">PARAMS(J328)</f>
        <v>128</v>
      </c>
      <c r="K329" s="345">
        <f t="shared" si="63"/>
        <v>1</v>
      </c>
      <c r="L329" s="345">
        <f t="shared" si="63"/>
        <v>128</v>
      </c>
      <c r="M329" s="345">
        <f t="shared" si="63"/>
        <v>128</v>
      </c>
      <c r="N329" s="345" t="s">
        <v>283</v>
      </c>
      <c r="O329" s="347"/>
      <c r="P329" s="348">
        <f>SIZEOF_IN_MIB(J329:M329, $O328)</f>
        <v>2</v>
      </c>
      <c r="Q329" s="347"/>
    </row>
    <row r="330">
      <c r="E330" s="341"/>
      <c r="F330" s="342"/>
      <c r="G330" s="343"/>
      <c r="H330" s="349" t="s">
        <v>287</v>
      </c>
      <c r="I330" s="349" t="s">
        <v>282</v>
      </c>
      <c r="J330" s="337" t="s">
        <v>196</v>
      </c>
      <c r="K330" s="337"/>
      <c r="L330" s="337"/>
      <c r="M330" s="349"/>
      <c r="N330" s="349" t="s">
        <v>283</v>
      </c>
      <c r="O330" s="350"/>
      <c r="P330" s="351"/>
      <c r="Q330" s="350"/>
    </row>
    <row r="331">
      <c r="E331" s="341"/>
      <c r="F331" s="353"/>
      <c r="G331" s="354"/>
      <c r="H331" s="344" t="s">
        <v>289</v>
      </c>
      <c r="I331" s="346" t="s">
        <v>282</v>
      </c>
      <c r="J331" s="346">
        <f t="shared" ref="J331:M331" si="64">J329/SHARDING(J330)</f>
        <v>16</v>
      </c>
      <c r="K331" s="346">
        <f t="shared" si="64"/>
        <v>1</v>
      </c>
      <c r="L331" s="346">
        <f t="shared" si="64"/>
        <v>128</v>
      </c>
      <c r="M331" s="346">
        <f t="shared" si="64"/>
        <v>128</v>
      </c>
      <c r="N331" s="346" t="s">
        <v>283</v>
      </c>
      <c r="O331" s="355"/>
      <c r="P331" s="348">
        <f>SIZEOF_IN_MIB(J331:M331, $O328)</f>
        <v>0.25</v>
      </c>
      <c r="Q331" s="355"/>
    </row>
    <row r="332">
      <c r="E332" s="341"/>
      <c r="F332" s="334" t="s">
        <v>296</v>
      </c>
      <c r="G332" s="335"/>
      <c r="H332" s="349" t="s">
        <v>281</v>
      </c>
      <c r="I332" s="349" t="s">
        <v>282</v>
      </c>
      <c r="J332" s="336"/>
      <c r="K332" s="499" t="s">
        <v>207</v>
      </c>
      <c r="L332" s="499" t="s">
        <v>201</v>
      </c>
      <c r="M332" s="337" t="s">
        <v>178</v>
      </c>
      <c r="N332" s="349" t="s">
        <v>283</v>
      </c>
      <c r="O332" s="338" t="str">
        <f>EXTRACT_WEIGHT_DTYPE(PARAMS("attn_oproj_dtype"))</f>
        <v>fp8</v>
      </c>
      <c r="P332" s="351"/>
      <c r="Q332" s="338" t="b">
        <v>0</v>
      </c>
    </row>
    <row r="333">
      <c r="E333" s="341"/>
      <c r="F333" s="342"/>
      <c r="G333" s="343"/>
      <c r="H333" s="344" t="s">
        <v>285</v>
      </c>
      <c r="I333" s="346" t="s">
        <v>282</v>
      </c>
      <c r="J333" s="345"/>
      <c r="K333" s="346">
        <f t="shared" ref="K333:M333" si="65">PARAMS(K332)</f>
        <v>128</v>
      </c>
      <c r="L333" s="346">
        <f t="shared" si="65"/>
        <v>128</v>
      </c>
      <c r="M333" s="346">
        <f t="shared" si="65"/>
        <v>7168</v>
      </c>
      <c r="N333" s="346" t="s">
        <v>283</v>
      </c>
      <c r="O333" s="347"/>
      <c r="P333" s="348">
        <f>SIZEOF_IN_MIB(J333:M333, $O332)</f>
        <v>112</v>
      </c>
      <c r="Q333" s="347"/>
    </row>
    <row r="334">
      <c r="E334" s="341"/>
      <c r="F334" s="342"/>
      <c r="G334" s="343"/>
      <c r="H334" s="349" t="s">
        <v>287</v>
      </c>
      <c r="I334" s="349" t="s">
        <v>282</v>
      </c>
      <c r="J334" s="336"/>
      <c r="K334" s="336"/>
      <c r="L334" s="349"/>
      <c r="M334" s="349"/>
      <c r="N334" s="349" t="s">
        <v>283</v>
      </c>
      <c r="O334" s="350"/>
      <c r="P334" s="351"/>
      <c r="Q334" s="350"/>
    </row>
    <row r="335">
      <c r="E335" s="341"/>
      <c r="F335" s="353"/>
      <c r="G335" s="354"/>
      <c r="H335" s="346" t="s">
        <v>289</v>
      </c>
      <c r="I335" s="346" t="s">
        <v>282</v>
      </c>
      <c r="J335" s="345"/>
      <c r="K335" s="346">
        <f t="shared" ref="K335:M335" si="66">K333/SHARDING(K334)</f>
        <v>128</v>
      </c>
      <c r="L335" s="346">
        <f t="shared" si="66"/>
        <v>128</v>
      </c>
      <c r="M335" s="346">
        <f t="shared" si="66"/>
        <v>7168</v>
      </c>
      <c r="N335" s="346" t="s">
        <v>283</v>
      </c>
      <c r="O335" s="355"/>
      <c r="P335" s="348">
        <f>SIZEOF_IN_MIB(J335:M335, $O332)</f>
        <v>112</v>
      </c>
      <c r="Q335" s="355"/>
    </row>
    <row r="336">
      <c r="E336" s="341"/>
      <c r="F336" s="334" t="s">
        <v>56</v>
      </c>
      <c r="G336" s="335"/>
      <c r="H336" s="349" t="s">
        <v>281</v>
      </c>
      <c r="I336" s="349" t="s">
        <v>282</v>
      </c>
      <c r="J336" s="336"/>
      <c r="K336" s="337" t="s">
        <v>104</v>
      </c>
      <c r="L336" s="337" t="s">
        <v>102</v>
      </c>
      <c r="M336" s="337" t="s">
        <v>178</v>
      </c>
      <c r="N336" s="349" t="s">
        <v>283</v>
      </c>
      <c r="O336" s="338" t="s">
        <v>133</v>
      </c>
      <c r="P336" s="351"/>
      <c r="Q336" s="338" t="b">
        <v>0</v>
      </c>
    </row>
    <row r="337">
      <c r="E337" s="341"/>
      <c r="F337" s="342"/>
      <c r="G337" s="343"/>
      <c r="H337" s="344" t="s">
        <v>285</v>
      </c>
      <c r="I337" s="346" t="s">
        <v>282</v>
      </c>
      <c r="J337" s="345"/>
      <c r="K337" s="346">
        <f t="shared" ref="K337:M337" si="67">PARAMS(K336)</f>
        <v>128</v>
      </c>
      <c r="L337" s="346">
        <f t="shared" si="67"/>
        <v>1</v>
      </c>
      <c r="M337" s="346">
        <f t="shared" si="67"/>
        <v>7168</v>
      </c>
      <c r="N337" s="346" t="s">
        <v>283</v>
      </c>
      <c r="O337" s="347"/>
      <c r="P337" s="348">
        <f>SIZEOF_IN_MIB(K337:M337, $O336)</f>
        <v>1.75</v>
      </c>
      <c r="Q337" s="347"/>
    </row>
    <row r="338">
      <c r="E338" s="341"/>
      <c r="F338" s="342"/>
      <c r="G338" s="343"/>
      <c r="H338" s="349" t="s">
        <v>287</v>
      </c>
      <c r="I338" s="349" t="s">
        <v>282</v>
      </c>
      <c r="J338" s="336"/>
      <c r="K338" s="337" t="s">
        <v>196</v>
      </c>
      <c r="L338" s="337"/>
      <c r="M338" s="349"/>
      <c r="N338" s="349" t="s">
        <v>283</v>
      </c>
      <c r="O338" s="350"/>
      <c r="P338" s="351"/>
      <c r="Q338" s="350"/>
    </row>
    <row r="339">
      <c r="E339" s="341"/>
      <c r="F339" s="353"/>
      <c r="G339" s="354"/>
      <c r="H339" s="346" t="s">
        <v>289</v>
      </c>
      <c r="I339" s="346" t="s">
        <v>282</v>
      </c>
      <c r="J339" s="346"/>
      <c r="K339" s="346">
        <f t="shared" ref="K339:M339" si="68">K337/SHARDING(K338)</f>
        <v>16</v>
      </c>
      <c r="L339" s="346">
        <f t="shared" si="68"/>
        <v>1</v>
      </c>
      <c r="M339" s="346">
        <f t="shared" si="68"/>
        <v>7168</v>
      </c>
      <c r="N339" s="346" t="s">
        <v>283</v>
      </c>
      <c r="O339" s="355"/>
      <c r="P339" s="348">
        <f>SIZEOF_IN_MIB(K339:M339, $O336)</f>
        <v>0.21875</v>
      </c>
      <c r="Q339" s="355"/>
    </row>
    <row r="340">
      <c r="E340" s="341"/>
      <c r="F340" s="474" t="s">
        <v>335</v>
      </c>
      <c r="G340" s="423" t="s">
        <v>356</v>
      </c>
      <c r="H340" s="424"/>
      <c r="I340" s="382"/>
      <c r="J340" s="574" t="s">
        <v>357</v>
      </c>
      <c r="K340" s="382"/>
      <c r="L340" s="383"/>
      <c r="M340" s="383"/>
      <c r="N340" s="383"/>
      <c r="O340" s="382"/>
      <c r="P340" s="384"/>
      <c r="Q340" s="382"/>
    </row>
    <row r="341">
      <c r="E341" s="341"/>
      <c r="F341" s="341"/>
      <c r="G341" s="426" t="s">
        <v>319</v>
      </c>
      <c r="H341" s="575" t="s">
        <v>97</v>
      </c>
      <c r="I341" s="482"/>
      <c r="J341" s="555"/>
      <c r="K341" s="387"/>
      <c r="L341" s="388"/>
      <c r="M341" s="388"/>
      <c r="N341" s="388"/>
      <c r="O341" s="387"/>
      <c r="P341" s="389"/>
      <c r="Q341" s="387"/>
    </row>
    <row r="342">
      <c r="E342" s="341"/>
      <c r="F342" s="341"/>
      <c r="G342" s="432" t="s">
        <v>320</v>
      </c>
      <c r="H342" s="576" t="s">
        <v>358</v>
      </c>
      <c r="I342" s="479"/>
      <c r="J342" s="558">
        <f>SHARDING(H341)</f>
        <v>8</v>
      </c>
      <c r="K342" s="391"/>
      <c r="L342" s="392"/>
      <c r="M342" s="392"/>
      <c r="N342" s="392"/>
      <c r="O342" s="391"/>
      <c r="P342" s="393"/>
      <c r="Q342" s="391"/>
    </row>
    <row r="343">
      <c r="E343" s="341"/>
      <c r="F343" s="341"/>
      <c r="G343" s="341"/>
      <c r="H343" s="481" t="s">
        <v>307</v>
      </c>
      <c r="I343" s="482"/>
      <c r="J343" s="395">
        <f>P331 * (J342-1)</f>
        <v>1.75</v>
      </c>
      <c r="K343" s="387"/>
      <c r="L343" s="388"/>
      <c r="M343" s="388"/>
      <c r="N343" s="388"/>
      <c r="O343" s="387"/>
      <c r="P343" s="389"/>
      <c r="Q343" s="387"/>
    </row>
    <row r="344">
      <c r="E344" s="341"/>
      <c r="F344" s="341"/>
      <c r="G344" s="341"/>
      <c r="H344" s="485" t="s">
        <v>308</v>
      </c>
      <c r="I344" s="479"/>
      <c r="J344" s="390">
        <f>J343*J342</f>
        <v>14</v>
      </c>
      <c r="K344" s="391"/>
      <c r="L344" s="392"/>
      <c r="M344" s="392"/>
      <c r="N344" s="392"/>
      <c r="O344" s="391"/>
      <c r="P344" s="393"/>
      <c r="Q344" s="391"/>
    </row>
    <row r="345">
      <c r="E345" s="341"/>
      <c r="F345" s="341"/>
      <c r="G345" s="352"/>
      <c r="H345" s="481" t="s">
        <v>311</v>
      </c>
      <c r="I345" s="482"/>
      <c r="J345" s="560">
        <f>ALL_GATHER_CORE2CORE_TIME_MS(J344)</f>
        <v>0.007595486111</v>
      </c>
      <c r="K345" s="387"/>
      <c r="L345" s="388"/>
      <c r="M345" s="388"/>
      <c r="N345" s="388"/>
      <c r="O345" s="387"/>
      <c r="P345" s="389"/>
      <c r="Q345" s="387"/>
    </row>
    <row r="346">
      <c r="E346" s="341"/>
      <c r="F346" s="341"/>
      <c r="G346" s="487" t="s">
        <v>340</v>
      </c>
      <c r="H346" s="577">
        <f>J345</f>
        <v>0.007595486111</v>
      </c>
      <c r="I346" s="562"/>
      <c r="J346" s="404"/>
      <c r="K346" s="404"/>
      <c r="L346" s="405"/>
      <c r="M346" s="405"/>
      <c r="N346" s="405"/>
      <c r="O346" s="404"/>
      <c r="P346" s="480"/>
      <c r="Q346" s="391"/>
    </row>
    <row r="347">
      <c r="E347" s="341"/>
      <c r="F347" s="341"/>
      <c r="G347" s="459"/>
      <c r="H347" s="346"/>
      <c r="I347" s="493"/>
      <c r="J347" s="345"/>
      <c r="K347" s="345"/>
      <c r="L347" s="346"/>
      <c r="M347" s="346"/>
      <c r="N347" s="346"/>
      <c r="O347" s="345"/>
      <c r="P347" s="578"/>
      <c r="Q347" s="379"/>
    </row>
    <row r="348">
      <c r="E348" s="341"/>
      <c r="F348" s="341"/>
      <c r="G348" s="579" t="s">
        <v>322</v>
      </c>
      <c r="H348" s="580" t="s">
        <v>323</v>
      </c>
      <c r="I348" s="581"/>
      <c r="J348" s="448"/>
      <c r="K348" s="448"/>
      <c r="L348" s="449"/>
      <c r="M348" s="449"/>
      <c r="N348" s="449"/>
      <c r="O348" s="448"/>
      <c r="P348" s="582"/>
      <c r="Q348" s="572"/>
    </row>
    <row r="349">
      <c r="E349" s="341"/>
      <c r="F349" s="352"/>
      <c r="G349" s="579" t="s">
        <v>340</v>
      </c>
      <c r="H349" s="583">
        <f>IF(G340=H348,H346,0)</f>
        <v>0</v>
      </c>
      <c r="I349" s="581"/>
      <c r="J349" s="448"/>
      <c r="K349" s="448"/>
      <c r="L349" s="449"/>
      <c r="M349" s="449"/>
      <c r="N349" s="449"/>
      <c r="O349" s="448"/>
      <c r="P349" s="582"/>
      <c r="Q349" s="572"/>
    </row>
    <row r="350">
      <c r="E350" s="341"/>
      <c r="F350" s="458" t="s">
        <v>327</v>
      </c>
      <c r="G350" s="459" t="s">
        <v>328</v>
      </c>
      <c r="H350" s="349" t="str">
        <f>VLOOKUP(O328&amp;","&amp;O332,$T$3:$W$12,4, FALSE)</f>
        <v>fp8</v>
      </c>
      <c r="I350" s="492"/>
      <c r="J350" s="336"/>
      <c r="K350" s="336"/>
      <c r="L350" s="349"/>
      <c r="M350" s="349"/>
      <c r="N350" s="349"/>
      <c r="O350" s="336"/>
      <c r="P350" s="339"/>
      <c r="Q350" s="298"/>
    </row>
    <row r="351">
      <c r="E351" s="341"/>
      <c r="F351" s="341"/>
      <c r="G351" s="455" t="s">
        <v>341</v>
      </c>
      <c r="H351" s="550">
        <f>CALCULATE_FLOPS(J331:M331,J335:M335,K335:L335,1,H350)</f>
        <v>3758096384</v>
      </c>
      <c r="I351" s="584" t="s">
        <v>359</v>
      </c>
      <c r="J351" s="345"/>
      <c r="K351" s="345"/>
      <c r="L351" s="346"/>
      <c r="M351" s="346"/>
      <c r="N351" s="346"/>
      <c r="O351" s="345"/>
      <c r="P351" s="578"/>
      <c r="Q351" s="379"/>
    </row>
    <row r="352">
      <c r="E352" s="341"/>
      <c r="F352" s="352"/>
      <c r="G352" s="462" t="s">
        <v>330</v>
      </c>
      <c r="H352" s="585">
        <f>COMPUTE_TIME_MS(H351, H350)</f>
        <v>0.001002159036</v>
      </c>
      <c r="I352" s="464"/>
      <c r="J352" s="465"/>
      <c r="K352" s="465"/>
      <c r="L352" s="466"/>
      <c r="M352" s="466"/>
      <c r="N352" s="466"/>
      <c r="O352" s="465"/>
      <c r="P352" s="586"/>
      <c r="Q352" s="298"/>
    </row>
    <row r="353">
      <c r="E353" s="341"/>
      <c r="F353" s="458" t="s">
        <v>331</v>
      </c>
      <c r="G353" s="455" t="s">
        <v>332</v>
      </c>
      <c r="H353" s="509">
        <f>IF(Q328,0,P331)+IF(Q332,0,P335)+IF(Q336,0,P339)</f>
        <v>112.46875</v>
      </c>
      <c r="I353" s="345"/>
      <c r="J353" s="345"/>
      <c r="K353" s="345"/>
      <c r="L353" s="346"/>
      <c r="M353" s="346"/>
      <c r="N353" s="346"/>
      <c r="O353" s="345"/>
      <c r="P353" s="578"/>
      <c r="Q353" s="379"/>
    </row>
    <row r="354">
      <c r="E354" s="352"/>
      <c r="F354" s="352"/>
      <c r="G354" s="469" t="s">
        <v>333</v>
      </c>
      <c r="H354" s="547">
        <f>HBM_TIME_MS(H353)</f>
        <v>0.01525455051</v>
      </c>
      <c r="I354" s="465"/>
      <c r="J354" s="465"/>
      <c r="K354" s="465"/>
      <c r="L354" s="466"/>
      <c r="M354" s="466"/>
      <c r="N354" s="466"/>
      <c r="O354" s="465"/>
      <c r="P354" s="586"/>
      <c r="Q354" s="11"/>
    </row>
    <row r="358">
      <c r="E358" s="281" t="s">
        <v>360</v>
      </c>
    </row>
    <row r="359">
      <c r="E359" s="324" t="s">
        <v>272</v>
      </c>
      <c r="F359" s="587" t="s">
        <v>273</v>
      </c>
      <c r="G359" s="326"/>
      <c r="H359" s="588"/>
      <c r="I359" s="325" t="s">
        <v>274</v>
      </c>
      <c r="J359" s="589"/>
      <c r="K359" s="589"/>
      <c r="L359" s="589"/>
      <c r="M359" s="589"/>
      <c r="N359" s="588"/>
      <c r="O359" s="328" t="s">
        <v>275</v>
      </c>
      <c r="P359" s="328" t="s">
        <v>361</v>
      </c>
      <c r="Q359" s="330" t="s">
        <v>277</v>
      </c>
    </row>
    <row r="360">
      <c r="E360" s="333" t="s">
        <v>362</v>
      </c>
      <c r="F360" s="590" t="s">
        <v>335</v>
      </c>
      <c r="G360" s="591" t="s">
        <v>363</v>
      </c>
      <c r="H360" s="592" t="s">
        <v>364</v>
      </c>
      <c r="I360" s="448"/>
      <c r="J360" s="448"/>
      <c r="K360" s="553"/>
      <c r="L360" s="553"/>
      <c r="M360" s="593"/>
      <c r="N360" s="448"/>
      <c r="O360" s="553"/>
      <c r="P360" s="448"/>
      <c r="Q360" s="553"/>
    </row>
    <row r="361">
      <c r="E361" s="341"/>
      <c r="F361" s="341"/>
      <c r="G361" s="371" t="s">
        <v>301</v>
      </c>
      <c r="H361" s="531" t="s">
        <v>281</v>
      </c>
      <c r="I361" s="336" t="s">
        <v>282</v>
      </c>
      <c r="J361" s="336"/>
      <c r="K361" s="337" t="s">
        <v>104</v>
      </c>
      <c r="L361" s="337" t="s">
        <v>212</v>
      </c>
      <c r="M361" s="358" t="s">
        <v>178</v>
      </c>
      <c r="N361" s="336" t="s">
        <v>283</v>
      </c>
      <c r="O361" s="338" t="str">
        <f>PARAMS("expert_dispatch_dtype")</f>
        <v>fp8</v>
      </c>
      <c r="P361" s="336"/>
      <c r="Q361" s="338"/>
    </row>
    <row r="362">
      <c r="E362" s="341"/>
      <c r="F362" s="341"/>
      <c r="G362" s="341"/>
      <c r="H362" s="378" t="s">
        <v>285</v>
      </c>
      <c r="I362" s="345" t="s">
        <v>282</v>
      </c>
      <c r="J362" s="346"/>
      <c r="K362" s="345">
        <f t="shared" ref="K362:M362" si="69">PARAMS(K361)</f>
        <v>128</v>
      </c>
      <c r="L362" s="345">
        <f t="shared" si="69"/>
        <v>4</v>
      </c>
      <c r="M362" s="345">
        <f t="shared" si="69"/>
        <v>7168</v>
      </c>
      <c r="N362" s="345" t="s">
        <v>283</v>
      </c>
      <c r="O362" s="347"/>
      <c r="P362" s="509">
        <f>SIZEOF_IN_MIB(J362:M362, O361)</f>
        <v>3.5</v>
      </c>
      <c r="Q362" s="347"/>
    </row>
    <row r="363">
      <c r="E363" s="341"/>
      <c r="F363" s="341"/>
      <c r="G363" s="341"/>
      <c r="H363" s="376" t="s">
        <v>302</v>
      </c>
      <c r="I363" s="349" t="s">
        <v>282</v>
      </c>
      <c r="J363" s="336"/>
      <c r="K363" s="337" t="s">
        <v>196</v>
      </c>
      <c r="L363" s="337"/>
      <c r="M363" s="337"/>
      <c r="N363" s="349" t="s">
        <v>283</v>
      </c>
      <c r="O363" s="350"/>
      <c r="P363" s="377"/>
      <c r="Q363" s="350"/>
    </row>
    <row r="364">
      <c r="E364" s="341"/>
      <c r="F364" s="341"/>
      <c r="G364" s="341"/>
      <c r="H364" s="378" t="s">
        <v>303</v>
      </c>
      <c r="I364" s="346" t="s">
        <v>282</v>
      </c>
      <c r="J364" s="345"/>
      <c r="K364" s="346">
        <f t="shared" ref="K364:M364" si="70">K362/SHARDING(K363)</f>
        <v>16</v>
      </c>
      <c r="L364" s="346">
        <f t="shared" si="70"/>
        <v>4</v>
      </c>
      <c r="M364" s="346">
        <f t="shared" si="70"/>
        <v>7168</v>
      </c>
      <c r="N364" s="344" t="s">
        <v>283</v>
      </c>
      <c r="O364" s="347"/>
      <c r="P364" s="509"/>
      <c r="Q364" s="347"/>
    </row>
    <row r="365">
      <c r="E365" s="341"/>
      <c r="F365" s="341"/>
      <c r="G365" s="352"/>
      <c r="H365" s="376" t="s">
        <v>304</v>
      </c>
      <c r="I365" s="349" t="s">
        <v>282</v>
      </c>
      <c r="J365" s="336"/>
      <c r="K365" s="337" t="s">
        <v>196</v>
      </c>
      <c r="L365" s="337"/>
      <c r="M365" s="337"/>
      <c r="N365" s="349" t="s">
        <v>283</v>
      </c>
      <c r="O365" s="316"/>
      <c r="P365" s="377">
        <f>SIZEOF_IN_MIB(J364:M364, O361)</f>
        <v>0.4375</v>
      </c>
      <c r="Q365" s="316"/>
    </row>
    <row r="366">
      <c r="E366" s="341"/>
      <c r="F366" s="341"/>
      <c r="G366" s="594" t="s">
        <v>365</v>
      </c>
      <c r="H366" s="595">
        <f>vlookup(SHARDING(K363)*SHARDING(L363)/HW_SPEC("# of TensorCore per Chip"), DB!$A$26:$D$31, 3, FALSE)</f>
        <v>4</v>
      </c>
      <c r="I366" s="379"/>
      <c r="J366" s="379"/>
      <c r="K366" s="379"/>
      <c r="L366" s="379"/>
      <c r="M366" s="379"/>
      <c r="N366" s="379"/>
      <c r="O366" s="379"/>
      <c r="P366" s="596"/>
      <c r="Q366" s="379"/>
    </row>
    <row r="367">
      <c r="E367" s="341"/>
      <c r="F367" s="341"/>
      <c r="G367" s="594" t="s">
        <v>366</v>
      </c>
      <c r="H367" s="597">
        <f>COLLECTIVE_TIME_GPU("GB200", "ALL_TO_ALL", SHARDING(K363)*SHARDING(L363), P365*1024*1024)/1000</f>
        <v>0.01636</v>
      </c>
      <c r="I367" s="298"/>
      <c r="J367" s="298"/>
      <c r="K367" s="298"/>
      <c r="L367" s="298"/>
      <c r="M367" s="298"/>
      <c r="N367" s="298"/>
      <c r="O367" s="298"/>
      <c r="P367" s="598"/>
      <c r="Q367" s="298"/>
    </row>
    <row r="368">
      <c r="E368" s="341"/>
      <c r="F368" s="341"/>
      <c r="G368" s="599" t="s">
        <v>367</v>
      </c>
      <c r="H368" s="600">
        <f>IF(PARAMS("use_nccl_lookup")=TRUE, H367, ALL2ALL_CHIP2CHIP_TIME_MS(P362, H366))</f>
        <v>0.01636</v>
      </c>
      <c r="I368" s="379"/>
      <c r="J368" s="379"/>
      <c r="K368" s="379"/>
      <c r="L368" s="379"/>
      <c r="M368" s="379"/>
      <c r="N368" s="379"/>
      <c r="O368" s="379"/>
      <c r="P368" s="596"/>
      <c r="Q368" s="379"/>
    </row>
    <row r="369">
      <c r="E369" s="341"/>
      <c r="F369" s="341"/>
      <c r="G369" s="601"/>
      <c r="H369" s="602"/>
      <c r="I369" s="349"/>
      <c r="J369" s="336"/>
      <c r="K369" s="337"/>
      <c r="L369" s="499"/>
      <c r="M369" s="337"/>
      <c r="N369" s="349"/>
      <c r="O369" s="337"/>
      <c r="P369" s="377"/>
      <c r="Q369" s="337"/>
    </row>
    <row r="370">
      <c r="E370" s="341"/>
      <c r="F370" s="341"/>
      <c r="G370" s="591" t="s">
        <v>368</v>
      </c>
      <c r="H370" s="603" t="s">
        <v>369</v>
      </c>
      <c r="I370" s="449"/>
      <c r="J370" s="448"/>
      <c r="K370" s="553"/>
      <c r="L370" s="446"/>
      <c r="M370" s="553"/>
      <c r="N370" s="449"/>
      <c r="O370" s="553"/>
      <c r="P370" s="604"/>
      <c r="Q370" s="553"/>
    </row>
    <row r="371">
      <c r="E371" s="341"/>
      <c r="F371" s="341"/>
      <c r="G371" s="371" t="s">
        <v>301</v>
      </c>
      <c r="H371" s="602" t="s">
        <v>281</v>
      </c>
      <c r="I371" s="349" t="s">
        <v>282</v>
      </c>
      <c r="J371" s="336"/>
      <c r="K371" s="337" t="s">
        <v>104</v>
      </c>
      <c r="L371" s="499" t="s">
        <v>102</v>
      </c>
      <c r="M371" s="337" t="s">
        <v>178</v>
      </c>
      <c r="N371" s="349" t="s">
        <v>283</v>
      </c>
      <c r="O371" s="338" t="str">
        <f>PARAMS("expert_dispatch_dtype")</f>
        <v>fp8</v>
      </c>
      <c r="P371" s="377"/>
      <c r="Q371" s="338"/>
    </row>
    <row r="372">
      <c r="E372" s="341"/>
      <c r="F372" s="341"/>
      <c r="G372" s="341"/>
      <c r="H372" s="378" t="s">
        <v>285</v>
      </c>
      <c r="I372" s="346" t="s">
        <v>282</v>
      </c>
      <c r="J372" s="345"/>
      <c r="K372" s="346">
        <f t="shared" ref="K372:M372" si="71">PARAMS(K371)</f>
        <v>128</v>
      </c>
      <c r="L372" s="346">
        <f t="shared" si="71"/>
        <v>1</v>
      </c>
      <c r="M372" s="346">
        <f t="shared" si="71"/>
        <v>7168</v>
      </c>
      <c r="N372" s="346" t="s">
        <v>283</v>
      </c>
      <c r="O372" s="347"/>
      <c r="P372" s="509">
        <f>SIZEOF_IN_MIB(J372:M372, O371)</f>
        <v>0.875</v>
      </c>
      <c r="Q372" s="347"/>
    </row>
    <row r="373">
      <c r="E373" s="341"/>
      <c r="F373" s="341"/>
      <c r="G373" s="341"/>
      <c r="H373" s="376" t="s">
        <v>302</v>
      </c>
      <c r="I373" s="349" t="s">
        <v>282</v>
      </c>
      <c r="J373" s="336"/>
      <c r="K373" s="337" t="s">
        <v>196</v>
      </c>
      <c r="L373" s="337"/>
      <c r="M373" s="337"/>
      <c r="N373" s="349" t="s">
        <v>283</v>
      </c>
      <c r="O373" s="350"/>
      <c r="P373" s="377"/>
      <c r="Q373" s="350"/>
    </row>
    <row r="374">
      <c r="E374" s="341"/>
      <c r="F374" s="341"/>
      <c r="G374" s="341"/>
      <c r="H374" s="517" t="s">
        <v>289</v>
      </c>
      <c r="I374" s="346" t="s">
        <v>282</v>
      </c>
      <c r="J374" s="345"/>
      <c r="K374" s="346">
        <f t="shared" ref="K374:M374" si="72">K372/SHARDING(K373)</f>
        <v>16</v>
      </c>
      <c r="L374" s="346">
        <f t="shared" si="72"/>
        <v>1</v>
      </c>
      <c r="M374" s="346">
        <f t="shared" si="72"/>
        <v>7168</v>
      </c>
      <c r="N374" s="346" t="s">
        <v>283</v>
      </c>
      <c r="O374" s="347"/>
      <c r="P374" s="509">
        <f>SIZEOF_IN_MIB(J374:M374, O371)</f>
        <v>0.109375</v>
      </c>
      <c r="Q374" s="355"/>
    </row>
    <row r="375">
      <c r="E375" s="341"/>
      <c r="F375" s="341"/>
      <c r="G375" s="352"/>
      <c r="H375" s="605" t="s">
        <v>304</v>
      </c>
      <c r="I375" s="349" t="s">
        <v>282</v>
      </c>
      <c r="J375" s="298"/>
      <c r="K375" s="298"/>
      <c r="L375" s="298"/>
      <c r="M375" s="337"/>
      <c r="N375" s="349" t="s">
        <v>283</v>
      </c>
      <c r="O375" s="316"/>
      <c r="P375" s="598"/>
      <c r="Q375" s="298"/>
    </row>
    <row r="376">
      <c r="E376" s="341"/>
      <c r="F376" s="341"/>
      <c r="G376" s="385" t="s">
        <v>306</v>
      </c>
      <c r="H376" s="386">
        <f>SHARDING(K373)*SHARDING(L373)</f>
        <v>8</v>
      </c>
      <c r="I376" s="379"/>
      <c r="J376" s="379"/>
      <c r="K376" s="379"/>
      <c r="L376" s="379"/>
      <c r="M376" s="379"/>
      <c r="N376" s="379"/>
      <c r="O376" s="379"/>
      <c r="P376" s="596"/>
      <c r="Q376" s="379"/>
    </row>
    <row r="377">
      <c r="E377" s="341"/>
      <c r="F377" s="341"/>
      <c r="G377" s="385" t="s">
        <v>307</v>
      </c>
      <c r="H377" s="390">
        <f>P374 * (H376-1)</f>
        <v>0.765625</v>
      </c>
      <c r="I377" s="298"/>
      <c r="J377" s="298"/>
      <c r="K377" s="298"/>
      <c r="L377" s="298"/>
      <c r="M377" s="298"/>
      <c r="N377" s="298"/>
      <c r="O377" s="298"/>
      <c r="P377" s="598"/>
      <c r="Q377" s="298"/>
    </row>
    <row r="378">
      <c r="E378" s="341"/>
      <c r="F378" s="341"/>
      <c r="G378" s="394" t="s">
        <v>308</v>
      </c>
      <c r="H378" s="395">
        <f>H377*H376</f>
        <v>6.125</v>
      </c>
      <c r="I378" s="346"/>
      <c r="J378" s="345"/>
      <c r="K378" s="345"/>
      <c r="L378" s="344"/>
      <c r="M378" s="346"/>
      <c r="N378" s="346"/>
      <c r="O378" s="344"/>
      <c r="P378" s="509"/>
      <c r="Q378" s="344"/>
    </row>
    <row r="379">
      <c r="E379" s="341"/>
      <c r="F379" s="341"/>
      <c r="G379" s="396" t="s">
        <v>309</v>
      </c>
      <c r="H379" s="397">
        <f>IFS(H376=8,12,
H376=4,4,
H376=2,1,
H376=1,0,
TRUE,NA())</f>
        <v>12</v>
      </c>
      <c r="I379" s="349"/>
      <c r="J379" s="336"/>
      <c r="K379" s="336"/>
      <c r="L379" s="337"/>
      <c r="M379" s="349"/>
      <c r="N379" s="349"/>
      <c r="O379" s="337"/>
      <c r="P379" s="377"/>
      <c r="Q379" s="337"/>
    </row>
    <row r="380">
      <c r="E380" s="341"/>
      <c r="F380" s="341"/>
      <c r="G380" s="9" t="s">
        <v>310</v>
      </c>
      <c r="H380" s="606">
        <v>1.0</v>
      </c>
      <c r="I380" s="346"/>
      <c r="J380" s="345"/>
      <c r="K380" s="345"/>
      <c r="L380" s="344"/>
      <c r="M380" s="346"/>
      <c r="N380" s="346"/>
      <c r="O380" s="344"/>
      <c r="P380" s="509"/>
      <c r="Q380" s="344"/>
    </row>
    <row r="381">
      <c r="E381" s="341"/>
      <c r="F381" s="341"/>
      <c r="G381" s="385" t="s">
        <v>370</v>
      </c>
      <c r="H381" s="607">
        <f>COLLECTIVE_TIME_GPU("GB200", "ALL_GATHER", H376, P372*1024*1024)/1000</f>
        <v>0.022405</v>
      </c>
      <c r="I381" s="349"/>
      <c r="J381" s="336"/>
      <c r="K381" s="336"/>
      <c r="L381" s="337"/>
      <c r="M381" s="349"/>
      <c r="N381" s="349"/>
      <c r="O381" s="337"/>
      <c r="P381" s="377"/>
      <c r="Q381" s="337"/>
    </row>
    <row r="382">
      <c r="E382" s="341"/>
      <c r="F382" s="341"/>
      <c r="G382" s="402" t="s">
        <v>311</v>
      </c>
      <c r="H382" s="608">
        <f>IF(PARAMS("use_nccl_lookup")=TRUE, H381, ALL_GATHER_CHIP2CHIP_TIME_MS2(H378 * H380, H379))</f>
        <v>0.022405</v>
      </c>
      <c r="I382" s="346"/>
      <c r="J382" s="345"/>
      <c r="K382" s="345"/>
      <c r="L382" s="344"/>
      <c r="M382" s="346"/>
      <c r="N382" s="346"/>
      <c r="O382" s="344"/>
      <c r="P382" s="509"/>
      <c r="Q382" s="344"/>
    </row>
    <row r="383">
      <c r="E383" s="341"/>
      <c r="F383" s="341"/>
      <c r="G383" s="601"/>
      <c r="H383" s="602"/>
      <c r="I383" s="349"/>
      <c r="J383" s="336"/>
      <c r="K383" s="337"/>
      <c r="L383" s="499"/>
      <c r="M383" s="337"/>
      <c r="N383" s="349"/>
      <c r="O383" s="337"/>
      <c r="P383" s="377"/>
      <c r="Q383" s="337"/>
    </row>
    <row r="384">
      <c r="E384" s="341"/>
      <c r="F384" s="341"/>
      <c r="G384" s="591" t="s">
        <v>117</v>
      </c>
      <c r="H384" s="592" t="s">
        <v>371</v>
      </c>
      <c r="I384" s="449"/>
      <c r="J384" s="448"/>
      <c r="K384" s="553"/>
      <c r="L384" s="446"/>
      <c r="M384" s="553"/>
      <c r="N384" s="449"/>
      <c r="O384" s="553"/>
      <c r="P384" s="604"/>
      <c r="Q384" s="553"/>
    </row>
    <row r="385">
      <c r="E385" s="341"/>
      <c r="F385" s="341"/>
      <c r="G385" s="609" t="s">
        <v>301</v>
      </c>
      <c r="H385" s="602" t="s">
        <v>281</v>
      </c>
      <c r="I385" s="349" t="s">
        <v>282</v>
      </c>
      <c r="J385" s="336"/>
      <c r="K385" s="337" t="s">
        <v>104</v>
      </c>
      <c r="L385" s="499" t="s">
        <v>102</v>
      </c>
      <c r="M385" s="337" t="s">
        <v>178</v>
      </c>
      <c r="N385" s="349" t="s">
        <v>283</v>
      </c>
      <c r="O385" s="338" t="str">
        <f>PARAMS("expert_dispatch_dtype")</f>
        <v>fp8</v>
      </c>
      <c r="P385" s="377"/>
      <c r="Q385" s="337"/>
    </row>
    <row r="386">
      <c r="E386" s="341"/>
      <c r="F386" s="341"/>
      <c r="G386" s="341"/>
      <c r="H386" s="378" t="s">
        <v>285</v>
      </c>
      <c r="I386" s="346" t="s">
        <v>282</v>
      </c>
      <c r="J386" s="345"/>
      <c r="K386" s="346">
        <f t="shared" ref="K386:M386" si="73">PARAMS(K385)</f>
        <v>128</v>
      </c>
      <c r="L386" s="346">
        <f t="shared" si="73"/>
        <v>1</v>
      </c>
      <c r="M386" s="346">
        <f t="shared" si="73"/>
        <v>7168</v>
      </c>
      <c r="N386" s="346" t="s">
        <v>283</v>
      </c>
      <c r="O386" s="347"/>
      <c r="P386" s="509">
        <f>SIZEOF_IN_MIB(J386:M386, O385)</f>
        <v>0.875</v>
      </c>
      <c r="Q386" s="344"/>
    </row>
    <row r="387">
      <c r="E387" s="341"/>
      <c r="F387" s="341"/>
      <c r="G387" s="341"/>
      <c r="H387" s="376" t="s">
        <v>302</v>
      </c>
      <c r="I387" s="349" t="s">
        <v>282</v>
      </c>
      <c r="J387" s="336"/>
      <c r="K387" s="337" t="s">
        <v>196</v>
      </c>
      <c r="L387" s="337"/>
      <c r="M387" s="337"/>
      <c r="N387" s="349" t="s">
        <v>283</v>
      </c>
      <c r="O387" s="350"/>
      <c r="P387" s="377"/>
      <c r="Q387" s="337"/>
    </row>
    <row r="388">
      <c r="E388" s="341"/>
      <c r="F388" s="341"/>
      <c r="G388" s="341"/>
      <c r="H388" s="378" t="s">
        <v>303</v>
      </c>
      <c r="I388" s="346" t="s">
        <v>282</v>
      </c>
      <c r="J388" s="345"/>
      <c r="K388" s="346">
        <f t="shared" ref="K388:M388" si="74">K386/SHARDING(K387)</f>
        <v>16</v>
      </c>
      <c r="L388" s="346">
        <f t="shared" si="74"/>
        <v>1</v>
      </c>
      <c r="M388" s="346">
        <f t="shared" si="74"/>
        <v>7168</v>
      </c>
      <c r="N388" s="346" t="s">
        <v>283</v>
      </c>
      <c r="O388" s="347"/>
      <c r="P388" s="509">
        <f>SIZEOF_IN_MIB(J388:M388, O385)</f>
        <v>0.109375</v>
      </c>
      <c r="Q388" s="344"/>
    </row>
    <row r="389">
      <c r="E389" s="341"/>
      <c r="F389" s="341"/>
      <c r="G389" s="352"/>
      <c r="H389" s="605" t="s">
        <v>304</v>
      </c>
      <c r="I389" s="349" t="s">
        <v>282</v>
      </c>
      <c r="J389" s="298"/>
      <c r="K389" s="298"/>
      <c r="L389" s="298"/>
      <c r="M389" s="337"/>
      <c r="N389" s="349" t="s">
        <v>283</v>
      </c>
      <c r="O389" s="316"/>
      <c r="P389" s="298"/>
      <c r="Q389" s="337"/>
    </row>
    <row r="390">
      <c r="E390" s="341"/>
      <c r="F390" s="341"/>
      <c r="G390" s="458" t="s">
        <v>372</v>
      </c>
      <c r="H390" s="610" t="s">
        <v>306</v>
      </c>
      <c r="I390" s="379"/>
      <c r="J390" s="410">
        <f>SHARDING(K387) * SHARDING(L387) / HW_SPEC("# of TensorCore per Chip")</f>
        <v>8</v>
      </c>
      <c r="K390" s="345"/>
      <c r="L390" s="344"/>
      <c r="M390" s="346"/>
      <c r="N390" s="346"/>
      <c r="O390" s="344"/>
      <c r="P390" s="509"/>
      <c r="Q390" s="344"/>
    </row>
    <row r="391">
      <c r="E391" s="341"/>
      <c r="F391" s="341"/>
      <c r="G391" s="341"/>
      <c r="H391" s="605" t="s">
        <v>307</v>
      </c>
      <c r="I391" s="298"/>
      <c r="J391" s="390">
        <f>P388 * (J390-1)</f>
        <v>0.765625</v>
      </c>
      <c r="K391" s="336"/>
      <c r="L391" s="337"/>
      <c r="M391" s="349"/>
      <c r="N391" s="349"/>
      <c r="O391" s="337"/>
      <c r="P391" s="377"/>
      <c r="Q391" s="337"/>
    </row>
    <row r="392">
      <c r="E392" s="341"/>
      <c r="F392" s="341"/>
      <c r="G392" s="341"/>
      <c r="H392" s="410" t="s">
        <v>308</v>
      </c>
      <c r="I392" s="379"/>
      <c r="J392" s="395">
        <f>J391*J390</f>
        <v>6.125</v>
      </c>
      <c r="K392" s="345"/>
      <c r="L392" s="344"/>
      <c r="M392" s="346"/>
      <c r="N392" s="346"/>
      <c r="O392" s="344"/>
      <c r="P392" s="509"/>
      <c r="Q392" s="344"/>
    </row>
    <row r="393">
      <c r="E393" s="341"/>
      <c r="F393" s="341"/>
      <c r="G393" s="341"/>
      <c r="H393" s="478" t="s">
        <v>309</v>
      </c>
      <c r="I393" s="298"/>
      <c r="J393" s="397">
        <f>vlookup(J390, DB!$A$26:$G$31, 6, False)</f>
        <v>12</v>
      </c>
      <c r="K393" s="336"/>
      <c r="L393" s="337"/>
      <c r="M393" s="349"/>
      <c r="N393" s="349"/>
      <c r="O393" s="337"/>
      <c r="P393" s="377"/>
      <c r="Q393" s="337"/>
    </row>
    <row r="394">
      <c r="E394" s="341"/>
      <c r="F394" s="341"/>
      <c r="G394" s="341"/>
      <c r="H394" s="606" t="s">
        <v>310</v>
      </c>
      <c r="I394" s="379"/>
      <c r="J394" s="611">
        <f>HW_SPEC("# of TensorCore per Chip")</f>
        <v>1</v>
      </c>
      <c r="K394" s="345"/>
      <c r="L394" s="344"/>
      <c r="M394" s="346"/>
      <c r="N394" s="346"/>
      <c r="O394" s="344"/>
      <c r="P394" s="509"/>
      <c r="Q394" s="344"/>
    </row>
    <row r="395">
      <c r="E395" s="341"/>
      <c r="F395" s="341"/>
      <c r="G395" s="352"/>
      <c r="H395" s="612" t="s">
        <v>311</v>
      </c>
      <c r="I395" s="613"/>
      <c r="J395" s="403">
        <f>ALL_GATHER_CHIP2CHIP_TIME_MS2(J392 * J394, J393)</f>
        <v>0.0002769187645</v>
      </c>
      <c r="K395" s="336"/>
      <c r="L395" s="337"/>
      <c r="M395" s="349"/>
      <c r="N395" s="349"/>
      <c r="O395" s="337"/>
      <c r="P395" s="377"/>
      <c r="Q395" s="337"/>
    </row>
    <row r="396">
      <c r="E396" s="341"/>
      <c r="F396" s="341"/>
      <c r="G396" s="458" t="s">
        <v>373</v>
      </c>
      <c r="H396" s="410" t="s">
        <v>306</v>
      </c>
      <c r="I396" s="387"/>
      <c r="J396" s="483">
        <f>HW_SPEC("# of TensorCore per Chip")</f>
        <v>1</v>
      </c>
      <c r="K396" s="345"/>
      <c r="L396" s="344"/>
      <c r="M396" s="346"/>
      <c r="N396" s="346"/>
      <c r="O396" s="344"/>
      <c r="P396" s="509"/>
      <c r="Q396" s="344"/>
    </row>
    <row r="397">
      <c r="E397" s="341"/>
      <c r="F397" s="341"/>
      <c r="G397" s="341"/>
      <c r="H397" s="478" t="s">
        <v>307</v>
      </c>
      <c r="I397" s="391"/>
      <c r="J397" s="390">
        <f> P386 / J396 * (J396-1)</f>
        <v>0</v>
      </c>
      <c r="K397" s="336"/>
      <c r="L397" s="337"/>
      <c r="M397" s="349"/>
      <c r="N397" s="349"/>
      <c r="O397" s="337"/>
      <c r="P397" s="377"/>
      <c r="Q397" s="337"/>
    </row>
    <row r="398">
      <c r="E398" s="341"/>
      <c r="F398" s="341"/>
      <c r="G398" s="341"/>
      <c r="H398" s="410" t="s">
        <v>308</v>
      </c>
      <c r="I398" s="387"/>
      <c r="J398" s="395">
        <f>J397*J396</f>
        <v>0</v>
      </c>
      <c r="K398" s="345"/>
      <c r="L398" s="344"/>
      <c r="M398" s="346"/>
      <c r="N398" s="346"/>
      <c r="O398" s="344"/>
      <c r="P398" s="509"/>
      <c r="Q398" s="344"/>
    </row>
    <row r="399">
      <c r="E399" s="341"/>
      <c r="F399" s="341"/>
      <c r="G399" s="341"/>
      <c r="H399" s="614" t="s">
        <v>311</v>
      </c>
      <c r="I399" s="615"/>
      <c r="J399" s="616">
        <f>ALL_GATHER_CORE2CORE_TIME_MS(J398)</f>
        <v>0</v>
      </c>
      <c r="K399" s="336"/>
      <c r="L399" s="337"/>
      <c r="M399" s="349"/>
      <c r="N399" s="349"/>
      <c r="O399" s="337"/>
      <c r="P399" s="377"/>
      <c r="Q399" s="337"/>
    </row>
    <row r="400">
      <c r="E400" s="341"/>
      <c r="F400" s="341"/>
      <c r="G400" s="352"/>
      <c r="H400" s="617" t="s">
        <v>374</v>
      </c>
      <c r="I400" s="618"/>
      <c r="J400" s="619">
        <f>J399/J390</f>
        <v>0</v>
      </c>
      <c r="K400" s="345"/>
      <c r="L400" s="344"/>
      <c r="M400" s="346"/>
      <c r="N400" s="346"/>
      <c r="O400" s="344"/>
      <c r="P400" s="509"/>
      <c r="Q400" s="344"/>
    </row>
    <row r="401">
      <c r="E401" s="341"/>
      <c r="F401" s="341"/>
      <c r="G401" s="402" t="s">
        <v>316</v>
      </c>
      <c r="H401" s="620" t="str">
        <f>IF(PARAMS("use_nccl_lookup")=TRUE, "N/A", J395+J400)</f>
        <v>N/A</v>
      </c>
      <c r="I401" s="298"/>
      <c r="J401" s="621"/>
      <c r="K401" s="336"/>
      <c r="L401" s="337"/>
      <c r="M401" s="349"/>
      <c r="N401" s="349"/>
      <c r="O401" s="337"/>
      <c r="P401" s="377"/>
      <c r="Q401" s="337"/>
    </row>
    <row r="402">
      <c r="E402" s="341"/>
      <c r="F402" s="341"/>
      <c r="G402" s="601"/>
      <c r="H402" s="622"/>
      <c r="I402" s="493"/>
      <c r="J402" s="345"/>
      <c r="K402" s="345"/>
      <c r="L402" s="346"/>
      <c r="M402" s="346"/>
      <c r="N402" s="346"/>
      <c r="O402" s="345"/>
      <c r="P402" s="509"/>
      <c r="Q402" s="379"/>
    </row>
    <row r="403">
      <c r="E403" s="341"/>
      <c r="F403" s="341"/>
      <c r="G403" s="623" t="s">
        <v>375</v>
      </c>
      <c r="H403" s="624" t="str">
        <f>'Config and Summary'!C22</f>
        <v>Strategy C: Hirarachical All-Gather</v>
      </c>
      <c r="I403" s="581"/>
      <c r="J403" s="448"/>
      <c r="K403" s="448"/>
      <c r="L403" s="449"/>
      <c r="M403" s="449"/>
      <c r="N403" s="449"/>
      <c r="O403" s="448"/>
      <c r="P403" s="604"/>
      <c r="Q403" s="572"/>
    </row>
    <row r="404">
      <c r="E404" s="341"/>
      <c r="F404" s="341"/>
      <c r="G404" s="591" t="s">
        <v>340</v>
      </c>
      <c r="H404" s="625" t="str">
        <f>IFS(H403=G360,H368,H403=G370,H382,H403=G384,H401, TRUE,0)</f>
        <v>N/A</v>
      </c>
      <c r="I404" s="581"/>
      <c r="J404" s="448"/>
      <c r="K404" s="448"/>
      <c r="L404" s="449"/>
      <c r="M404" s="449"/>
      <c r="N404" s="449"/>
      <c r="O404" s="448"/>
      <c r="P404" s="604"/>
      <c r="Q404" s="572"/>
    </row>
    <row r="405">
      <c r="E405" s="341"/>
      <c r="F405" s="341"/>
      <c r="G405" s="452" t="s">
        <v>376</v>
      </c>
      <c r="H405" s="626">
        <f>vlookup(PARAMS("topo"), DB!$E$26:$G$31, 3, FALSE)</f>
        <v>3</v>
      </c>
      <c r="I405" s="460"/>
      <c r="J405" s="454"/>
      <c r="K405" s="454"/>
      <c r="L405" s="455"/>
      <c r="M405" s="455"/>
      <c r="N405" s="455"/>
      <c r="O405" s="454"/>
      <c r="P405" s="468"/>
      <c r="Q405" s="11"/>
    </row>
    <row r="406">
      <c r="E406" s="352"/>
      <c r="F406" s="352"/>
      <c r="G406" s="446" t="s">
        <v>326</v>
      </c>
      <c r="H406" s="447">
        <f>IF(H403="No Collectives", 0, H405 * HW_SPEC("Chip-to-Chip ICI Latency (ms)"))</f>
        <v>0</v>
      </c>
      <c r="I406" s="581"/>
      <c r="J406" s="448"/>
      <c r="K406" s="448"/>
      <c r="L406" s="449"/>
      <c r="M406" s="449"/>
      <c r="N406" s="449"/>
      <c r="O406" s="448"/>
      <c r="P406" s="604"/>
      <c r="Q406" s="572"/>
    </row>
    <row r="407">
      <c r="E407" s="333" t="s">
        <v>377</v>
      </c>
      <c r="F407" s="627" t="s">
        <v>292</v>
      </c>
      <c r="G407" s="335"/>
      <c r="H407" s="372" t="s">
        <v>281</v>
      </c>
      <c r="I407" s="364" t="s">
        <v>282</v>
      </c>
      <c r="J407" s="364"/>
      <c r="K407" s="273" t="s">
        <v>104</v>
      </c>
      <c r="L407" s="273" t="s">
        <v>212</v>
      </c>
      <c r="M407" s="472" t="s">
        <v>178</v>
      </c>
      <c r="N407" s="364" t="s">
        <v>283</v>
      </c>
      <c r="O407" s="628" t="str">
        <f>EXTRACT_ACTIVATION_DTYPE(PARAMS("moe_dtype"))</f>
        <v>fp8</v>
      </c>
      <c r="P407" s="375"/>
      <c r="Q407" s="365" t="b">
        <v>0</v>
      </c>
    </row>
    <row r="408">
      <c r="E408" s="341"/>
      <c r="F408" s="342"/>
      <c r="G408" s="343"/>
      <c r="H408" s="374" t="s">
        <v>285</v>
      </c>
      <c r="I408" s="364" t="s">
        <v>282</v>
      </c>
      <c r="J408" s="363"/>
      <c r="K408" s="364">
        <f t="shared" ref="K408:M408" si="75">PARAMS(K407)</f>
        <v>128</v>
      </c>
      <c r="L408" s="364">
        <f t="shared" si="75"/>
        <v>4</v>
      </c>
      <c r="M408" s="364">
        <f t="shared" si="75"/>
        <v>7168</v>
      </c>
      <c r="N408" s="364" t="s">
        <v>283</v>
      </c>
      <c r="O408" s="341"/>
      <c r="P408" s="375">
        <f>SIZEOF_IN_MIB(J408:M408, O407)</f>
        <v>3.5</v>
      </c>
      <c r="Q408" s="341"/>
    </row>
    <row r="409">
      <c r="E409" s="341"/>
      <c r="F409" s="342"/>
      <c r="G409" s="343"/>
      <c r="H409" s="629" t="s">
        <v>287</v>
      </c>
      <c r="I409" s="363" t="s">
        <v>282</v>
      </c>
      <c r="J409" s="364"/>
      <c r="K409" s="273"/>
      <c r="L409" s="273"/>
      <c r="M409" s="273"/>
      <c r="N409" s="363" t="s">
        <v>283</v>
      </c>
      <c r="O409" s="341"/>
      <c r="P409" s="375"/>
      <c r="Q409" s="341"/>
    </row>
    <row r="410">
      <c r="E410" s="341"/>
      <c r="F410" s="353"/>
      <c r="G410" s="354"/>
      <c r="H410" s="376" t="s">
        <v>289</v>
      </c>
      <c r="I410" s="349" t="s">
        <v>282</v>
      </c>
      <c r="J410" s="336"/>
      <c r="K410" s="349">
        <f t="shared" ref="K410:M410" si="76">K408/SHARDING(K409)</f>
        <v>128</v>
      </c>
      <c r="L410" s="349">
        <f t="shared" si="76"/>
        <v>4</v>
      </c>
      <c r="M410" s="349">
        <f t="shared" si="76"/>
        <v>7168</v>
      </c>
      <c r="N410" s="349" t="s">
        <v>283</v>
      </c>
      <c r="O410" s="316"/>
      <c r="P410" s="377">
        <f>SIZEOF_IN_MIB(J410:M410, O407)</f>
        <v>3.5</v>
      </c>
      <c r="Q410" s="316"/>
    </row>
    <row r="411">
      <c r="E411" s="341"/>
      <c r="F411" s="630" t="s">
        <v>296</v>
      </c>
      <c r="G411" s="335"/>
      <c r="H411" s="517" t="s">
        <v>281</v>
      </c>
      <c r="I411" s="346" t="s">
        <v>282</v>
      </c>
      <c r="J411" s="344">
        <v>2.0</v>
      </c>
      <c r="K411" s="344" t="s">
        <v>184</v>
      </c>
      <c r="L411" s="556" t="s">
        <v>178</v>
      </c>
      <c r="M411" s="344" t="s">
        <v>182</v>
      </c>
      <c r="N411" s="346" t="s">
        <v>283</v>
      </c>
      <c r="O411" s="631" t="str">
        <f>EXTRACT_WEIGHT_DTYPE(PARAMS("moe_dtype"))</f>
        <v>fp8</v>
      </c>
      <c r="P411" s="509"/>
      <c r="Q411" s="473" t="b">
        <v>0</v>
      </c>
    </row>
    <row r="412">
      <c r="E412" s="341"/>
      <c r="F412" s="342"/>
      <c r="G412" s="343"/>
      <c r="H412" s="376" t="s">
        <v>285</v>
      </c>
      <c r="I412" s="349" t="s">
        <v>282</v>
      </c>
      <c r="J412" s="349">
        <f t="shared" ref="J412:M412" si="77">PARAMS(J411)</f>
        <v>2</v>
      </c>
      <c r="K412" s="349">
        <f t="shared" si="77"/>
        <v>128</v>
      </c>
      <c r="L412" s="349">
        <f t="shared" si="77"/>
        <v>7168</v>
      </c>
      <c r="M412" s="349">
        <f t="shared" si="77"/>
        <v>4096</v>
      </c>
      <c r="N412" s="349" t="s">
        <v>283</v>
      </c>
      <c r="O412" s="350"/>
      <c r="P412" s="377">
        <f>SIZEOF_IN_MIB(J412:M412, O411)</f>
        <v>7168</v>
      </c>
      <c r="Q412" s="350"/>
    </row>
    <row r="413">
      <c r="E413" s="341"/>
      <c r="F413" s="342"/>
      <c r="G413" s="343"/>
      <c r="H413" s="517" t="s">
        <v>287</v>
      </c>
      <c r="I413" s="346"/>
      <c r="J413" s="345"/>
      <c r="K413" s="344"/>
      <c r="L413" s="344"/>
      <c r="M413" s="344" t="s">
        <v>196</v>
      </c>
      <c r="N413" s="346" t="s">
        <v>283</v>
      </c>
      <c r="O413" s="347"/>
      <c r="P413" s="509"/>
      <c r="Q413" s="347"/>
    </row>
    <row r="414">
      <c r="E414" s="341"/>
      <c r="F414" s="353"/>
      <c r="G414" s="354"/>
      <c r="H414" s="602" t="s">
        <v>289</v>
      </c>
      <c r="I414" s="349" t="s">
        <v>282</v>
      </c>
      <c r="J414" s="349">
        <f t="shared" ref="J414:M414" si="78">J412/SHARDING(J413)</f>
        <v>2</v>
      </c>
      <c r="K414" s="349">
        <f t="shared" si="78"/>
        <v>128</v>
      </c>
      <c r="L414" s="349">
        <f t="shared" si="78"/>
        <v>7168</v>
      </c>
      <c r="M414" s="349">
        <f t="shared" si="78"/>
        <v>512</v>
      </c>
      <c r="N414" s="349" t="s">
        <v>283</v>
      </c>
      <c r="O414" s="316"/>
      <c r="P414" s="377">
        <f>SIZEOF_IN_MIB(J414:M414, O411)</f>
        <v>896</v>
      </c>
      <c r="Q414" s="316"/>
    </row>
    <row r="415">
      <c r="E415" s="341"/>
      <c r="F415" s="630" t="s">
        <v>56</v>
      </c>
      <c r="G415" s="335"/>
      <c r="H415" s="517" t="s">
        <v>281</v>
      </c>
      <c r="I415" s="346" t="s">
        <v>282</v>
      </c>
      <c r="J415" s="344">
        <v>2.0</v>
      </c>
      <c r="K415" s="344" t="s">
        <v>104</v>
      </c>
      <c r="L415" s="344" t="s">
        <v>212</v>
      </c>
      <c r="M415" s="344" t="s">
        <v>182</v>
      </c>
      <c r="N415" s="346" t="s">
        <v>283</v>
      </c>
      <c r="O415" s="546" t="s">
        <v>133</v>
      </c>
      <c r="P415" s="509"/>
      <c r="Q415" s="473" t="b">
        <v>0</v>
      </c>
    </row>
    <row r="416">
      <c r="E416" s="341"/>
      <c r="F416" s="342"/>
      <c r="G416" s="343"/>
      <c r="H416" s="376" t="s">
        <v>285</v>
      </c>
      <c r="I416" s="349" t="s">
        <v>282</v>
      </c>
      <c r="J416" s="349">
        <f t="shared" ref="J416:M416" si="79">PARAMS(J415)</f>
        <v>2</v>
      </c>
      <c r="K416" s="349">
        <f t="shared" si="79"/>
        <v>128</v>
      </c>
      <c r="L416" s="349">
        <f t="shared" si="79"/>
        <v>4</v>
      </c>
      <c r="M416" s="349">
        <f t="shared" si="79"/>
        <v>4096</v>
      </c>
      <c r="N416" s="349" t="s">
        <v>283</v>
      </c>
      <c r="O416" s="350"/>
      <c r="P416" s="377">
        <f>SIZEOF_IN_MIB(J416:M416, O415)</f>
        <v>8</v>
      </c>
      <c r="Q416" s="350"/>
    </row>
    <row r="417">
      <c r="E417" s="341"/>
      <c r="F417" s="342"/>
      <c r="G417" s="343"/>
      <c r="H417" s="517" t="s">
        <v>287</v>
      </c>
      <c r="I417" s="346" t="s">
        <v>282</v>
      </c>
      <c r="J417" s="345"/>
      <c r="K417" s="344"/>
      <c r="L417" s="344"/>
      <c r="M417" s="344" t="s">
        <v>196</v>
      </c>
      <c r="N417" s="346" t="s">
        <v>283</v>
      </c>
      <c r="O417" s="347"/>
      <c r="P417" s="509"/>
      <c r="Q417" s="347"/>
    </row>
    <row r="418">
      <c r="E418" s="341"/>
      <c r="F418" s="353"/>
      <c r="G418" s="354"/>
      <c r="H418" s="602" t="s">
        <v>289</v>
      </c>
      <c r="I418" s="349" t="s">
        <v>282</v>
      </c>
      <c r="J418" s="349">
        <f t="shared" ref="J418:M418" si="80">J416/SHARDING(J417)</f>
        <v>2</v>
      </c>
      <c r="K418" s="349">
        <f t="shared" si="80"/>
        <v>128</v>
      </c>
      <c r="L418" s="349">
        <f t="shared" si="80"/>
        <v>4</v>
      </c>
      <c r="M418" s="349">
        <f t="shared" si="80"/>
        <v>512</v>
      </c>
      <c r="N418" s="349" t="s">
        <v>283</v>
      </c>
      <c r="O418" s="316"/>
      <c r="P418" s="377">
        <f>SIZEOF_IN_MIB(J418:M418, O415)</f>
        <v>1</v>
      </c>
      <c r="Q418" s="316"/>
    </row>
    <row r="419">
      <c r="E419" s="341"/>
      <c r="F419" s="370" t="s">
        <v>378</v>
      </c>
      <c r="G419" s="601" t="s">
        <v>379</v>
      </c>
      <c r="H419" s="498" t="str">
        <f>L413</f>
        <v/>
      </c>
      <c r="I419" s="632" t="s">
        <v>380</v>
      </c>
      <c r="J419" s="345"/>
      <c r="K419" s="345"/>
      <c r="L419" s="346"/>
      <c r="M419" s="346"/>
      <c r="N419" s="346"/>
      <c r="O419" s="345"/>
      <c r="P419" s="509"/>
      <c r="Q419" s="379"/>
    </row>
    <row r="420">
      <c r="E420" s="341"/>
      <c r="F420" s="341"/>
      <c r="G420" s="591" t="s">
        <v>381</v>
      </c>
      <c r="H420" s="633" t="s">
        <v>382</v>
      </c>
      <c r="I420" s="633"/>
      <c r="J420" s="448"/>
      <c r="K420" s="448"/>
      <c r="L420" s="449"/>
      <c r="M420" s="449"/>
      <c r="N420" s="449"/>
      <c r="O420" s="448"/>
      <c r="P420" s="604"/>
      <c r="Q420" s="572"/>
    </row>
    <row r="421">
      <c r="E421" s="341"/>
      <c r="F421" s="341"/>
      <c r="G421" s="594" t="s">
        <v>306</v>
      </c>
      <c r="H421" s="634">
        <f>SHARDING(H419)</f>
        <v>1</v>
      </c>
      <c r="I421" s="498"/>
      <c r="J421" s="345"/>
      <c r="K421" s="345"/>
      <c r="L421" s="346"/>
      <c r="M421" s="346"/>
      <c r="N421" s="346"/>
      <c r="O421" s="345"/>
      <c r="P421" s="509"/>
      <c r="Q421" s="379"/>
    </row>
    <row r="422">
      <c r="E422" s="341"/>
      <c r="F422" s="341"/>
      <c r="G422" s="594" t="s">
        <v>383</v>
      </c>
      <c r="H422" s="635">
        <f>P418/H421*(H421-1)</f>
        <v>0</v>
      </c>
      <c r="I422" s="549"/>
      <c r="J422" s="336"/>
      <c r="K422" s="336"/>
      <c r="L422" s="349"/>
      <c r="M422" s="349"/>
      <c r="N422" s="349"/>
      <c r="O422" s="336"/>
      <c r="P422" s="377"/>
      <c r="Q422" s="298"/>
    </row>
    <row r="423">
      <c r="E423" s="341"/>
      <c r="F423" s="341"/>
      <c r="G423" s="594" t="s">
        <v>384</v>
      </c>
      <c r="H423" s="636">
        <f>H422*H421</f>
        <v>0</v>
      </c>
      <c r="I423" s="498"/>
      <c r="J423" s="345"/>
      <c r="K423" s="345"/>
      <c r="L423" s="346"/>
      <c r="M423" s="346"/>
      <c r="N423" s="346"/>
      <c r="O423" s="345"/>
      <c r="P423" s="509"/>
      <c r="Q423" s="379"/>
    </row>
    <row r="424">
      <c r="E424" s="341"/>
      <c r="F424" s="341"/>
      <c r="G424" s="637" t="s">
        <v>385</v>
      </c>
      <c r="H424" s="638" t="s">
        <v>309</v>
      </c>
      <c r="I424" s="549"/>
      <c r="J424" s="639">
        <f>IFS(H421=8,12,
H421=4,4,
H421=2,1,
H421=1,0,
TRUE,NA())</f>
        <v>0</v>
      </c>
      <c r="K424" s="336"/>
      <c r="L424" s="349"/>
      <c r="M424" s="349"/>
      <c r="N424" s="349"/>
      <c r="O424" s="336"/>
      <c r="P424" s="377"/>
      <c r="Q424" s="298"/>
    </row>
    <row r="425">
      <c r="E425" s="341"/>
      <c r="F425" s="341"/>
      <c r="G425" s="341"/>
      <c r="H425" s="640" t="s">
        <v>386</v>
      </c>
      <c r="I425" s="379"/>
      <c r="J425" s="641">
        <f>HW_SPEC("# of TensorCore per Chip")</f>
        <v>1</v>
      </c>
      <c r="K425" s="345"/>
      <c r="L425" s="346"/>
      <c r="M425" s="346"/>
      <c r="N425" s="346"/>
      <c r="O425" s="345"/>
      <c r="P425" s="509"/>
      <c r="Q425" s="379"/>
    </row>
    <row r="426">
      <c r="E426" s="341"/>
      <c r="F426" s="341"/>
      <c r="G426" s="352"/>
      <c r="H426" s="642" t="s">
        <v>311</v>
      </c>
      <c r="I426" s="549"/>
      <c r="J426" s="643">
        <f>REDUCE_SCATTER_CHIP2CHIP_TIME_MS2(H423*J425,J424)</f>
        <v>0</v>
      </c>
      <c r="K426" s="336"/>
      <c r="L426" s="349"/>
      <c r="M426" s="349"/>
      <c r="N426" s="349"/>
      <c r="O426" s="336"/>
      <c r="P426" s="377"/>
      <c r="Q426" s="298"/>
    </row>
    <row r="427">
      <c r="E427" s="341"/>
      <c r="F427" s="341"/>
      <c r="G427" s="644" t="s">
        <v>387</v>
      </c>
      <c r="H427" s="645" t="s">
        <v>311</v>
      </c>
      <c r="I427" s="379"/>
      <c r="J427" s="646">
        <f>REDUCE_SCATTER_CORE2CORE_TIME_MS(H423)</f>
        <v>0</v>
      </c>
      <c r="K427" s="345"/>
      <c r="L427" s="346"/>
      <c r="M427" s="346"/>
      <c r="N427" s="346"/>
      <c r="O427" s="345"/>
      <c r="P427" s="509"/>
      <c r="Q427" s="379"/>
    </row>
    <row r="428">
      <c r="E428" s="341"/>
      <c r="F428" s="341"/>
      <c r="G428" s="11"/>
      <c r="H428" s="298"/>
      <c r="I428" s="549"/>
      <c r="J428" s="336"/>
      <c r="K428" s="336"/>
      <c r="L428" s="349"/>
      <c r="M428" s="349"/>
      <c r="N428" s="349"/>
      <c r="O428" s="336"/>
      <c r="P428" s="377"/>
      <c r="Q428" s="298"/>
    </row>
    <row r="429">
      <c r="E429" s="341"/>
      <c r="F429" s="341"/>
      <c r="G429" s="591" t="s">
        <v>388</v>
      </c>
      <c r="H429" s="647" t="s">
        <v>389</v>
      </c>
      <c r="I429" s="648"/>
      <c r="J429" s="448"/>
      <c r="K429" s="448"/>
      <c r="L429" s="449"/>
      <c r="M429" s="449"/>
      <c r="N429" s="449"/>
      <c r="O429" s="448"/>
      <c r="P429" s="604"/>
      <c r="Q429" s="572"/>
    </row>
    <row r="430">
      <c r="E430" s="341"/>
      <c r="F430" s="341"/>
      <c r="G430" s="601" t="s">
        <v>390</v>
      </c>
      <c r="H430" s="649">
        <f>P418/2</f>
        <v>0.5</v>
      </c>
      <c r="I430" s="650"/>
      <c r="J430" s="454"/>
      <c r="K430" s="454"/>
      <c r="L430" s="455"/>
      <c r="M430" s="455"/>
      <c r="N430" s="455"/>
      <c r="O430" s="454"/>
      <c r="P430" s="468"/>
      <c r="Q430" s="11"/>
    </row>
    <row r="431">
      <c r="E431" s="341"/>
      <c r="F431" s="341"/>
      <c r="G431" s="11"/>
      <c r="H431" s="11"/>
      <c r="I431" s="650"/>
      <c r="J431" s="454"/>
      <c r="K431" s="454"/>
      <c r="L431" s="455"/>
      <c r="M431" s="455"/>
      <c r="N431" s="455"/>
      <c r="O431" s="454"/>
      <c r="P431" s="468"/>
      <c r="Q431" s="11"/>
    </row>
    <row r="432">
      <c r="E432" s="341"/>
      <c r="F432" s="341"/>
      <c r="G432" s="591" t="s">
        <v>263</v>
      </c>
      <c r="H432" s="647" t="s">
        <v>391</v>
      </c>
      <c r="I432" s="648"/>
      <c r="J432" s="448"/>
      <c r="K432" s="448"/>
      <c r="L432" s="449"/>
      <c r="M432" s="449"/>
      <c r="N432" s="449"/>
      <c r="O432" s="448"/>
      <c r="P432" s="604"/>
      <c r="Q432" s="572"/>
    </row>
    <row r="433">
      <c r="E433" s="341"/>
      <c r="F433" s="341"/>
      <c r="G433" s="594" t="s">
        <v>306</v>
      </c>
      <c r="H433" s="651">
        <f>H421</f>
        <v>1</v>
      </c>
      <c r="I433" s="650"/>
      <c r="J433" s="454"/>
      <c r="K433" s="454"/>
      <c r="L433" s="455"/>
      <c r="M433" s="455"/>
      <c r="N433" s="455"/>
      <c r="O433" s="454"/>
      <c r="P433" s="468"/>
      <c r="Q433" s="11"/>
    </row>
    <row r="434">
      <c r="E434" s="341"/>
      <c r="F434" s="341"/>
      <c r="G434" s="594" t="s">
        <v>392</v>
      </c>
      <c r="H434" s="652">
        <f>H430/H433 * (H433-1)</f>
        <v>0</v>
      </c>
      <c r="I434" s="650"/>
      <c r="J434" s="454"/>
      <c r="K434" s="454"/>
      <c r="L434" s="455"/>
      <c r="M434" s="455"/>
      <c r="N434" s="455"/>
      <c r="O434" s="454"/>
      <c r="P434" s="468"/>
      <c r="Q434" s="11"/>
    </row>
    <row r="435">
      <c r="E435" s="341"/>
      <c r="F435" s="341"/>
      <c r="G435" s="594" t="s">
        <v>308</v>
      </c>
      <c r="H435" s="652">
        <f>H434*H433</f>
        <v>0</v>
      </c>
      <c r="I435" s="650"/>
      <c r="J435" s="454"/>
      <c r="K435" s="454"/>
      <c r="L435" s="455"/>
      <c r="M435" s="455"/>
      <c r="N435" s="455"/>
      <c r="O435" s="454"/>
      <c r="P435" s="468"/>
      <c r="Q435" s="11"/>
    </row>
    <row r="436">
      <c r="E436" s="341"/>
      <c r="F436" s="341"/>
      <c r="G436" s="653" t="s">
        <v>385</v>
      </c>
      <c r="H436" s="385" t="s">
        <v>309</v>
      </c>
      <c r="I436" s="11"/>
      <c r="J436" s="654" t="str">
        <f>IFS(H433=8,12,
H433=4,4,
H433=2,1,
TRUE,NA())</f>
        <v>#N/A</v>
      </c>
      <c r="K436" s="454"/>
      <c r="L436" s="455"/>
      <c r="M436" s="455"/>
      <c r="N436" s="455"/>
      <c r="O436" s="454"/>
      <c r="P436" s="468"/>
      <c r="Q436" s="11"/>
      <c r="S436" s="655"/>
    </row>
    <row r="437">
      <c r="E437" s="341"/>
      <c r="F437" s="341"/>
      <c r="G437" s="341"/>
      <c r="H437" s="385" t="s">
        <v>386</v>
      </c>
      <c r="I437" s="11"/>
      <c r="J437" s="656">
        <f>HW_SPEC("# of TensorCore per Chip")</f>
        <v>1</v>
      </c>
      <c r="K437" s="454"/>
      <c r="L437" s="455"/>
      <c r="M437" s="455"/>
      <c r="N437" s="455"/>
      <c r="O437" s="454"/>
      <c r="P437" s="468"/>
      <c r="Q437" s="11"/>
    </row>
    <row r="438">
      <c r="E438" s="341"/>
      <c r="F438" s="341"/>
      <c r="G438" s="352"/>
      <c r="H438" s="402" t="s">
        <v>311</v>
      </c>
      <c r="I438" s="650"/>
      <c r="J438" s="657">
        <f>REDUCE_SCATTER_CHIP2CHIP_TIME_MS2(H435*J437,J436)</f>
        <v>0</v>
      </c>
      <c r="K438" s="454"/>
      <c r="L438" s="455"/>
      <c r="M438" s="455"/>
      <c r="N438" s="455"/>
      <c r="O438" s="454"/>
      <c r="P438" s="468"/>
      <c r="Q438" s="11"/>
    </row>
    <row r="439">
      <c r="E439" s="341"/>
      <c r="F439" s="341"/>
      <c r="G439" s="658" t="s">
        <v>387</v>
      </c>
      <c r="H439" s="402" t="s">
        <v>311</v>
      </c>
      <c r="I439" s="650"/>
      <c r="J439" s="657">
        <f>REDUCE_SCATTER_CORE2CORE_TIME_MS(H435)</f>
        <v>0</v>
      </c>
      <c r="K439" s="454"/>
      <c r="L439" s="455"/>
      <c r="M439" s="455"/>
      <c r="N439" s="455"/>
      <c r="O439" s="454"/>
      <c r="P439" s="468"/>
      <c r="Q439" s="11"/>
    </row>
    <row r="440">
      <c r="E440" s="341"/>
      <c r="F440" s="341"/>
      <c r="G440" s="594"/>
      <c r="H440" s="659"/>
      <c r="I440" s="650"/>
      <c r="J440" s="454"/>
      <c r="K440" s="454"/>
      <c r="L440" s="455"/>
      <c r="M440" s="455"/>
      <c r="N440" s="455"/>
      <c r="O440" s="454"/>
      <c r="P440" s="468"/>
      <c r="Q440" s="11"/>
    </row>
    <row r="441">
      <c r="E441" s="341"/>
      <c r="F441" s="341"/>
      <c r="G441" s="591" t="s">
        <v>393</v>
      </c>
      <c r="H441" s="660" t="s">
        <v>394</v>
      </c>
      <c r="I441" s="648"/>
      <c r="J441" s="448"/>
      <c r="K441" s="448"/>
      <c r="L441" s="449"/>
      <c r="M441" s="449"/>
      <c r="N441" s="449"/>
      <c r="O441" s="448"/>
      <c r="P441" s="604"/>
      <c r="Q441" s="572"/>
    </row>
    <row r="442">
      <c r="E442" s="341"/>
      <c r="F442" s="341"/>
      <c r="G442" s="661" t="s">
        <v>395</v>
      </c>
      <c r="H442" s="662">
        <f>IFS(H441=G424,J426,
H441=G427,J427 ,
TRUE,0)</f>
        <v>0</v>
      </c>
      <c r="I442" s="650"/>
      <c r="J442" s="454"/>
      <c r="K442" s="454"/>
      <c r="L442" s="455"/>
      <c r="M442" s="455"/>
      <c r="N442" s="455"/>
      <c r="O442" s="454"/>
      <c r="P442" s="468"/>
      <c r="Q442" s="11"/>
    </row>
    <row r="443">
      <c r="E443" s="341"/>
      <c r="F443" s="341"/>
      <c r="G443" s="661" t="s">
        <v>396</v>
      </c>
      <c r="H443" s="662">
        <f>IFS(H441=G436,J438,
H441=G439,J439 ,
TRUE,0)</f>
        <v>0</v>
      </c>
      <c r="I443" s="650"/>
      <c r="J443" s="454"/>
      <c r="K443" s="454"/>
      <c r="L443" s="455"/>
      <c r="M443" s="455"/>
      <c r="N443" s="455"/>
      <c r="O443" s="454"/>
      <c r="P443" s="468"/>
      <c r="Q443" s="11"/>
    </row>
    <row r="444">
      <c r="E444" s="341"/>
      <c r="F444" s="352"/>
      <c r="G444" s="591" t="s">
        <v>340</v>
      </c>
      <c r="H444" s="625">
        <f>SUM(H442:H443)</f>
        <v>0</v>
      </c>
      <c r="I444" s="581"/>
      <c r="J444" s="448"/>
      <c r="K444" s="448"/>
      <c r="L444" s="449"/>
      <c r="M444" s="449"/>
      <c r="N444" s="449"/>
      <c r="O444" s="448"/>
      <c r="P444" s="604"/>
      <c r="Q444" s="572"/>
    </row>
    <row r="445">
      <c r="E445" s="341"/>
      <c r="F445" s="609" t="s">
        <v>327</v>
      </c>
      <c r="G445" s="601" t="s">
        <v>328</v>
      </c>
      <c r="H445" s="663" t="str">
        <f>VLOOKUP(O407&amp;","&amp;O411,$T$3:$W$12,4, FALSE)</f>
        <v>fp8</v>
      </c>
      <c r="I445" s="460"/>
      <c r="J445" s="454"/>
      <c r="K445" s="454"/>
      <c r="L445" s="455"/>
      <c r="M445" s="455"/>
      <c r="N445" s="455"/>
      <c r="O445" s="454"/>
      <c r="P445" s="468"/>
      <c r="Q445" s="11"/>
    </row>
    <row r="446">
      <c r="E446" s="341"/>
      <c r="F446" s="341"/>
      <c r="G446" s="664" t="s">
        <v>397</v>
      </c>
      <c r="H446" s="664">
        <v>128.0</v>
      </c>
      <c r="I446" s="460"/>
      <c r="J446" s="454"/>
      <c r="K446" s="454"/>
      <c r="L446" s="455"/>
      <c r="M446" s="455"/>
      <c r="N446" s="455"/>
      <c r="O446" s="454"/>
      <c r="P446" s="468"/>
      <c r="Q446" s="11"/>
    </row>
    <row r="447">
      <c r="E447" s="341"/>
      <c r="F447" s="341"/>
      <c r="G447" s="664" t="s">
        <v>398</v>
      </c>
      <c r="H447" s="665">
        <f t="array" ref="H447">CALCULATE_FLOPS(HSTACK(H446,M410),J414:M414,L414,K414,H445)</f>
        <v>1879048192</v>
      </c>
      <c r="I447" s="460"/>
      <c r="J447" s="454"/>
      <c r="K447" s="454"/>
      <c r="L447" s="455"/>
      <c r="M447" s="455"/>
      <c r="N447" s="455"/>
      <c r="O447" s="454"/>
      <c r="P447" s="468"/>
      <c r="Q447" s="11"/>
    </row>
    <row r="448">
      <c r="E448" s="341"/>
      <c r="F448" s="341"/>
      <c r="G448" s="664" t="s">
        <v>399</v>
      </c>
      <c r="H448" s="664">
        <f>CEILING(PRODUCT(K410:L410)/H446,1)</f>
        <v>4</v>
      </c>
      <c r="I448" s="460"/>
      <c r="J448" s="454"/>
      <c r="K448" s="454"/>
      <c r="L448" s="455"/>
      <c r="M448" s="455"/>
      <c r="N448" s="455"/>
      <c r="O448" s="454"/>
      <c r="P448" s="468"/>
      <c r="Q448" s="11"/>
    </row>
    <row r="449">
      <c r="E449" s="341"/>
      <c r="F449" s="341"/>
      <c r="G449" s="664" t="s">
        <v>400</v>
      </c>
      <c r="H449" s="664">
        <f>PARAMS("E")/SHARDING(K413)</f>
        <v>128</v>
      </c>
      <c r="I449" s="460"/>
      <c r="J449" s="454"/>
      <c r="K449" s="454"/>
      <c r="L449" s="455"/>
      <c r="M449" s="455"/>
      <c r="N449" s="455"/>
      <c r="O449" s="454"/>
      <c r="P449" s="468"/>
      <c r="Q449" s="11"/>
    </row>
    <row r="450">
      <c r="E450" s="341"/>
      <c r="F450" s="341"/>
      <c r="G450" s="664" t="s">
        <v>401</v>
      </c>
      <c r="H450" s="663">
        <f>H448 + IF(PARAMS("enforce_perfect_expert_routing"),0,H449-1)</f>
        <v>4</v>
      </c>
      <c r="I450" s="666" t="s">
        <v>402</v>
      </c>
      <c r="J450" s="454"/>
      <c r="K450" s="454"/>
      <c r="L450" s="455"/>
      <c r="M450" s="455"/>
      <c r="N450" s="455"/>
      <c r="O450" s="454"/>
      <c r="P450" s="468"/>
      <c r="Q450" s="11"/>
    </row>
    <row r="451">
      <c r="E451" s="341"/>
      <c r="F451" s="341"/>
      <c r="G451" s="601" t="s">
        <v>403</v>
      </c>
      <c r="H451" s="667">
        <f>H450*H447</f>
        <v>7516192768</v>
      </c>
      <c r="I451" s="460"/>
      <c r="J451" s="668">
        <f>product(J418:M418)*L412*2/1000/1000/1000</f>
        <v>7.516192768</v>
      </c>
      <c r="K451" s="454"/>
      <c r="L451" s="455"/>
      <c r="M451" s="455"/>
      <c r="N451" s="455"/>
      <c r="O451" s="454"/>
      <c r="P451" s="468"/>
      <c r="Q451" s="11"/>
    </row>
    <row r="452">
      <c r="E452" s="341"/>
      <c r="F452" s="352"/>
      <c r="G452" s="669" t="s">
        <v>330</v>
      </c>
      <c r="H452" s="670">
        <f>COMPUTE_TIME_MS(H451, H445)</f>
        <v>0.002004318071</v>
      </c>
      <c r="I452" s="464"/>
      <c r="J452" s="465"/>
      <c r="K452" s="465"/>
      <c r="L452" s="466"/>
      <c r="M452" s="466"/>
      <c r="N452" s="466"/>
      <c r="O452" s="465"/>
      <c r="P452" s="671"/>
      <c r="Q452" s="11"/>
    </row>
    <row r="453">
      <c r="E453" s="341"/>
      <c r="F453" s="609" t="s">
        <v>331</v>
      </c>
      <c r="G453" s="663" t="s">
        <v>332</v>
      </c>
      <c r="H453" s="672">
        <f>IF(Q407,0,P410)+IF(Q411,0,P414)+IF(Q415,0,P418 / 2)</f>
        <v>900</v>
      </c>
      <c r="I453" s="454"/>
      <c r="J453" s="454"/>
      <c r="K453" s="454"/>
      <c r="L453" s="455"/>
      <c r="M453" s="455"/>
      <c r="N453" s="455"/>
      <c r="O453" s="454"/>
      <c r="P453" s="468"/>
      <c r="Q453" s="11"/>
    </row>
    <row r="454">
      <c r="E454" s="352"/>
      <c r="F454" s="352"/>
      <c r="G454" s="673" t="s">
        <v>333</v>
      </c>
      <c r="H454" s="670">
        <f>HBM_TIME_MS(H453)</f>
        <v>0.1220703125</v>
      </c>
      <c r="I454" s="465"/>
      <c r="J454" s="465"/>
      <c r="K454" s="465"/>
      <c r="L454" s="466"/>
      <c r="M454" s="466"/>
      <c r="N454" s="466"/>
      <c r="O454" s="465"/>
      <c r="P454" s="671"/>
      <c r="Q454" s="11"/>
    </row>
    <row r="455">
      <c r="E455" s="333" t="s">
        <v>404</v>
      </c>
      <c r="F455" s="627" t="s">
        <v>292</v>
      </c>
      <c r="G455" s="335"/>
      <c r="H455" s="372" t="s">
        <v>281</v>
      </c>
      <c r="I455" s="364" t="s">
        <v>282</v>
      </c>
      <c r="J455" s="273"/>
      <c r="K455" s="273" t="s">
        <v>104</v>
      </c>
      <c r="L455" s="273" t="s">
        <v>212</v>
      </c>
      <c r="M455" s="472" t="s">
        <v>182</v>
      </c>
      <c r="N455" s="364" t="s">
        <v>283</v>
      </c>
      <c r="O455" s="628" t="str">
        <f>EXTRACT_ACTIVATION_DTYPE(PARAMS("moe_dtype"))</f>
        <v>fp8</v>
      </c>
      <c r="P455" s="375"/>
      <c r="Q455" s="365" t="b">
        <v>0</v>
      </c>
    </row>
    <row r="456">
      <c r="E456" s="341"/>
      <c r="F456" s="342"/>
      <c r="G456" s="343"/>
      <c r="H456" s="374" t="s">
        <v>285</v>
      </c>
      <c r="I456" s="364" t="s">
        <v>282</v>
      </c>
      <c r="J456" s="363"/>
      <c r="K456" s="364">
        <f t="shared" ref="K456:M456" si="81">PARAMS(K455)</f>
        <v>128</v>
      </c>
      <c r="L456" s="364">
        <f t="shared" si="81"/>
        <v>4</v>
      </c>
      <c r="M456" s="364">
        <f t="shared" si="81"/>
        <v>4096</v>
      </c>
      <c r="N456" s="364" t="s">
        <v>283</v>
      </c>
      <c r="O456" s="341"/>
      <c r="P456" s="375">
        <f>SIZEOF_IN_MIB(J456:M456, O455)</f>
        <v>2</v>
      </c>
      <c r="Q456" s="341"/>
    </row>
    <row r="457">
      <c r="E457" s="341"/>
      <c r="F457" s="342"/>
      <c r="G457" s="343"/>
      <c r="H457" s="629" t="s">
        <v>287</v>
      </c>
      <c r="I457" s="363" t="s">
        <v>282</v>
      </c>
      <c r="J457" s="364"/>
      <c r="K457" s="273"/>
      <c r="L457" s="273"/>
      <c r="M457" s="273" t="s">
        <v>196</v>
      </c>
      <c r="N457" s="363" t="s">
        <v>283</v>
      </c>
      <c r="O457" s="341"/>
      <c r="P457" s="375"/>
      <c r="Q457" s="341"/>
    </row>
    <row r="458">
      <c r="E458" s="341"/>
      <c r="F458" s="353"/>
      <c r="G458" s="354"/>
      <c r="H458" s="374" t="s">
        <v>289</v>
      </c>
      <c r="I458" s="363" t="s">
        <v>282</v>
      </c>
      <c r="J458" s="364"/>
      <c r="K458" s="363">
        <f t="shared" ref="K458:M458" si="82">K456/SHARDING(K457)</f>
        <v>128</v>
      </c>
      <c r="L458" s="363">
        <f t="shared" si="82"/>
        <v>4</v>
      </c>
      <c r="M458" s="363">
        <f t="shared" si="82"/>
        <v>512</v>
      </c>
      <c r="N458" s="363" t="s">
        <v>283</v>
      </c>
      <c r="O458" s="316"/>
      <c r="P458" s="375">
        <f>SIZEOF_IN_MIB(J458:M458, O455)</f>
        <v>0.25</v>
      </c>
      <c r="Q458" s="352"/>
    </row>
    <row r="459">
      <c r="E459" s="341"/>
      <c r="F459" s="630" t="s">
        <v>296</v>
      </c>
      <c r="G459" s="335"/>
      <c r="H459" s="629" t="s">
        <v>281</v>
      </c>
      <c r="I459" s="363" t="s">
        <v>282</v>
      </c>
      <c r="J459" s="364"/>
      <c r="K459" s="273" t="s">
        <v>184</v>
      </c>
      <c r="L459" s="472" t="s">
        <v>182</v>
      </c>
      <c r="M459" s="273" t="s">
        <v>178</v>
      </c>
      <c r="N459" s="363" t="s">
        <v>283</v>
      </c>
      <c r="O459" s="631" t="str">
        <f>EXTRACT_WEIGHT_DTYPE(PARAMS("moe_dtype"))</f>
        <v>fp8</v>
      </c>
      <c r="P459" s="375"/>
      <c r="Q459" s="365" t="b">
        <v>0</v>
      </c>
    </row>
    <row r="460">
      <c r="E460" s="341"/>
      <c r="F460" s="342"/>
      <c r="G460" s="343"/>
      <c r="H460" s="374" t="s">
        <v>285</v>
      </c>
      <c r="I460" s="363" t="s">
        <v>282</v>
      </c>
      <c r="J460" s="364"/>
      <c r="K460" s="363">
        <f t="shared" ref="K460:M460" si="83">PARAMS(K459)</f>
        <v>128</v>
      </c>
      <c r="L460" s="363">
        <f t="shared" si="83"/>
        <v>4096</v>
      </c>
      <c r="M460" s="363">
        <f t="shared" si="83"/>
        <v>7168</v>
      </c>
      <c r="N460" s="363" t="s">
        <v>283</v>
      </c>
      <c r="O460" s="350"/>
      <c r="P460" s="375">
        <f>SIZEOF_IN_MIB(J460:M460, O459)</f>
        <v>3584</v>
      </c>
      <c r="Q460" s="341"/>
    </row>
    <row r="461">
      <c r="E461" s="341"/>
      <c r="F461" s="342"/>
      <c r="G461" s="343"/>
      <c r="H461" s="629" t="s">
        <v>287</v>
      </c>
      <c r="I461" s="363" t="s">
        <v>282</v>
      </c>
      <c r="J461" s="364"/>
      <c r="K461" s="273"/>
      <c r="L461" s="273" t="s">
        <v>196</v>
      </c>
      <c r="M461" s="273"/>
      <c r="N461" s="363" t="s">
        <v>283</v>
      </c>
      <c r="O461" s="347"/>
      <c r="P461" s="375"/>
      <c r="Q461" s="341"/>
    </row>
    <row r="462">
      <c r="E462" s="341"/>
      <c r="F462" s="353"/>
      <c r="G462" s="354"/>
      <c r="H462" s="629" t="s">
        <v>289</v>
      </c>
      <c r="I462" s="363" t="s">
        <v>282</v>
      </c>
      <c r="J462" s="364"/>
      <c r="K462" s="363">
        <f t="shared" ref="K462:M462" si="84">K460/SHARDING(K461)</f>
        <v>128</v>
      </c>
      <c r="L462" s="363">
        <f t="shared" si="84"/>
        <v>512</v>
      </c>
      <c r="M462" s="363">
        <f t="shared" si="84"/>
        <v>7168</v>
      </c>
      <c r="N462" s="363" t="s">
        <v>283</v>
      </c>
      <c r="O462" s="316"/>
      <c r="P462" s="375">
        <f>SIZEOF_IN_MIB(J462:M462, O459)</f>
        <v>448</v>
      </c>
      <c r="Q462" s="352"/>
    </row>
    <row r="463">
      <c r="E463" s="341"/>
      <c r="F463" s="630" t="s">
        <v>56</v>
      </c>
      <c r="G463" s="335"/>
      <c r="H463" s="629" t="s">
        <v>281</v>
      </c>
      <c r="I463" s="363" t="s">
        <v>282</v>
      </c>
      <c r="J463" s="364"/>
      <c r="K463" s="273" t="s">
        <v>104</v>
      </c>
      <c r="L463" s="273" t="s">
        <v>212</v>
      </c>
      <c r="M463" s="273" t="s">
        <v>178</v>
      </c>
      <c r="N463" s="363" t="s">
        <v>283</v>
      </c>
      <c r="O463" s="674" t="s">
        <v>133</v>
      </c>
      <c r="P463" s="375"/>
      <c r="Q463" s="365" t="b">
        <v>0</v>
      </c>
    </row>
    <row r="464">
      <c r="E464" s="341"/>
      <c r="F464" s="342"/>
      <c r="G464" s="343"/>
      <c r="H464" s="374" t="s">
        <v>285</v>
      </c>
      <c r="I464" s="363" t="s">
        <v>282</v>
      </c>
      <c r="J464" s="364"/>
      <c r="K464" s="363">
        <f t="shared" ref="K464:M464" si="85">PARAMS(K463)</f>
        <v>128</v>
      </c>
      <c r="L464" s="363">
        <f t="shared" si="85"/>
        <v>4</v>
      </c>
      <c r="M464" s="363">
        <f t="shared" si="85"/>
        <v>7168</v>
      </c>
      <c r="N464" s="363" t="s">
        <v>283</v>
      </c>
      <c r="O464" s="341"/>
      <c r="P464" s="375">
        <f>SIZEOF_IN_MIB(J464:M464, O463)</f>
        <v>7</v>
      </c>
      <c r="Q464" s="341"/>
    </row>
    <row r="465">
      <c r="E465" s="341"/>
      <c r="F465" s="342"/>
      <c r="G465" s="343"/>
      <c r="H465" s="629" t="s">
        <v>287</v>
      </c>
      <c r="I465" s="363" t="s">
        <v>282</v>
      </c>
      <c r="J465" s="364"/>
      <c r="K465" s="273"/>
      <c r="L465" s="273"/>
      <c r="M465" s="273"/>
      <c r="N465" s="363" t="s">
        <v>283</v>
      </c>
      <c r="O465" s="341"/>
      <c r="P465" s="375"/>
      <c r="Q465" s="341"/>
    </row>
    <row r="466">
      <c r="E466" s="341"/>
      <c r="F466" s="353"/>
      <c r="G466" s="354"/>
      <c r="H466" s="629" t="s">
        <v>289</v>
      </c>
      <c r="I466" s="363" t="s">
        <v>282</v>
      </c>
      <c r="J466" s="363"/>
      <c r="K466" s="363">
        <f t="shared" ref="K466:M466" si="86">K464/SHARDING(K465)</f>
        <v>128</v>
      </c>
      <c r="L466" s="363">
        <f t="shared" si="86"/>
        <v>4</v>
      </c>
      <c r="M466" s="363">
        <f t="shared" si="86"/>
        <v>7168</v>
      </c>
      <c r="N466" s="363" t="s">
        <v>283</v>
      </c>
      <c r="O466" s="352"/>
      <c r="P466" s="375">
        <f>SIZEOF_IN_MIB(J466:M466, O463)</f>
        <v>7</v>
      </c>
      <c r="Q466" s="352"/>
    </row>
    <row r="467">
      <c r="E467" s="341"/>
      <c r="F467" s="370" t="s">
        <v>378</v>
      </c>
      <c r="G467" s="675" t="s">
        <v>405</v>
      </c>
      <c r="H467" s="676" t="str">
        <f>L461</f>
        <v>data,model</v>
      </c>
      <c r="I467" s="364"/>
      <c r="J467" s="11"/>
      <c r="K467" s="364"/>
      <c r="L467" s="363"/>
      <c r="M467" s="363"/>
      <c r="N467" s="363"/>
      <c r="O467" s="364"/>
      <c r="P467" s="375"/>
      <c r="Q467" s="677"/>
    </row>
    <row r="468">
      <c r="E468" s="341"/>
      <c r="F468" s="341"/>
      <c r="G468" s="678" t="s">
        <v>406</v>
      </c>
      <c r="H468" s="679" t="s">
        <v>407</v>
      </c>
      <c r="I468" s="448"/>
      <c r="J468" s="448"/>
      <c r="K468" s="448"/>
      <c r="L468" s="449"/>
      <c r="M468" s="449"/>
      <c r="N468" s="449"/>
      <c r="O468" s="448"/>
      <c r="P468" s="604"/>
      <c r="Q468" s="450"/>
    </row>
    <row r="469">
      <c r="E469" s="341"/>
      <c r="F469" s="341"/>
      <c r="G469" s="680" t="s">
        <v>306</v>
      </c>
      <c r="H469" s="374">
        <f>SHARDING(H467)</f>
        <v>8</v>
      </c>
      <c r="I469" s="364"/>
      <c r="J469" s="364"/>
      <c r="K469" s="364"/>
      <c r="L469" s="363"/>
      <c r="M469" s="363"/>
      <c r="N469" s="363"/>
      <c r="O469" s="364"/>
      <c r="P469" s="375"/>
      <c r="Q469" s="677"/>
    </row>
    <row r="470">
      <c r="E470" s="341"/>
      <c r="F470" s="341"/>
      <c r="G470" s="680" t="s">
        <v>392</v>
      </c>
      <c r="H470" s="681">
        <f>P466 / H469 * (H469-1)</f>
        <v>6.125</v>
      </c>
      <c r="I470" s="364"/>
      <c r="J470" s="364"/>
      <c r="K470" s="364"/>
      <c r="L470" s="363"/>
      <c r="M470" s="363"/>
      <c r="N470" s="363"/>
      <c r="O470" s="364"/>
      <c r="P470" s="375"/>
      <c r="Q470" s="677"/>
    </row>
    <row r="471">
      <c r="E471" s="341"/>
      <c r="F471" s="341"/>
      <c r="G471" s="680" t="s">
        <v>308</v>
      </c>
      <c r="H471" s="681">
        <f>H470*H469</f>
        <v>49</v>
      </c>
      <c r="I471" s="364"/>
      <c r="J471" s="364"/>
      <c r="K471" s="364"/>
      <c r="L471" s="363"/>
      <c r="M471" s="363"/>
      <c r="N471" s="363"/>
      <c r="O471" s="364"/>
      <c r="P471" s="375"/>
      <c r="Q471" s="677"/>
    </row>
    <row r="472">
      <c r="E472" s="341"/>
      <c r="F472" s="341"/>
      <c r="G472" s="385" t="s">
        <v>309</v>
      </c>
      <c r="H472" s="654">
        <f>IFS(H469=8,12,
H469=4,4,
H469=2,1,
TRUE,NA())</f>
        <v>12</v>
      </c>
      <c r="I472" s="11"/>
      <c r="J472" s="364"/>
      <c r="K472" s="364"/>
      <c r="L472" s="363"/>
      <c r="M472" s="363"/>
      <c r="N472" s="363"/>
      <c r="O472" s="364"/>
      <c r="P472" s="375"/>
      <c r="Q472" s="677"/>
    </row>
    <row r="473">
      <c r="E473" s="341"/>
      <c r="F473" s="341"/>
      <c r="G473" s="682" t="s">
        <v>340</v>
      </c>
      <c r="H473" s="683">
        <f>ALL_REDUCE_CHIP2CHIP_TIME_MS(H471,H472)</f>
        <v>0.004430700231</v>
      </c>
      <c r="I473" s="364"/>
      <c r="J473" s="364"/>
      <c r="K473" s="364"/>
      <c r="L473" s="363"/>
      <c r="M473" s="363"/>
      <c r="N473" s="363"/>
      <c r="O473" s="364"/>
      <c r="P473" s="375"/>
      <c r="Q473" s="677"/>
    </row>
    <row r="474">
      <c r="E474" s="341"/>
      <c r="F474" s="341"/>
      <c r="G474" s="682"/>
      <c r="H474" s="683"/>
      <c r="I474" s="364"/>
      <c r="J474" s="364"/>
      <c r="K474" s="364"/>
      <c r="L474" s="363"/>
      <c r="M474" s="363"/>
      <c r="N474" s="363"/>
      <c r="O474" s="364"/>
      <c r="P474" s="375"/>
      <c r="Q474" s="677"/>
    </row>
    <row r="475">
      <c r="E475" s="341"/>
      <c r="F475" s="341"/>
      <c r="G475" s="678" t="s">
        <v>408</v>
      </c>
      <c r="H475" s="684" t="s">
        <v>409</v>
      </c>
      <c r="I475" s="448"/>
      <c r="J475" s="448"/>
      <c r="K475" s="448"/>
      <c r="L475" s="449"/>
      <c r="M475" s="449"/>
      <c r="N475" s="449"/>
      <c r="O475" s="448"/>
      <c r="P475" s="604"/>
      <c r="Q475" s="450"/>
    </row>
    <row r="476">
      <c r="E476" s="341"/>
      <c r="F476" s="341"/>
      <c r="G476" s="8" t="s">
        <v>340</v>
      </c>
      <c r="H476" s="670">
        <f>0</f>
        <v>0</v>
      </c>
      <c r="I476" s="364"/>
      <c r="J476" s="364"/>
      <c r="K476" s="364"/>
      <c r="L476" s="363"/>
      <c r="M476" s="363"/>
      <c r="N476" s="363"/>
      <c r="O476" s="364"/>
      <c r="P476" s="375"/>
      <c r="Q476" s="677"/>
    </row>
    <row r="477">
      <c r="E477" s="341"/>
      <c r="F477" s="341"/>
      <c r="G477" s="8"/>
      <c r="H477" s="670"/>
      <c r="I477" s="364"/>
      <c r="J477" s="364"/>
      <c r="K477" s="364"/>
      <c r="L477" s="363"/>
      <c r="M477" s="363"/>
      <c r="N477" s="363"/>
      <c r="O477" s="364"/>
      <c r="P477" s="375"/>
      <c r="Q477" s="677"/>
    </row>
    <row r="478">
      <c r="E478" s="341"/>
      <c r="F478" s="341"/>
      <c r="G478" s="591" t="s">
        <v>393</v>
      </c>
      <c r="H478" s="685" t="s">
        <v>408</v>
      </c>
      <c r="I478" s="448"/>
      <c r="J478" s="448"/>
      <c r="K478" s="448"/>
      <c r="L478" s="449"/>
      <c r="M478" s="449"/>
      <c r="N478" s="449"/>
      <c r="O478" s="448"/>
      <c r="P478" s="604"/>
      <c r="Q478" s="450"/>
    </row>
    <row r="479">
      <c r="E479" s="341"/>
      <c r="F479" s="352"/>
      <c r="G479" s="669" t="s">
        <v>340</v>
      </c>
      <c r="H479" s="670">
        <f>IFS(H478=G468,H473,H478=G475,H476,TRUE,0)</f>
        <v>0</v>
      </c>
      <c r="I479" s="686"/>
      <c r="J479" s="364"/>
      <c r="K479" s="364"/>
      <c r="L479" s="363"/>
      <c r="M479" s="363"/>
      <c r="N479" s="363"/>
      <c r="O479" s="364"/>
      <c r="P479" s="375"/>
      <c r="Q479" s="677"/>
    </row>
    <row r="480">
      <c r="E480" s="341"/>
      <c r="F480" s="609" t="s">
        <v>327</v>
      </c>
      <c r="G480" s="601" t="s">
        <v>328</v>
      </c>
      <c r="H480" s="663" t="str">
        <f>VLOOKUP(O455&amp;","&amp;O459,$T$3:$W$12,4, FALSE)</f>
        <v>fp8</v>
      </c>
      <c r="I480" s="460"/>
      <c r="J480" s="454"/>
      <c r="K480" s="454"/>
      <c r="L480" s="455"/>
      <c r="M480" s="455"/>
      <c r="N480" s="455"/>
      <c r="O480" s="454"/>
      <c r="P480" s="468"/>
      <c r="Q480" s="11"/>
    </row>
    <row r="481">
      <c r="E481" s="341"/>
      <c r="F481" s="341"/>
      <c r="G481" s="601" t="s">
        <v>397</v>
      </c>
      <c r="H481" s="601">
        <v>128.0</v>
      </c>
      <c r="I481" s="460"/>
      <c r="J481" s="454"/>
      <c r="K481" s="454"/>
      <c r="L481" s="455"/>
      <c r="M481" s="455"/>
      <c r="N481" s="455"/>
      <c r="O481" s="454"/>
      <c r="P481" s="468"/>
      <c r="Q481" s="11"/>
    </row>
    <row r="482">
      <c r="E482" s="341"/>
      <c r="F482" s="341"/>
      <c r="G482" s="601" t="s">
        <v>398</v>
      </c>
      <c r="H482" s="667">
        <f t="array" ref="H482">CALCULATE_FLOPS(HSTACK(H481,M458),J462:M462,L462,K462,H480)</f>
        <v>939524096</v>
      </c>
      <c r="I482" s="460"/>
      <c r="J482" s="454"/>
      <c r="K482" s="454"/>
      <c r="L482" s="455"/>
      <c r="M482" s="455"/>
      <c r="N482" s="455"/>
      <c r="O482" s="454"/>
      <c r="P482" s="468"/>
      <c r="Q482" s="11"/>
    </row>
    <row r="483">
      <c r="E483" s="341"/>
      <c r="F483" s="341"/>
      <c r="G483" s="601" t="s">
        <v>399</v>
      </c>
      <c r="H483" s="601">
        <f>CEILING(PRODUCT(K458:L458)/H481,1)</f>
        <v>4</v>
      </c>
      <c r="I483" s="460"/>
      <c r="J483" s="454"/>
      <c r="K483" s="454"/>
      <c r="L483" s="455"/>
      <c r="M483" s="455"/>
      <c r="N483" s="455"/>
      <c r="O483" s="454"/>
      <c r="P483" s="468"/>
      <c r="Q483" s="11"/>
    </row>
    <row r="484">
      <c r="E484" s="341"/>
      <c r="F484" s="341"/>
      <c r="G484" s="601" t="s">
        <v>400</v>
      </c>
      <c r="H484" s="601">
        <f>PARAMS("E")/SHARDING(K461)</f>
        <v>128</v>
      </c>
      <c r="I484" s="460"/>
      <c r="J484" s="454"/>
      <c r="K484" s="454"/>
      <c r="L484" s="455"/>
      <c r="M484" s="455"/>
      <c r="N484" s="455"/>
      <c r="O484" s="454"/>
      <c r="P484" s="468"/>
      <c r="Q484" s="11"/>
    </row>
    <row r="485">
      <c r="E485" s="341"/>
      <c r="F485" s="341"/>
      <c r="G485" s="601" t="s">
        <v>410</v>
      </c>
      <c r="H485" s="663">
        <f>H483 + IF(PARAMS("enforce_perfect_expert_routing"),0,H484-1)</f>
        <v>4</v>
      </c>
      <c r="I485" s="666" t="s">
        <v>402</v>
      </c>
      <c r="J485" s="454"/>
      <c r="K485" s="454"/>
      <c r="L485" s="455"/>
      <c r="M485" s="455"/>
      <c r="N485" s="455"/>
      <c r="O485" s="454"/>
      <c r="P485" s="468"/>
      <c r="Q485" s="11"/>
    </row>
    <row r="486">
      <c r="E486" s="341"/>
      <c r="F486" s="341"/>
      <c r="G486" s="601" t="s">
        <v>341</v>
      </c>
      <c r="H486" s="667">
        <f>H482*H485</f>
        <v>3758096384</v>
      </c>
      <c r="I486" s="460"/>
      <c r="J486" s="454"/>
      <c r="K486" s="454"/>
      <c r="L486" s="455"/>
      <c r="M486" s="455"/>
      <c r="N486" s="455"/>
      <c r="O486" s="454"/>
      <c r="P486" s="468"/>
      <c r="Q486" s="11"/>
    </row>
    <row r="487">
      <c r="E487" s="341"/>
      <c r="F487" s="341"/>
      <c r="G487" s="663" t="s">
        <v>341</v>
      </c>
      <c r="H487" s="687">
        <f>H482*H485</f>
        <v>3758096384</v>
      </c>
      <c r="I487" s="492"/>
      <c r="J487" s="336"/>
      <c r="K487" s="336"/>
      <c r="L487" s="349"/>
      <c r="M487" s="349"/>
      <c r="N487" s="349"/>
      <c r="O487" s="336"/>
      <c r="P487" s="377"/>
      <c r="Q487" s="298"/>
    </row>
    <row r="488">
      <c r="E488" s="341"/>
      <c r="F488" s="352"/>
      <c r="G488" s="669" t="s">
        <v>330</v>
      </c>
      <c r="H488" s="688">
        <f>COMPUTE_TIME_MS(H487, H480)</f>
        <v>0.001002159036</v>
      </c>
      <c r="I488" s="464"/>
      <c r="J488" s="465"/>
      <c r="K488" s="465"/>
      <c r="L488" s="466"/>
      <c r="M488" s="466"/>
      <c r="N488" s="466"/>
      <c r="O488" s="465"/>
      <c r="P488" s="671"/>
      <c r="Q488" s="379"/>
    </row>
    <row r="489">
      <c r="E489" s="341"/>
      <c r="F489" s="609" t="s">
        <v>331</v>
      </c>
      <c r="G489" s="663" t="s">
        <v>332</v>
      </c>
      <c r="H489" s="689">
        <f>IF(Q455,0,P458)+IF(Q459,0,P462)+IF(Q463,0,P466)</f>
        <v>455.25</v>
      </c>
      <c r="I489" s="336"/>
      <c r="J489" s="336"/>
      <c r="K489" s="336"/>
      <c r="L489" s="349"/>
      <c r="M489" s="349"/>
      <c r="N489" s="349"/>
      <c r="O489" s="336"/>
      <c r="P489" s="377"/>
      <c r="Q489" s="298"/>
    </row>
    <row r="490">
      <c r="E490" s="352"/>
      <c r="F490" s="352"/>
      <c r="G490" s="673" t="s">
        <v>333</v>
      </c>
      <c r="H490" s="690">
        <f>HBM_TIME_MS(H489)</f>
        <v>0.06174723307</v>
      </c>
      <c r="I490" s="465"/>
      <c r="J490" s="465"/>
      <c r="K490" s="465"/>
      <c r="L490" s="466"/>
      <c r="M490" s="466"/>
      <c r="N490" s="466"/>
      <c r="O490" s="465"/>
      <c r="P490" s="671"/>
      <c r="Q490" s="379"/>
    </row>
    <row r="491">
      <c r="E491" s="333" t="s">
        <v>411</v>
      </c>
      <c r="F491" s="691" t="s">
        <v>412</v>
      </c>
      <c r="G491" s="371" t="s">
        <v>301</v>
      </c>
      <c r="H491" s="531" t="s">
        <v>281</v>
      </c>
      <c r="I491" s="336" t="s">
        <v>282</v>
      </c>
      <c r="J491" s="337"/>
      <c r="K491" s="337" t="s">
        <v>104</v>
      </c>
      <c r="L491" s="337" t="s">
        <v>212</v>
      </c>
      <c r="M491" s="499" t="s">
        <v>178</v>
      </c>
      <c r="N491" s="336" t="s">
        <v>283</v>
      </c>
      <c r="O491" s="338" t="str">
        <f>PARAMS("expert_collect_dtype")</f>
        <v>bf16</v>
      </c>
      <c r="P491" s="377"/>
      <c r="Q491" s="337"/>
    </row>
    <row r="492">
      <c r="E492" s="341"/>
      <c r="F492" s="341"/>
      <c r="G492" s="341"/>
      <c r="H492" s="378" t="s">
        <v>285</v>
      </c>
      <c r="I492" s="345" t="s">
        <v>282</v>
      </c>
      <c r="J492" s="346"/>
      <c r="K492" s="345">
        <f t="shared" ref="K492:M492" si="87">PARAMS(K491)</f>
        <v>128</v>
      </c>
      <c r="L492" s="345">
        <f t="shared" si="87"/>
        <v>4</v>
      </c>
      <c r="M492" s="345">
        <f t="shared" si="87"/>
        <v>7168</v>
      </c>
      <c r="N492" s="345" t="s">
        <v>283</v>
      </c>
      <c r="O492" s="347"/>
      <c r="P492" s="509">
        <f>SIZEOF_IN_MIB(J492:M492, O491)</f>
        <v>7</v>
      </c>
      <c r="Q492" s="344"/>
    </row>
    <row r="493">
      <c r="E493" s="341"/>
      <c r="F493" s="341"/>
      <c r="G493" s="341"/>
      <c r="H493" s="376" t="s">
        <v>287</v>
      </c>
      <c r="I493" s="349" t="s">
        <v>282</v>
      </c>
      <c r="J493" s="336"/>
      <c r="K493" s="337" t="s">
        <v>196</v>
      </c>
      <c r="L493" s="337"/>
      <c r="M493" s="337"/>
      <c r="N493" s="349" t="s">
        <v>283</v>
      </c>
      <c r="O493" s="350"/>
      <c r="P493" s="377"/>
      <c r="Q493" s="337"/>
    </row>
    <row r="494">
      <c r="E494" s="341"/>
      <c r="F494" s="341"/>
      <c r="G494" s="341"/>
      <c r="H494" s="378" t="s">
        <v>289</v>
      </c>
      <c r="I494" s="346" t="s">
        <v>282</v>
      </c>
      <c r="J494" s="345"/>
      <c r="K494" s="346">
        <f t="shared" ref="K494:M494" si="88">K492/SHARDING(K493)</f>
        <v>16</v>
      </c>
      <c r="L494" s="346">
        <f t="shared" si="88"/>
        <v>4</v>
      </c>
      <c r="M494" s="346">
        <f t="shared" si="88"/>
        <v>7168</v>
      </c>
      <c r="N494" s="346" t="s">
        <v>283</v>
      </c>
      <c r="O494" s="355"/>
      <c r="P494" s="509">
        <f>SIZEOF_IN_MIB(J494:M494, O491)</f>
        <v>0.875</v>
      </c>
      <c r="Q494" s="344"/>
    </row>
    <row r="495">
      <c r="E495" s="341"/>
      <c r="F495" s="341"/>
      <c r="G495" s="352"/>
      <c r="H495" s="376" t="s">
        <v>304</v>
      </c>
      <c r="I495" s="349"/>
      <c r="J495" s="336"/>
      <c r="K495" s="337" t="s">
        <v>196</v>
      </c>
      <c r="L495" s="349"/>
      <c r="M495" s="349"/>
      <c r="N495" s="349"/>
      <c r="O495" s="337"/>
      <c r="P495" s="377"/>
      <c r="Q495" s="337"/>
    </row>
    <row r="496">
      <c r="E496" s="341"/>
      <c r="F496" s="341"/>
      <c r="G496" s="692" t="s">
        <v>413</v>
      </c>
      <c r="H496" s="693" t="s">
        <v>414</v>
      </c>
      <c r="I496" s="379"/>
      <c r="J496" s="634">
        <f>SHARDING(K493)*SHARDING(L493)/HW_SPEC("# of TensorCore per Chip")</f>
        <v>8</v>
      </c>
      <c r="K496" s="346"/>
      <c r="L496" s="346"/>
      <c r="M496" s="346"/>
      <c r="N496" s="346"/>
      <c r="O496" s="344"/>
      <c r="P496" s="509"/>
      <c r="Q496" s="344"/>
    </row>
    <row r="497">
      <c r="E497" s="341"/>
      <c r="F497" s="341"/>
      <c r="H497" s="694" t="s">
        <v>365</v>
      </c>
      <c r="I497" s="298"/>
      <c r="J497" s="695">
        <f>vlookup(J496, DB!$A$26:$D$31, 3, FALSE)</f>
        <v>4</v>
      </c>
      <c r="K497" s="349"/>
      <c r="L497" s="349"/>
      <c r="M497" s="349"/>
      <c r="N497" s="349"/>
      <c r="O497" s="337"/>
      <c r="P497" s="377"/>
      <c r="Q497" s="337"/>
    </row>
    <row r="498">
      <c r="E498" s="341"/>
      <c r="F498" s="341"/>
      <c r="H498" s="696" t="s">
        <v>366</v>
      </c>
      <c r="I498" s="697"/>
      <c r="J498" s="698">
        <f>COLLECTIVE_TIME_GPU("GB200", "ALL_TO_ALL", J496, P494*1024*1024)/1000</f>
        <v>0.0184675</v>
      </c>
      <c r="K498" s="346"/>
      <c r="L498" s="346"/>
      <c r="M498" s="346"/>
      <c r="N498" s="346"/>
      <c r="O498" s="344"/>
      <c r="P498" s="509"/>
      <c r="Q498" s="344"/>
    </row>
    <row r="499">
      <c r="E499" s="341"/>
      <c r="F499" s="341"/>
      <c r="H499" s="300" t="s">
        <v>311</v>
      </c>
      <c r="I499" s="298"/>
      <c r="J499" s="699">
        <f>IF(PARAMS("use_nccl_lookup")=TRUE, J498, ALL2ALL_CHIP2CHIP_TIME_MS(P492,J497))</f>
        <v>0.0184675</v>
      </c>
      <c r="K499" s="349"/>
      <c r="L499" s="349"/>
      <c r="M499" s="349"/>
      <c r="N499" s="349"/>
      <c r="O499" s="337"/>
      <c r="P499" s="377"/>
      <c r="Q499" s="337"/>
      <c r="T499" s="700"/>
    </row>
    <row r="500">
      <c r="E500" s="341"/>
      <c r="F500" s="341"/>
      <c r="G500" s="408" t="s">
        <v>415</v>
      </c>
      <c r="H500" s="398" t="s">
        <v>306</v>
      </c>
      <c r="I500" s="379"/>
      <c r="J500" s="701">
        <f>HW_SPEC("# of TensorCore per Chip")</f>
        <v>1</v>
      </c>
      <c r="K500" s="346"/>
      <c r="L500" s="346"/>
      <c r="M500" s="346"/>
      <c r="N500" s="346"/>
      <c r="O500" s="344"/>
      <c r="P500" s="509"/>
      <c r="Q500" s="344"/>
    </row>
    <row r="501">
      <c r="E501" s="341"/>
      <c r="F501" s="341"/>
      <c r="G501" s="341"/>
      <c r="H501" s="300" t="s">
        <v>416</v>
      </c>
      <c r="I501" s="298"/>
      <c r="J501" s="598">
        <f>P494 /J496 * (J500-1)</f>
        <v>0</v>
      </c>
      <c r="K501" s="349"/>
      <c r="L501" s="349"/>
      <c r="M501" s="349"/>
      <c r="N501" s="349"/>
      <c r="O501" s="337"/>
      <c r="P501" s="377"/>
      <c r="Q501" s="337"/>
    </row>
    <row r="502">
      <c r="E502" s="341"/>
      <c r="F502" s="341"/>
      <c r="G502" s="341"/>
      <c r="H502" s="398" t="s">
        <v>384</v>
      </c>
      <c r="I502" s="379"/>
      <c r="J502" s="596">
        <f>J501*J500</f>
        <v>0</v>
      </c>
      <c r="K502" s="346"/>
      <c r="L502" s="346"/>
      <c r="M502" s="346"/>
      <c r="N502" s="346"/>
      <c r="O502" s="344"/>
      <c r="P502" s="509"/>
      <c r="Q502" s="344"/>
    </row>
    <row r="503">
      <c r="E503" s="341"/>
      <c r="F503" s="341"/>
      <c r="G503" s="352"/>
      <c r="H503" s="300" t="s">
        <v>311</v>
      </c>
      <c r="I503" s="298"/>
      <c r="J503" s="298">
        <f>ALL2ALL_CORE2CORE_TIME_MS(J502)</f>
        <v>0</v>
      </c>
      <c r="K503" s="349"/>
      <c r="L503" s="349"/>
      <c r="M503" s="349"/>
      <c r="N503" s="349"/>
      <c r="O503" s="337"/>
      <c r="P503" s="377"/>
      <c r="Q503" s="337"/>
    </row>
    <row r="504">
      <c r="E504" s="341"/>
      <c r="F504" s="352"/>
      <c r="G504" s="594" t="s">
        <v>311</v>
      </c>
      <c r="H504" s="646">
        <f>J499+J503</f>
        <v>0.0184675</v>
      </c>
      <c r="I504" s="346"/>
      <c r="J504" s="345"/>
      <c r="K504" s="346"/>
      <c r="L504" s="346"/>
      <c r="M504" s="346"/>
      <c r="N504" s="346"/>
      <c r="O504" s="344"/>
      <c r="P504" s="509"/>
      <c r="Q504" s="344"/>
    </row>
    <row r="505">
      <c r="E505" s="341"/>
      <c r="F505" s="702" t="s">
        <v>417</v>
      </c>
      <c r="G505" s="661" t="s">
        <v>169</v>
      </c>
      <c r="H505" s="703" t="s">
        <v>418</v>
      </c>
      <c r="I505" s="336"/>
      <c r="J505" s="337"/>
      <c r="K505" s="337"/>
      <c r="L505" s="337"/>
      <c r="M505" s="337"/>
      <c r="N505" s="349"/>
      <c r="O505" s="337"/>
      <c r="P505" s="377"/>
      <c r="Q505" s="337"/>
    </row>
    <row r="506">
      <c r="E506" s="341"/>
      <c r="F506" s="341"/>
      <c r="G506" s="371" t="s">
        <v>301</v>
      </c>
      <c r="H506" s="529" t="s">
        <v>281</v>
      </c>
      <c r="I506" s="345" t="s">
        <v>282</v>
      </c>
      <c r="J506" s="344"/>
      <c r="K506" s="344" t="s">
        <v>104</v>
      </c>
      <c r="L506" s="344" t="s">
        <v>102</v>
      </c>
      <c r="M506" s="344" t="s">
        <v>178</v>
      </c>
      <c r="N506" s="346"/>
      <c r="O506" s="473" t="str">
        <f>PARAMS("expert_collect_dtype")</f>
        <v>bf16</v>
      </c>
      <c r="P506" s="509"/>
      <c r="Q506" s="344"/>
    </row>
    <row r="507">
      <c r="E507" s="341"/>
      <c r="F507" s="341"/>
      <c r="G507" s="341"/>
      <c r="H507" s="376" t="s">
        <v>285</v>
      </c>
      <c r="I507" s="336" t="s">
        <v>282</v>
      </c>
      <c r="J507" s="349"/>
      <c r="K507" s="336">
        <f t="shared" ref="K507:M507" si="89">PARAMS(K506)</f>
        <v>128</v>
      </c>
      <c r="L507" s="336">
        <f t="shared" si="89"/>
        <v>1</v>
      </c>
      <c r="M507" s="336">
        <f t="shared" si="89"/>
        <v>7168</v>
      </c>
      <c r="N507" s="349"/>
      <c r="O507" s="350"/>
      <c r="P507" s="377">
        <f>SIZEOF_IN_MIB(J507:M507, O506)</f>
        <v>1.75</v>
      </c>
      <c r="Q507" s="337"/>
    </row>
    <row r="508">
      <c r="E508" s="341"/>
      <c r="F508" s="341"/>
      <c r="G508" s="341"/>
      <c r="H508" s="517" t="s">
        <v>287</v>
      </c>
      <c r="I508" s="346" t="s">
        <v>282</v>
      </c>
      <c r="J508" s="345"/>
      <c r="K508" s="344"/>
      <c r="L508" s="344"/>
      <c r="M508" s="344"/>
      <c r="N508" s="346"/>
      <c r="O508" s="347"/>
      <c r="P508" s="509"/>
      <c r="Q508" s="344"/>
    </row>
    <row r="509">
      <c r="E509" s="341"/>
      <c r="F509" s="341"/>
      <c r="G509" s="341"/>
      <c r="H509" s="374" t="s">
        <v>289</v>
      </c>
      <c r="I509" s="363" t="s">
        <v>282</v>
      </c>
      <c r="J509" s="364"/>
      <c r="K509" s="363">
        <f t="shared" ref="K509:M509" si="90">K507/SHARDING(K508)</f>
        <v>128</v>
      </c>
      <c r="L509" s="363">
        <f t="shared" si="90"/>
        <v>1</v>
      </c>
      <c r="M509" s="363">
        <f t="shared" si="90"/>
        <v>7168</v>
      </c>
      <c r="N509" s="363"/>
      <c r="O509" s="352"/>
      <c r="P509" s="375">
        <f>SIZEOF_IN_MIB(J509:M509, O506)</f>
        <v>1.75</v>
      </c>
      <c r="Q509" s="273"/>
    </row>
    <row r="510">
      <c r="E510" s="341"/>
      <c r="F510" s="341"/>
      <c r="G510" s="352"/>
      <c r="H510" s="704" t="s">
        <v>419</v>
      </c>
      <c r="I510" s="705"/>
      <c r="J510" s="273"/>
      <c r="K510" s="363"/>
      <c r="L510" s="363"/>
      <c r="M510" s="363"/>
      <c r="N510" s="363"/>
      <c r="O510" s="273"/>
      <c r="P510" s="706"/>
      <c r="Q510" s="273"/>
    </row>
    <row r="511">
      <c r="E511" s="341"/>
      <c r="F511" s="341"/>
      <c r="G511" s="385" t="s">
        <v>306</v>
      </c>
      <c r="H511" s="707">
        <f>SHARDING(J510) * SHARDING(H467)</f>
        <v>8</v>
      </c>
      <c r="I511" s="363"/>
      <c r="J511" s="364"/>
      <c r="K511" s="363"/>
      <c r="L511" s="363"/>
      <c r="M511" s="363"/>
      <c r="N511" s="363"/>
      <c r="O511" s="273"/>
      <c r="P511" s="706"/>
      <c r="Q511" s="273"/>
    </row>
    <row r="512">
      <c r="E512" s="341"/>
      <c r="F512" s="341"/>
      <c r="G512" s="594" t="s">
        <v>383</v>
      </c>
      <c r="H512" s="652">
        <f>P509 / H511 * (H511-1)</f>
        <v>1.53125</v>
      </c>
      <c r="I512" s="363"/>
      <c r="J512" s="364"/>
      <c r="K512" s="363"/>
      <c r="L512" s="363"/>
      <c r="M512" s="363"/>
      <c r="N512" s="363"/>
      <c r="O512" s="273"/>
      <c r="P512" s="706"/>
      <c r="Q512" s="273"/>
    </row>
    <row r="513">
      <c r="E513" s="341"/>
      <c r="F513" s="341"/>
      <c r="G513" s="594" t="s">
        <v>384</v>
      </c>
      <c r="H513" s="708">
        <f>H512*H511</f>
        <v>12.25</v>
      </c>
      <c r="I513" s="601"/>
      <c r="J513" s="364"/>
      <c r="K513" s="363"/>
      <c r="L513" s="363"/>
      <c r="M513" s="363"/>
      <c r="N513" s="363"/>
      <c r="O513" s="273"/>
      <c r="P513" s="706"/>
      <c r="Q513" s="273"/>
    </row>
    <row r="514">
      <c r="E514" s="341"/>
      <c r="F514" s="341"/>
      <c r="G514" s="594" t="s">
        <v>420</v>
      </c>
      <c r="H514" s="709">
        <f>HW_SPEC("# of TensorCore per Chip")</f>
        <v>1</v>
      </c>
      <c r="I514" s="703" t="s">
        <v>421</v>
      </c>
      <c r="J514" s="336"/>
      <c r="K514" s="349"/>
      <c r="L514" s="349"/>
      <c r="M514" s="349"/>
      <c r="N514" s="349"/>
      <c r="O514" s="337"/>
      <c r="P514" s="710"/>
      <c r="Q514" s="337"/>
    </row>
    <row r="515">
      <c r="E515" s="341"/>
      <c r="F515" s="341"/>
      <c r="G515" s="385" t="s">
        <v>309</v>
      </c>
      <c r="H515" s="410">
        <f>IFS(H511=8,12,
H511=4,4,
H511=2,1,
TRUE,NA())</f>
        <v>12</v>
      </c>
      <c r="I515" s="711"/>
      <c r="J515" s="345"/>
      <c r="K515" s="346"/>
      <c r="L515" s="346"/>
      <c r="M515" s="346"/>
      <c r="N515" s="346"/>
      <c r="O515" s="344"/>
      <c r="P515" s="712"/>
      <c r="Q515" s="344"/>
    </row>
    <row r="516">
      <c r="E516" s="341"/>
      <c r="F516" s="341"/>
      <c r="G516" s="594" t="s">
        <v>422</v>
      </c>
      <c r="H516" s="643">
        <f>COLLECTIVE_TIME_GPU("GB200", "REDUCE_SCATTER", H511, P507*1024*1024)/1000</f>
        <v>0.02416</v>
      </c>
      <c r="I516" s="602"/>
      <c r="J516" s="336"/>
      <c r="K516" s="349"/>
      <c r="L516" s="349"/>
      <c r="M516" s="349"/>
      <c r="N516" s="349"/>
      <c r="O516" s="337"/>
      <c r="P516" s="710"/>
      <c r="Q516" s="337"/>
    </row>
    <row r="517">
      <c r="E517" s="341"/>
      <c r="F517" s="352"/>
      <c r="G517" s="594" t="s">
        <v>423</v>
      </c>
      <c r="H517" s="646">
        <f>IF(PARAMS("use_nccl_lookup")=TRUE, H516, REDUCE_SCATTER_CHIP2CHIP_TIME_MS2(H513*H514,H515))</f>
        <v>0.02416</v>
      </c>
      <c r="I517" s="517"/>
      <c r="J517" s="345"/>
      <c r="K517" s="346"/>
      <c r="L517" s="346"/>
      <c r="M517" s="346"/>
      <c r="N517" s="346"/>
      <c r="O517" s="344"/>
      <c r="P517" s="712"/>
      <c r="Q517" s="344"/>
    </row>
    <row r="518">
      <c r="E518" s="341"/>
      <c r="F518" s="702" t="s">
        <v>119</v>
      </c>
      <c r="G518" s="713" t="s">
        <v>169</v>
      </c>
      <c r="H518" s="300" t="s">
        <v>424</v>
      </c>
      <c r="I518" s="337"/>
      <c r="J518" s="336"/>
      <c r="K518" s="337"/>
      <c r="L518" s="499"/>
      <c r="M518" s="337"/>
      <c r="N518" s="349"/>
      <c r="O518" s="337"/>
      <c r="P518" s="377"/>
      <c r="Q518" s="337"/>
    </row>
    <row r="519">
      <c r="E519" s="341"/>
      <c r="F519" s="341"/>
      <c r="G519" s="609" t="s">
        <v>301</v>
      </c>
      <c r="H519" s="517" t="s">
        <v>281</v>
      </c>
      <c r="I519" s="517"/>
      <c r="J519" s="345"/>
      <c r="K519" s="344" t="s">
        <v>104</v>
      </c>
      <c r="L519" s="556" t="s">
        <v>102</v>
      </c>
      <c r="M519" s="344" t="s">
        <v>178</v>
      </c>
      <c r="N519" s="346"/>
      <c r="O519" s="473" t="str">
        <f>PARAMS("expert_collect_dtype")</f>
        <v>bf16</v>
      </c>
      <c r="P519" s="509"/>
      <c r="Q519" s="344"/>
    </row>
    <row r="520">
      <c r="E520" s="341"/>
      <c r="F520" s="341"/>
      <c r="G520" s="341"/>
      <c r="H520" s="376" t="s">
        <v>285</v>
      </c>
      <c r="I520" s="376"/>
      <c r="J520" s="336"/>
      <c r="K520" s="349">
        <f t="shared" ref="K520:M520" si="91">PARAMS(K519)</f>
        <v>128</v>
      </c>
      <c r="L520" s="349">
        <f t="shared" si="91"/>
        <v>1</v>
      </c>
      <c r="M520" s="349">
        <f t="shared" si="91"/>
        <v>7168</v>
      </c>
      <c r="N520" s="349"/>
      <c r="O520" s="350"/>
      <c r="P520" s="377">
        <f>SIZEOF_IN_MIB(J520:M520, O519)</f>
        <v>1.75</v>
      </c>
      <c r="Q520" s="337"/>
    </row>
    <row r="521">
      <c r="E521" s="341"/>
      <c r="F521" s="341"/>
      <c r="G521" s="341"/>
      <c r="H521" s="517" t="s">
        <v>287</v>
      </c>
      <c r="I521" s="517"/>
      <c r="J521" s="345"/>
      <c r="K521" s="344"/>
      <c r="L521" s="344"/>
      <c r="M521" s="344"/>
      <c r="N521" s="346"/>
      <c r="O521" s="347"/>
      <c r="P521" s="509"/>
      <c r="Q521" s="344"/>
    </row>
    <row r="522">
      <c r="E522" s="341"/>
      <c r="F522" s="341"/>
      <c r="G522" s="341"/>
      <c r="H522" s="602" t="s">
        <v>289</v>
      </c>
      <c r="I522" s="602"/>
      <c r="J522" s="336"/>
      <c r="K522" s="349">
        <f t="shared" ref="K522:M522" si="92">K520/SHARDING(K521)</f>
        <v>128</v>
      </c>
      <c r="L522" s="349">
        <f t="shared" si="92"/>
        <v>1</v>
      </c>
      <c r="M522" s="349">
        <f t="shared" si="92"/>
        <v>7168</v>
      </c>
      <c r="N522" s="349"/>
      <c r="O522" s="316"/>
      <c r="P522" s="377">
        <f>SIZEOF_IN_MIB(J522:M522, O519)</f>
        <v>1.75</v>
      </c>
      <c r="Q522" s="337"/>
    </row>
    <row r="523">
      <c r="E523" s="341"/>
      <c r="F523" s="341"/>
      <c r="G523" s="352"/>
      <c r="H523" s="634" t="s">
        <v>419</v>
      </c>
      <c r="I523" s="378"/>
      <c r="J523" s="634"/>
      <c r="K523" s="345"/>
      <c r="L523" s="344"/>
      <c r="M523" s="346"/>
      <c r="N523" s="346"/>
      <c r="O523" s="344"/>
      <c r="P523" s="509"/>
      <c r="Q523" s="344"/>
    </row>
    <row r="524">
      <c r="E524" s="341"/>
      <c r="F524" s="341"/>
      <c r="G524" s="458" t="s">
        <v>425</v>
      </c>
      <c r="H524" s="293" t="s">
        <v>306</v>
      </c>
      <c r="I524" s="298"/>
      <c r="J524" s="714">
        <f>SHARDING(J523)*SHARDING(H467)/HW_SPEC("# of TensorCore per Chip")</f>
        <v>8</v>
      </c>
      <c r="K524" s="336"/>
      <c r="L524" s="337"/>
      <c r="M524" s="349"/>
      <c r="N524" s="349"/>
      <c r="O524" s="337"/>
      <c r="P524" s="377"/>
      <c r="Q524" s="337"/>
    </row>
    <row r="525">
      <c r="E525" s="341"/>
      <c r="F525" s="341"/>
      <c r="G525" s="341"/>
      <c r="H525" s="634" t="s">
        <v>426</v>
      </c>
      <c r="I525" s="379"/>
      <c r="J525" s="715">
        <f>P522 / J524 * (J524-1)</f>
        <v>1.53125</v>
      </c>
      <c r="K525" s="345"/>
      <c r="L525" s="344"/>
      <c r="M525" s="346"/>
      <c r="N525" s="346"/>
      <c r="O525" s="344"/>
      <c r="P525" s="509"/>
      <c r="Q525" s="344"/>
    </row>
    <row r="526">
      <c r="E526" s="341"/>
      <c r="F526" s="341"/>
      <c r="G526" s="341"/>
      <c r="H526" s="639" t="s">
        <v>384</v>
      </c>
      <c r="I526" s="298"/>
      <c r="J526" s="716">
        <f>J525*J524</f>
        <v>12.25</v>
      </c>
      <c r="K526" s="336"/>
      <c r="L526" s="337"/>
      <c r="M526" s="349"/>
      <c r="N526" s="349"/>
      <c r="O526" s="337"/>
      <c r="P526" s="377"/>
      <c r="Q526" s="337"/>
    </row>
    <row r="527">
      <c r="E527" s="341"/>
      <c r="F527" s="341"/>
      <c r="G527" s="341"/>
      <c r="H527" s="634" t="s">
        <v>309</v>
      </c>
      <c r="I527" s="379"/>
      <c r="J527" s="595">
        <f>vlookup(J524, DB!$A$26:$G$31, 6, False)</f>
        <v>12</v>
      </c>
      <c r="K527" s="345"/>
      <c r="L527" s="344"/>
      <c r="M527" s="346"/>
      <c r="N527" s="346"/>
      <c r="O527" s="344"/>
      <c r="P527" s="509"/>
      <c r="Q527" s="344"/>
    </row>
    <row r="528">
      <c r="E528" s="341"/>
      <c r="F528" s="341"/>
      <c r="G528" s="352"/>
      <c r="H528" s="639" t="s">
        <v>311</v>
      </c>
      <c r="I528" s="298"/>
      <c r="J528" s="597">
        <f>IF(J526=0,0, REDUCE_SCATTER_CHIP2CHIP_TIME_MS2(J526,J527))</f>
        <v>0.0005538375289</v>
      </c>
      <c r="K528" s="336"/>
      <c r="L528" s="337"/>
      <c r="M528" s="349"/>
      <c r="N528" s="349"/>
      <c r="O528" s="337"/>
      <c r="P528" s="377"/>
      <c r="Q528" s="337"/>
    </row>
    <row r="529">
      <c r="E529" s="341"/>
      <c r="F529" s="341"/>
      <c r="G529" s="609" t="s">
        <v>427</v>
      </c>
      <c r="H529" s="416" t="s">
        <v>306</v>
      </c>
      <c r="I529" s="601"/>
      <c r="J529" s="717">
        <f>HW_SPEC("# of TensorCore per Chip")</f>
        <v>1</v>
      </c>
      <c r="K529" s="364"/>
      <c r="L529" s="273"/>
      <c r="M529" s="363"/>
      <c r="N529" s="363"/>
      <c r="O529" s="273"/>
      <c r="P529" s="375"/>
      <c r="Q529" s="273"/>
    </row>
    <row r="530">
      <c r="E530" s="341"/>
      <c r="F530" s="341"/>
      <c r="G530" s="341"/>
      <c r="H530" s="704" t="s">
        <v>416</v>
      </c>
      <c r="I530" s="11"/>
      <c r="J530" s="718">
        <f>P522 * (J529-1)/J529</f>
        <v>0</v>
      </c>
      <c r="K530" s="364"/>
      <c r="L530" s="273"/>
      <c r="M530" s="363"/>
      <c r="N530" s="363"/>
      <c r="O530" s="273"/>
      <c r="P530" s="375"/>
      <c r="Q530" s="273"/>
    </row>
    <row r="531">
      <c r="E531" s="341"/>
      <c r="F531" s="341"/>
      <c r="G531" s="341"/>
      <c r="H531" s="704" t="s">
        <v>384</v>
      </c>
      <c r="I531" s="11"/>
      <c r="J531" s="718">
        <f>J530*J529</f>
        <v>0</v>
      </c>
      <c r="K531" s="364"/>
      <c r="L531" s="273"/>
      <c r="M531" s="363"/>
      <c r="N531" s="363"/>
      <c r="O531" s="273"/>
      <c r="P531" s="375"/>
      <c r="Q531" s="273"/>
    </row>
    <row r="532">
      <c r="E532" s="341"/>
      <c r="F532" s="341"/>
      <c r="G532" s="341"/>
      <c r="H532" s="704" t="s">
        <v>311</v>
      </c>
      <c r="I532" s="11"/>
      <c r="J532" s="719">
        <f>REDUCE_SCATTER_CORE2CORE_TIME_MS(J531)</f>
        <v>0</v>
      </c>
      <c r="K532" s="364"/>
      <c r="L532" s="273"/>
      <c r="M532" s="363"/>
      <c r="N532" s="363"/>
      <c r="O532" s="273"/>
      <c r="P532" s="375"/>
      <c r="Q532" s="273"/>
    </row>
    <row r="533">
      <c r="E533" s="341"/>
      <c r="F533" s="341"/>
      <c r="G533" s="352"/>
      <c r="H533" s="704" t="s">
        <v>428</v>
      </c>
      <c r="I533" s="11"/>
      <c r="J533" s="719">
        <f>J532/J524</f>
        <v>0</v>
      </c>
      <c r="K533" s="364"/>
      <c r="L533" s="273"/>
      <c r="M533" s="363"/>
      <c r="N533" s="363"/>
      <c r="O533" s="273"/>
      <c r="P533" s="375"/>
      <c r="Q533" s="273"/>
    </row>
    <row r="534">
      <c r="E534" s="341"/>
      <c r="F534" s="352"/>
      <c r="G534" s="599" t="s">
        <v>429</v>
      </c>
      <c r="H534" s="676" t="str">
        <f>IF(PARAMS("use_nccl_lookup")=TRUE, "N/A", SUM(J528+J533))</f>
        <v>N/A</v>
      </c>
      <c r="I534" s="719"/>
      <c r="J534" s="364"/>
      <c r="K534" s="364"/>
      <c r="L534" s="273"/>
      <c r="M534" s="363"/>
      <c r="N534" s="363"/>
      <c r="O534" s="273"/>
      <c r="P534" s="375"/>
      <c r="Q534" s="273"/>
    </row>
    <row r="535">
      <c r="E535" s="341"/>
      <c r="F535" s="370" t="s">
        <v>335</v>
      </c>
      <c r="G535" s="720" t="s">
        <v>322</v>
      </c>
      <c r="H535" s="721" t="str">
        <f>'Config and Summary'!C23</f>
        <v>Option C: Hierachical RS</v>
      </c>
      <c r="I535" s="650"/>
      <c r="J535" s="454"/>
      <c r="K535" s="454"/>
      <c r="L535" s="455"/>
      <c r="M535" s="455"/>
      <c r="N535" s="455"/>
      <c r="O535" s="454"/>
      <c r="P535" s="722"/>
      <c r="Q535" s="11"/>
    </row>
    <row r="536">
      <c r="E536" s="341"/>
      <c r="F536" s="341"/>
      <c r="G536" s="591" t="s">
        <v>340</v>
      </c>
      <c r="H536" s="723" t="str">
        <f>IFS(H535=F491,H504,H535=F505,H517,F518=H535,H534, TRUE,0)</f>
        <v>N/A</v>
      </c>
      <c r="I536" s="581"/>
      <c r="J536" s="448"/>
      <c r="K536" s="448"/>
      <c r="L536" s="449"/>
      <c r="M536" s="449"/>
      <c r="N536" s="449"/>
      <c r="O536" s="448"/>
      <c r="P536" s="724"/>
      <c r="Q536" s="450"/>
    </row>
    <row r="537">
      <c r="E537" s="341"/>
      <c r="F537" s="341"/>
      <c r="G537" s="452" t="s">
        <v>376</v>
      </c>
      <c r="H537" s="626">
        <f>vlookup(PARAMS("topo"), DB!$E$26:$G$31, 3, FALSE)</f>
        <v>3</v>
      </c>
      <c r="I537" s="650"/>
      <c r="J537" s="454"/>
      <c r="K537" s="454"/>
      <c r="L537" s="455"/>
      <c r="M537" s="455"/>
      <c r="N537" s="455"/>
      <c r="O537" s="454"/>
      <c r="P537" s="722"/>
      <c r="Q537" s="11"/>
    </row>
    <row r="538">
      <c r="E538" s="352"/>
      <c r="F538" s="352"/>
      <c r="G538" s="446" t="s">
        <v>326</v>
      </c>
      <c r="H538" s="447">
        <f>IF(H535="No Collectives", 0, H537 * HW_SPEC("Chip-to-Chip ICI Latency (ms)"))</f>
        <v>0</v>
      </c>
      <c r="I538" s="648"/>
      <c r="J538" s="448"/>
      <c r="K538" s="448"/>
      <c r="L538" s="449"/>
      <c r="M538" s="449"/>
      <c r="N538" s="449"/>
      <c r="O538" s="448"/>
      <c r="P538" s="724"/>
      <c r="Q538" s="572"/>
    </row>
    <row r="539">
      <c r="E539" s="333" t="s">
        <v>430</v>
      </c>
      <c r="F539" s="725" t="s">
        <v>292</v>
      </c>
      <c r="G539" s="335"/>
      <c r="H539" s="531" t="s">
        <v>281</v>
      </c>
      <c r="I539" s="336" t="s">
        <v>282</v>
      </c>
      <c r="J539" s="337"/>
      <c r="K539" s="337" t="s">
        <v>104</v>
      </c>
      <c r="L539" s="337" t="s">
        <v>102</v>
      </c>
      <c r="M539" s="499" t="s">
        <v>178</v>
      </c>
      <c r="N539" s="336" t="s">
        <v>283</v>
      </c>
      <c r="O539" s="338" t="s">
        <v>125</v>
      </c>
      <c r="P539" s="377"/>
      <c r="Q539" s="338" t="b">
        <v>0</v>
      </c>
    </row>
    <row r="540">
      <c r="E540" s="341"/>
      <c r="F540" s="342"/>
      <c r="G540" s="343"/>
      <c r="H540" s="378" t="s">
        <v>285</v>
      </c>
      <c r="I540" s="345" t="s">
        <v>282</v>
      </c>
      <c r="J540" s="346"/>
      <c r="K540" s="345">
        <f t="shared" ref="K540:M540" si="93">PARAMS(K539)</f>
        <v>128</v>
      </c>
      <c r="L540" s="345">
        <f t="shared" si="93"/>
        <v>1</v>
      </c>
      <c r="M540" s="345">
        <f t="shared" si="93"/>
        <v>7168</v>
      </c>
      <c r="N540" s="345" t="s">
        <v>283</v>
      </c>
      <c r="O540" s="347"/>
      <c r="P540" s="509">
        <f>SIZEOF_IN_MIB(J540:M540, O539)</f>
        <v>0.875</v>
      </c>
      <c r="Q540" s="347"/>
    </row>
    <row r="541">
      <c r="E541" s="341"/>
      <c r="F541" s="342"/>
      <c r="G541" s="343"/>
      <c r="H541" s="602" t="s">
        <v>287</v>
      </c>
      <c r="I541" s="349" t="s">
        <v>282</v>
      </c>
      <c r="J541" s="336"/>
      <c r="K541" s="337" t="s">
        <v>196</v>
      </c>
      <c r="L541" s="337"/>
      <c r="M541" s="337"/>
      <c r="N541" s="349" t="s">
        <v>283</v>
      </c>
      <c r="O541" s="350"/>
      <c r="P541" s="377"/>
      <c r="Q541" s="350"/>
    </row>
    <row r="542">
      <c r="E542" s="341"/>
      <c r="F542" s="353"/>
      <c r="G542" s="354"/>
      <c r="H542" s="378" t="s">
        <v>289</v>
      </c>
      <c r="I542" s="346" t="s">
        <v>282</v>
      </c>
      <c r="J542" s="345"/>
      <c r="K542" s="346">
        <f t="shared" ref="K542:M542" si="94">K540/SHARDING(K541)</f>
        <v>16</v>
      </c>
      <c r="L542" s="346">
        <f t="shared" si="94"/>
        <v>1</v>
      </c>
      <c r="M542" s="346">
        <f t="shared" si="94"/>
        <v>7168</v>
      </c>
      <c r="N542" s="346" t="s">
        <v>283</v>
      </c>
      <c r="O542" s="355"/>
      <c r="P542" s="509">
        <f>SIZEOF_IN_MIB(J542:M542, O539)</f>
        <v>0.109375</v>
      </c>
      <c r="Q542" s="355"/>
    </row>
    <row r="543">
      <c r="E543" s="341"/>
      <c r="F543" s="726" t="s">
        <v>296</v>
      </c>
      <c r="G543" s="335"/>
      <c r="H543" s="602" t="s">
        <v>281</v>
      </c>
      <c r="I543" s="349" t="s">
        <v>282</v>
      </c>
      <c r="J543" s="336"/>
      <c r="K543" s="499">
        <v>2.0</v>
      </c>
      <c r="L543" s="499" t="s">
        <v>178</v>
      </c>
      <c r="M543" s="337" t="s">
        <v>182</v>
      </c>
      <c r="N543" s="349" t="s">
        <v>283</v>
      </c>
      <c r="O543" s="338" t="s">
        <v>125</v>
      </c>
      <c r="P543" s="377"/>
      <c r="Q543" s="338" t="b">
        <v>0</v>
      </c>
    </row>
    <row r="544">
      <c r="E544" s="341"/>
      <c r="F544" s="342"/>
      <c r="G544" s="343"/>
      <c r="H544" s="378" t="s">
        <v>285</v>
      </c>
      <c r="I544" s="346" t="s">
        <v>282</v>
      </c>
      <c r="J544" s="345"/>
      <c r="K544" s="346">
        <f t="shared" ref="K544:M544" si="95">PARAMS(K543)</f>
        <v>2</v>
      </c>
      <c r="L544" s="346">
        <f t="shared" si="95"/>
        <v>7168</v>
      </c>
      <c r="M544" s="346">
        <f t="shared" si="95"/>
        <v>4096</v>
      </c>
      <c r="N544" s="346" t="s">
        <v>283</v>
      </c>
      <c r="O544" s="347"/>
      <c r="P544" s="509">
        <f>SIZEOF_IN_MIB(J544:M544, O543)</f>
        <v>56</v>
      </c>
      <c r="Q544" s="347"/>
    </row>
    <row r="545">
      <c r="E545" s="341"/>
      <c r="F545" s="342"/>
      <c r="G545" s="343"/>
      <c r="H545" s="602" t="s">
        <v>287</v>
      </c>
      <c r="I545" s="349" t="s">
        <v>282</v>
      </c>
      <c r="J545" s="336"/>
      <c r="K545" s="298"/>
      <c r="L545" s="337"/>
      <c r="M545" s="337"/>
      <c r="N545" s="349" t="s">
        <v>283</v>
      </c>
      <c r="O545" s="350"/>
      <c r="P545" s="377"/>
      <c r="Q545" s="350"/>
    </row>
    <row r="546">
      <c r="E546" s="341"/>
      <c r="F546" s="353"/>
      <c r="G546" s="354"/>
      <c r="H546" s="517" t="s">
        <v>289</v>
      </c>
      <c r="I546" s="346" t="s">
        <v>282</v>
      </c>
      <c r="J546" s="345"/>
      <c r="K546" s="346">
        <f t="shared" ref="K546:M546" si="96">K544/SHARDING(K545)</f>
        <v>2</v>
      </c>
      <c r="L546" s="346">
        <f t="shared" si="96"/>
        <v>7168</v>
      </c>
      <c r="M546" s="346">
        <f t="shared" si="96"/>
        <v>4096</v>
      </c>
      <c r="N546" s="346" t="s">
        <v>283</v>
      </c>
      <c r="O546" s="355"/>
      <c r="P546" s="509">
        <f>SIZEOF_IN_MIB(J546:M546, O543)</f>
        <v>56</v>
      </c>
      <c r="Q546" s="355"/>
    </row>
    <row r="547">
      <c r="E547" s="341"/>
      <c r="F547" s="726" t="s">
        <v>56</v>
      </c>
      <c r="G547" s="335"/>
      <c r="H547" s="602" t="s">
        <v>281</v>
      </c>
      <c r="I547" s="349" t="s">
        <v>282</v>
      </c>
      <c r="J547" s="337">
        <v>2.0</v>
      </c>
      <c r="K547" s="337" t="s">
        <v>104</v>
      </c>
      <c r="L547" s="337" t="s">
        <v>102</v>
      </c>
      <c r="M547" s="337" t="s">
        <v>182</v>
      </c>
      <c r="N547" s="349" t="s">
        <v>283</v>
      </c>
      <c r="O547" s="727" t="s">
        <v>133</v>
      </c>
      <c r="P547" s="377"/>
      <c r="Q547" s="338" t="b">
        <v>0</v>
      </c>
    </row>
    <row r="548">
      <c r="E548" s="341"/>
      <c r="F548" s="342"/>
      <c r="G548" s="343"/>
      <c r="H548" s="378" t="s">
        <v>285</v>
      </c>
      <c r="I548" s="346" t="s">
        <v>282</v>
      </c>
      <c r="J548" s="346">
        <f t="shared" ref="J548:M548" si="97">PARAMS(J547)</f>
        <v>2</v>
      </c>
      <c r="K548" s="346">
        <f t="shared" si="97"/>
        <v>128</v>
      </c>
      <c r="L548" s="346">
        <f t="shared" si="97"/>
        <v>1</v>
      </c>
      <c r="M548" s="346">
        <f t="shared" si="97"/>
        <v>4096</v>
      </c>
      <c r="N548" s="346" t="s">
        <v>283</v>
      </c>
      <c r="O548" s="347"/>
      <c r="P548" s="509">
        <f>SIZEOF_IN_MIB(J548:M548, O547)</f>
        <v>2</v>
      </c>
      <c r="Q548" s="347"/>
    </row>
    <row r="549">
      <c r="E549" s="341"/>
      <c r="F549" s="342"/>
      <c r="G549" s="343"/>
      <c r="H549" s="602" t="s">
        <v>287</v>
      </c>
      <c r="I549" s="349" t="s">
        <v>282</v>
      </c>
      <c r="J549" s="336"/>
      <c r="K549" s="337" t="s">
        <v>196</v>
      </c>
      <c r="L549" s="337"/>
      <c r="M549" s="337"/>
      <c r="N549" s="349" t="s">
        <v>283</v>
      </c>
      <c r="O549" s="350"/>
      <c r="P549" s="377"/>
      <c r="Q549" s="350"/>
    </row>
    <row r="550">
      <c r="E550" s="341"/>
      <c r="F550" s="353"/>
      <c r="G550" s="354"/>
      <c r="H550" s="517" t="s">
        <v>289</v>
      </c>
      <c r="I550" s="346" t="s">
        <v>282</v>
      </c>
      <c r="J550" s="346">
        <f t="shared" ref="J550:M550" si="98">J548/SHARDING(J549)</f>
        <v>2</v>
      </c>
      <c r="K550" s="346">
        <f t="shared" si="98"/>
        <v>16</v>
      </c>
      <c r="L550" s="346">
        <f t="shared" si="98"/>
        <v>1</v>
      </c>
      <c r="M550" s="346">
        <f t="shared" si="98"/>
        <v>4096</v>
      </c>
      <c r="N550" s="346" t="s">
        <v>283</v>
      </c>
      <c r="O550" s="355"/>
      <c r="P550" s="509">
        <f>SIZEOF_IN_MIB(J550:M550, O547)</f>
        <v>0.25</v>
      </c>
      <c r="Q550" s="355"/>
    </row>
    <row r="551">
      <c r="E551" s="341"/>
      <c r="F551" s="371" t="s">
        <v>335</v>
      </c>
      <c r="G551" s="601"/>
      <c r="H551" s="728"/>
      <c r="I551" s="336"/>
      <c r="J551" s="336"/>
      <c r="K551" s="336"/>
      <c r="L551" s="349"/>
      <c r="M551" s="349"/>
      <c r="N551" s="349"/>
      <c r="O551" s="336"/>
      <c r="P551" s="377"/>
      <c r="Q551" s="729"/>
    </row>
    <row r="552">
      <c r="E552" s="341"/>
      <c r="F552" s="352"/>
      <c r="G552" s="669" t="s">
        <v>340</v>
      </c>
      <c r="H552" s="730"/>
      <c r="I552" s="493"/>
      <c r="J552" s="345"/>
      <c r="K552" s="345"/>
      <c r="L552" s="346"/>
      <c r="M552" s="346"/>
      <c r="N552" s="346"/>
      <c r="O552" s="345"/>
      <c r="P552" s="509"/>
      <c r="Q552" s="545"/>
      <c r="T552" s="66">
        <f>(H554*1000000000)/(H556*1000000)</f>
        <v>16670236247</v>
      </c>
    </row>
    <row r="553">
      <c r="E553" s="341"/>
      <c r="F553" s="731" t="s">
        <v>327</v>
      </c>
      <c r="G553" s="601" t="s">
        <v>328</v>
      </c>
      <c r="H553" s="663" t="str">
        <f>VLOOKUP(O539&amp;","&amp;O543,$T$3:$W$12,4, FALSE)</f>
        <v>fp8</v>
      </c>
      <c r="I553" s="460"/>
      <c r="J553" s="454"/>
      <c r="K553" s="454"/>
      <c r="L553" s="455"/>
      <c r="M553" s="455"/>
      <c r="N553" s="455"/>
      <c r="O553" s="454"/>
      <c r="P553" s="468"/>
      <c r="Q553" s="11"/>
    </row>
    <row r="554">
      <c r="E554" s="341"/>
      <c r="F554" s="341"/>
      <c r="G554" s="663" t="s">
        <v>341</v>
      </c>
      <c r="H554" s="667">
        <f>CALCULATE_FLOPS(J542:M542,J546:M546,L546,K546,H553)</f>
        <v>939524096</v>
      </c>
      <c r="I554" s="460"/>
      <c r="J554" s="454"/>
      <c r="K554" s="454"/>
      <c r="L554" s="455"/>
      <c r="M554" s="455"/>
      <c r="N554" s="455"/>
      <c r="O554" s="454"/>
      <c r="P554" s="468"/>
      <c r="Q554" s="11"/>
    </row>
    <row r="555">
      <c r="E555" s="341"/>
      <c r="F555" s="352"/>
      <c r="G555" s="669" t="s">
        <v>330</v>
      </c>
      <c r="H555" s="732">
        <f>COMPUTE_TIME_MS(H554, H553)</f>
        <v>0.0002505397589</v>
      </c>
      <c r="I555" s="464"/>
      <c r="J555" s="465"/>
      <c r="K555" s="465"/>
      <c r="L555" s="466"/>
      <c r="M555" s="466"/>
      <c r="N555" s="466"/>
      <c r="O555" s="465"/>
      <c r="P555" s="671"/>
      <c r="Q555" s="11"/>
    </row>
    <row r="556">
      <c r="E556" s="341"/>
      <c r="F556" s="731" t="s">
        <v>331</v>
      </c>
      <c r="G556" s="663" t="s">
        <v>332</v>
      </c>
      <c r="H556" s="672">
        <f>IF(Q539,0,P542)+IF(Q543,0,P546)+IF(Q547,0,P550)</f>
        <v>56.359375</v>
      </c>
      <c r="I556" s="454"/>
      <c r="J556" s="454"/>
      <c r="K556" s="454"/>
      <c r="L556" s="455"/>
      <c r="M556" s="455"/>
      <c r="N556" s="455"/>
      <c r="O556" s="454"/>
      <c r="P556" s="468"/>
      <c r="Q556" s="11"/>
    </row>
    <row r="557">
      <c r="E557" s="352"/>
      <c r="F557" s="352"/>
      <c r="G557" s="673" t="s">
        <v>333</v>
      </c>
      <c r="H557" s="733">
        <f>HBM_TIME_MS(H556)</f>
        <v>0.007644229465</v>
      </c>
      <c r="I557" s="465"/>
      <c r="J557" s="465"/>
      <c r="K557" s="465"/>
      <c r="L557" s="466"/>
      <c r="M557" s="466"/>
      <c r="N557" s="466"/>
      <c r="O557" s="465"/>
      <c r="P557" s="671"/>
      <c r="Q557" s="11"/>
    </row>
    <row r="558">
      <c r="E558" s="333" t="s">
        <v>431</v>
      </c>
      <c r="F558" s="725" t="s">
        <v>292</v>
      </c>
      <c r="G558" s="335"/>
      <c r="H558" s="531" t="s">
        <v>281</v>
      </c>
      <c r="I558" s="336" t="s">
        <v>282</v>
      </c>
      <c r="J558" s="405"/>
      <c r="K558" s="734" t="s">
        <v>104</v>
      </c>
      <c r="L558" s="734" t="s">
        <v>102</v>
      </c>
      <c r="M558" s="735" t="s">
        <v>182</v>
      </c>
      <c r="N558" s="336" t="s">
        <v>283</v>
      </c>
      <c r="O558" s="338" t="s">
        <v>125</v>
      </c>
      <c r="P558" s="377"/>
      <c r="Q558" s="338" t="b">
        <v>0</v>
      </c>
    </row>
    <row r="559">
      <c r="E559" s="341"/>
      <c r="F559" s="342"/>
      <c r="G559" s="343"/>
      <c r="H559" s="378" t="s">
        <v>285</v>
      </c>
      <c r="I559" s="345" t="s">
        <v>282</v>
      </c>
      <c r="J559" s="400"/>
      <c r="K559" s="736">
        <f t="shared" ref="K559:M559" si="99">PARAMS(K558)</f>
        <v>128</v>
      </c>
      <c r="L559" s="737">
        <f t="shared" si="99"/>
        <v>1</v>
      </c>
      <c r="M559" s="737">
        <f t="shared" si="99"/>
        <v>4096</v>
      </c>
      <c r="N559" s="345" t="s">
        <v>283</v>
      </c>
      <c r="O559" s="347"/>
      <c r="P559" s="509">
        <f>SIZEOF_IN_MIB(J559:M559, O558)</f>
        <v>0.5</v>
      </c>
      <c r="Q559" s="347"/>
    </row>
    <row r="560">
      <c r="E560" s="341"/>
      <c r="F560" s="342"/>
      <c r="G560" s="343"/>
      <c r="H560" s="602" t="s">
        <v>287</v>
      </c>
      <c r="I560" s="349" t="s">
        <v>282</v>
      </c>
      <c r="J560" s="404"/>
      <c r="K560" s="337" t="s">
        <v>196</v>
      </c>
      <c r="L560" s="405"/>
      <c r="M560" s="738"/>
      <c r="N560" s="349" t="s">
        <v>283</v>
      </c>
      <c r="O560" s="350"/>
      <c r="P560" s="377"/>
      <c r="Q560" s="350"/>
    </row>
    <row r="561">
      <c r="E561" s="341"/>
      <c r="F561" s="353"/>
      <c r="G561" s="354"/>
      <c r="H561" s="378" t="s">
        <v>289</v>
      </c>
      <c r="I561" s="346" t="s">
        <v>282</v>
      </c>
      <c r="J561" s="399"/>
      <c r="K561" s="736">
        <f t="shared" ref="K561:M561" si="100">K559/SHARDING(K560)</f>
        <v>16</v>
      </c>
      <c r="L561" s="736">
        <f t="shared" si="100"/>
        <v>1</v>
      </c>
      <c r="M561" s="736">
        <f t="shared" si="100"/>
        <v>4096</v>
      </c>
      <c r="N561" s="346" t="s">
        <v>283</v>
      </c>
      <c r="O561" s="355"/>
      <c r="P561" s="509">
        <f>SIZEOF_IN_MIB(J561:M561, O558)</f>
        <v>0.0625</v>
      </c>
      <c r="Q561" s="355"/>
    </row>
    <row r="562">
      <c r="E562" s="341"/>
      <c r="F562" s="726" t="s">
        <v>296</v>
      </c>
      <c r="G562" s="335"/>
      <c r="H562" s="602" t="s">
        <v>281</v>
      </c>
      <c r="I562" s="349" t="s">
        <v>282</v>
      </c>
      <c r="J562" s="404"/>
      <c r="K562" s="391"/>
      <c r="L562" s="735" t="s">
        <v>182</v>
      </c>
      <c r="M562" s="734" t="s">
        <v>178</v>
      </c>
      <c r="N562" s="349" t="s">
        <v>283</v>
      </c>
      <c r="O562" s="338" t="s">
        <v>125</v>
      </c>
      <c r="P562" s="377"/>
      <c r="Q562" s="338" t="b">
        <v>0</v>
      </c>
    </row>
    <row r="563">
      <c r="E563" s="341"/>
      <c r="F563" s="342"/>
      <c r="G563" s="343"/>
      <c r="H563" s="378" t="s">
        <v>285</v>
      </c>
      <c r="I563" s="346" t="s">
        <v>282</v>
      </c>
      <c r="J563" s="399"/>
      <c r="K563" s="388"/>
      <c r="L563" s="736">
        <f t="shared" ref="L563:M563" si="101">PARAMS(L562)</f>
        <v>4096</v>
      </c>
      <c r="M563" s="736">
        <f t="shared" si="101"/>
        <v>7168</v>
      </c>
      <c r="N563" s="346" t="s">
        <v>283</v>
      </c>
      <c r="O563" s="347"/>
      <c r="P563" s="509">
        <f>SIZEOF_IN_MIB(J563:M563, O562)</f>
        <v>28</v>
      </c>
      <c r="Q563" s="347"/>
    </row>
    <row r="564">
      <c r="E564" s="341"/>
      <c r="F564" s="342"/>
      <c r="G564" s="343"/>
      <c r="H564" s="602" t="s">
        <v>287</v>
      </c>
      <c r="I564" s="349" t="s">
        <v>282</v>
      </c>
      <c r="J564" s="404"/>
      <c r="K564" s="391"/>
      <c r="L564" s="738"/>
      <c r="M564" s="405"/>
      <c r="N564" s="349" t="s">
        <v>283</v>
      </c>
      <c r="O564" s="350"/>
      <c r="P564" s="377"/>
      <c r="Q564" s="350"/>
    </row>
    <row r="565">
      <c r="E565" s="341"/>
      <c r="F565" s="353"/>
      <c r="G565" s="354"/>
      <c r="H565" s="517" t="s">
        <v>289</v>
      </c>
      <c r="I565" s="346" t="s">
        <v>282</v>
      </c>
      <c r="J565" s="399"/>
      <c r="K565" s="388"/>
      <c r="L565" s="736">
        <f t="shared" ref="L565:M565" si="102">L563/SHARDING(L564)</f>
        <v>4096</v>
      </c>
      <c r="M565" s="736">
        <f t="shared" si="102"/>
        <v>7168</v>
      </c>
      <c r="N565" s="346" t="s">
        <v>283</v>
      </c>
      <c r="O565" s="355"/>
      <c r="P565" s="509">
        <f>SIZEOF_IN_MIB(J565:M565, O562)</f>
        <v>28</v>
      </c>
      <c r="Q565" s="355"/>
    </row>
    <row r="566">
      <c r="E566" s="341"/>
      <c r="F566" s="726" t="s">
        <v>56</v>
      </c>
      <c r="G566" s="335"/>
      <c r="H566" s="602" t="s">
        <v>281</v>
      </c>
      <c r="I566" s="349" t="s">
        <v>282</v>
      </c>
      <c r="J566" s="404"/>
      <c r="K566" s="734" t="s">
        <v>104</v>
      </c>
      <c r="L566" s="734" t="s">
        <v>102</v>
      </c>
      <c r="M566" s="734" t="s">
        <v>178</v>
      </c>
      <c r="N566" s="349" t="s">
        <v>283</v>
      </c>
      <c r="O566" s="727" t="s">
        <v>133</v>
      </c>
      <c r="P566" s="377"/>
      <c r="Q566" s="338" t="b">
        <v>0</v>
      </c>
    </row>
    <row r="567">
      <c r="E567" s="341"/>
      <c r="F567" s="342"/>
      <c r="G567" s="343"/>
      <c r="H567" s="378" t="s">
        <v>285</v>
      </c>
      <c r="I567" s="346" t="s">
        <v>282</v>
      </c>
      <c r="J567" s="400"/>
      <c r="K567" s="739">
        <f t="shared" ref="K567:M567" si="103">PARAMS(K566)</f>
        <v>128</v>
      </c>
      <c r="L567" s="736">
        <f t="shared" si="103"/>
        <v>1</v>
      </c>
      <c r="M567" s="736">
        <f t="shared" si="103"/>
        <v>7168</v>
      </c>
      <c r="N567" s="346" t="s">
        <v>283</v>
      </c>
      <c r="O567" s="347"/>
      <c r="P567" s="509">
        <f>SIZEOF_IN_MIB(J567:M567, O566)</f>
        <v>1.75</v>
      </c>
      <c r="Q567" s="347"/>
    </row>
    <row r="568">
      <c r="E568" s="341"/>
      <c r="F568" s="342"/>
      <c r="G568" s="343"/>
      <c r="H568" s="602" t="s">
        <v>287</v>
      </c>
      <c r="I568" s="349" t="s">
        <v>282</v>
      </c>
      <c r="J568" s="404"/>
      <c r="K568" s="337" t="s">
        <v>196</v>
      </c>
      <c r="L568" s="405"/>
      <c r="M568" s="405"/>
      <c r="N568" s="349" t="s">
        <v>283</v>
      </c>
      <c r="O568" s="350"/>
      <c r="P568" s="377"/>
      <c r="Q568" s="350"/>
    </row>
    <row r="569">
      <c r="E569" s="341"/>
      <c r="F569" s="353"/>
      <c r="G569" s="354"/>
      <c r="H569" s="517" t="s">
        <v>289</v>
      </c>
      <c r="I569" s="346" t="s">
        <v>282</v>
      </c>
      <c r="J569" s="400"/>
      <c r="K569" s="736">
        <f t="shared" ref="K569:M569" si="104">K567/SHARDING(K568)</f>
        <v>16</v>
      </c>
      <c r="L569" s="736">
        <f t="shared" si="104"/>
        <v>1</v>
      </c>
      <c r="M569" s="736">
        <f t="shared" si="104"/>
        <v>7168</v>
      </c>
      <c r="N569" s="346" t="s">
        <v>283</v>
      </c>
      <c r="O569" s="355"/>
      <c r="P569" s="509">
        <f>SIZEOF_IN_MIB(J569:M569, O566)</f>
        <v>0.21875</v>
      </c>
      <c r="Q569" s="355"/>
    </row>
    <row r="570">
      <c r="E570" s="341"/>
      <c r="F570" s="740" t="s">
        <v>119</v>
      </c>
      <c r="G570" s="741" t="s">
        <v>169</v>
      </c>
      <c r="H570" s="742" t="s">
        <v>432</v>
      </c>
      <c r="I570" s="404"/>
      <c r="J570" s="404"/>
      <c r="K570" s="404"/>
      <c r="L570" s="405"/>
      <c r="M570" s="405"/>
      <c r="N570" s="405"/>
      <c r="O570" s="404"/>
      <c r="P570" s="406"/>
      <c r="Q570" s="404"/>
    </row>
    <row r="571">
      <c r="E571" s="341"/>
      <c r="F571" s="341"/>
      <c r="G571" s="743" t="s">
        <v>301</v>
      </c>
      <c r="H571" s="744" t="s">
        <v>281</v>
      </c>
      <c r="I571" s="489"/>
      <c r="J571" s="399"/>
      <c r="K571" s="737" t="s">
        <v>104</v>
      </c>
      <c r="L571" s="745" t="s">
        <v>102</v>
      </c>
      <c r="M571" s="736" t="s">
        <v>178</v>
      </c>
      <c r="N571" s="400"/>
      <c r="O571" s="746" t="str">
        <f>PARAMS("expert_collect_dtype")</f>
        <v>bf16</v>
      </c>
      <c r="P571" s="401"/>
      <c r="Q571" s="399"/>
    </row>
    <row r="572">
      <c r="E572" s="341"/>
      <c r="F572" s="341"/>
      <c r="G572" s="341"/>
      <c r="H572" s="747" t="s">
        <v>285</v>
      </c>
      <c r="I572" s="748"/>
      <c r="J572" s="749"/>
      <c r="K572" s="750">
        <f t="shared" ref="K572:M572" si="105">PARAMS(K571)</f>
        <v>128</v>
      </c>
      <c r="L572" s="751">
        <f t="shared" si="105"/>
        <v>1</v>
      </c>
      <c r="M572" s="751">
        <f t="shared" si="105"/>
        <v>7168</v>
      </c>
      <c r="N572" s="752"/>
      <c r="O572" s="341"/>
      <c r="P572" s="753">
        <f>SIZEOF_IN_MIB(J572:M572, O571)</f>
        <v>1.75</v>
      </c>
      <c r="Q572" s="749"/>
    </row>
    <row r="573">
      <c r="E573" s="341"/>
      <c r="F573" s="341"/>
      <c r="G573" s="341"/>
      <c r="H573" s="754" t="s">
        <v>287</v>
      </c>
      <c r="I573" s="755"/>
      <c r="J573" s="756"/>
      <c r="K573" s="756"/>
      <c r="L573" s="757"/>
      <c r="M573" s="757"/>
      <c r="N573" s="757"/>
      <c r="O573" s="341"/>
      <c r="P573" s="758"/>
      <c r="Q573" s="756"/>
    </row>
    <row r="574">
      <c r="E574" s="341"/>
      <c r="F574" s="341"/>
      <c r="G574" s="341"/>
      <c r="H574" s="759" t="s">
        <v>289</v>
      </c>
      <c r="I574" s="748"/>
      <c r="J574" s="749"/>
      <c r="K574" s="750">
        <f t="shared" ref="K574:M574" si="106">K572/SHARDING(K573)</f>
        <v>128</v>
      </c>
      <c r="L574" s="751">
        <f t="shared" si="106"/>
        <v>1</v>
      </c>
      <c r="M574" s="751">
        <f t="shared" si="106"/>
        <v>7168</v>
      </c>
      <c r="N574" s="752"/>
      <c r="O574" s="352"/>
      <c r="P574" s="753">
        <f>SIZEOF_IN_MIB(J574:M574, O571)</f>
        <v>1.75</v>
      </c>
      <c r="Q574" s="749"/>
    </row>
    <row r="575">
      <c r="E575" s="341"/>
      <c r="F575" s="341"/>
      <c r="G575" s="352"/>
      <c r="H575" s="760" t="s">
        <v>419</v>
      </c>
      <c r="I575" s="756"/>
      <c r="J575" s="761" t="s">
        <v>196</v>
      </c>
      <c r="K575" s="756"/>
      <c r="L575" s="757"/>
      <c r="M575" s="757"/>
      <c r="N575" s="757"/>
      <c r="O575" s="756"/>
      <c r="P575" s="758"/>
      <c r="Q575" s="756"/>
    </row>
    <row r="576">
      <c r="E576" s="341"/>
      <c r="F576" s="341"/>
      <c r="G576" s="432" t="s">
        <v>425</v>
      </c>
      <c r="H576" s="762" t="s">
        <v>306</v>
      </c>
      <c r="I576" s="428"/>
      <c r="J576" s="763">
        <f>SHARDING(J575)/HW_SPEC("# of TensorCore per Chip")</f>
        <v>8</v>
      </c>
      <c r="K576" s="749"/>
      <c r="L576" s="752"/>
      <c r="M576" s="752"/>
      <c r="N576" s="752"/>
      <c r="O576" s="749"/>
      <c r="P576" s="764"/>
      <c r="Q576" s="749"/>
    </row>
    <row r="577">
      <c r="E577" s="341"/>
      <c r="F577" s="341"/>
      <c r="G577" s="341"/>
      <c r="H577" s="765" t="s">
        <v>426</v>
      </c>
      <c r="I577" s="434"/>
      <c r="J577" s="441">
        <f>P574 / J576 * (J576-1)</f>
        <v>1.53125</v>
      </c>
      <c r="K577" s="756"/>
      <c r="L577" s="756"/>
      <c r="M577" s="756"/>
      <c r="N577" s="756"/>
      <c r="O577" s="756"/>
      <c r="P577" s="758"/>
      <c r="Q577" s="756"/>
    </row>
    <row r="578">
      <c r="E578" s="341"/>
      <c r="F578" s="341"/>
      <c r="G578" s="341"/>
      <c r="H578" s="766" t="s">
        <v>384</v>
      </c>
      <c r="I578" s="428"/>
      <c r="J578" s="439">
        <f>J577*J576</f>
        <v>12.25</v>
      </c>
      <c r="K578" s="749"/>
      <c r="L578" s="749"/>
      <c r="M578" s="749"/>
      <c r="N578" s="749"/>
      <c r="O578" s="749"/>
      <c r="P578" s="764"/>
      <c r="Q578" s="749"/>
    </row>
    <row r="579">
      <c r="E579" s="341"/>
      <c r="F579" s="341"/>
      <c r="G579" s="341"/>
      <c r="H579" s="765" t="s">
        <v>309</v>
      </c>
      <c r="I579" s="434"/>
      <c r="J579" s="767">
        <f>IFS(J576=8,12,
J576=4,4,
J576=2,1,
TRUE,NA())</f>
        <v>12</v>
      </c>
      <c r="K579" s="756"/>
      <c r="L579" s="756"/>
      <c r="M579" s="756"/>
      <c r="N579" s="756"/>
      <c r="O579" s="756"/>
      <c r="P579" s="758"/>
      <c r="Q579" s="756"/>
    </row>
    <row r="580">
      <c r="E580" s="341"/>
      <c r="F580" s="341"/>
      <c r="G580" s="352"/>
      <c r="H580" s="768" t="s">
        <v>311</v>
      </c>
      <c r="I580" s="428"/>
      <c r="J580" s="769">
        <f>IF(J578=0,0, REDUCE_SCATTER_CHIP2CHIP_TIME_MS2(J578,J579))</f>
        <v>0.0005538375289</v>
      </c>
      <c r="K580" s="749"/>
      <c r="L580" s="749"/>
      <c r="M580" s="749"/>
      <c r="N580" s="749"/>
      <c r="O580" s="749"/>
      <c r="P580" s="764"/>
      <c r="Q580" s="749"/>
    </row>
    <row r="581">
      <c r="E581" s="341"/>
      <c r="F581" s="341"/>
      <c r="G581" s="770" t="s">
        <v>427</v>
      </c>
      <c r="H581" s="771" t="s">
        <v>306</v>
      </c>
      <c r="I581" s="772"/>
      <c r="J581" s="773">
        <f>HW_SPEC("# of TensorCore per Chip")</f>
        <v>1</v>
      </c>
      <c r="K581" s="772"/>
      <c r="L581" s="772"/>
      <c r="M581" s="772"/>
      <c r="N581" s="772"/>
      <c r="O581" s="772"/>
      <c r="P581" s="774"/>
      <c r="Q581" s="772"/>
    </row>
    <row r="582">
      <c r="E582" s="341"/>
      <c r="F582" s="341"/>
      <c r="G582" s="341"/>
      <c r="H582" s="775" t="s">
        <v>416</v>
      </c>
      <c r="I582" s="81"/>
      <c r="J582" s="776">
        <f>P574 * (J581-1)/J581</f>
        <v>0</v>
      </c>
      <c r="K582" s="772"/>
      <c r="L582" s="772"/>
      <c r="M582" s="772"/>
      <c r="N582" s="772"/>
      <c r="O582" s="772"/>
      <c r="P582" s="774"/>
      <c r="Q582" s="772"/>
    </row>
    <row r="583">
      <c r="E583" s="341"/>
      <c r="F583" s="341"/>
      <c r="G583" s="341"/>
      <c r="H583" s="775" t="s">
        <v>384</v>
      </c>
      <c r="I583" s="81"/>
      <c r="J583" s="776">
        <f>J582*J581</f>
        <v>0</v>
      </c>
      <c r="K583" s="772"/>
      <c r="L583" s="772"/>
      <c r="M583" s="772"/>
      <c r="N583" s="772"/>
      <c r="O583" s="772"/>
      <c r="P583" s="774"/>
      <c r="Q583" s="772"/>
    </row>
    <row r="584">
      <c r="E584" s="341"/>
      <c r="F584" s="341"/>
      <c r="G584" s="341"/>
      <c r="H584" s="775" t="s">
        <v>311</v>
      </c>
      <c r="I584" s="81"/>
      <c r="J584" s="777">
        <f>REDUCE_SCATTER_CORE2CORE_TIME_MS(J583)</f>
        <v>0</v>
      </c>
      <c r="K584" s="772"/>
      <c r="L584" s="772"/>
      <c r="M584" s="772"/>
      <c r="N584" s="772"/>
      <c r="O584" s="772"/>
      <c r="P584" s="774"/>
      <c r="Q584" s="772"/>
    </row>
    <row r="585">
      <c r="E585" s="341"/>
      <c r="F585" s="341"/>
      <c r="G585" s="352"/>
      <c r="H585" s="775" t="s">
        <v>428</v>
      </c>
      <c r="I585" s="81"/>
      <c r="J585" s="777">
        <f>J584/J576</f>
        <v>0</v>
      </c>
      <c r="K585" s="772"/>
      <c r="L585" s="772"/>
      <c r="M585" s="772"/>
      <c r="N585" s="772"/>
      <c r="O585" s="772"/>
      <c r="P585" s="774"/>
      <c r="Q585" s="772"/>
    </row>
    <row r="586">
      <c r="E586" s="341"/>
      <c r="F586" s="352"/>
      <c r="G586" s="778" t="s">
        <v>429</v>
      </c>
      <c r="H586" s="779">
        <f>SUM(J580+J585)</f>
        <v>0.0005538375289</v>
      </c>
      <c r="I586" s="780"/>
      <c r="J586" s="772"/>
      <c r="K586" s="772"/>
      <c r="L586" s="772"/>
      <c r="M586" s="772"/>
      <c r="N586" s="772"/>
      <c r="O586" s="772"/>
      <c r="P586" s="774"/>
      <c r="Q586" s="772"/>
    </row>
    <row r="587">
      <c r="E587" s="341"/>
      <c r="F587" s="770" t="s">
        <v>335</v>
      </c>
      <c r="G587" s="781" t="s">
        <v>322</v>
      </c>
      <c r="H587" s="782" t="s">
        <v>119</v>
      </c>
      <c r="I587" s="772"/>
      <c r="J587" s="772"/>
      <c r="K587" s="772"/>
      <c r="L587" s="772"/>
      <c r="M587" s="772"/>
      <c r="N587" s="772"/>
      <c r="O587" s="772"/>
      <c r="P587" s="783"/>
      <c r="Q587" s="81"/>
    </row>
    <row r="588">
      <c r="E588" s="341"/>
      <c r="F588" s="341"/>
      <c r="G588" s="784" t="s">
        <v>340</v>
      </c>
      <c r="H588" s="785">
        <f>IFS(H587=F539,H557,H587=F558,H569,F570=H587,H586, TRUE,0)</f>
        <v>0.0005538375289</v>
      </c>
      <c r="I588" s="786"/>
      <c r="J588" s="787"/>
      <c r="K588" s="787"/>
      <c r="L588" s="787"/>
      <c r="M588" s="787"/>
      <c r="N588" s="787"/>
      <c r="O588" s="787"/>
      <c r="P588" s="788"/>
      <c r="Q588" s="787"/>
    </row>
    <row r="589">
      <c r="E589" s="341"/>
      <c r="F589" s="341"/>
      <c r="G589" s="789" t="s">
        <v>325</v>
      </c>
      <c r="H589" s="790">
        <f>IFS(PARAMS("topo")="2x2x2", (2+2+2)/2,
PARAMS("topo")="2x2", (2+2)/2,
TRUE, NA())</f>
        <v>3</v>
      </c>
      <c r="I589" s="772"/>
      <c r="J589" s="772"/>
      <c r="K589" s="772"/>
      <c r="L589" s="772"/>
      <c r="M589" s="772"/>
      <c r="N589" s="772"/>
      <c r="O589" s="772"/>
      <c r="P589" s="783"/>
      <c r="Q589" s="81"/>
    </row>
    <row r="590">
      <c r="E590" s="341"/>
      <c r="F590" s="352"/>
      <c r="G590" s="791" t="s">
        <v>326</v>
      </c>
      <c r="H590" s="792">
        <f>IF(H587="No Collectives", 0, H589 * HW_SPEC("Chip-to-Chip ICI Latency (ms)"))</f>
        <v>0</v>
      </c>
      <c r="I590" s="787"/>
      <c r="J590" s="787"/>
      <c r="K590" s="787"/>
      <c r="L590" s="787"/>
      <c r="M590" s="787"/>
      <c r="N590" s="787"/>
      <c r="O590" s="787"/>
      <c r="P590" s="788"/>
      <c r="Q590" s="382"/>
    </row>
    <row r="591">
      <c r="E591" s="341"/>
      <c r="F591" s="793" t="s">
        <v>327</v>
      </c>
      <c r="G591" s="794" t="s">
        <v>328</v>
      </c>
      <c r="H591" s="795" t="str">
        <f>VLOOKUP(O558&amp;","&amp;O562,$T$3:$W$12,4, FALSE)</f>
        <v>fp8</v>
      </c>
      <c r="I591" s="755"/>
      <c r="J591" s="756"/>
      <c r="K591" s="756"/>
      <c r="L591" s="756"/>
      <c r="M591" s="756"/>
      <c r="N591" s="756"/>
      <c r="O591" s="756"/>
      <c r="P591" s="758"/>
      <c r="Q591" s="434"/>
    </row>
    <row r="592">
      <c r="E592" s="341"/>
      <c r="F592" s="341"/>
      <c r="G592" s="794" t="s">
        <v>341</v>
      </c>
      <c r="H592" s="796">
        <f>CALCULATE_FLOPS(J561:M561,J565:M565,L565,1,H572)</f>
        <v>939524096</v>
      </c>
      <c r="I592" s="748"/>
      <c r="J592" s="749"/>
      <c r="K592" s="749"/>
      <c r="L592" s="749"/>
      <c r="M592" s="749"/>
      <c r="N592" s="749"/>
      <c r="O592" s="749"/>
      <c r="P592" s="764"/>
      <c r="Q592" s="428"/>
    </row>
    <row r="593">
      <c r="E593" s="341"/>
      <c r="F593" s="352"/>
      <c r="G593" s="797" t="s">
        <v>330</v>
      </c>
      <c r="H593" s="798">
        <f>COMPUTE_TIME_MS(H592, H591)</f>
        <v>0.0002505397589</v>
      </c>
      <c r="I593" s="799"/>
      <c r="J593" s="800"/>
      <c r="K593" s="800"/>
      <c r="L593" s="800"/>
      <c r="M593" s="800"/>
      <c r="N593" s="800"/>
      <c r="O593" s="800"/>
      <c r="P593" s="801"/>
      <c r="Q593" s="434"/>
    </row>
    <row r="594">
      <c r="E594" s="341"/>
      <c r="F594" s="793" t="s">
        <v>331</v>
      </c>
      <c r="G594" s="794" t="s">
        <v>332</v>
      </c>
      <c r="H594" s="802">
        <f>IF(Q558,0,P561)+IF(Q562,0,P565)+IF(Q566,0,P569)</f>
        <v>28.28125</v>
      </c>
      <c r="I594" s="749"/>
      <c r="J594" s="749"/>
      <c r="K594" s="749"/>
      <c r="L594" s="749"/>
      <c r="M594" s="749"/>
      <c r="N594" s="749"/>
      <c r="O594" s="749"/>
      <c r="P594" s="764"/>
      <c r="Q594" s="428"/>
    </row>
    <row r="595">
      <c r="E595" s="352"/>
      <c r="F595" s="352"/>
      <c r="G595" s="803" t="s">
        <v>333</v>
      </c>
      <c r="H595" s="804">
        <f>HBM_TIME_MS(H594)</f>
        <v>0.003835890028</v>
      </c>
      <c r="I595" s="800"/>
      <c r="J595" s="800"/>
      <c r="K595" s="800"/>
      <c r="L595" s="800"/>
      <c r="M595" s="800"/>
      <c r="N595" s="800"/>
      <c r="O595" s="800"/>
      <c r="P595" s="801"/>
      <c r="Q595" s="434"/>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row r="1280">
      <c r="P1280" s="227"/>
    </row>
    <row r="1281">
      <c r="P1281" s="227"/>
    </row>
    <row r="1282">
      <c r="P1282" s="227"/>
    </row>
    <row r="1283">
      <c r="P1283" s="227"/>
    </row>
    <row r="1284">
      <c r="P1284" s="227"/>
    </row>
    <row r="1285">
      <c r="P1285" s="227"/>
    </row>
    <row r="1286">
      <c r="P1286" s="227"/>
    </row>
    <row r="1287">
      <c r="P1287" s="227"/>
    </row>
    <row r="1288">
      <c r="P1288" s="227"/>
    </row>
    <row r="1289">
      <c r="P1289" s="227"/>
    </row>
    <row r="1290">
      <c r="P1290" s="227"/>
    </row>
    <row r="1291">
      <c r="P1291" s="227"/>
    </row>
    <row r="1292">
      <c r="P1292" s="227"/>
    </row>
    <row r="1293">
      <c r="P1293" s="227"/>
    </row>
    <row r="1294">
      <c r="P1294" s="227"/>
    </row>
    <row r="1295">
      <c r="P1295" s="227"/>
    </row>
    <row r="1296">
      <c r="P1296" s="227"/>
    </row>
    <row r="1297">
      <c r="P1297" s="227"/>
    </row>
    <row r="1298">
      <c r="P1298" s="227"/>
    </row>
    <row r="1299">
      <c r="P1299" s="227"/>
    </row>
    <row r="1300">
      <c r="P1300" s="227"/>
    </row>
    <row r="1301">
      <c r="P1301" s="227"/>
    </row>
    <row r="1302">
      <c r="P1302" s="227"/>
    </row>
    <row r="1303">
      <c r="P1303" s="227"/>
    </row>
    <row r="1304">
      <c r="P1304" s="227"/>
    </row>
    <row r="1305">
      <c r="P1305" s="227"/>
    </row>
    <row r="1306">
      <c r="P1306" s="227"/>
    </row>
    <row r="1307">
      <c r="P1307" s="227"/>
    </row>
    <row r="1308">
      <c r="P1308" s="227"/>
    </row>
    <row r="1309">
      <c r="P1309" s="227"/>
    </row>
    <row r="1310">
      <c r="P1310" s="227"/>
    </row>
    <row r="1311">
      <c r="P1311" s="227"/>
    </row>
    <row r="1312">
      <c r="P1312" s="227"/>
    </row>
    <row r="1313">
      <c r="P1313" s="227"/>
    </row>
    <row r="1314">
      <c r="P1314" s="227"/>
    </row>
    <row r="1315">
      <c r="P1315" s="227"/>
    </row>
    <row r="1316">
      <c r="P1316" s="227"/>
    </row>
    <row r="1317">
      <c r="P1317" s="227"/>
    </row>
    <row r="1318">
      <c r="P1318" s="227"/>
    </row>
    <row r="1319">
      <c r="P1319" s="227"/>
    </row>
    <row r="1320">
      <c r="P1320" s="227"/>
    </row>
    <row r="1321">
      <c r="P1321" s="227"/>
    </row>
    <row r="1322">
      <c r="P1322" s="227"/>
    </row>
    <row r="1323">
      <c r="P1323" s="227"/>
    </row>
    <row r="1324">
      <c r="P1324" s="227"/>
    </row>
    <row r="1325">
      <c r="P1325" s="227"/>
    </row>
    <row r="1326">
      <c r="P1326" s="227"/>
    </row>
    <row r="1327">
      <c r="P1327" s="227"/>
    </row>
    <row r="1328">
      <c r="P1328" s="227"/>
    </row>
    <row r="1329">
      <c r="P1329" s="227"/>
    </row>
    <row r="1330">
      <c r="P1330" s="227"/>
    </row>
    <row r="1331">
      <c r="P1331" s="227"/>
    </row>
    <row r="1332">
      <c r="P1332" s="227"/>
    </row>
  </sheetData>
  <mergeCells count="235">
    <mergeCell ref="E491:E538"/>
    <mergeCell ref="E539:E557"/>
    <mergeCell ref="E558:E595"/>
    <mergeCell ref="E275:E293"/>
    <mergeCell ref="E294:E312"/>
    <mergeCell ref="E313:E327"/>
    <mergeCell ref="E328:E354"/>
    <mergeCell ref="E360:E406"/>
    <mergeCell ref="E407:E454"/>
    <mergeCell ref="E455:E490"/>
    <mergeCell ref="F539:G542"/>
    <mergeCell ref="F543:G546"/>
    <mergeCell ref="F547:G550"/>
    <mergeCell ref="F551:F552"/>
    <mergeCell ref="F553:F555"/>
    <mergeCell ref="F556:F557"/>
    <mergeCell ref="F558:G561"/>
    <mergeCell ref="F591:F593"/>
    <mergeCell ref="F594:F595"/>
    <mergeCell ref="F562:G565"/>
    <mergeCell ref="F566:G569"/>
    <mergeCell ref="F570:F586"/>
    <mergeCell ref="G571:G575"/>
    <mergeCell ref="G576:G580"/>
    <mergeCell ref="G581:G585"/>
    <mergeCell ref="F587:F590"/>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571:O574"/>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570 H587">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1" location="gid=0&amp;range=D45:D63" ref="B57"/>
    <hyperlink r:id="rId2" location="gid=0&amp;range=D64:D82" ref="B58"/>
    <hyperlink r:id="rId3" location="gid=0&amp;range=D83:D101" ref="B59"/>
    <hyperlink r:id="rId4" location="gid=0&amp;range=D102:D120" ref="B60"/>
    <hyperlink r:id="rId5" location="gid=0&amp;range=E182:E211" ref="B61"/>
    <hyperlink r:id="rId6" location="gid=0&amp;range=D121:D139" ref="B64"/>
    <hyperlink r:id="rId7" location="gid=0&amp;range=D140:D158" ref="B65"/>
    <hyperlink r:id="rId8" location="gid=0&amp;range=D159:D177" ref="B66"/>
    <hyperlink r:id="rId9" location="gid=0&amp;range=D178:D196" ref="B67"/>
    <hyperlink r:id="rId10" location="gid=0&amp;range=D197:D215" ref="B69"/>
    <hyperlink r:id="rId11" location="gid=0&amp;range=S44:S58" ref="B70"/>
    <hyperlink r:id="rId12" location="gid=0&amp;range=S59:S77" ref="B71"/>
    <hyperlink r:id="rId13" location="gid=0&amp;range=S78:S96" ref="B72"/>
    <hyperlink r:id="rId14" location="gid=0&amp;range=S97:S115" ref="B73"/>
  </hyperlinks>
  <drawing r:id="rId15"/>
  <tableParts count="16">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08" t="s">
        <v>168</v>
      </c>
      <c r="B1" s="209"/>
      <c r="C1" s="209"/>
      <c r="D1" s="210"/>
      <c r="E1" s="211"/>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217"/>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224"/>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9">
        <v>4096.0</v>
      </c>
      <c r="D4" s="224"/>
      <c r="F4" s="230" t="s">
        <v>96</v>
      </c>
      <c r="G4" s="225">
        <f>'Config and Summary'!$C8</f>
        <v>1</v>
      </c>
      <c r="H4" s="226"/>
      <c r="P4" s="227"/>
      <c r="Q4" s="181" t="s">
        <v>125</v>
      </c>
      <c r="R4" s="181">
        <v>1.0</v>
      </c>
      <c r="T4" s="66" t="str">
        <f t="shared" si="1"/>
        <v>fp4,fp8</v>
      </c>
      <c r="U4" s="181" t="s">
        <v>180</v>
      </c>
      <c r="V4" s="181" t="s">
        <v>125</v>
      </c>
      <c r="W4" s="181" t="s">
        <v>125</v>
      </c>
    </row>
    <row r="5">
      <c r="A5" s="223" t="s">
        <v>183</v>
      </c>
      <c r="B5" s="223" t="s">
        <v>184</v>
      </c>
      <c r="C5" s="229">
        <v>128.0</v>
      </c>
      <c r="D5" s="224"/>
      <c r="F5" s="230" t="s">
        <v>97</v>
      </c>
      <c r="G5" s="225">
        <f>'Config and Summary'!$C9</f>
        <v>8</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224"/>
      <c r="F6" s="230" t="s">
        <v>98</v>
      </c>
      <c r="G6" s="225">
        <f>'Config and Summary'!$C10</f>
        <v>1</v>
      </c>
      <c r="H6" s="226"/>
      <c r="P6" s="227"/>
      <c r="T6" s="66" t="str">
        <f t="shared" si="1"/>
        <v>fp8,fp4</v>
      </c>
      <c r="U6" s="181" t="s">
        <v>125</v>
      </c>
      <c r="V6" s="181" t="s">
        <v>180</v>
      </c>
      <c r="W6" s="181" t="s">
        <v>125</v>
      </c>
    </row>
    <row r="7">
      <c r="A7" s="231" t="s">
        <v>188</v>
      </c>
      <c r="B7" s="231" t="s">
        <v>189</v>
      </c>
      <c r="C7" s="231">
        <v>3.0</v>
      </c>
      <c r="D7" s="224"/>
      <c r="F7" s="230" t="s">
        <v>99</v>
      </c>
      <c r="G7" s="225">
        <f>'Config and Summary'!$C11</f>
        <v>1</v>
      </c>
      <c r="H7" s="226" t="s">
        <v>190</v>
      </c>
      <c r="P7" s="227"/>
      <c r="T7" s="66" t="str">
        <f t="shared" si="1"/>
        <v>fp8,fp8</v>
      </c>
      <c r="U7" s="181" t="s">
        <v>125</v>
      </c>
      <c r="V7" s="181" t="s">
        <v>125</v>
      </c>
      <c r="W7" s="181" t="s">
        <v>125</v>
      </c>
      <c r="AR7" s="161"/>
      <c r="AS7" s="161"/>
      <c r="AT7" s="161"/>
    </row>
    <row r="8">
      <c r="A8" s="223" t="s">
        <v>191</v>
      </c>
      <c r="B8" s="223" t="s">
        <v>192</v>
      </c>
      <c r="C8" s="229">
        <v>4.0</v>
      </c>
      <c r="D8" s="224"/>
      <c r="F8" s="219" t="s">
        <v>193</v>
      </c>
      <c r="P8" s="227"/>
      <c r="U8" s="181"/>
      <c r="V8" s="181"/>
      <c r="W8" s="181"/>
      <c r="AB8" s="181"/>
      <c r="AC8" s="181"/>
      <c r="AD8" s="181"/>
      <c r="AE8" s="181"/>
    </row>
    <row r="9">
      <c r="A9" s="232" t="s">
        <v>194</v>
      </c>
      <c r="B9" s="233" t="s">
        <v>195</v>
      </c>
      <c r="C9" s="223">
        <v>1536.0</v>
      </c>
      <c r="D9" s="224"/>
      <c r="F9" s="234" t="s">
        <v>196</v>
      </c>
      <c r="G9" s="235">
        <f>G5*G4</f>
        <v>8</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224"/>
      <c r="F10" s="237" t="s">
        <v>199</v>
      </c>
      <c r="G10" s="238">
        <f>PRODUCT(G3:G6)</f>
        <v>8</v>
      </c>
      <c r="H10" s="239"/>
      <c r="P10" s="227"/>
      <c r="T10" s="66" t="str">
        <f t="shared" si="2"/>
        <v>bf16,fp4</v>
      </c>
      <c r="U10" s="181" t="s">
        <v>133</v>
      </c>
      <c r="V10" s="181" t="s">
        <v>180</v>
      </c>
      <c r="W10" s="181" t="s">
        <v>133</v>
      </c>
      <c r="AP10" s="218"/>
      <c r="AQ10" s="218"/>
      <c r="AT10" s="228"/>
    </row>
    <row r="11">
      <c r="A11" s="232" t="s">
        <v>200</v>
      </c>
      <c r="B11" s="233" t="s">
        <v>201</v>
      </c>
      <c r="C11" s="223">
        <v>128.0</v>
      </c>
      <c r="D11" s="224"/>
      <c r="F11" s="237" t="s">
        <v>202</v>
      </c>
      <c r="G11" s="238">
        <f>$G$10/$H$18</f>
        <v>8</v>
      </c>
      <c r="H11" s="239"/>
      <c r="P11" s="227"/>
      <c r="T11" s="66" t="str">
        <f t="shared" si="2"/>
        <v>bf16,fp8</v>
      </c>
      <c r="U11" s="181" t="s">
        <v>133</v>
      </c>
      <c r="V11" s="181" t="s">
        <v>125</v>
      </c>
      <c r="W11" s="181" t="s">
        <v>133</v>
      </c>
      <c r="AP11" s="222"/>
    </row>
    <row r="12">
      <c r="A12" s="232" t="s">
        <v>203</v>
      </c>
      <c r="B12" s="233" t="s">
        <v>204</v>
      </c>
      <c r="C12" s="223">
        <v>64.0</v>
      </c>
      <c r="D12" s="224"/>
      <c r="L12" s="240"/>
      <c r="P12" s="227"/>
      <c r="T12" s="66" t="s">
        <v>205</v>
      </c>
      <c r="U12" s="181" t="s">
        <v>133</v>
      </c>
      <c r="V12" s="181" t="s">
        <v>133</v>
      </c>
      <c r="W12" s="181" t="s">
        <v>133</v>
      </c>
      <c r="AP12" s="218"/>
      <c r="AQ12" s="218"/>
      <c r="AT12" s="228"/>
    </row>
    <row r="13">
      <c r="A13" s="223" t="s">
        <v>206</v>
      </c>
      <c r="B13" s="233" t="s">
        <v>207</v>
      </c>
      <c r="C13" s="223">
        <v>128.0</v>
      </c>
      <c r="D13" s="224"/>
    </row>
    <row r="14">
      <c r="A14" s="241" t="s">
        <v>208</v>
      </c>
      <c r="B14" s="242"/>
      <c r="C14" s="242"/>
      <c r="D14" s="243"/>
      <c r="AG14" s="207"/>
      <c r="AH14" s="207"/>
      <c r="AI14" s="161"/>
      <c r="AJ14" s="2"/>
      <c r="AK14" s="2"/>
      <c r="AL14" s="2"/>
      <c r="AM14" s="2"/>
      <c r="AN14" s="161"/>
      <c r="AO14" s="2"/>
      <c r="AP14" s="207"/>
      <c r="AQ14" s="2"/>
      <c r="AR14" s="2"/>
      <c r="AS14" s="161"/>
      <c r="AT14" s="161"/>
    </row>
    <row r="15">
      <c r="A15" s="244" t="s">
        <v>209</v>
      </c>
      <c r="B15" s="244" t="s">
        <v>209</v>
      </c>
      <c r="C15" s="245">
        <f>$C$11+$C$12</f>
        <v>192</v>
      </c>
      <c r="D15" s="246"/>
      <c r="AG15" s="2"/>
      <c r="AH15" s="2"/>
      <c r="AI15" s="161"/>
      <c r="AJ15" s="2"/>
      <c r="AK15" s="2"/>
      <c r="AL15" s="2"/>
      <c r="AM15" s="2"/>
      <c r="AN15" s="161"/>
      <c r="AO15" s="2"/>
      <c r="AP15" s="247"/>
      <c r="AQ15" s="247"/>
      <c r="AR15" s="2"/>
      <c r="AS15" s="161"/>
      <c r="AT15" s="248"/>
    </row>
    <row r="16">
      <c r="A16" s="244" t="s">
        <v>210</v>
      </c>
      <c r="B16" s="244" t="s">
        <v>210</v>
      </c>
      <c r="C16" s="249">
        <f>$C$10+$C$12</f>
        <v>576</v>
      </c>
      <c r="D16" s="224"/>
      <c r="AG16" s="2"/>
      <c r="AH16" s="2"/>
      <c r="AI16" s="161"/>
      <c r="AJ16" s="2"/>
      <c r="AK16" s="2"/>
      <c r="AL16" s="2"/>
      <c r="AM16" s="2"/>
      <c r="AN16" s="161"/>
      <c r="AO16" s="2"/>
      <c r="AP16" s="247"/>
      <c r="AQ16" s="247"/>
      <c r="AR16" s="2"/>
      <c r="AS16" s="161"/>
      <c r="AT16" s="248"/>
    </row>
    <row r="17">
      <c r="A17" s="249" t="s">
        <v>211</v>
      </c>
      <c r="B17" s="249" t="s">
        <v>212</v>
      </c>
      <c r="C17" s="245">
        <f>C8*$C$25</f>
        <v>4</v>
      </c>
      <c r="D17" s="246"/>
      <c r="F17" s="250" t="s">
        <v>213</v>
      </c>
      <c r="G17" s="11"/>
      <c r="H17" s="251" t="str">
        <f>'Config and Summary'!C4</f>
        <v>GB200 Derated</v>
      </c>
      <c r="AG17" s="2"/>
      <c r="AH17" s="2"/>
      <c r="AI17" s="161"/>
      <c r="AJ17" s="2"/>
      <c r="AK17" s="2"/>
      <c r="AL17" s="2"/>
      <c r="AM17" s="2"/>
      <c r="AN17" s="161"/>
      <c r="AO17" s="2"/>
      <c r="AP17" s="247"/>
      <c r="AQ17" s="247"/>
      <c r="AR17" s="2"/>
      <c r="AS17" s="161"/>
      <c r="AT17" s="248"/>
    </row>
    <row r="18">
      <c r="A18" s="252" t="s">
        <v>173</v>
      </c>
      <c r="B18" s="252" t="s">
        <v>214</v>
      </c>
      <c r="C18" s="253">
        <f>$G$10</f>
        <v>8</v>
      </c>
      <c r="D18" s="246"/>
      <c r="F18" s="185" t="str">
        <f t="array" ref="F18:F32">DB!A2:A16</f>
        <v># of TensorCore per Chip</v>
      </c>
      <c r="G18" s="11"/>
      <c r="H18" s="254">
        <f t="array" ref="H18:H32">xlookup($H$17,DB!1:1,DB!2:16)</f>
        <v>1</v>
      </c>
      <c r="AG18" s="2"/>
      <c r="AH18" s="2"/>
      <c r="AI18" s="161"/>
      <c r="AJ18" s="2"/>
      <c r="AK18" s="2"/>
      <c r="AL18" s="2"/>
      <c r="AM18" s="2"/>
      <c r="AN18" s="161"/>
      <c r="AO18" s="2"/>
      <c r="AP18" s="247"/>
      <c r="AQ18" s="2"/>
      <c r="AR18" s="2"/>
      <c r="AS18" s="161"/>
      <c r="AT18" s="161"/>
    </row>
    <row r="19">
      <c r="A19" s="252" t="s">
        <v>215</v>
      </c>
      <c r="B19" s="252" t="s">
        <v>216</v>
      </c>
      <c r="C19" s="253">
        <f>$G$11</f>
        <v>8</v>
      </c>
      <c r="D19" s="246"/>
      <c r="F19" s="185" t="s">
        <v>217</v>
      </c>
      <c r="G19" s="11"/>
      <c r="H19" s="254">
        <v>7200.0</v>
      </c>
      <c r="AG19" s="2"/>
      <c r="AH19" s="2"/>
      <c r="AI19" s="161"/>
      <c r="AJ19" s="2"/>
      <c r="AK19" s="2"/>
      <c r="AL19" s="2"/>
      <c r="AM19" s="2"/>
      <c r="AN19" s="161"/>
      <c r="AO19" s="2"/>
      <c r="AP19" s="247"/>
      <c r="AQ19" s="2"/>
      <c r="AR19" s="2"/>
      <c r="AS19" s="161"/>
      <c r="AT19" s="161"/>
    </row>
    <row r="20">
      <c r="A20" s="255" t="s">
        <v>218</v>
      </c>
      <c r="B20" s="256" t="s">
        <v>219</v>
      </c>
      <c r="C20" s="257" t="str">
        <f>vlookup(C19, DB!$A$26:$F$31, 5, False)</f>
        <v>2x2x2</v>
      </c>
      <c r="D20" s="258"/>
      <c r="F20" s="185" t="s">
        <v>220</v>
      </c>
      <c r="G20" s="11"/>
      <c r="H20" s="254">
        <v>7500.0</v>
      </c>
      <c r="AG20" s="2"/>
      <c r="AH20" s="2"/>
      <c r="AI20" s="161"/>
      <c r="AJ20" s="2"/>
      <c r="AK20" s="2"/>
      <c r="AL20" s="2"/>
      <c r="AM20" s="2"/>
      <c r="AN20" s="161"/>
      <c r="AO20" s="2"/>
      <c r="AP20" s="247"/>
      <c r="AQ20" s="2"/>
      <c r="AR20" s="2"/>
      <c r="AS20" s="161"/>
      <c r="AT20" s="161"/>
    </row>
    <row r="21">
      <c r="A21" s="259" t="s">
        <v>221</v>
      </c>
      <c r="B21" s="260" t="s">
        <v>222</v>
      </c>
      <c r="C21" s="257">
        <f>vlookup(C19, DB!$A$26:$F$31, 6, False)</f>
        <v>12</v>
      </c>
      <c r="D21" s="261"/>
      <c r="F21" s="185" t="s">
        <v>223</v>
      </c>
      <c r="G21" s="11"/>
      <c r="H21" s="254">
        <v>3750.0</v>
      </c>
      <c r="AG21" s="2"/>
      <c r="AH21" s="2"/>
      <c r="AI21" s="161"/>
      <c r="AJ21" s="2"/>
      <c r="AK21" s="2"/>
      <c r="AL21" s="2"/>
      <c r="AM21" s="2"/>
      <c r="AN21" s="161"/>
      <c r="AO21" s="2"/>
      <c r="AP21" s="247"/>
      <c r="AQ21" s="2"/>
      <c r="AR21" s="2"/>
      <c r="AS21" s="161"/>
      <c r="AT21" s="161"/>
    </row>
    <row r="22">
      <c r="A22" s="253"/>
      <c r="B22" s="253"/>
      <c r="C22" s="253"/>
      <c r="D22" s="246"/>
      <c r="F22" s="185" t="s">
        <v>224</v>
      </c>
      <c r="G22" s="11"/>
      <c r="H22" s="254">
        <v>1875.0</v>
      </c>
      <c r="AG22" s="2"/>
      <c r="AH22" s="2"/>
      <c r="AI22" s="161"/>
      <c r="AJ22" s="2"/>
      <c r="AK22" s="2"/>
      <c r="AL22" s="2"/>
      <c r="AM22" s="2"/>
      <c r="AN22" s="161"/>
      <c r="AO22" s="2"/>
      <c r="AP22" s="247"/>
      <c r="AQ22" s="247"/>
      <c r="AR22" s="2"/>
      <c r="AS22" s="161"/>
      <c r="AT22" s="248"/>
    </row>
    <row r="23">
      <c r="A23" s="262" t="s">
        <v>225</v>
      </c>
      <c r="B23" s="263"/>
      <c r="C23" s="264"/>
      <c r="D23" s="265"/>
      <c r="F23" s="185" t="s">
        <v>226</v>
      </c>
      <c r="G23" s="11"/>
      <c r="H23" s="266">
        <v>179.0</v>
      </c>
      <c r="AG23" s="2"/>
      <c r="AH23" s="2"/>
      <c r="AI23" s="161"/>
      <c r="AJ23" s="2"/>
      <c r="AK23" s="2"/>
      <c r="AL23" s="2"/>
      <c r="AM23" s="2"/>
      <c r="AN23" s="161"/>
      <c r="AO23" s="2"/>
      <c r="AP23" s="247"/>
      <c r="AQ23" s="247"/>
      <c r="AR23" s="2"/>
      <c r="AS23" s="161"/>
      <c r="AT23" s="248"/>
    </row>
    <row r="24">
      <c r="A24" s="249" t="s">
        <v>227</v>
      </c>
      <c r="B24" s="249" t="s">
        <v>228</v>
      </c>
      <c r="C24" s="249" t="s">
        <v>18</v>
      </c>
      <c r="D24" s="224"/>
      <c r="F24" s="185" t="s">
        <v>229</v>
      </c>
      <c r="G24" s="11"/>
      <c r="H24" s="266">
        <v>7200.0</v>
      </c>
      <c r="AG24" s="2"/>
      <c r="AH24" s="2"/>
      <c r="AI24" s="161"/>
      <c r="AJ24" s="2"/>
      <c r="AK24" s="2"/>
      <c r="AL24" s="2"/>
      <c r="AM24" s="2"/>
      <c r="AN24" s="161"/>
      <c r="AO24" s="2"/>
      <c r="AP24" s="247"/>
      <c r="AQ24" s="247"/>
      <c r="AR24" s="2"/>
      <c r="AS24" s="161"/>
      <c r="AT24" s="248"/>
    </row>
    <row r="25">
      <c r="A25" s="267" t="s">
        <v>101</v>
      </c>
      <c r="B25" s="267" t="s">
        <v>102</v>
      </c>
      <c r="C25" s="267">
        <f>'Config and Summary'!C14</f>
        <v>1</v>
      </c>
      <c r="D25" s="224"/>
      <c r="F25" s="185" t="s">
        <v>230</v>
      </c>
      <c r="G25" s="11"/>
      <c r="H25" s="254">
        <v>7500.0</v>
      </c>
      <c r="AG25" s="2"/>
      <c r="AH25" s="2"/>
      <c r="AI25" s="161"/>
      <c r="AJ25" s="248"/>
      <c r="AK25" s="2"/>
      <c r="AL25" s="2"/>
      <c r="AM25" s="2"/>
    </row>
    <row r="26">
      <c r="A26" s="249" t="s">
        <v>103</v>
      </c>
      <c r="B26" s="249" t="s">
        <v>104</v>
      </c>
      <c r="C26" s="249">
        <f>'Config and Summary'!C15</f>
        <v>128</v>
      </c>
      <c r="D26" s="268"/>
      <c r="F26" s="185" t="s">
        <v>231</v>
      </c>
      <c r="G26" s="11"/>
      <c r="H26" s="254">
        <v>3750.0</v>
      </c>
      <c r="AG26" s="207"/>
      <c r="AH26" s="207"/>
      <c r="AI26" s="207"/>
      <c r="AK26" s="2"/>
      <c r="AL26" s="2"/>
      <c r="AM26" s="2"/>
      <c r="AN26" s="161"/>
      <c r="AO26" s="2"/>
      <c r="AP26" s="2"/>
      <c r="AQ26" s="2"/>
      <c r="AR26" s="2"/>
      <c r="AS26" s="161"/>
      <c r="AT26" s="161"/>
    </row>
    <row r="27">
      <c r="A27" s="249" t="s">
        <v>105</v>
      </c>
      <c r="B27" s="252" t="s">
        <v>106</v>
      </c>
      <c r="C27" s="252">
        <f>'Config and Summary'!C16</f>
        <v>2560</v>
      </c>
      <c r="D27" s="224"/>
      <c r="F27" s="185" t="s">
        <v>233</v>
      </c>
      <c r="G27" s="11"/>
      <c r="H27" s="254">
        <v>1875.0</v>
      </c>
      <c r="AG27" s="207"/>
      <c r="AH27" s="207"/>
      <c r="AI27" s="207"/>
      <c r="AK27" s="2"/>
      <c r="AL27" s="2"/>
      <c r="AM27" s="2"/>
      <c r="AN27" s="161"/>
      <c r="AO27" s="2"/>
      <c r="AP27" s="2"/>
      <c r="AQ27" s="2"/>
      <c r="AR27" s="2"/>
      <c r="AS27" s="161"/>
      <c r="AT27" s="161"/>
    </row>
    <row r="28">
      <c r="A28" s="249" t="s">
        <v>110</v>
      </c>
      <c r="B28" s="253"/>
      <c r="C28" s="252">
        <f>'Config and Summary'!C18</f>
        <v>0</v>
      </c>
      <c r="D28" s="224"/>
      <c r="F28" s="185" t="s">
        <v>234</v>
      </c>
      <c r="G28" s="11"/>
      <c r="H28" s="271">
        <v>179.0</v>
      </c>
      <c r="AG28" s="207"/>
      <c r="AH28" s="207"/>
      <c r="AI28" s="207"/>
      <c r="AL28" s="2"/>
      <c r="AM28" s="2"/>
      <c r="AN28" s="161"/>
      <c r="AO28" s="2"/>
      <c r="AP28" s="2"/>
      <c r="AQ28" s="2"/>
      <c r="AR28" s="2"/>
      <c r="AS28" s="161"/>
      <c r="AT28" s="161"/>
    </row>
    <row r="29">
      <c r="A29" s="249" t="s">
        <v>111</v>
      </c>
      <c r="B29" s="253"/>
      <c r="C29" s="252">
        <f>'Config and Summary'!C19</f>
        <v>1</v>
      </c>
      <c r="D29" s="224"/>
      <c r="F29" s="185" t="s">
        <v>235</v>
      </c>
      <c r="G29" s="11"/>
      <c r="H29" s="254">
        <v>900.0</v>
      </c>
      <c r="AB29" s="181"/>
      <c r="AC29" s="181"/>
      <c r="AD29" s="181"/>
      <c r="AE29" s="181"/>
      <c r="AM29" s="222"/>
      <c r="AN29" s="218"/>
      <c r="AO29" s="222"/>
      <c r="AP29" s="222"/>
      <c r="AQ29" s="272"/>
      <c r="AR29" s="222"/>
      <c r="AS29" s="66"/>
    </row>
    <row r="30">
      <c r="A30" s="249" t="s">
        <v>112</v>
      </c>
      <c r="B30" s="252" t="s">
        <v>113</v>
      </c>
      <c r="C30" s="273" t="b">
        <f>'Config and Summary'!C20</f>
        <v>1</v>
      </c>
      <c r="D30" s="274"/>
      <c r="F30" s="11" t="s">
        <v>236</v>
      </c>
      <c r="G30" s="11"/>
      <c r="H30" s="275">
        <v>900.0</v>
      </c>
      <c r="AB30" s="181"/>
      <c r="AC30" s="181"/>
      <c r="AD30" s="181"/>
      <c r="AE30" s="181"/>
      <c r="AM30" s="222"/>
      <c r="AN30" s="218"/>
      <c r="AO30" s="222"/>
      <c r="AP30" s="222"/>
      <c r="AQ30" s="272"/>
      <c r="AR30" s="222"/>
      <c r="AS30" s="66"/>
    </row>
    <row r="31">
      <c r="A31" s="9" t="s">
        <v>114</v>
      </c>
      <c r="B31" s="9" t="s">
        <v>115</v>
      </c>
      <c r="C31" s="273" t="b">
        <f>'Config and Summary'!C21</f>
        <v>1</v>
      </c>
      <c r="D31" s="274"/>
      <c r="F31" s="182" t="s">
        <v>237</v>
      </c>
      <c r="G31" s="11"/>
      <c r="H31" s="182">
        <v>0.0</v>
      </c>
      <c r="AM31" s="222"/>
      <c r="AN31" s="218"/>
      <c r="AO31" s="218"/>
      <c r="AP31" s="218"/>
      <c r="AQ31" s="218"/>
      <c r="AR31" s="222"/>
      <c r="AT31" s="228"/>
    </row>
    <row r="32">
      <c r="A32" s="262" t="s">
        <v>238</v>
      </c>
      <c r="B32" s="263"/>
      <c r="C32" s="264"/>
      <c r="D32" s="265"/>
      <c r="F32" s="182" t="s">
        <v>239</v>
      </c>
      <c r="G32" s="11"/>
      <c r="H32" s="182">
        <v>1.0</v>
      </c>
      <c r="AM32" s="222"/>
      <c r="AN32" s="218"/>
      <c r="AO32" s="218"/>
      <c r="AP32" s="218"/>
      <c r="AQ32" s="218"/>
      <c r="AR32" s="222"/>
      <c r="AT32" s="228"/>
    </row>
    <row r="33">
      <c r="A33" s="249" t="s">
        <v>123</v>
      </c>
      <c r="B33" s="252" t="s">
        <v>124</v>
      </c>
      <c r="C33" s="273" t="str">
        <f>'Config and Summary'!C27</f>
        <v>fp8</v>
      </c>
      <c r="D33" s="276"/>
      <c r="AM33" s="222"/>
      <c r="AN33" s="218"/>
      <c r="AO33" s="218"/>
      <c r="AP33" s="222"/>
      <c r="AQ33" s="222"/>
      <c r="AR33" s="222"/>
    </row>
    <row r="34">
      <c r="A34" s="249" t="s">
        <v>126</v>
      </c>
      <c r="B34" s="244" t="s">
        <v>127</v>
      </c>
      <c r="C34" s="277" t="str">
        <f>'Config and Summary'!C28</f>
        <v>w8a8</v>
      </c>
      <c r="AM34" s="222"/>
      <c r="AN34" s="218"/>
      <c r="AO34" s="218"/>
      <c r="AP34" s="222"/>
      <c r="AQ34" s="222"/>
      <c r="AR34" s="222"/>
    </row>
    <row r="35">
      <c r="A35" s="249" t="s">
        <v>129</v>
      </c>
      <c r="B35" s="244" t="s">
        <v>130</v>
      </c>
      <c r="C35" s="277" t="str">
        <f>'Config and Summary'!C29</f>
        <v>w8a8</v>
      </c>
      <c r="AM35" s="222"/>
      <c r="AN35" s="218"/>
      <c r="AO35" s="218"/>
      <c r="AP35" s="222"/>
      <c r="AQ35" s="222"/>
      <c r="AR35" s="222"/>
    </row>
    <row r="36">
      <c r="A36" s="249" t="s">
        <v>131</v>
      </c>
      <c r="B36" s="244" t="s">
        <v>132</v>
      </c>
      <c r="C36" s="273" t="str">
        <f>'Config and Summary'!C30</f>
        <v>bf16</v>
      </c>
      <c r="D36" s="276"/>
      <c r="AM36" s="222"/>
      <c r="AN36" s="218"/>
      <c r="AO36" s="218"/>
      <c r="AP36" s="222"/>
      <c r="AQ36" s="222"/>
      <c r="AR36" s="222"/>
    </row>
    <row r="37">
      <c r="A37" s="249" t="s">
        <v>134</v>
      </c>
      <c r="B37" s="244" t="s">
        <v>135</v>
      </c>
      <c r="C37" s="273" t="str">
        <f>'Config and Summary'!C31</f>
        <v>bf16</v>
      </c>
      <c r="D37" s="276"/>
      <c r="AM37" s="222"/>
      <c r="AN37" s="218"/>
      <c r="AO37" s="218"/>
      <c r="AP37" s="222"/>
      <c r="AQ37" s="222"/>
      <c r="AR37" s="222"/>
    </row>
    <row r="38">
      <c r="A38" s="249" t="s">
        <v>136</v>
      </c>
      <c r="B38" s="244" t="s">
        <v>137</v>
      </c>
      <c r="C38" s="273" t="str">
        <f>'Config and Summary'!C32</f>
        <v>fp8</v>
      </c>
      <c r="D38" s="276"/>
      <c r="AM38" s="222"/>
      <c r="AN38" s="218"/>
      <c r="AO38" s="218"/>
      <c r="AP38" s="222"/>
      <c r="AQ38" s="222"/>
      <c r="AR38" s="222"/>
    </row>
    <row r="39">
      <c r="A39" s="9" t="s">
        <v>138</v>
      </c>
      <c r="B39" s="244" t="s">
        <v>139</v>
      </c>
      <c r="C39" s="277" t="str">
        <f>'Config and Summary'!C33</f>
        <v>w8a8</v>
      </c>
      <c r="D39" s="276"/>
      <c r="AM39" s="222"/>
      <c r="AN39" s="218"/>
      <c r="AO39" s="218"/>
      <c r="AP39" s="222"/>
      <c r="AQ39" s="222"/>
      <c r="AR39" s="222"/>
    </row>
    <row r="40">
      <c r="A40" s="249" t="s">
        <v>140</v>
      </c>
      <c r="B40" s="244" t="s">
        <v>141</v>
      </c>
      <c r="C40" s="273" t="str">
        <f>'Config and Summary'!C34</f>
        <v>bf16</v>
      </c>
      <c r="D40" s="276"/>
      <c r="AM40" s="222"/>
      <c r="AN40" s="218"/>
      <c r="AO40" s="218"/>
      <c r="AP40" s="222"/>
      <c r="AQ40" s="222"/>
      <c r="AR40" s="222"/>
    </row>
    <row r="41">
      <c r="A41" s="181"/>
      <c r="B41" s="278"/>
      <c r="C41" s="278"/>
      <c r="D41" s="278"/>
      <c r="AM41" s="222"/>
      <c r="AN41" s="218"/>
      <c r="AO41" s="218"/>
      <c r="AP41" s="222"/>
      <c r="AQ41" s="222"/>
      <c r="AR41" s="222"/>
    </row>
    <row r="42">
      <c r="A42" s="199" t="s">
        <v>94</v>
      </c>
      <c r="B42" s="185" t="s">
        <v>240</v>
      </c>
      <c r="C42" s="182" t="b">
        <f>'Config and Summary'!C5</f>
        <v>1</v>
      </c>
      <c r="AG42" s="2"/>
      <c r="AH42" s="2"/>
      <c r="AI42" s="2"/>
      <c r="AJ42" s="2"/>
      <c r="AK42" s="2"/>
      <c r="AL42" s="2"/>
      <c r="AM42" s="247"/>
      <c r="AN42" s="247"/>
      <c r="AO42" s="279"/>
      <c r="AP42" s="222"/>
      <c r="AQ42" s="247"/>
      <c r="AR42" s="247"/>
      <c r="AT42" s="280"/>
    </row>
    <row r="43" ht="27.0" customHeight="1">
      <c r="A43" s="281"/>
      <c r="AG43" s="2"/>
      <c r="AH43" s="2"/>
      <c r="AI43" s="2"/>
      <c r="AJ43" s="2"/>
      <c r="AK43" s="2"/>
      <c r="AL43" s="2"/>
      <c r="AM43" s="247"/>
      <c r="AN43" s="247"/>
      <c r="AO43" s="279"/>
      <c r="AP43" s="222"/>
      <c r="AQ43" s="247"/>
      <c r="AR43" s="247"/>
      <c r="AT43" s="280"/>
    </row>
    <row r="44" ht="27.0" customHeight="1">
      <c r="A44" s="281" t="s">
        <v>241</v>
      </c>
      <c r="AG44" s="2"/>
      <c r="AH44" s="2"/>
      <c r="AI44" s="2"/>
      <c r="AJ44" s="2"/>
      <c r="AK44" s="2"/>
      <c r="AL44" s="2"/>
      <c r="AM44" s="247"/>
      <c r="AN44" s="247"/>
      <c r="AO44" s="279"/>
      <c r="AP44" s="222"/>
      <c r="AQ44" s="247"/>
      <c r="AR44" s="247"/>
      <c r="AT44" s="280"/>
    </row>
    <row r="45" ht="30.0" customHeight="1">
      <c r="A45" s="282" t="s">
        <v>242</v>
      </c>
      <c r="B45" s="282" t="str">
        <f> "Value (" &amp; H17 &amp; ")"</f>
        <v>Value (GB200 Derated)</v>
      </c>
      <c r="D45" s="4"/>
      <c r="E45" s="4"/>
      <c r="F45" s="4"/>
      <c r="G45" s="4"/>
      <c r="H45" s="4"/>
      <c r="I45" s="4"/>
      <c r="J45" s="4"/>
      <c r="K45" s="4"/>
      <c r="L45" s="4"/>
      <c r="M45" s="4"/>
      <c r="N45" s="4"/>
      <c r="O45" s="4"/>
      <c r="P45" s="283"/>
      <c r="Q45" s="4"/>
      <c r="R45" s="4"/>
      <c r="S45" s="4"/>
      <c r="T45" s="4"/>
      <c r="U45" s="4"/>
      <c r="V45" s="4"/>
      <c r="W45" s="4"/>
      <c r="X45" s="4"/>
      <c r="Y45" s="4"/>
      <c r="Z45" s="4"/>
      <c r="AA45" s="4"/>
      <c r="AB45" s="4"/>
      <c r="AC45" s="4"/>
      <c r="AD45" s="4"/>
      <c r="AE45" s="4"/>
      <c r="AF45" s="4"/>
      <c r="AG45" s="284"/>
      <c r="AH45" s="284"/>
      <c r="AI45" s="284"/>
      <c r="AJ45" s="284"/>
      <c r="AK45" s="284"/>
      <c r="AL45" s="284"/>
      <c r="AM45" s="285"/>
      <c r="AN45" s="285"/>
      <c r="AO45" s="286"/>
      <c r="AP45" s="104"/>
      <c r="AQ45" s="285"/>
      <c r="AR45" s="285"/>
      <c r="AS45" s="4"/>
      <c r="AT45" s="287"/>
    </row>
    <row r="46" ht="15.0" customHeight="1">
      <c r="A46" s="185" t="s">
        <v>76</v>
      </c>
      <c r="B46" s="271">
        <f>$C26*$C25</f>
        <v>128</v>
      </c>
      <c r="P46" s="227"/>
      <c r="AG46" s="2"/>
      <c r="AH46" s="2"/>
      <c r="AI46" s="2"/>
      <c r="AJ46" s="2"/>
      <c r="AK46" s="2"/>
      <c r="AL46" s="2"/>
      <c r="AM46" s="247"/>
      <c r="AN46" s="247"/>
      <c r="AO46" s="279"/>
      <c r="AP46" s="222"/>
      <c r="AQ46" s="247"/>
      <c r="AR46" s="247"/>
      <c r="AT46" s="280"/>
    </row>
    <row r="47" ht="15.0" customHeight="1">
      <c r="A47" s="185" t="s">
        <v>243</v>
      </c>
      <c r="B47" s="288">
        <f>G10</f>
        <v>8</v>
      </c>
      <c r="P47" s="227"/>
      <c r="AG47" s="2"/>
      <c r="AH47" s="2"/>
      <c r="AI47" s="2"/>
      <c r="AJ47" s="2"/>
      <c r="AK47" s="2"/>
      <c r="AL47" s="2"/>
      <c r="AM47" s="247"/>
      <c r="AN47" s="247"/>
      <c r="AO47" s="279"/>
      <c r="AP47" s="222"/>
      <c r="AQ47" s="247"/>
      <c r="AR47" s="247"/>
      <c r="AT47" s="280"/>
    </row>
    <row r="48" ht="15.0" customHeight="1">
      <c r="A48" s="185" t="s">
        <v>146</v>
      </c>
      <c r="B48" s="289">
        <f>$G$76/1000 * $C$6</f>
        <v>0.01310400402</v>
      </c>
      <c r="P48" s="227"/>
      <c r="AG48" s="2"/>
      <c r="AH48" s="2"/>
      <c r="AI48" s="2"/>
      <c r="AJ48" s="2"/>
      <c r="AK48" s="2"/>
      <c r="AL48" s="2"/>
      <c r="AM48" s="247"/>
      <c r="AN48" s="247"/>
      <c r="AO48" s="279"/>
      <c r="AP48" s="222"/>
      <c r="AQ48" s="247"/>
      <c r="AR48" s="247"/>
      <c r="AT48" s="280"/>
    </row>
    <row r="49" ht="15.0" customHeight="1">
      <c r="A49" s="185" t="s">
        <v>147</v>
      </c>
      <c r="B49" s="271">
        <f>$B$46/$B$48</f>
        <v>9768.006769</v>
      </c>
      <c r="P49" s="227"/>
      <c r="AG49" s="2"/>
      <c r="AH49" s="2"/>
      <c r="AI49" s="2"/>
      <c r="AJ49" s="2"/>
      <c r="AK49" s="2"/>
      <c r="AL49" s="2"/>
      <c r="AM49" s="247"/>
      <c r="AN49" s="247"/>
      <c r="AO49" s="279"/>
      <c r="AP49" s="222"/>
      <c r="AQ49" s="247"/>
      <c r="AR49" s="247"/>
      <c r="AT49" s="280"/>
    </row>
    <row r="50" ht="15.0" customHeight="1">
      <c r="A50" s="185" t="s">
        <v>148</v>
      </c>
      <c r="B50" s="193">
        <f>B46/(B48*(1+C28))*C29</f>
        <v>9768.006769</v>
      </c>
      <c r="P50" s="227"/>
      <c r="AG50" s="2"/>
      <c r="AH50" s="2"/>
      <c r="AI50" s="2"/>
      <c r="AJ50" s="2"/>
      <c r="AK50" s="2"/>
      <c r="AL50" s="2"/>
      <c r="AM50" s="247"/>
      <c r="AN50" s="247"/>
      <c r="AO50" s="279"/>
      <c r="AP50" s="222"/>
      <c r="AQ50" s="247"/>
      <c r="AR50" s="247"/>
      <c r="AT50" s="280"/>
    </row>
    <row r="51" ht="15.0" customHeight="1">
      <c r="A51" s="185" t="s">
        <v>149</v>
      </c>
      <c r="B51" s="193">
        <f>B50/$G$11</f>
        <v>1221.000846</v>
      </c>
      <c r="P51" s="227"/>
      <c r="AG51" s="2"/>
      <c r="AH51" s="2"/>
      <c r="AI51" s="2"/>
      <c r="AJ51" s="2"/>
      <c r="AK51" s="2"/>
      <c r="AL51" s="2"/>
      <c r="AM51" s="247"/>
      <c r="AN51" s="247"/>
      <c r="AO51" s="279"/>
      <c r="AP51" s="222"/>
      <c r="AQ51" s="247"/>
      <c r="AR51" s="247"/>
      <c r="AT51" s="280"/>
    </row>
    <row r="52" ht="15.0" customHeight="1">
      <c r="P52" s="227"/>
      <c r="AG52" s="2"/>
      <c r="AH52" s="2"/>
      <c r="AI52" s="2"/>
      <c r="AJ52" s="2"/>
      <c r="AK52" s="2"/>
      <c r="AL52" s="2"/>
      <c r="AM52" s="247"/>
      <c r="AN52" s="247"/>
      <c r="AO52" s="279"/>
      <c r="AP52" s="222"/>
      <c r="AQ52" s="247"/>
      <c r="AR52" s="247"/>
      <c r="AT52" s="280"/>
    </row>
    <row r="53" ht="15.0" customHeight="1">
      <c r="G53" s="67">
        <f>sum(G57:G60)+G67+G69</f>
        <v>0.02491765552</v>
      </c>
      <c r="P53" s="227"/>
      <c r="AG53" s="2"/>
      <c r="AH53" s="2"/>
      <c r="AI53" s="2"/>
      <c r="AJ53" s="2"/>
      <c r="AK53" s="2"/>
      <c r="AL53" s="2"/>
      <c r="AM53" s="247"/>
      <c r="AN53" s="247"/>
      <c r="AO53" s="279"/>
      <c r="AP53" s="222"/>
      <c r="AQ53" s="247"/>
      <c r="AR53" s="247"/>
      <c r="AT53" s="280"/>
    </row>
    <row r="54">
      <c r="A54" s="281"/>
      <c r="B54" s="281"/>
      <c r="D54" s="181"/>
      <c r="E54" s="181"/>
      <c r="F54" s="181"/>
      <c r="AM54" s="222"/>
      <c r="AN54" s="218"/>
      <c r="AO54" s="218"/>
      <c r="AP54" s="218"/>
      <c r="AQ54" s="218"/>
      <c r="AR54" s="222"/>
      <c r="AT54" s="280"/>
    </row>
    <row r="55">
      <c r="A55" s="281" t="s">
        <v>244</v>
      </c>
      <c r="B55" s="281"/>
      <c r="D55" s="181"/>
      <c r="E55" s="181"/>
      <c r="F55" s="181"/>
      <c r="G55" s="181"/>
      <c r="AM55" s="222"/>
      <c r="AN55" s="218"/>
      <c r="AO55" s="218"/>
      <c r="AP55" s="218"/>
      <c r="AQ55" s="218"/>
      <c r="AR55" s="222"/>
      <c r="AT55" s="280"/>
    </row>
    <row r="56">
      <c r="A56" s="290" t="s">
        <v>245</v>
      </c>
      <c r="B56" s="290" t="s">
        <v>246</v>
      </c>
      <c r="C56" s="290" t="s">
        <v>247</v>
      </c>
      <c r="D56" s="290" t="s">
        <v>248</v>
      </c>
      <c r="E56" s="290" t="s">
        <v>249</v>
      </c>
      <c r="F56" s="290" t="s">
        <v>250</v>
      </c>
      <c r="G56" s="290" t="s">
        <v>251</v>
      </c>
      <c r="H56" s="290" t="s">
        <v>252</v>
      </c>
      <c r="I56" s="291"/>
      <c r="J56" s="290" t="s">
        <v>253</v>
      </c>
      <c r="K56" s="290" t="s">
        <v>254</v>
      </c>
      <c r="AG56" s="207"/>
      <c r="AH56" s="207"/>
      <c r="AI56" s="2"/>
      <c r="AJ56" s="2"/>
      <c r="AK56" s="2"/>
      <c r="AL56" s="2"/>
      <c r="AM56" s="247"/>
      <c r="AN56" s="279"/>
      <c r="AO56" s="279"/>
      <c r="AP56" s="292"/>
      <c r="AQ56" s="279"/>
      <c r="AR56" s="247"/>
      <c r="AS56" s="66"/>
      <c r="AT56" s="280"/>
    </row>
    <row r="57">
      <c r="A57" s="293" t="s">
        <v>29</v>
      </c>
      <c r="B57" s="294" t="s">
        <v>255</v>
      </c>
      <c r="C57" s="295">
        <f>$H$141</f>
        <v>0.001445346408</v>
      </c>
      <c r="D57" s="295">
        <f>$H$139</f>
        <v>0.0000939524096</v>
      </c>
      <c r="E57" s="296">
        <f>$H$136</f>
        <v>0</v>
      </c>
      <c r="F57" s="295">
        <f>H134</f>
        <v>0</v>
      </c>
      <c r="G57" s="295">
        <f t="shared" ref="G57:G61" si="3">IF(K57,max(C57:F57),
max(C57:D57)+max(E57:F57))</f>
        <v>0.001445346408</v>
      </c>
      <c r="H57" s="297" t="str">
        <f t="shared" ref="H57:H73" si="4">LET(maxtime, MAX(C57:F57),
 IFS(maxtime=0, "", C57=maxtime, "HBM", D57=maxtime, "Compute", E57=maxtime, "ICI Lt", F57=maxtime, "ICI BW"))</f>
        <v>HBM</v>
      </c>
      <c r="I57" s="298"/>
      <c r="J57" s="299">
        <f t="shared" ref="J57:J63" si="5">G57/$G$74</f>
        <v>0.006728182527</v>
      </c>
      <c r="K57" s="300" t="b">
        <v>1</v>
      </c>
      <c r="P57" s="301"/>
      <c r="AG57" s="2"/>
      <c r="AH57" s="2"/>
      <c r="AI57" s="207"/>
      <c r="AJ57" s="2"/>
      <c r="AK57" s="2"/>
      <c r="AL57" s="2"/>
      <c r="AM57" s="247"/>
      <c r="AN57" s="218"/>
      <c r="AO57" s="218"/>
      <c r="AP57" s="218"/>
      <c r="AQ57" s="218"/>
      <c r="AR57" s="247"/>
      <c r="AT57" s="280"/>
    </row>
    <row r="58">
      <c r="A58" s="293" t="s">
        <v>29</v>
      </c>
      <c r="B58" s="294" t="s">
        <v>32</v>
      </c>
      <c r="C58" s="295">
        <f>$H$168</f>
        <v>0.004987716675</v>
      </c>
      <c r="D58" s="295">
        <f>$H$166</f>
        <v>0.0003221225472</v>
      </c>
      <c r="E58" s="297"/>
      <c r="F58" s="295">
        <f>H163</f>
        <v>0</v>
      </c>
      <c r="G58" s="295">
        <f t="shared" si="3"/>
        <v>0.004987716675</v>
      </c>
      <c r="H58" s="297" t="str">
        <f t="shared" si="4"/>
        <v>HBM</v>
      </c>
      <c r="I58" s="298"/>
      <c r="J58" s="299">
        <f t="shared" si="5"/>
        <v>0.02321814894</v>
      </c>
      <c r="K58" s="300" t="b">
        <v>1</v>
      </c>
      <c r="P58" s="227"/>
      <c r="AG58" s="2"/>
      <c r="AH58" s="2"/>
      <c r="AI58" s="2"/>
      <c r="AJ58" s="2"/>
      <c r="AK58" s="2"/>
      <c r="AL58" s="2"/>
      <c r="AM58" s="247"/>
      <c r="AN58" s="247"/>
      <c r="AO58" s="279"/>
      <c r="AP58" s="222"/>
      <c r="AQ58" s="247"/>
      <c r="AR58" s="247"/>
      <c r="AT58" s="280"/>
    </row>
    <row r="59">
      <c r="A59" s="293" t="s">
        <v>29</v>
      </c>
      <c r="B59" s="294" t="s">
        <v>34</v>
      </c>
      <c r="C59" s="295">
        <f>$H$187</f>
        <v>0.001390245226</v>
      </c>
      <c r="D59" s="295">
        <f>$H$185</f>
        <v>0.00007158278827</v>
      </c>
      <c r="E59" s="297"/>
      <c r="F59" s="295"/>
      <c r="G59" s="295">
        <f t="shared" si="3"/>
        <v>0.001390245226</v>
      </c>
      <c r="H59" s="297" t="str">
        <f t="shared" si="4"/>
        <v>HBM</v>
      </c>
      <c r="I59" s="298"/>
      <c r="J59" s="299">
        <f t="shared" si="5"/>
        <v>0.0064716829</v>
      </c>
      <c r="K59" s="300"/>
      <c r="P59" s="227"/>
      <c r="AG59" s="2"/>
      <c r="AH59" s="2"/>
      <c r="AI59" s="2"/>
      <c r="AJ59" s="2"/>
      <c r="AK59" s="2"/>
      <c r="AL59" s="2"/>
      <c r="AM59" s="247"/>
      <c r="AN59" s="218"/>
      <c r="AO59" s="218"/>
      <c r="AP59" s="218"/>
      <c r="AQ59" s="218"/>
      <c r="AR59" s="247"/>
      <c r="AT59" s="280"/>
    </row>
    <row r="60">
      <c r="A60" s="293" t="s">
        <v>29</v>
      </c>
      <c r="B60" s="294" t="s">
        <v>256</v>
      </c>
      <c r="C60" s="295">
        <f>$H$206</f>
        <v>0.0005512767368</v>
      </c>
      <c r="D60" s="295">
        <f>$H$204</f>
        <v>0.0000352321536</v>
      </c>
      <c r="E60" s="297"/>
      <c r="F60" s="295"/>
      <c r="G60" s="295">
        <f t="shared" si="3"/>
        <v>0.0005512767368</v>
      </c>
      <c r="H60" s="297" t="str">
        <f t="shared" si="4"/>
        <v>HBM</v>
      </c>
      <c r="I60" s="298"/>
      <c r="J60" s="299">
        <f t="shared" si="5"/>
        <v>0.002566229443</v>
      </c>
      <c r="K60" s="300"/>
      <c r="P60" s="227"/>
      <c r="AM60" s="222"/>
      <c r="AO60" s="222"/>
      <c r="AP60" s="222"/>
      <c r="AQ60" s="222"/>
      <c r="AR60" s="247"/>
      <c r="AS60" s="66"/>
      <c r="AT60" s="280"/>
    </row>
    <row r="61">
      <c r="A61" s="293" t="s">
        <v>29</v>
      </c>
      <c r="B61" s="294" t="s">
        <v>257</v>
      </c>
      <c r="C61" s="295"/>
      <c r="D61" s="295"/>
      <c r="E61" s="297"/>
      <c r="F61" s="295">
        <f>$H$236</f>
        <v>0</v>
      </c>
      <c r="G61" s="295">
        <f t="shared" si="3"/>
        <v>0</v>
      </c>
      <c r="H61" s="297" t="str">
        <f t="shared" si="4"/>
        <v/>
      </c>
      <c r="I61" s="298"/>
      <c r="J61" s="299">
        <f t="shared" si="5"/>
        <v>0</v>
      </c>
      <c r="K61" s="300"/>
      <c r="P61" s="227"/>
      <c r="R61" s="203"/>
      <c r="S61" s="203"/>
      <c r="T61" s="203"/>
      <c r="U61" s="203"/>
      <c r="V61" s="203"/>
      <c r="W61" s="2"/>
      <c r="AM61" s="222"/>
      <c r="AO61" s="218"/>
      <c r="AP61" s="218"/>
      <c r="AQ61" s="218"/>
      <c r="AR61" s="247"/>
      <c r="AT61" s="280"/>
    </row>
    <row r="62">
      <c r="A62" s="293" t="s">
        <v>29</v>
      </c>
      <c r="B62" s="302" t="s">
        <v>258</v>
      </c>
      <c r="C62" s="295">
        <f t="shared" ref="C62:D62" si="6">SUM(C64:C66)</f>
        <v>0.003628200955</v>
      </c>
      <c r="D62" s="295">
        <f t="shared" si="6"/>
        <v>0.006084537003</v>
      </c>
      <c r="E62" s="297"/>
      <c r="F62" s="295"/>
      <c r="G62" s="295">
        <f>IF(PARAMS("flash_attn"),MAX(C62:F62),0)</f>
        <v>0.006084537003</v>
      </c>
      <c r="H62" s="297" t="str">
        <f t="shared" si="4"/>
        <v>Compute</v>
      </c>
      <c r="I62" s="298"/>
      <c r="J62" s="299">
        <f t="shared" si="5"/>
        <v>0.02832391966</v>
      </c>
      <c r="K62" s="300"/>
      <c r="P62" s="227"/>
      <c r="R62" s="203"/>
      <c r="S62" s="203"/>
      <c r="T62" s="203"/>
      <c r="U62" s="203"/>
      <c r="V62" s="203"/>
      <c r="W62" s="2"/>
      <c r="AM62" s="222"/>
      <c r="AO62" s="218"/>
      <c r="AP62" s="218"/>
      <c r="AQ62" s="218"/>
      <c r="AR62" s="247"/>
      <c r="AT62" s="280"/>
    </row>
    <row r="63">
      <c r="A63" s="293" t="s">
        <v>29</v>
      </c>
      <c r="B63" s="302" t="s">
        <v>259</v>
      </c>
      <c r="C63" s="295"/>
      <c r="D63" s="295"/>
      <c r="E63" s="297"/>
      <c r="F63" s="295"/>
      <c r="G63" s="295">
        <f>IF(PARAMS("flash_attn"),0,SUM(G64:G66))</f>
        <v>0</v>
      </c>
      <c r="H63" s="297" t="str">
        <f t="shared" si="4"/>
        <v/>
      </c>
      <c r="I63" s="298"/>
      <c r="J63" s="299">
        <f t="shared" si="5"/>
        <v>0</v>
      </c>
      <c r="K63" s="300"/>
      <c r="P63" s="227"/>
      <c r="R63" s="203"/>
      <c r="S63" s="203"/>
      <c r="T63" s="203"/>
      <c r="U63" s="203"/>
      <c r="V63" s="203"/>
      <c r="W63" s="2"/>
      <c r="AM63" s="222"/>
      <c r="AO63" s="218"/>
      <c r="AP63" s="218"/>
      <c r="AQ63" s="218"/>
      <c r="AR63" s="247"/>
      <c r="AT63" s="280"/>
    </row>
    <row r="64">
      <c r="A64" s="293" t="s">
        <v>29</v>
      </c>
      <c r="B64" s="294" t="s">
        <v>433</v>
      </c>
      <c r="C64" s="295">
        <f>$H$255</f>
        <v>0.002983940972</v>
      </c>
      <c r="D64" s="295">
        <f>$H$253</f>
        <v>0.002863311531</v>
      </c>
      <c r="E64" s="297"/>
      <c r="F64" s="295"/>
      <c r="G64" s="295">
        <f t="shared" ref="G64:G66" si="7">max(C64:F64)</f>
        <v>0.002983940972</v>
      </c>
      <c r="H64" s="297" t="str">
        <f t="shared" si="4"/>
        <v>HBM</v>
      </c>
      <c r="I64" s="298"/>
      <c r="J64" s="299"/>
      <c r="K64" s="300"/>
      <c r="P64" s="227"/>
      <c r="R64" s="203"/>
      <c r="S64" s="203"/>
      <c r="T64" s="203"/>
      <c r="U64" s="203"/>
      <c r="V64" s="203"/>
      <c r="W64" s="2"/>
      <c r="AM64" s="222"/>
      <c r="AO64" s="218"/>
      <c r="AP64" s="218"/>
      <c r="AQ64" s="218"/>
      <c r="AR64" s="247"/>
      <c r="AT64" s="280"/>
    </row>
    <row r="65">
      <c r="A65" s="293" t="s">
        <v>29</v>
      </c>
      <c r="B65" s="294" t="s">
        <v>434</v>
      </c>
      <c r="C65" s="295">
        <f>$H$274</f>
        <v>0.0003729926215</v>
      </c>
      <c r="D65" s="295">
        <f>$H$272</f>
        <v>0.0003579139413</v>
      </c>
      <c r="E65" s="297"/>
      <c r="F65" s="295"/>
      <c r="G65" s="295">
        <f t="shared" si="7"/>
        <v>0.0003729926215</v>
      </c>
      <c r="H65" s="297" t="str">
        <f t="shared" si="4"/>
        <v>HBM</v>
      </c>
      <c r="I65" s="298"/>
      <c r="J65" s="299"/>
      <c r="K65" s="300"/>
      <c r="P65" s="227"/>
      <c r="R65" s="303"/>
      <c r="S65" s="303"/>
      <c r="T65" s="303"/>
      <c r="U65" s="303"/>
      <c r="V65" s="303"/>
      <c r="W65" s="2"/>
      <c r="AM65" s="222"/>
      <c r="AN65" s="218"/>
      <c r="AO65" s="222"/>
      <c r="AP65" s="222"/>
      <c r="AQ65" s="218"/>
      <c r="AR65" s="247"/>
      <c r="AT65" s="280"/>
    </row>
    <row r="66">
      <c r="A66" s="293" t="s">
        <v>29</v>
      </c>
      <c r="B66" s="294" t="s">
        <v>435</v>
      </c>
      <c r="C66" s="295">
        <f>$H$293</f>
        <v>0.0002712673611</v>
      </c>
      <c r="D66" s="295">
        <f>$H$291</f>
        <v>0.002863311531</v>
      </c>
      <c r="E66" s="297"/>
      <c r="F66" s="295"/>
      <c r="G66" s="295">
        <f t="shared" si="7"/>
        <v>0.002863311531</v>
      </c>
      <c r="H66" s="297" t="str">
        <f t="shared" si="4"/>
        <v>Compute</v>
      </c>
      <c r="I66" s="298"/>
      <c r="J66" s="299"/>
      <c r="K66" s="300"/>
      <c r="P66" s="227"/>
      <c r="R66" s="303"/>
      <c r="S66" s="303"/>
      <c r="T66" s="303"/>
      <c r="U66" s="303"/>
      <c r="V66" s="303"/>
      <c r="W66" s="2"/>
      <c r="AM66" s="222"/>
      <c r="AN66" s="218"/>
      <c r="AO66" s="218"/>
      <c r="AP66" s="218"/>
      <c r="AQ66" s="218"/>
      <c r="AR66" s="247"/>
      <c r="AT66" s="280"/>
    </row>
    <row r="67">
      <c r="A67" s="293" t="s">
        <v>29</v>
      </c>
      <c r="B67" s="294" t="s">
        <v>38</v>
      </c>
      <c r="C67" s="295">
        <f>H312</f>
        <v>0.001288519965</v>
      </c>
      <c r="D67" s="295">
        <f>H310</f>
        <v>0.00007158278827</v>
      </c>
      <c r="E67" s="297"/>
      <c r="F67" s="295"/>
      <c r="G67" s="295">
        <f t="shared" ref="G67:G73" si="8">IF(K67,max(C67:F67),
max(C67:D67)+max(E67:F67))</f>
        <v>0.001288519965</v>
      </c>
      <c r="H67" s="297" t="str">
        <f t="shared" si="4"/>
        <v>HBM</v>
      </c>
      <c r="I67" s="298"/>
      <c r="J67" s="299">
        <f t="shared" ref="J67:J74" si="9">G67/$G$74</f>
        <v>0.005998145127</v>
      </c>
      <c r="K67" s="300" t="b">
        <v>1</v>
      </c>
      <c r="P67" s="227"/>
      <c r="R67" s="303"/>
      <c r="S67" s="303"/>
      <c r="T67" s="303"/>
      <c r="U67" s="303"/>
      <c r="V67" s="303"/>
      <c r="W67" s="304"/>
      <c r="AK67" s="280"/>
      <c r="AM67" s="222"/>
      <c r="AN67" s="218"/>
      <c r="AO67" s="218"/>
      <c r="AP67" s="218"/>
      <c r="AQ67" s="218"/>
      <c r="AR67" s="247"/>
      <c r="AT67" s="280"/>
    </row>
    <row r="68">
      <c r="A68" s="293" t="s">
        <v>29</v>
      </c>
      <c r="B68" s="302" t="s">
        <v>263</v>
      </c>
      <c r="C68" s="295"/>
      <c r="D68" s="295"/>
      <c r="E68" s="297"/>
      <c r="F68" s="295">
        <f>$G$327</f>
        <v>0</v>
      </c>
      <c r="G68" s="295">
        <f t="shared" si="8"/>
        <v>0</v>
      </c>
      <c r="H68" s="297" t="str">
        <f t="shared" si="4"/>
        <v/>
      </c>
      <c r="I68" s="298"/>
      <c r="J68" s="299">
        <f t="shared" si="9"/>
        <v>0</v>
      </c>
      <c r="K68" s="300"/>
      <c r="P68" s="227"/>
      <c r="R68" s="303"/>
      <c r="S68" s="303"/>
      <c r="T68" s="303"/>
      <c r="U68" s="305"/>
      <c r="V68" s="305"/>
      <c r="W68" s="2"/>
      <c r="AK68" s="306"/>
      <c r="AL68" s="307"/>
      <c r="AM68" s="247"/>
      <c r="AN68" s="218"/>
      <c r="AO68" s="218"/>
      <c r="AP68" s="218"/>
      <c r="AQ68" s="218"/>
      <c r="AR68" s="247"/>
      <c r="AT68" s="280"/>
    </row>
    <row r="69">
      <c r="A69" s="293" t="s">
        <v>29</v>
      </c>
      <c r="B69" s="294" t="s">
        <v>40</v>
      </c>
      <c r="C69" s="295">
        <f>H354</f>
        <v>0.01525455051</v>
      </c>
      <c r="D69" s="295">
        <f>H352</f>
        <v>0.001002159036</v>
      </c>
      <c r="E69" s="297"/>
      <c r="F69" s="295">
        <f>$H$349</f>
        <v>0</v>
      </c>
      <c r="G69" s="295">
        <f t="shared" si="8"/>
        <v>0.01525455051</v>
      </c>
      <c r="H69" s="297" t="str">
        <f t="shared" si="4"/>
        <v>HBM</v>
      </c>
      <c r="I69" s="298"/>
      <c r="J69" s="299">
        <f t="shared" si="9"/>
        <v>0.07101093524</v>
      </c>
      <c r="K69" s="300" t="b">
        <v>1</v>
      </c>
      <c r="P69" s="227"/>
      <c r="R69" s="303"/>
      <c r="S69" s="303"/>
      <c r="T69" s="303"/>
      <c r="U69" s="305"/>
      <c r="V69" s="305"/>
      <c r="W69" s="2"/>
      <c r="AK69" s="306"/>
      <c r="AL69" s="307"/>
      <c r="AM69" s="247"/>
      <c r="AN69" s="218"/>
      <c r="AO69" s="218"/>
      <c r="AP69" s="218"/>
      <c r="AQ69" s="218"/>
      <c r="AR69" s="247"/>
      <c r="AT69" s="280"/>
    </row>
    <row r="70">
      <c r="A70" s="293" t="s">
        <v>264</v>
      </c>
      <c r="B70" s="308" t="s">
        <v>44</v>
      </c>
      <c r="C70" s="295"/>
      <c r="D70" s="295"/>
      <c r="E70" s="296">
        <f>$H$406</f>
        <v>0</v>
      </c>
      <c r="F70" s="295" t="str">
        <f>$H$404</f>
        <v>N/A</v>
      </c>
      <c r="G70" s="295">
        <f t="shared" si="8"/>
        <v>0</v>
      </c>
      <c r="H70" s="297" t="str">
        <f t="shared" si="4"/>
        <v/>
      </c>
      <c r="I70" s="298"/>
      <c r="J70" s="299">
        <f t="shared" si="9"/>
        <v>0</v>
      </c>
      <c r="K70" s="300"/>
      <c r="P70" s="227"/>
      <c r="R70" s="2"/>
      <c r="S70" s="2"/>
      <c r="T70" s="2"/>
      <c r="U70" s="2"/>
      <c r="V70" s="2"/>
      <c r="W70" s="2"/>
      <c r="AM70" s="222"/>
      <c r="AN70" s="218"/>
      <c r="AO70" s="222"/>
      <c r="AP70" s="222"/>
      <c r="AQ70" s="272"/>
      <c r="AR70" s="222"/>
    </row>
    <row r="71">
      <c r="A71" s="293" t="s">
        <v>264</v>
      </c>
      <c r="B71" s="308" t="s">
        <v>46</v>
      </c>
      <c r="C71" s="295">
        <f>$H$454</f>
        <v>0.1220703125</v>
      </c>
      <c r="D71" s="295">
        <f>$H$452</f>
        <v>0.002004318071</v>
      </c>
      <c r="E71" s="297"/>
      <c r="F71" s="295">
        <f>$H$444</f>
        <v>0</v>
      </c>
      <c r="G71" s="295">
        <f t="shared" si="8"/>
        <v>0.1220703125</v>
      </c>
      <c r="H71" s="297" t="str">
        <f t="shared" si="4"/>
        <v>HBM</v>
      </c>
      <c r="I71" s="298"/>
      <c r="J71" s="299">
        <f t="shared" si="9"/>
        <v>0.5682453278</v>
      </c>
      <c r="K71" s="300" t="b">
        <v>1</v>
      </c>
      <c r="P71" s="227"/>
      <c r="R71" s="2"/>
      <c r="S71" s="2"/>
      <c r="T71" s="2"/>
      <c r="U71" s="2"/>
      <c r="V71" s="2"/>
      <c r="W71" s="309"/>
      <c r="AM71" s="222"/>
      <c r="AN71" s="218"/>
      <c r="AO71" s="218"/>
      <c r="AP71" s="218"/>
      <c r="AQ71" s="218"/>
      <c r="AR71" s="222"/>
      <c r="AT71" s="228"/>
    </row>
    <row r="72">
      <c r="A72" s="293" t="s">
        <v>264</v>
      </c>
      <c r="B72" s="308" t="s">
        <v>48</v>
      </c>
      <c r="C72" s="295">
        <f>$H$490</f>
        <v>0.06174723307</v>
      </c>
      <c r="D72" s="295">
        <f>$H$488</f>
        <v>0.001002159036</v>
      </c>
      <c r="E72" s="297"/>
      <c r="F72" s="295">
        <f>$H$479</f>
        <v>0</v>
      </c>
      <c r="G72" s="295">
        <f t="shared" si="8"/>
        <v>0.06174723307</v>
      </c>
      <c r="H72" s="297" t="str">
        <f t="shared" si="4"/>
        <v>HBM</v>
      </c>
      <c r="I72" s="298"/>
      <c r="J72" s="299">
        <f t="shared" si="9"/>
        <v>0.2874374283</v>
      </c>
      <c r="K72" s="300" t="b">
        <v>1</v>
      </c>
      <c r="P72" s="227"/>
      <c r="R72" s="2"/>
      <c r="S72" s="2"/>
      <c r="T72" s="2"/>
      <c r="U72" s="2"/>
      <c r="V72" s="2"/>
      <c r="W72" s="309"/>
      <c r="AM72" s="222"/>
      <c r="AN72" s="218"/>
      <c r="AO72" s="218"/>
      <c r="AP72" s="222"/>
      <c r="AQ72" s="222"/>
      <c r="AR72" s="222"/>
    </row>
    <row r="73">
      <c r="A73" s="293" t="s">
        <v>264</v>
      </c>
      <c r="B73" s="308" t="s">
        <v>52</v>
      </c>
      <c r="C73" s="295"/>
      <c r="D73" s="295"/>
      <c r="E73" s="296">
        <f>$H$538</f>
        <v>0</v>
      </c>
      <c r="F73" s="295" t="str">
        <f>$H$536</f>
        <v>N/A</v>
      </c>
      <c r="G73" s="295">
        <f t="shared" si="8"/>
        <v>0</v>
      </c>
      <c r="H73" s="297" t="str">
        <f t="shared" si="4"/>
        <v/>
      </c>
      <c r="I73" s="298"/>
      <c r="J73" s="299">
        <f t="shared" si="9"/>
        <v>0</v>
      </c>
      <c r="K73" s="300"/>
      <c r="P73" s="227"/>
      <c r="AM73" s="222"/>
      <c r="AN73" s="218"/>
      <c r="AO73" s="218"/>
      <c r="AP73" s="218"/>
      <c r="AQ73" s="218"/>
      <c r="AR73" s="222"/>
      <c r="AT73" s="280"/>
    </row>
    <row r="74">
      <c r="A74" s="310"/>
      <c r="B74" s="311"/>
      <c r="C74" s="311"/>
      <c r="D74" s="311"/>
      <c r="E74" s="310" t="s">
        <v>265</v>
      </c>
      <c r="F74" s="312" t="s">
        <v>121</v>
      </c>
      <c r="G74" s="313">
        <f>SUM(G57:G63,G67:G73)</f>
        <v>0.2148197381</v>
      </c>
      <c r="H74" s="311"/>
      <c r="I74" s="314"/>
      <c r="J74" s="315">
        <f t="shared" si="9"/>
        <v>1</v>
      </c>
      <c r="K74" s="298"/>
      <c r="P74" s="227"/>
      <c r="AG74" s="207"/>
      <c r="AH74" s="207"/>
      <c r="AI74" s="2"/>
      <c r="AJ74" s="2"/>
      <c r="AK74" s="2"/>
      <c r="AL74" s="2"/>
      <c r="AM74" s="247"/>
      <c r="AN74" s="279"/>
      <c r="AO74" s="279"/>
      <c r="AP74" s="292"/>
      <c r="AQ74" s="279"/>
      <c r="AR74" s="247"/>
      <c r="AT74" s="280"/>
    </row>
    <row r="75">
      <c r="A75" s="316"/>
      <c r="B75" s="311"/>
      <c r="C75" s="311"/>
      <c r="D75" s="311"/>
      <c r="E75" s="316"/>
      <c r="F75" s="312" t="s">
        <v>266</v>
      </c>
      <c r="G75" s="317">
        <f>SUM(G57:G63,G67:G69)+MAX(G70:G71)+MAX(G72:G73)</f>
        <v>0.2148197381</v>
      </c>
      <c r="H75" s="311"/>
      <c r="I75" s="314"/>
      <c r="J75" s="315"/>
      <c r="K75" s="298"/>
      <c r="P75" s="227"/>
      <c r="AG75" s="207"/>
      <c r="AH75" s="207"/>
      <c r="AI75" s="2"/>
      <c r="AJ75" s="2"/>
      <c r="AK75" s="2"/>
      <c r="AL75" s="2"/>
      <c r="AM75" s="247"/>
      <c r="AN75" s="279"/>
      <c r="AO75" s="279"/>
      <c r="AP75" s="292"/>
      <c r="AQ75" s="279"/>
      <c r="AR75" s="247"/>
      <c r="AT75" s="280"/>
    </row>
    <row r="76">
      <c r="A76" s="318" t="s">
        <v>267</v>
      </c>
      <c r="B76" s="319"/>
      <c r="C76" s="319"/>
      <c r="D76" s="319"/>
      <c r="E76" s="318" t="s">
        <v>268</v>
      </c>
      <c r="F76" s="320" t="str">
        <f>'Config and Summary'!C24</f>
        <v>OptionA. No Overlapping</v>
      </c>
      <c r="G76" s="321">
        <f>IF(F76=F74,G74,G75)</f>
        <v>0.2148197381</v>
      </c>
      <c r="H76" s="319"/>
      <c r="I76" s="322"/>
      <c r="J76" s="322"/>
      <c r="K76" s="322"/>
      <c r="P76" s="227"/>
      <c r="AG76" s="2"/>
      <c r="AH76" s="2"/>
      <c r="AI76" s="2"/>
      <c r="AJ76" s="2"/>
      <c r="AK76" s="2"/>
      <c r="AL76" s="2"/>
      <c r="AM76" s="247"/>
      <c r="AN76" s="247"/>
      <c r="AO76" s="279"/>
      <c r="AP76" s="222"/>
      <c r="AQ76" s="247"/>
      <c r="AR76" s="247"/>
      <c r="AT76" s="280"/>
    </row>
    <row r="77" ht="15.0" customHeight="1">
      <c r="P77" s="227"/>
      <c r="AG77" s="2"/>
      <c r="AH77" s="2"/>
      <c r="AI77" s="2"/>
      <c r="AJ77" s="2"/>
      <c r="AK77" s="2"/>
      <c r="AL77" s="2"/>
      <c r="AM77" s="247"/>
      <c r="AN77" s="247"/>
      <c r="AO77" s="279"/>
      <c r="AP77" s="222"/>
      <c r="AQ77" s="247"/>
      <c r="AR77" s="247"/>
      <c r="AT77" s="280"/>
    </row>
    <row r="78">
      <c r="P78" s="227"/>
      <c r="AG78" s="2"/>
      <c r="AH78" s="2"/>
      <c r="AI78" s="2"/>
      <c r="AJ78" s="2"/>
      <c r="AK78" s="2"/>
      <c r="AL78" s="2"/>
      <c r="AM78" s="247"/>
      <c r="AN78" s="247"/>
      <c r="AO78" s="279"/>
      <c r="AP78" s="222"/>
      <c r="AQ78" s="247"/>
      <c r="AR78" s="247"/>
      <c r="AT78" s="280"/>
    </row>
    <row r="79">
      <c r="A79" s="323" t="s">
        <v>269</v>
      </c>
      <c r="E79" s="281" t="s">
        <v>270</v>
      </c>
      <c r="P79" s="227"/>
      <c r="AG79" s="2"/>
      <c r="AH79" s="2"/>
      <c r="AI79" s="2"/>
      <c r="AJ79" s="2"/>
      <c r="AK79" s="2"/>
      <c r="AL79" s="2"/>
      <c r="AM79" s="247"/>
      <c r="AN79" s="218"/>
      <c r="AO79" s="218"/>
      <c r="AP79" s="218"/>
      <c r="AQ79" s="218"/>
      <c r="AR79" s="247"/>
      <c r="AT79" s="280"/>
    </row>
    <row r="80">
      <c r="A80" s="183" t="s">
        <v>271</v>
      </c>
      <c r="B80" s="183" t="s">
        <v>171</v>
      </c>
      <c r="C80" s="183" t="s">
        <v>174</v>
      </c>
      <c r="E80" s="324" t="s">
        <v>272</v>
      </c>
      <c r="F80" s="325" t="s">
        <v>273</v>
      </c>
      <c r="G80" s="326"/>
      <c r="H80" s="327"/>
      <c r="I80" s="325" t="s">
        <v>274</v>
      </c>
      <c r="J80" s="326"/>
      <c r="K80" s="326"/>
      <c r="L80" s="326"/>
      <c r="M80" s="326"/>
      <c r="N80" s="327"/>
      <c r="O80" s="328" t="s">
        <v>275</v>
      </c>
      <c r="P80" s="329" t="s">
        <v>276</v>
      </c>
      <c r="Q80" s="330" t="s">
        <v>277</v>
      </c>
      <c r="AM80" s="222"/>
      <c r="AO80" s="222"/>
      <c r="AP80" s="222"/>
      <c r="AQ80" s="222"/>
      <c r="AR80" s="247"/>
      <c r="AT80" s="280"/>
    </row>
    <row r="81">
      <c r="A81" s="185" t="s">
        <v>278</v>
      </c>
      <c r="B81" s="331">
        <f>SUM(P90,P147,P174,P193,P299,P333) * PARAMS("L") / 1024</f>
        <v>10.62957764</v>
      </c>
      <c r="C81" s="332"/>
      <c r="D81" s="2"/>
      <c r="E81" s="333" t="s">
        <v>279</v>
      </c>
      <c r="F81" s="334" t="s">
        <v>280</v>
      </c>
      <c r="G81" s="335"/>
      <c r="H81" s="336" t="s">
        <v>281</v>
      </c>
      <c r="I81" s="336" t="s">
        <v>282</v>
      </c>
      <c r="J81" s="336"/>
      <c r="K81" s="337" t="s">
        <v>104</v>
      </c>
      <c r="L81" s="337" t="s">
        <v>102</v>
      </c>
      <c r="M81" s="336" t="s">
        <v>178</v>
      </c>
      <c r="N81" s="336" t="s">
        <v>283</v>
      </c>
      <c r="O81" s="338" t="s">
        <v>125</v>
      </c>
      <c r="P81" s="339"/>
      <c r="Q81" s="337"/>
      <c r="AM81" s="222"/>
      <c r="AO81" s="218"/>
      <c r="AP81" s="218"/>
      <c r="AQ81" s="218"/>
      <c r="AR81" s="247"/>
      <c r="AT81" s="280"/>
    </row>
    <row r="82">
      <c r="A82" s="185" t="s">
        <v>284</v>
      </c>
      <c r="B82" s="340">
        <f>SUM($P$362,$P$460) * PARAMS("L") / 1024</f>
        <v>213.7084961</v>
      </c>
      <c r="C82" s="11"/>
      <c r="D82" s="2"/>
      <c r="E82" s="341"/>
      <c r="F82" s="342"/>
      <c r="G82" s="343"/>
      <c r="H82" s="344" t="s">
        <v>285</v>
      </c>
      <c r="I82" s="345" t="s">
        <v>282</v>
      </c>
      <c r="J82" s="346"/>
      <c r="K82" s="345">
        <f t="shared" ref="K82:M82" si="10">PARAMS(K81)</f>
        <v>128</v>
      </c>
      <c r="L82" s="345">
        <f t="shared" si="10"/>
        <v>1</v>
      </c>
      <c r="M82" s="345">
        <f t="shared" si="10"/>
        <v>7168</v>
      </c>
      <c r="N82" s="345" t="s">
        <v>283</v>
      </c>
      <c r="O82" s="347"/>
      <c r="P82" s="348">
        <f>SIZEOF_IN_MIB(J82:M82, $O81)</f>
        <v>0.875</v>
      </c>
      <c r="Q82" s="344"/>
      <c r="AM82" s="222"/>
      <c r="AN82" s="218"/>
      <c r="AO82" s="222"/>
      <c r="AP82" s="222"/>
      <c r="AQ82" s="218"/>
      <c r="AR82" s="247"/>
      <c r="AT82" s="280"/>
    </row>
    <row r="83">
      <c r="A83" s="9" t="s">
        <v>286</v>
      </c>
      <c r="B83" s="11"/>
      <c r="C83" s="11"/>
      <c r="D83" s="2"/>
      <c r="E83" s="341"/>
      <c r="F83" s="342"/>
      <c r="G83" s="343"/>
      <c r="H83" s="349" t="s">
        <v>287</v>
      </c>
      <c r="I83" s="349" t="s">
        <v>282</v>
      </c>
      <c r="J83" s="336"/>
      <c r="K83" s="337" t="s">
        <v>196</v>
      </c>
      <c r="L83" s="337"/>
      <c r="M83" s="337"/>
      <c r="N83" s="349" t="s">
        <v>283</v>
      </c>
      <c r="O83" s="350"/>
      <c r="P83" s="351"/>
      <c r="Q83" s="337"/>
      <c r="AM83" s="222"/>
      <c r="AN83" s="218"/>
      <c r="AO83" s="218"/>
      <c r="AP83" s="218"/>
      <c r="AQ83" s="218"/>
      <c r="AR83" s="247"/>
      <c r="AT83" s="280"/>
    </row>
    <row r="84">
      <c r="A84" s="185" t="s">
        <v>288</v>
      </c>
      <c r="B84" s="340">
        <f>SIZEOF_IN_MIB(PARAMS("B")*PARAMS("S")*PARAMS("L")*(PARAMS("c_kv")+PARAMS("h_rope")), PARAMS("kv_dtype"))/1024</f>
        <v>10.72265625</v>
      </c>
      <c r="C84" s="11"/>
      <c r="D84" s="2"/>
      <c r="E84" s="352"/>
      <c r="F84" s="353"/>
      <c r="G84" s="354"/>
      <c r="H84" s="344" t="s">
        <v>289</v>
      </c>
      <c r="I84" s="346" t="s">
        <v>282</v>
      </c>
      <c r="J84" s="345"/>
      <c r="K84" s="346">
        <f t="shared" ref="K84:M84" si="11">K82/SHARDING(K83)</f>
        <v>16</v>
      </c>
      <c r="L84" s="346">
        <f t="shared" si="11"/>
        <v>1</v>
      </c>
      <c r="M84" s="346">
        <f t="shared" si="11"/>
        <v>7168</v>
      </c>
      <c r="N84" s="346" t="s">
        <v>283</v>
      </c>
      <c r="O84" s="355"/>
      <c r="P84" s="348">
        <f>SIZEOF_IN_MIB(J84:M84, $O81)</f>
        <v>0.109375</v>
      </c>
      <c r="Q84" s="344"/>
      <c r="AG84" s="181"/>
      <c r="AK84" s="280"/>
      <c r="AM84" s="222"/>
      <c r="AN84" s="218"/>
      <c r="AO84" s="218"/>
      <c r="AP84" s="218"/>
      <c r="AQ84" s="218"/>
      <c r="AR84" s="247"/>
      <c r="AT84" s="280"/>
    </row>
    <row r="85">
      <c r="A85" s="9" t="s">
        <v>290</v>
      </c>
      <c r="B85" s="356">
        <f>MAX(P90,P109,P139,P166,P185,P204,P253,P272,P291,P307,P369,P419,P504,P524)/1024</f>
        <v>0.01025390625</v>
      </c>
      <c r="C85" s="9"/>
      <c r="D85" s="2"/>
      <c r="E85" s="333" t="s">
        <v>291</v>
      </c>
      <c r="F85" s="357" t="s">
        <v>292</v>
      </c>
      <c r="G85" s="335"/>
      <c r="H85" s="336" t="s">
        <v>281</v>
      </c>
      <c r="I85" s="336" t="s">
        <v>282</v>
      </c>
      <c r="J85" s="336"/>
      <c r="K85" s="337" t="s">
        <v>104</v>
      </c>
      <c r="L85" s="337" t="s">
        <v>102</v>
      </c>
      <c r="M85" s="358" t="s">
        <v>178</v>
      </c>
      <c r="N85" s="336" t="s">
        <v>283</v>
      </c>
      <c r="O85" s="338" t="str">
        <f>EXTRACT_ACTIVATION_DTYPE(PARAMS("attn_proj_dtype"))</f>
        <v>fp8</v>
      </c>
      <c r="P85" s="339"/>
      <c r="Q85" s="338" t="b">
        <v>0</v>
      </c>
      <c r="AG85" s="181"/>
      <c r="AK85" s="306"/>
      <c r="AL85" s="307"/>
      <c r="AM85" s="247"/>
      <c r="AN85" s="218"/>
      <c r="AO85" s="218"/>
      <c r="AP85" s="218"/>
      <c r="AQ85" s="218"/>
      <c r="AR85" s="247"/>
      <c r="AT85" s="280"/>
    </row>
    <row r="86">
      <c r="A86" s="8" t="s">
        <v>293</v>
      </c>
      <c r="B86" s="359">
        <f>SUM(B81:B84)</f>
        <v>235.06073</v>
      </c>
      <c r="C86" s="8" t="str">
        <f>"&lt;=" &amp; ($H$28 * PARAMS("num_devices")) &amp; " (Capacity)?"</f>
        <v>&lt;=1432 (Capacity)?</v>
      </c>
      <c r="D86" s="2"/>
      <c r="E86" s="341"/>
      <c r="F86" s="342"/>
      <c r="G86" s="343"/>
      <c r="H86" s="344" t="s">
        <v>285</v>
      </c>
      <c r="I86" s="345" t="s">
        <v>282</v>
      </c>
      <c r="J86" s="346"/>
      <c r="K86" s="345">
        <f t="shared" ref="K86:M86" si="12">PARAMS(K85)</f>
        <v>128</v>
      </c>
      <c r="L86" s="345">
        <f t="shared" si="12"/>
        <v>1</v>
      </c>
      <c r="M86" s="345">
        <f t="shared" si="12"/>
        <v>7168</v>
      </c>
      <c r="N86" s="345" t="s">
        <v>283</v>
      </c>
      <c r="O86" s="347"/>
      <c r="P86" s="348">
        <f>SIZEOF_IN_MIB(J86:M86, $O85)</f>
        <v>0.875</v>
      </c>
      <c r="Q86" s="347"/>
      <c r="AG86" s="181"/>
      <c r="AM86" s="2"/>
      <c r="AR86" s="2"/>
    </row>
    <row r="87">
      <c r="A87" s="11"/>
      <c r="B87" s="11"/>
      <c r="C87" s="11"/>
      <c r="D87" s="161"/>
      <c r="E87" s="341"/>
      <c r="F87" s="342"/>
      <c r="G87" s="343"/>
      <c r="H87" s="349" t="s">
        <v>287</v>
      </c>
      <c r="I87" s="349" t="s">
        <v>282</v>
      </c>
      <c r="J87" s="336"/>
      <c r="K87" s="337" t="s">
        <v>196</v>
      </c>
      <c r="L87" s="337"/>
      <c r="M87" s="349"/>
      <c r="N87" s="349" t="s">
        <v>283</v>
      </c>
      <c r="O87" s="350"/>
      <c r="P87" s="351"/>
      <c r="Q87" s="350"/>
    </row>
    <row r="88">
      <c r="A88" s="185" t="s">
        <v>294</v>
      </c>
      <c r="B88" s="331">
        <f>SUM(P92,P149,P176,P195,P301,P335) * PARAMS("L") / 1024</f>
        <v>10.62957764</v>
      </c>
      <c r="C88" s="332"/>
      <c r="D88" s="161"/>
      <c r="E88" s="341"/>
      <c r="F88" s="353"/>
      <c r="G88" s="354"/>
      <c r="H88" s="344" t="s">
        <v>289</v>
      </c>
      <c r="I88" s="346" t="s">
        <v>282</v>
      </c>
      <c r="J88" s="345"/>
      <c r="K88" s="346">
        <f t="shared" ref="K88:M88" si="13">K86/SHARDING(K87)</f>
        <v>16</v>
      </c>
      <c r="L88" s="346">
        <f t="shared" si="13"/>
        <v>1</v>
      </c>
      <c r="M88" s="346">
        <f t="shared" si="13"/>
        <v>7168</v>
      </c>
      <c r="N88" s="346" t="s">
        <v>283</v>
      </c>
      <c r="O88" s="355"/>
      <c r="P88" s="348">
        <f>SIZEOF_IN_MIB(J88:M88, $O85)</f>
        <v>0.109375</v>
      </c>
      <c r="Q88" s="355"/>
      <c r="AG88" s="181"/>
    </row>
    <row r="89">
      <c r="A89" s="185" t="s">
        <v>295</v>
      </c>
      <c r="B89" s="340">
        <f>SUM(P414,P462) * PARAMS("L") / 1024</f>
        <v>80.0625</v>
      </c>
      <c r="C89" s="332"/>
      <c r="D89" s="161"/>
      <c r="E89" s="341"/>
      <c r="F89" s="334" t="s">
        <v>296</v>
      </c>
      <c r="G89" s="335"/>
      <c r="H89" s="349" t="s">
        <v>281</v>
      </c>
      <c r="I89" s="349" t="s">
        <v>282</v>
      </c>
      <c r="J89" s="336"/>
      <c r="K89" s="336"/>
      <c r="L89" s="360" t="s">
        <v>178</v>
      </c>
      <c r="M89" s="337" t="s">
        <v>195</v>
      </c>
      <c r="N89" s="349" t="s">
        <v>283</v>
      </c>
      <c r="O89" s="338" t="str">
        <f>EXTRACT_WEIGHT_DTYPE(PARAMS("attn_proj_dtype"))</f>
        <v>fp8</v>
      </c>
      <c r="P89" s="351"/>
      <c r="Q89" s="338" t="b">
        <v>0</v>
      </c>
      <c r="AP89" s="218"/>
      <c r="AQ89" s="218"/>
      <c r="AT89" s="228"/>
    </row>
    <row r="90">
      <c r="A90" s="9" t="s">
        <v>286</v>
      </c>
      <c r="B90" s="11"/>
      <c r="C90" s="332"/>
      <c r="D90" s="161"/>
      <c r="E90" s="341"/>
      <c r="F90" s="342"/>
      <c r="G90" s="343"/>
      <c r="H90" s="344" t="s">
        <v>285</v>
      </c>
      <c r="I90" s="346" t="s">
        <v>282</v>
      </c>
      <c r="J90" s="345"/>
      <c r="K90" s="345"/>
      <c r="L90" s="346">
        <f t="shared" ref="L90:M90" si="14">PARAMS(L89)</f>
        <v>7168</v>
      </c>
      <c r="M90" s="346">
        <f t="shared" si="14"/>
        <v>1536</v>
      </c>
      <c r="N90" s="346" t="s">
        <v>283</v>
      </c>
      <c r="O90" s="347"/>
      <c r="P90" s="348">
        <f>SIZEOF_IN_MIB(J90:M90, $O89)</f>
        <v>10.5</v>
      </c>
      <c r="Q90" s="347"/>
      <c r="AP90" s="222"/>
    </row>
    <row r="91">
      <c r="A91" s="185" t="s">
        <v>297</v>
      </c>
      <c r="B91" s="340">
        <f>B84/PARAMS("num_devices")</f>
        <v>1.340332031</v>
      </c>
      <c r="C91" s="332"/>
      <c r="D91" s="161"/>
      <c r="E91" s="341"/>
      <c r="F91" s="342"/>
      <c r="G91" s="343"/>
      <c r="H91" s="349" t="s">
        <v>287</v>
      </c>
      <c r="I91" s="349" t="s">
        <v>282</v>
      </c>
      <c r="J91" s="336"/>
      <c r="K91" s="336"/>
      <c r="L91" s="349"/>
      <c r="M91" s="349"/>
      <c r="N91" s="349" t="s">
        <v>283</v>
      </c>
      <c r="O91" s="350"/>
      <c r="P91" s="351"/>
      <c r="Q91" s="350"/>
      <c r="AP91" s="218"/>
      <c r="AQ91" s="218"/>
      <c r="AT91" s="228"/>
    </row>
    <row r="92">
      <c r="A92" s="185" t="s">
        <v>298</v>
      </c>
      <c r="B92" s="340">
        <f>MAX(P92,P111,P141,P168,P187,P206,P255,P274,P293,P309,P371,P421,P506,P526)/1024</f>
        <v>0.01025390625</v>
      </c>
      <c r="C92" s="332"/>
      <c r="D92" s="161"/>
      <c r="E92" s="341"/>
      <c r="F92" s="353"/>
      <c r="G92" s="354"/>
      <c r="H92" s="346" t="s">
        <v>289</v>
      </c>
      <c r="I92" s="346" t="s">
        <v>282</v>
      </c>
      <c r="J92" s="345"/>
      <c r="K92" s="345"/>
      <c r="L92" s="346">
        <f t="shared" ref="L92:M92" si="15">L90/SHARDING(L91)</f>
        <v>7168</v>
      </c>
      <c r="M92" s="346">
        <f t="shared" si="15"/>
        <v>1536</v>
      </c>
      <c r="N92" s="346" t="s">
        <v>283</v>
      </c>
      <c r="O92" s="355"/>
      <c r="P92" s="348">
        <f>SIZEOF_IN_MIB(J92:M92, $O89)</f>
        <v>10.5</v>
      </c>
      <c r="Q92" s="355"/>
    </row>
    <row r="93">
      <c r="A93" s="199" t="s">
        <v>299</v>
      </c>
      <c r="B93" s="361">
        <f>SUM(B88:B91)</f>
        <v>92.03240967</v>
      </c>
      <c r="C93" s="362" t="str">
        <f>"&lt;=" &amp; ($H$28) &amp; " (Capacity)?"</f>
        <v>&lt;=179 (Capacity)?</v>
      </c>
      <c r="D93" s="161"/>
      <c r="E93" s="341"/>
      <c r="F93" s="334" t="s">
        <v>56</v>
      </c>
      <c r="G93" s="335"/>
      <c r="H93" s="363" t="s">
        <v>281</v>
      </c>
      <c r="I93" s="363" t="s">
        <v>282</v>
      </c>
      <c r="J93" s="364"/>
      <c r="K93" s="273" t="s">
        <v>104</v>
      </c>
      <c r="L93" s="273" t="s">
        <v>102</v>
      </c>
      <c r="M93" s="273" t="s">
        <v>195</v>
      </c>
      <c r="N93" s="363" t="s">
        <v>283</v>
      </c>
      <c r="O93" s="365" t="s">
        <v>133</v>
      </c>
      <c r="P93" s="366"/>
      <c r="Q93" s="365" t="b">
        <v>0</v>
      </c>
    </row>
    <row r="94">
      <c r="A94" s="367" t="s">
        <v>145</v>
      </c>
      <c r="B94" s="368" t="b">
        <f>if(B93 &lt;= HW_SPEC("Per-Core HBM Capacity (GiB)"), TRUE, FALSE)</f>
        <v>1</v>
      </c>
      <c r="C94" s="369"/>
      <c r="D94" s="161"/>
      <c r="E94" s="341"/>
      <c r="F94" s="342"/>
      <c r="G94" s="343"/>
      <c r="H94" s="273" t="s">
        <v>285</v>
      </c>
      <c r="I94" s="363" t="s">
        <v>282</v>
      </c>
      <c r="J94" s="364"/>
      <c r="K94" s="363">
        <f t="shared" ref="K94:M94" si="16">PARAMS(K93)</f>
        <v>128</v>
      </c>
      <c r="L94" s="364">
        <f t="shared" si="16"/>
        <v>1</v>
      </c>
      <c r="M94" s="363">
        <f t="shared" si="16"/>
        <v>1536</v>
      </c>
      <c r="N94" s="363" t="s">
        <v>283</v>
      </c>
      <c r="O94" s="341"/>
      <c r="P94" s="366">
        <f>SIZEOF_IN_MIB(K94:M94, $O93)</f>
        <v>0.375</v>
      </c>
      <c r="Q94" s="341"/>
    </row>
    <row r="95">
      <c r="A95" s="161"/>
      <c r="B95" s="161"/>
      <c r="C95" s="161"/>
      <c r="D95" s="161"/>
      <c r="E95" s="341"/>
      <c r="F95" s="342"/>
      <c r="G95" s="343"/>
      <c r="H95" s="363" t="s">
        <v>287</v>
      </c>
      <c r="I95" s="363" t="s">
        <v>282</v>
      </c>
      <c r="J95" s="364"/>
      <c r="K95" s="273" t="s">
        <v>196</v>
      </c>
      <c r="L95" s="273"/>
      <c r="M95" s="363"/>
      <c r="N95" s="363" t="s">
        <v>283</v>
      </c>
      <c r="O95" s="341"/>
      <c r="P95" s="366"/>
      <c r="Q95" s="341"/>
    </row>
    <row r="96">
      <c r="A96" s="161"/>
      <c r="B96" s="161"/>
      <c r="C96" s="161"/>
      <c r="D96" s="161"/>
      <c r="E96" s="341"/>
      <c r="F96" s="353"/>
      <c r="G96" s="354"/>
      <c r="H96" s="363" t="s">
        <v>289</v>
      </c>
      <c r="I96" s="363" t="s">
        <v>282</v>
      </c>
      <c r="J96" s="364"/>
      <c r="K96" s="363">
        <f t="shared" ref="K96:M96" si="17">K94/SHARDING(K95)</f>
        <v>16</v>
      </c>
      <c r="L96" s="363">
        <f t="shared" si="17"/>
        <v>1</v>
      </c>
      <c r="M96" s="363">
        <f t="shared" si="17"/>
        <v>1536</v>
      </c>
      <c r="N96" s="363" t="s">
        <v>283</v>
      </c>
      <c r="O96" s="352"/>
      <c r="P96" s="366">
        <f>SIZEOF_IN_MIB(K96:M96, $O93)</f>
        <v>0.046875</v>
      </c>
      <c r="Q96" s="352"/>
    </row>
    <row r="97">
      <c r="A97" s="161"/>
      <c r="B97" s="161">
        <f>B93/96</f>
        <v>0.958670934</v>
      </c>
      <c r="C97" s="161"/>
      <c r="E97" s="341"/>
      <c r="F97" s="370" t="s">
        <v>300</v>
      </c>
      <c r="G97" s="371" t="s">
        <v>301</v>
      </c>
      <c r="H97" s="372" t="s">
        <v>281</v>
      </c>
      <c r="I97" s="364" t="s">
        <v>282</v>
      </c>
      <c r="J97" s="364" t="str">
        <f t="array" ref="J97:M100">J81:M84</f>
        <v/>
      </c>
      <c r="K97" s="273" t="s">
        <v>104</v>
      </c>
      <c r="L97" s="273" t="s">
        <v>102</v>
      </c>
      <c r="M97" s="373" t="s">
        <v>178</v>
      </c>
      <c r="N97" s="364" t="s">
        <v>283</v>
      </c>
      <c r="O97" s="365" t="str">
        <f>O85</f>
        <v>fp8</v>
      </c>
      <c r="P97" s="364"/>
      <c r="Q97" s="365"/>
    </row>
    <row r="98">
      <c r="A98" s="161"/>
      <c r="B98" s="161"/>
      <c r="C98" s="161"/>
      <c r="E98" s="341"/>
      <c r="F98" s="341"/>
      <c r="G98" s="341"/>
      <c r="H98" s="374" t="s">
        <v>285</v>
      </c>
      <c r="I98" s="364" t="s">
        <v>282</v>
      </c>
      <c r="J98" s="363"/>
      <c r="K98" s="364">
        <v>128.0</v>
      </c>
      <c r="L98" s="364">
        <v>1.0</v>
      </c>
      <c r="M98" s="364">
        <v>7168.0</v>
      </c>
      <c r="N98" s="364" t="s">
        <v>283</v>
      </c>
      <c r="O98" s="341"/>
      <c r="P98" s="375">
        <f>SIZEOF_IN_MIB(J98:M98, O97)</f>
        <v>0.875</v>
      </c>
      <c r="Q98" s="341"/>
    </row>
    <row r="99">
      <c r="A99" s="161"/>
      <c r="B99" s="161"/>
      <c r="C99" s="161"/>
      <c r="E99" s="341"/>
      <c r="F99" s="341"/>
      <c r="G99" s="341"/>
      <c r="H99" s="374" t="s">
        <v>302</v>
      </c>
      <c r="I99" s="363" t="s">
        <v>282</v>
      </c>
      <c r="J99" s="364"/>
      <c r="K99" s="273" t="s">
        <v>196</v>
      </c>
      <c r="L99" s="273"/>
      <c r="M99" s="273"/>
      <c r="N99" s="363" t="s">
        <v>283</v>
      </c>
      <c r="O99" s="341"/>
      <c r="P99" s="375"/>
      <c r="Q99" s="341"/>
    </row>
    <row r="100">
      <c r="A100" s="161"/>
      <c r="B100" s="161"/>
      <c r="C100" s="161"/>
      <c r="E100" s="341"/>
      <c r="F100" s="341"/>
      <c r="G100" s="341"/>
      <c r="H100" s="376" t="s">
        <v>303</v>
      </c>
      <c r="I100" s="349" t="s">
        <v>282</v>
      </c>
      <c r="J100" s="336"/>
      <c r="K100" s="349">
        <v>16.0</v>
      </c>
      <c r="L100" s="349">
        <v>1.0</v>
      </c>
      <c r="M100" s="349">
        <v>7168.0</v>
      </c>
      <c r="N100" s="337" t="s">
        <v>283</v>
      </c>
      <c r="O100" s="350"/>
      <c r="P100" s="377">
        <f>SIZEOF_IN_MIB(J100:M100, O97)</f>
        <v>0.109375</v>
      </c>
      <c r="Q100" s="350"/>
    </row>
    <row r="101">
      <c r="A101" s="161"/>
      <c r="B101" s="161"/>
      <c r="C101" s="161"/>
      <c r="E101" s="341"/>
      <c r="F101" s="341"/>
      <c r="G101" s="352"/>
      <c r="H101" s="378" t="s">
        <v>304</v>
      </c>
      <c r="I101" s="346" t="s">
        <v>282</v>
      </c>
      <c r="J101" s="345"/>
      <c r="K101" s="344"/>
      <c r="L101" s="344"/>
      <c r="M101" s="344"/>
      <c r="N101" s="346" t="s">
        <v>283</v>
      </c>
      <c r="O101" s="355"/>
      <c r="P101" s="379"/>
      <c r="Q101" s="355"/>
      <c r="R101" s="2"/>
      <c r="S101" s="2"/>
      <c r="AG101" s="2"/>
      <c r="AH101" s="2"/>
      <c r="AI101" s="2"/>
      <c r="AJ101" s="2"/>
      <c r="AK101" s="2"/>
      <c r="AL101" s="2"/>
      <c r="AM101" s="2"/>
      <c r="AN101" s="2"/>
      <c r="AO101" s="2"/>
      <c r="AP101" s="2"/>
      <c r="AQ101" s="2"/>
      <c r="AR101" s="2"/>
      <c r="AS101" s="2"/>
      <c r="AT101" s="2"/>
    </row>
    <row r="102">
      <c r="A102" s="161"/>
      <c r="B102" s="161"/>
      <c r="C102" s="161"/>
      <c r="E102" s="341"/>
      <c r="F102" s="341"/>
      <c r="G102" s="380" t="s">
        <v>305</v>
      </c>
      <c r="H102" s="381"/>
      <c r="I102" s="382"/>
      <c r="J102" s="382"/>
      <c r="K102" s="382"/>
      <c r="L102" s="383"/>
      <c r="M102" s="383"/>
      <c r="N102" s="383"/>
      <c r="O102" s="382"/>
      <c r="P102" s="384"/>
      <c r="Q102" s="382"/>
      <c r="R102" s="2"/>
      <c r="S102" s="2"/>
      <c r="AG102" s="2"/>
      <c r="AH102" s="2"/>
      <c r="AI102" s="2"/>
      <c r="AJ102" s="2"/>
      <c r="AK102" s="2"/>
      <c r="AL102" s="2"/>
      <c r="AM102" s="2"/>
      <c r="AN102" s="2"/>
      <c r="AO102" s="2"/>
      <c r="AP102" s="2"/>
      <c r="AQ102" s="2"/>
      <c r="AR102" s="2"/>
      <c r="AS102" s="2"/>
      <c r="AT102" s="2"/>
    </row>
    <row r="103">
      <c r="A103" s="161"/>
      <c r="B103" s="161"/>
      <c r="C103" s="161"/>
      <c r="E103" s="341"/>
      <c r="F103" s="341"/>
      <c r="G103" s="385" t="s">
        <v>306</v>
      </c>
      <c r="H103" s="386">
        <f>SHARDING(K99)*SHARDING(L99)*SHARDING(M99)</f>
        <v>8</v>
      </c>
      <c r="I103" s="387"/>
      <c r="J103" s="387"/>
      <c r="K103" s="387"/>
      <c r="L103" s="388"/>
      <c r="M103" s="388"/>
      <c r="N103" s="388"/>
      <c r="O103" s="387"/>
      <c r="P103" s="389"/>
      <c r="Q103" s="387"/>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5" t="s">
        <v>307</v>
      </c>
      <c r="H104" s="390">
        <f>P100 * (H103-1)</f>
        <v>0.765625</v>
      </c>
      <c r="I104" s="298"/>
      <c r="J104" s="391"/>
      <c r="K104" s="391"/>
      <c r="L104" s="392"/>
      <c r="M104" s="392"/>
      <c r="N104" s="392"/>
      <c r="O104" s="391"/>
      <c r="P104" s="393"/>
      <c r="Q104" s="391"/>
      <c r="R104" s="2"/>
      <c r="S104" s="2"/>
      <c r="AG104" s="2"/>
      <c r="AH104" s="2"/>
      <c r="AI104" s="2"/>
      <c r="AJ104" s="2"/>
      <c r="AK104" s="2"/>
      <c r="AL104" s="2"/>
      <c r="AM104" s="2"/>
      <c r="AN104" s="2"/>
      <c r="AO104" s="2"/>
      <c r="AP104" s="2"/>
      <c r="AQ104" s="2"/>
      <c r="AR104" s="2"/>
      <c r="AS104" s="2"/>
      <c r="AT104" s="2"/>
    </row>
    <row r="105">
      <c r="A105" s="161"/>
      <c r="B105" s="161"/>
      <c r="C105" s="161"/>
      <c r="E105" s="341"/>
      <c r="F105" s="341"/>
      <c r="G105" s="394" t="s">
        <v>308</v>
      </c>
      <c r="H105" s="395">
        <f>H104*H103</f>
        <v>6.125</v>
      </c>
      <c r="I105" s="387"/>
      <c r="J105" s="379"/>
      <c r="K105" s="379"/>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6" t="s">
        <v>309</v>
      </c>
      <c r="H106" s="397">
        <f>IFS(H103=8,12,
H103=4,4,
H103=2,1,
H103=1,0,
TRUE,NA())</f>
        <v>12</v>
      </c>
      <c r="I106" s="391"/>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9" t="s">
        <v>310</v>
      </c>
      <c r="H107" s="398">
        <v>1.0</v>
      </c>
      <c r="I107" s="399"/>
      <c r="J107" s="399"/>
      <c r="K107" s="399"/>
      <c r="L107" s="400"/>
      <c r="M107" s="400"/>
      <c r="N107" s="400"/>
      <c r="O107" s="399"/>
      <c r="P107" s="401"/>
      <c r="Q107" s="399"/>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2" t="s">
        <v>311</v>
      </c>
      <c r="H108" s="403">
        <f>ALL_GATHER_CHIP2CHIP_TIME_MS2(H105 * H107, H106)</f>
        <v>0.0002769187645</v>
      </c>
      <c r="I108" s="404"/>
      <c r="J108" s="404"/>
      <c r="K108" s="404"/>
      <c r="L108" s="405"/>
      <c r="M108" s="405"/>
      <c r="N108" s="405"/>
      <c r="O108" s="404"/>
      <c r="P108" s="406"/>
      <c r="Q108" s="404"/>
      <c r="R108" s="2"/>
      <c r="S108" s="2"/>
      <c r="AG108" s="2"/>
      <c r="AH108" s="2"/>
      <c r="AI108" s="2"/>
      <c r="AJ108" s="2"/>
      <c r="AK108" s="2"/>
      <c r="AL108" s="2"/>
      <c r="AM108" s="2"/>
      <c r="AN108" s="2"/>
      <c r="AO108" s="2"/>
      <c r="AP108" s="2"/>
      <c r="AQ108" s="2"/>
      <c r="AR108" s="2"/>
      <c r="AS108" s="2"/>
      <c r="AT108" s="2"/>
    </row>
    <row r="109">
      <c r="A109" s="161"/>
      <c r="B109" s="161"/>
      <c r="C109" s="161"/>
      <c r="E109" s="341"/>
      <c r="F109" s="341"/>
      <c r="G109" s="394"/>
      <c r="H109" s="407"/>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380" t="s">
        <v>312</v>
      </c>
      <c r="H110" s="381"/>
      <c r="I110" s="382"/>
      <c r="J110" s="382"/>
      <c r="K110" s="382"/>
      <c r="L110" s="383"/>
      <c r="M110" s="383"/>
      <c r="N110" s="383"/>
      <c r="O110" s="382"/>
      <c r="P110" s="384"/>
      <c r="Q110" s="382"/>
      <c r="R110" s="2"/>
      <c r="S110" s="2"/>
      <c r="AG110" s="2"/>
      <c r="AH110" s="2"/>
      <c r="AI110" s="2"/>
      <c r="AJ110" s="2"/>
      <c r="AK110" s="2"/>
      <c r="AL110" s="2"/>
      <c r="AM110" s="2"/>
      <c r="AN110" s="2"/>
      <c r="AO110" s="2"/>
      <c r="AP110" s="2"/>
      <c r="AQ110" s="2"/>
      <c r="AR110" s="2"/>
      <c r="AS110" s="2"/>
      <c r="AT110" s="2"/>
    </row>
    <row r="111">
      <c r="A111" s="161"/>
      <c r="B111" s="161"/>
      <c r="C111" s="161"/>
      <c r="E111" s="341"/>
      <c r="F111" s="341"/>
      <c r="G111" s="408" t="s">
        <v>313</v>
      </c>
      <c r="H111" s="409" t="s">
        <v>306</v>
      </c>
      <c r="I111" s="379"/>
      <c r="J111" s="410">
        <f>SHARDING(K99)*SHARDING(L99)*SHARDING(M99)/HW_SPEC("# of TensorCore per Chip")</f>
        <v>8</v>
      </c>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385" t="s">
        <v>307</v>
      </c>
      <c r="I112" s="11"/>
      <c r="J112" s="411">
        <f>P100 * HW_SPEC("# of TensorCore per Chip") * (J111-1)</f>
        <v>0.765625</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41"/>
      <c r="H113" s="394" t="s">
        <v>308</v>
      </c>
      <c r="I113" s="11"/>
      <c r="J113" s="411">
        <f>J112*J111</f>
        <v>6.125</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96" t="s">
        <v>309</v>
      </c>
      <c r="I114" s="11"/>
      <c r="J114" s="415">
        <f>IFS(J111=8,12,
J111=4,4,
J111=2,1,
J111=1,0,
TRUE,NA())</f>
        <v>12</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9" t="s">
        <v>310</v>
      </c>
      <c r="I115" s="11"/>
      <c r="J115" s="416">
        <v>2.0</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52"/>
      <c r="H116" s="385" t="s">
        <v>311</v>
      </c>
      <c r="I116" s="11"/>
      <c r="J116" s="417">
        <f>ALL_GATHER_CHIP2CHIP_TIME_MS2(J113 * J115, J114)</f>
        <v>0.0005538375289</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408" t="s">
        <v>314</v>
      </c>
      <c r="H117" s="396" t="s">
        <v>306</v>
      </c>
      <c r="I117" s="418"/>
      <c r="J117" s="419">
        <f>HW_SPEC("# of TensorCore per Chip")</f>
        <v>1</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41"/>
      <c r="H118" s="396" t="s">
        <v>307</v>
      </c>
      <c r="I118" s="418"/>
      <c r="J118" s="411">
        <f>P84 / J117 * (J117-1)</f>
        <v>0</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341"/>
      <c r="H119" s="396" t="s">
        <v>308</v>
      </c>
      <c r="I119" s="418"/>
      <c r="J119" s="411">
        <f>J118*J117</f>
        <v>0</v>
      </c>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41"/>
      <c r="H120" s="396" t="s">
        <v>311</v>
      </c>
      <c r="I120" s="418"/>
      <c r="J120" s="421">
        <f>ALL_GATHER_CORE2CORE_TIME_MS(J119)</f>
        <v>0</v>
      </c>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352"/>
      <c r="H121" s="394" t="s">
        <v>315</v>
      </c>
      <c r="I121" s="11"/>
      <c r="J121" s="421">
        <f>J120/J111</f>
        <v>0</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402" t="s">
        <v>316</v>
      </c>
      <c r="H122" s="422">
        <f>J116+J121</f>
        <v>0.0005538375289</v>
      </c>
      <c r="I122" s="11"/>
      <c r="J122" s="417"/>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94"/>
      <c r="H123" s="422"/>
      <c r="I123" s="11"/>
      <c r="J123" s="417"/>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23" t="s">
        <v>317</v>
      </c>
      <c r="H124" s="424"/>
      <c r="I124" s="382"/>
      <c r="J124" s="425" t="s">
        <v>318</v>
      </c>
      <c r="K124" s="382"/>
      <c r="L124" s="383"/>
      <c r="M124" s="383"/>
      <c r="N124" s="383"/>
      <c r="O124" s="382"/>
      <c r="P124" s="384"/>
      <c r="Q124" s="38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426" t="s">
        <v>319</v>
      </c>
      <c r="H125" s="427" t="s">
        <v>97</v>
      </c>
      <c r="I125" s="428"/>
      <c r="J125" s="429"/>
      <c r="K125" s="428"/>
      <c r="L125" s="430"/>
      <c r="M125" s="430"/>
      <c r="N125" s="430"/>
      <c r="O125" s="428"/>
      <c r="P125" s="431"/>
      <c r="Q125" s="428"/>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32" t="s">
        <v>320</v>
      </c>
      <c r="H126" s="433" t="s">
        <v>321</v>
      </c>
      <c r="I126" s="434"/>
      <c r="J126" s="435">
        <f>SHARDING(H125)</f>
        <v>8</v>
      </c>
      <c r="K126" s="434"/>
      <c r="L126" s="436"/>
      <c r="M126" s="436"/>
      <c r="N126" s="436"/>
      <c r="O126" s="434"/>
      <c r="P126" s="437"/>
      <c r="Q126" s="434"/>
      <c r="R126" s="420"/>
      <c r="S126" s="420"/>
      <c r="AG126" s="2"/>
      <c r="AH126" s="2"/>
      <c r="AI126" s="2"/>
      <c r="AJ126" s="2"/>
      <c r="AK126" s="2"/>
      <c r="AL126" s="2"/>
      <c r="AM126" s="2"/>
      <c r="AN126" s="2"/>
      <c r="AO126" s="2"/>
      <c r="AP126" s="2"/>
      <c r="AQ126" s="2"/>
      <c r="AR126" s="2"/>
      <c r="AS126" s="2"/>
      <c r="AT126" s="2"/>
    </row>
    <row r="127">
      <c r="A127" s="161"/>
      <c r="B127" s="161"/>
      <c r="C127" s="161"/>
      <c r="E127" s="341"/>
      <c r="F127" s="341"/>
      <c r="G127" s="341"/>
      <c r="H127" s="438" t="s">
        <v>307</v>
      </c>
      <c r="I127" s="428"/>
      <c r="J127" s="439">
        <f>P100 * (J126-1)</f>
        <v>0.765625</v>
      </c>
      <c r="K127" s="428"/>
      <c r="L127" s="430"/>
      <c r="M127" s="430"/>
      <c r="N127" s="430"/>
      <c r="O127" s="428"/>
      <c r="P127" s="431"/>
      <c r="Q127" s="428"/>
      <c r="R127" s="420"/>
      <c r="S127" s="420"/>
      <c r="AG127" s="2"/>
      <c r="AH127" s="2"/>
      <c r="AI127" s="2"/>
      <c r="AJ127" s="2"/>
      <c r="AK127" s="2"/>
      <c r="AL127" s="2"/>
      <c r="AM127" s="2"/>
      <c r="AN127" s="2"/>
      <c r="AO127" s="2"/>
      <c r="AP127" s="2"/>
      <c r="AQ127" s="2"/>
      <c r="AR127" s="2"/>
      <c r="AS127" s="2"/>
      <c r="AT127" s="2"/>
    </row>
    <row r="128">
      <c r="A128" s="161"/>
      <c r="B128" s="161"/>
      <c r="C128" s="161"/>
      <c r="E128" s="341"/>
      <c r="F128" s="341"/>
      <c r="G128" s="341"/>
      <c r="H128" s="440" t="s">
        <v>308</v>
      </c>
      <c r="I128" s="434"/>
      <c r="J128" s="441">
        <f>J127*J126</f>
        <v>6.125</v>
      </c>
      <c r="K128" s="434"/>
      <c r="L128" s="436"/>
      <c r="M128" s="436"/>
      <c r="N128" s="436"/>
      <c r="O128" s="434"/>
      <c r="P128" s="437"/>
      <c r="Q128" s="434"/>
      <c r="R128" s="420"/>
      <c r="S128" s="420"/>
      <c r="AG128" s="2"/>
      <c r="AH128" s="2"/>
      <c r="AI128" s="2"/>
      <c r="AJ128" s="2"/>
      <c r="AK128" s="2"/>
      <c r="AL128" s="2"/>
      <c r="AM128" s="2"/>
      <c r="AN128" s="2"/>
      <c r="AO128" s="2"/>
      <c r="AP128" s="2"/>
      <c r="AQ128" s="2"/>
      <c r="AR128" s="2"/>
      <c r="AS128" s="2"/>
      <c r="AT128" s="2"/>
    </row>
    <row r="129">
      <c r="A129" s="161"/>
      <c r="B129" s="161"/>
      <c r="C129" s="161"/>
      <c r="E129" s="341"/>
      <c r="F129" s="341"/>
      <c r="G129" s="352"/>
      <c r="H129" s="438" t="s">
        <v>311</v>
      </c>
      <c r="I129" s="428"/>
      <c r="J129" s="442">
        <f>ALL_GATHER_CORE2CORE_TIME_MS(J128)</f>
        <v>0.003323025174</v>
      </c>
      <c r="K129" s="428"/>
      <c r="L129" s="430"/>
      <c r="M129" s="430"/>
      <c r="N129" s="430"/>
      <c r="O129" s="428"/>
      <c r="P129" s="431"/>
      <c r="Q129" s="428"/>
      <c r="R129" s="420"/>
      <c r="S129" s="420"/>
      <c r="AG129" s="2"/>
      <c r="AH129" s="2"/>
      <c r="AI129" s="2"/>
      <c r="AJ129" s="2"/>
      <c r="AK129" s="2"/>
      <c r="AL129" s="2"/>
      <c r="AM129" s="2"/>
      <c r="AN129" s="2"/>
      <c r="AO129" s="2"/>
      <c r="AP129" s="2"/>
      <c r="AQ129" s="2"/>
      <c r="AR129" s="2"/>
      <c r="AS129" s="2"/>
      <c r="AT129" s="2"/>
    </row>
    <row r="130">
      <c r="A130" s="161"/>
      <c r="B130" s="161"/>
      <c r="C130" s="161"/>
      <c r="E130" s="341"/>
      <c r="F130" s="341"/>
      <c r="G130" s="394"/>
      <c r="H130" s="422"/>
      <c r="I130" s="11"/>
      <c r="J130" s="417"/>
      <c r="K130" s="412"/>
      <c r="L130" s="413"/>
      <c r="M130" s="413"/>
      <c r="N130" s="413"/>
      <c r="O130" s="412"/>
      <c r="P130" s="414"/>
      <c r="Q130" s="412"/>
      <c r="R130" s="420"/>
      <c r="S130" s="420"/>
      <c r="AG130" s="2"/>
      <c r="AH130" s="2"/>
      <c r="AI130" s="2"/>
      <c r="AJ130" s="2"/>
      <c r="AK130" s="2"/>
      <c r="AL130" s="2"/>
      <c r="AM130" s="2"/>
      <c r="AN130" s="2"/>
      <c r="AO130" s="2"/>
      <c r="AP130" s="2"/>
      <c r="AQ130" s="2"/>
      <c r="AR130" s="2"/>
      <c r="AS130" s="2"/>
      <c r="AT130" s="2"/>
    </row>
    <row r="131">
      <c r="A131" s="161"/>
      <c r="B131" s="161"/>
      <c r="C131" s="161"/>
      <c r="E131" s="341"/>
      <c r="F131" s="341"/>
      <c r="G131" s="394"/>
      <c r="H131" s="422"/>
      <c r="I131" s="11"/>
      <c r="J131" s="417"/>
      <c r="K131" s="412"/>
      <c r="L131" s="413"/>
      <c r="M131" s="413"/>
      <c r="N131" s="413"/>
      <c r="O131" s="412"/>
      <c r="P131" s="414"/>
      <c r="Q131" s="412"/>
      <c r="R131" s="420"/>
      <c r="S131" s="420"/>
      <c r="AG131" s="2"/>
      <c r="AH131" s="2"/>
      <c r="AI131" s="2"/>
      <c r="AJ131" s="2"/>
      <c r="AK131" s="2"/>
      <c r="AL131" s="2"/>
      <c r="AM131" s="2"/>
      <c r="AN131" s="2"/>
      <c r="AO131" s="2"/>
      <c r="AP131" s="2"/>
      <c r="AQ131" s="2"/>
      <c r="AR131" s="2"/>
      <c r="AS131" s="2"/>
      <c r="AT131" s="2"/>
    </row>
    <row r="132">
      <c r="A132" s="161"/>
      <c r="B132" s="161"/>
      <c r="C132" s="161"/>
      <c r="E132" s="341"/>
      <c r="F132" s="341"/>
      <c r="G132" s="394"/>
      <c r="H132" s="422"/>
      <c r="I132" s="11"/>
      <c r="J132" s="417"/>
      <c r="K132" s="412"/>
      <c r="L132" s="413"/>
      <c r="M132" s="413"/>
      <c r="N132" s="413"/>
      <c r="O132" s="412"/>
      <c r="P132" s="414"/>
      <c r="Q132" s="412"/>
      <c r="R132" s="420"/>
      <c r="S132" s="420"/>
      <c r="AG132" s="2"/>
      <c r="AH132" s="2"/>
      <c r="AI132" s="2"/>
      <c r="AJ132" s="2"/>
      <c r="AK132" s="2"/>
      <c r="AL132" s="2"/>
      <c r="AM132" s="2"/>
      <c r="AN132" s="2"/>
      <c r="AO132" s="2"/>
      <c r="AP132" s="2"/>
      <c r="AQ132" s="2"/>
      <c r="AR132" s="2"/>
      <c r="AS132" s="2"/>
      <c r="AT132" s="2"/>
    </row>
    <row r="133">
      <c r="A133" s="161"/>
      <c r="B133" s="161"/>
      <c r="C133" s="161"/>
      <c r="E133" s="341"/>
      <c r="F133" s="341"/>
      <c r="G133" s="443" t="s">
        <v>322</v>
      </c>
      <c r="H133" s="444" t="s">
        <v>323</v>
      </c>
      <c r="I133" s="445"/>
      <c r="J133" s="445"/>
      <c r="K133" s="382"/>
      <c r="L133" s="383"/>
      <c r="M133" s="383"/>
      <c r="N133" s="383"/>
      <c r="O133" s="382"/>
      <c r="P133" s="384"/>
      <c r="Q133" s="382"/>
      <c r="R133" s="420"/>
      <c r="S133" s="420"/>
      <c r="AG133" s="2"/>
      <c r="AH133" s="2"/>
      <c r="AI133" s="2"/>
      <c r="AJ133" s="2"/>
      <c r="AK133" s="2"/>
      <c r="AL133" s="2"/>
      <c r="AM133" s="2"/>
      <c r="AN133" s="2"/>
      <c r="AO133" s="2"/>
      <c r="AP133" s="2"/>
      <c r="AQ133" s="2"/>
      <c r="AR133" s="2"/>
      <c r="AS133" s="2"/>
      <c r="AT133" s="2"/>
    </row>
    <row r="134">
      <c r="A134" s="161"/>
      <c r="B134" s="207"/>
      <c r="C134" s="161"/>
      <c r="E134" s="341"/>
      <c r="F134" s="341"/>
      <c r="G134" s="446" t="s">
        <v>324</v>
      </c>
      <c r="H134" s="447">
        <f>IFS(H133=G102,H108,
H133=G110,H122 ,
H133=G124,J129,
TRUE,0)</f>
        <v>0</v>
      </c>
      <c r="I134" s="448"/>
      <c r="J134" s="448"/>
      <c r="K134" s="448"/>
      <c r="L134" s="449"/>
      <c r="M134" s="449"/>
      <c r="N134" s="449"/>
      <c r="O134" s="450"/>
      <c r="P134" s="451"/>
      <c r="Q134" s="450"/>
      <c r="AG134" s="2"/>
      <c r="AH134" s="2"/>
      <c r="AI134" s="2"/>
      <c r="AJ134" s="2"/>
      <c r="AK134" s="2"/>
      <c r="AL134" s="2"/>
      <c r="AM134" s="2"/>
      <c r="AN134" s="2"/>
      <c r="AO134" s="2"/>
      <c r="AP134" s="2"/>
      <c r="AQ134" s="2"/>
      <c r="AR134" s="2"/>
      <c r="AS134" s="2"/>
      <c r="AT134" s="2"/>
    </row>
    <row r="135">
      <c r="A135" s="161"/>
      <c r="B135" s="161"/>
      <c r="C135" s="161"/>
      <c r="E135" s="341"/>
      <c r="F135" s="341"/>
      <c r="G135" s="452" t="s">
        <v>325</v>
      </c>
      <c r="H135" s="453">
        <f>IFS(PARAMS("topo")="2x2x2", (2+2+2)/2,
PARAMS("topo")="2x2", (2+2)/2,
TRUE, NA())</f>
        <v>3</v>
      </c>
      <c r="I135" s="454"/>
      <c r="J135" s="454"/>
      <c r="K135" s="454"/>
      <c r="L135" s="455"/>
      <c r="M135" s="455"/>
      <c r="N135" s="455"/>
      <c r="O135" s="456"/>
      <c r="P135" s="457"/>
      <c r="Q135" s="456"/>
      <c r="AG135" s="2"/>
      <c r="AH135" s="2"/>
      <c r="AI135" s="2"/>
      <c r="AJ135" s="2"/>
      <c r="AK135" s="2"/>
      <c r="AL135" s="2"/>
      <c r="AM135" s="2"/>
      <c r="AN135" s="2"/>
      <c r="AO135" s="2"/>
      <c r="AP135" s="2"/>
      <c r="AQ135" s="2"/>
      <c r="AR135" s="2"/>
      <c r="AS135" s="2"/>
      <c r="AT135" s="2"/>
    </row>
    <row r="136">
      <c r="A136" s="161"/>
      <c r="B136" s="161"/>
      <c r="C136" s="161"/>
      <c r="E136" s="341"/>
      <c r="F136" s="352"/>
      <c r="G136" s="446" t="s">
        <v>326</v>
      </c>
      <c r="H136" s="447">
        <f>IF(H133="No Collectives", 0, H135 * HW_SPEC("Chip-to-Chip ICI Latency (ms)"))</f>
        <v>0</v>
      </c>
      <c r="I136" s="448"/>
      <c r="J136" s="448"/>
      <c r="K136" s="448"/>
      <c r="L136" s="449"/>
      <c r="M136" s="449"/>
      <c r="N136" s="449"/>
      <c r="O136" s="450"/>
      <c r="P136" s="451"/>
      <c r="Q136" s="450"/>
      <c r="AG136" s="2"/>
      <c r="AH136" s="2"/>
      <c r="AI136" s="2"/>
      <c r="AJ136" s="2"/>
      <c r="AK136" s="2"/>
      <c r="AL136" s="2"/>
      <c r="AM136" s="2"/>
      <c r="AN136" s="2"/>
      <c r="AO136" s="2"/>
      <c r="AP136" s="2"/>
      <c r="AQ136" s="2"/>
      <c r="AR136" s="2"/>
      <c r="AS136" s="2"/>
      <c r="AT136" s="2"/>
    </row>
    <row r="137">
      <c r="A137" s="161"/>
      <c r="B137" s="161"/>
      <c r="C137" s="161"/>
      <c r="E137" s="341"/>
      <c r="F137" s="458" t="s">
        <v>327</v>
      </c>
      <c r="G137" s="459" t="s">
        <v>328</v>
      </c>
      <c r="H137" s="455" t="str">
        <f>VLOOKUP(O85&amp;","&amp;O89,$T$3:$W$12,4, FALSE)</f>
        <v>fp8</v>
      </c>
      <c r="I137" s="460"/>
      <c r="J137" s="454"/>
      <c r="K137" s="454"/>
      <c r="L137" s="455"/>
      <c r="M137" s="455"/>
      <c r="N137" s="455"/>
      <c r="O137" s="454"/>
      <c r="P137" s="457"/>
      <c r="Q137" s="11"/>
      <c r="AG137" s="2"/>
      <c r="AH137" s="2"/>
      <c r="AI137" s="2"/>
      <c r="AJ137" s="2"/>
      <c r="AK137" s="2"/>
      <c r="AL137" s="2"/>
      <c r="AM137" s="2"/>
      <c r="AN137" s="2"/>
      <c r="AO137" s="2"/>
      <c r="AP137" s="2"/>
      <c r="AQ137" s="2"/>
      <c r="AR137" s="2"/>
      <c r="AS137" s="2"/>
      <c r="AT137" s="2"/>
    </row>
    <row r="138">
      <c r="A138" s="161"/>
      <c r="B138" s="161"/>
      <c r="C138" s="161"/>
      <c r="E138" s="341"/>
      <c r="F138" s="341"/>
      <c r="G138" s="459" t="s">
        <v>329</v>
      </c>
      <c r="H138" s="461">
        <f>CALCULATE_FLOPS(J88:M88,J92:M92,L92,1,H137)</f>
        <v>352321536</v>
      </c>
      <c r="I138" s="460"/>
      <c r="J138" s="454"/>
      <c r="K138" s="454"/>
      <c r="L138" s="455"/>
      <c r="M138" s="455"/>
      <c r="N138" s="455"/>
      <c r="O138" s="454"/>
      <c r="P138" s="457"/>
      <c r="Q138" s="11"/>
      <c r="AG138" s="2"/>
      <c r="AH138" s="2"/>
      <c r="AI138" s="2"/>
      <c r="AJ138" s="2"/>
      <c r="AK138" s="2"/>
      <c r="AL138" s="2"/>
      <c r="AM138" s="2"/>
      <c r="AN138" s="2"/>
      <c r="AO138" s="2"/>
      <c r="AP138" s="2"/>
      <c r="AQ138" s="2"/>
      <c r="AR138" s="2"/>
      <c r="AS138" s="2"/>
      <c r="AT138" s="2"/>
    </row>
    <row r="139">
      <c r="A139" s="161"/>
      <c r="B139" s="161"/>
      <c r="C139" s="161"/>
      <c r="E139" s="341"/>
      <c r="F139" s="352"/>
      <c r="G139" s="462" t="s">
        <v>330</v>
      </c>
      <c r="H139" s="463">
        <f>COMPUTE_TIME_MS(H138, H137)</f>
        <v>0.0000939524096</v>
      </c>
      <c r="I139" s="464"/>
      <c r="J139" s="465"/>
      <c r="K139" s="465"/>
      <c r="L139" s="466"/>
      <c r="M139" s="466"/>
      <c r="N139" s="466"/>
      <c r="O139" s="465"/>
      <c r="P139" s="467"/>
      <c r="Q139" s="11"/>
      <c r="AG139" s="2"/>
      <c r="AH139" s="2"/>
      <c r="AI139" s="2"/>
      <c r="AJ139" s="2"/>
      <c r="AK139" s="2"/>
      <c r="AL139" s="2"/>
      <c r="AM139" s="2"/>
      <c r="AN139" s="2"/>
      <c r="AO139" s="2"/>
      <c r="AP139" s="2"/>
      <c r="AQ139" s="2"/>
      <c r="AR139" s="2"/>
      <c r="AS139" s="2"/>
      <c r="AT139" s="2"/>
    </row>
    <row r="140">
      <c r="A140" s="161"/>
      <c r="B140" s="161"/>
      <c r="C140" s="161"/>
      <c r="E140" s="341"/>
      <c r="F140" s="458" t="s">
        <v>331</v>
      </c>
      <c r="G140" s="455" t="s">
        <v>332</v>
      </c>
      <c r="H140" s="468">
        <f>IF(Q85,0,P88)+IF(Q89,0,P92)+IF(Q93,0,P96)</f>
        <v>10.65625</v>
      </c>
      <c r="I140" s="454"/>
      <c r="J140" s="454"/>
      <c r="K140" s="454"/>
      <c r="L140" s="455"/>
      <c r="M140" s="455"/>
      <c r="N140" s="455"/>
      <c r="O140" s="454"/>
      <c r="P140" s="457"/>
      <c r="Q140" s="11"/>
      <c r="AG140" s="2"/>
      <c r="AH140" s="2"/>
      <c r="AI140" s="2"/>
      <c r="AJ140" s="2"/>
      <c r="AK140" s="2"/>
      <c r="AL140" s="2"/>
      <c r="AM140" s="2"/>
      <c r="AN140" s="2"/>
      <c r="AO140" s="2"/>
      <c r="AP140" s="2"/>
      <c r="AQ140" s="2"/>
      <c r="AR140" s="2"/>
      <c r="AS140" s="2"/>
      <c r="AT140" s="2"/>
    </row>
    <row r="141">
      <c r="A141" s="161"/>
      <c r="B141" s="161"/>
      <c r="C141" s="161"/>
      <c r="E141" s="352"/>
      <c r="F141" s="352"/>
      <c r="G141" s="469" t="s">
        <v>333</v>
      </c>
      <c r="H141" s="470">
        <f>HBM_TIME_MS(H140)</f>
        <v>0.001445346408</v>
      </c>
      <c r="I141" s="465"/>
      <c r="J141" s="465"/>
      <c r="K141" s="465"/>
      <c r="L141" s="466"/>
      <c r="M141" s="466"/>
      <c r="N141" s="466"/>
      <c r="O141" s="465"/>
      <c r="P141" s="467"/>
      <c r="Q141" s="11"/>
      <c r="AH141" s="471"/>
      <c r="AI141" s="471"/>
      <c r="AJ141" s="471"/>
      <c r="AK141" s="2"/>
      <c r="AL141" s="2"/>
      <c r="AM141" s="2"/>
      <c r="AN141" s="2"/>
      <c r="AO141" s="2"/>
      <c r="AP141" s="2"/>
      <c r="AQ141" s="2"/>
      <c r="AR141" s="2"/>
      <c r="AS141" s="2"/>
      <c r="AT141" s="2"/>
    </row>
    <row r="142">
      <c r="E142" s="333" t="s">
        <v>334</v>
      </c>
      <c r="F142" s="357" t="s">
        <v>292</v>
      </c>
      <c r="G142" s="335"/>
      <c r="H142" s="364" t="s">
        <v>281</v>
      </c>
      <c r="I142" s="364" t="s">
        <v>282</v>
      </c>
      <c r="J142" s="364"/>
      <c r="K142" s="273" t="s">
        <v>104</v>
      </c>
      <c r="L142" s="273" t="s">
        <v>102</v>
      </c>
      <c r="M142" s="472" t="s">
        <v>195</v>
      </c>
      <c r="N142" s="364" t="s">
        <v>283</v>
      </c>
      <c r="O142" s="365" t="str">
        <f>EXTRACT_ACTIVATION_DTYPE(PARAMS("attn_proj_dtype"))</f>
        <v>fp8</v>
      </c>
      <c r="P142" s="366"/>
      <c r="Q142" s="365" t="b">
        <v>0</v>
      </c>
      <c r="R142" s="2"/>
      <c r="S142" s="2"/>
      <c r="AH142" s="471"/>
      <c r="AI142" s="471"/>
      <c r="AJ142" s="471"/>
      <c r="AK142" s="2"/>
      <c r="AL142" s="2"/>
      <c r="AM142" s="2"/>
      <c r="AN142" s="2"/>
      <c r="AO142" s="2"/>
      <c r="AP142" s="2"/>
      <c r="AQ142" s="2"/>
      <c r="AR142" s="2"/>
      <c r="AS142" s="2"/>
      <c r="AT142" s="2"/>
    </row>
    <row r="143">
      <c r="E143" s="341"/>
      <c r="F143" s="342"/>
      <c r="G143" s="343"/>
      <c r="H143" s="273" t="s">
        <v>285</v>
      </c>
      <c r="I143" s="364" t="s">
        <v>282</v>
      </c>
      <c r="J143" s="363"/>
      <c r="K143" s="363">
        <f t="shared" ref="K143:M143" si="18">PARAMS(K142)</f>
        <v>128</v>
      </c>
      <c r="L143" s="364">
        <f t="shared" si="18"/>
        <v>1</v>
      </c>
      <c r="M143" s="364">
        <f t="shared" si="18"/>
        <v>1536</v>
      </c>
      <c r="N143" s="364" t="s">
        <v>283</v>
      </c>
      <c r="O143" s="341"/>
      <c r="P143" s="366">
        <f>SIZEOF_IN_MIB(J143:M143, $O142)</f>
        <v>0.1875</v>
      </c>
      <c r="Q143" s="341"/>
      <c r="R143" s="2"/>
      <c r="S143" s="2"/>
      <c r="AH143" s="471"/>
      <c r="AI143" s="471"/>
      <c r="AJ143" s="471"/>
      <c r="AK143" s="2"/>
      <c r="AL143" s="2"/>
      <c r="AM143" s="2"/>
      <c r="AN143" s="2"/>
      <c r="AO143" s="2"/>
      <c r="AP143" s="2"/>
      <c r="AQ143" s="2"/>
      <c r="AR143" s="2"/>
      <c r="AS143" s="2"/>
      <c r="AT143" s="2"/>
    </row>
    <row r="144">
      <c r="E144" s="341"/>
      <c r="F144" s="342"/>
      <c r="G144" s="343"/>
      <c r="H144" s="363" t="s">
        <v>287</v>
      </c>
      <c r="I144" s="363" t="s">
        <v>282</v>
      </c>
      <c r="J144" s="364"/>
      <c r="K144" s="273" t="s">
        <v>196</v>
      </c>
      <c r="L144" s="273"/>
      <c r="M144" s="363"/>
      <c r="N144" s="363" t="s">
        <v>283</v>
      </c>
      <c r="O144" s="341"/>
      <c r="P144" s="366"/>
      <c r="Q144" s="341"/>
      <c r="R144" s="2"/>
      <c r="S144" s="2"/>
      <c r="AH144" s="471"/>
      <c r="AI144" s="471"/>
      <c r="AJ144" s="471"/>
      <c r="AK144" s="2"/>
      <c r="AL144" s="2"/>
      <c r="AM144" s="2"/>
      <c r="AN144" s="2"/>
      <c r="AO144" s="2"/>
      <c r="AP144" s="2"/>
      <c r="AQ144" s="2"/>
      <c r="AR144" s="2"/>
      <c r="AS144" s="2"/>
      <c r="AT144" s="2"/>
    </row>
    <row r="145">
      <c r="E145" s="341"/>
      <c r="F145" s="353"/>
      <c r="G145" s="354"/>
      <c r="H145" s="273" t="s">
        <v>289</v>
      </c>
      <c r="I145" s="363" t="s">
        <v>282</v>
      </c>
      <c r="J145" s="364"/>
      <c r="K145" s="363">
        <f t="shared" ref="K145:M145" si="19">K143/SHARDING(K144)</f>
        <v>16</v>
      </c>
      <c r="L145" s="363">
        <f t="shared" si="19"/>
        <v>1</v>
      </c>
      <c r="M145" s="363">
        <f t="shared" si="19"/>
        <v>1536</v>
      </c>
      <c r="N145" s="363" t="s">
        <v>283</v>
      </c>
      <c r="O145" s="352"/>
      <c r="P145" s="366">
        <f>SIZEOF_IN_MIB(J145:M145, $O142)</f>
        <v>0.0234375</v>
      </c>
      <c r="Q145" s="352"/>
      <c r="R145" s="2"/>
      <c r="S145" s="2"/>
      <c r="AK145" s="2"/>
      <c r="AL145" s="2"/>
      <c r="AM145" s="2"/>
      <c r="AN145" s="2"/>
      <c r="AO145" s="2"/>
      <c r="AP145" s="2"/>
      <c r="AQ145" s="2"/>
      <c r="AR145" s="2"/>
      <c r="AS145" s="2"/>
      <c r="AT145" s="2"/>
    </row>
    <row r="146">
      <c r="E146" s="341"/>
      <c r="F146" s="334" t="s">
        <v>296</v>
      </c>
      <c r="G146" s="335"/>
      <c r="H146" s="363" t="s">
        <v>281</v>
      </c>
      <c r="I146" s="363" t="s">
        <v>282</v>
      </c>
      <c r="J146" s="364"/>
      <c r="K146" s="472" t="s">
        <v>195</v>
      </c>
      <c r="L146" s="273" t="s">
        <v>207</v>
      </c>
      <c r="M146" s="273" t="s">
        <v>209</v>
      </c>
      <c r="N146" s="363" t="s">
        <v>283</v>
      </c>
      <c r="O146" s="365" t="str">
        <f>EXTRACT_WEIGHT_DTYPE(PARAMS("attn_proj_dtype"))</f>
        <v>fp8</v>
      </c>
      <c r="P146" s="366"/>
      <c r="Q146" s="365" t="b">
        <v>0</v>
      </c>
      <c r="R146" s="2"/>
      <c r="S146" s="2"/>
      <c r="AK146" s="2"/>
      <c r="AL146" s="2"/>
      <c r="AM146" s="2"/>
      <c r="AN146" s="2"/>
      <c r="AO146" s="2"/>
      <c r="AP146" s="2"/>
      <c r="AQ146" s="2"/>
      <c r="AR146" s="2"/>
      <c r="AS146" s="2"/>
      <c r="AT146" s="2"/>
    </row>
    <row r="147">
      <c r="E147" s="341"/>
      <c r="F147" s="342"/>
      <c r="G147" s="343"/>
      <c r="H147" s="273" t="s">
        <v>285</v>
      </c>
      <c r="I147" s="363" t="s">
        <v>282</v>
      </c>
      <c r="J147" s="364"/>
      <c r="K147" s="363">
        <f t="shared" ref="K147:M147" si="20">PARAMS(K146)</f>
        <v>1536</v>
      </c>
      <c r="L147" s="363">
        <f t="shared" si="20"/>
        <v>128</v>
      </c>
      <c r="M147" s="363">
        <f t="shared" si="20"/>
        <v>192</v>
      </c>
      <c r="N147" s="363" t="s">
        <v>283</v>
      </c>
      <c r="O147" s="341"/>
      <c r="P147" s="366">
        <f>SIZEOF_IN_MIB(J147:M147, $O146)</f>
        <v>36</v>
      </c>
      <c r="Q147" s="341"/>
      <c r="R147" s="2"/>
      <c r="S147" s="2"/>
      <c r="AK147" s="2"/>
      <c r="AL147" s="2"/>
      <c r="AM147" s="2"/>
      <c r="AN147" s="2"/>
      <c r="AO147" s="2"/>
      <c r="AP147" s="2"/>
      <c r="AQ147" s="2"/>
      <c r="AR147" s="2"/>
      <c r="AS147" s="2"/>
      <c r="AT147" s="2"/>
    </row>
    <row r="148">
      <c r="E148" s="341"/>
      <c r="F148" s="342"/>
      <c r="G148" s="343"/>
      <c r="H148" s="363" t="s">
        <v>287</v>
      </c>
      <c r="I148" s="363" t="s">
        <v>282</v>
      </c>
      <c r="J148" s="364"/>
      <c r="K148" s="364"/>
      <c r="L148" s="363"/>
      <c r="M148" s="363"/>
      <c r="N148" s="363" t="s">
        <v>283</v>
      </c>
      <c r="O148" s="341"/>
      <c r="P148" s="366"/>
      <c r="Q148" s="341"/>
      <c r="R148" s="2"/>
      <c r="S148" s="2"/>
      <c r="AK148" s="2"/>
      <c r="AL148" s="2"/>
      <c r="AM148" s="2"/>
      <c r="AN148" s="2"/>
      <c r="AO148" s="2"/>
      <c r="AP148" s="2"/>
      <c r="AQ148" s="2"/>
      <c r="AR148" s="2"/>
      <c r="AS148" s="2"/>
      <c r="AT148" s="2"/>
    </row>
    <row r="149">
      <c r="E149" s="341"/>
      <c r="F149" s="353"/>
      <c r="G149" s="354"/>
      <c r="H149" s="349" t="s">
        <v>289</v>
      </c>
      <c r="I149" s="349" t="s">
        <v>282</v>
      </c>
      <c r="J149" s="336"/>
      <c r="K149" s="349">
        <f t="shared" ref="K149:M149" si="21">K147/SHARDING(K148)</f>
        <v>1536</v>
      </c>
      <c r="L149" s="349">
        <f t="shared" si="21"/>
        <v>128</v>
      </c>
      <c r="M149" s="349">
        <f t="shared" si="21"/>
        <v>192</v>
      </c>
      <c r="N149" s="349" t="s">
        <v>283</v>
      </c>
      <c r="O149" s="316"/>
      <c r="P149" s="351">
        <f>SIZEOF_IN_MIB(J149:M149, $O146)</f>
        <v>36</v>
      </c>
      <c r="Q149" s="316"/>
      <c r="R149" s="2"/>
      <c r="S149" s="2"/>
      <c r="AK149" s="2"/>
      <c r="AL149" s="2"/>
      <c r="AM149" s="2"/>
      <c r="AN149" s="2"/>
      <c r="AO149" s="2"/>
      <c r="AP149" s="2"/>
      <c r="AQ149" s="2"/>
      <c r="AR149" s="2"/>
      <c r="AS149" s="2"/>
      <c r="AT149" s="2"/>
    </row>
    <row r="150">
      <c r="E150" s="341"/>
      <c r="F150" s="334" t="s">
        <v>56</v>
      </c>
      <c r="G150" s="335"/>
      <c r="H150" s="346" t="s">
        <v>281</v>
      </c>
      <c r="I150" s="346" t="s">
        <v>282</v>
      </c>
      <c r="J150" s="344" t="s">
        <v>104</v>
      </c>
      <c r="K150" s="344" t="s">
        <v>102</v>
      </c>
      <c r="L150" s="344" t="s">
        <v>207</v>
      </c>
      <c r="M150" s="344" t="s">
        <v>209</v>
      </c>
      <c r="N150" s="346" t="s">
        <v>283</v>
      </c>
      <c r="O150" s="473" t="s">
        <v>133</v>
      </c>
      <c r="P150" s="348"/>
      <c r="Q150" s="473" t="b">
        <v>0</v>
      </c>
      <c r="R150" s="2"/>
      <c r="S150" s="2"/>
      <c r="AK150" s="2"/>
      <c r="AL150" s="2"/>
      <c r="AM150" s="2"/>
      <c r="AN150" s="2"/>
      <c r="AO150" s="2"/>
      <c r="AP150" s="2"/>
      <c r="AQ150" s="2"/>
      <c r="AR150" s="2"/>
      <c r="AS150" s="2"/>
      <c r="AT150" s="2"/>
    </row>
    <row r="151">
      <c r="E151" s="341"/>
      <c r="F151" s="342"/>
      <c r="G151" s="343"/>
      <c r="H151" s="337" t="s">
        <v>285</v>
      </c>
      <c r="I151" s="349" t="s">
        <v>282</v>
      </c>
      <c r="J151" s="349">
        <f t="shared" ref="J151:M151" si="22">PARAMS(J150)</f>
        <v>128</v>
      </c>
      <c r="K151" s="349">
        <f t="shared" si="22"/>
        <v>1</v>
      </c>
      <c r="L151" s="349">
        <f t="shared" si="22"/>
        <v>128</v>
      </c>
      <c r="M151" s="349">
        <f t="shared" si="22"/>
        <v>192</v>
      </c>
      <c r="N151" s="349" t="s">
        <v>283</v>
      </c>
      <c r="O151" s="350"/>
      <c r="P151" s="351">
        <f>SIZEOF_IN_MIB(J151:M151, $O150)</f>
        <v>6</v>
      </c>
      <c r="Q151" s="350"/>
      <c r="R151" s="2"/>
      <c r="S151" s="2"/>
      <c r="AK151" s="2"/>
      <c r="AL151" s="2"/>
      <c r="AM151" s="2"/>
      <c r="AN151" s="2"/>
      <c r="AO151" s="2"/>
      <c r="AP151" s="2"/>
      <c r="AQ151" s="2"/>
      <c r="AR151" s="2"/>
      <c r="AS151" s="2"/>
      <c r="AT151" s="2"/>
    </row>
    <row r="152">
      <c r="E152" s="341"/>
      <c r="F152" s="342"/>
      <c r="G152" s="343"/>
      <c r="H152" s="346" t="s">
        <v>287</v>
      </c>
      <c r="I152" s="346" t="s">
        <v>282</v>
      </c>
      <c r="J152" s="344" t="s">
        <v>196</v>
      </c>
      <c r="K152" s="344"/>
      <c r="L152" s="344"/>
      <c r="M152" s="346"/>
      <c r="N152" s="346" t="s">
        <v>283</v>
      </c>
      <c r="O152" s="347"/>
      <c r="P152" s="348"/>
      <c r="Q152" s="347"/>
      <c r="R152" s="2"/>
      <c r="S152" s="2"/>
      <c r="AK152" s="2"/>
      <c r="AL152" s="2"/>
      <c r="AM152" s="2"/>
      <c r="AN152" s="2"/>
      <c r="AO152" s="2"/>
      <c r="AP152" s="2"/>
      <c r="AQ152" s="2"/>
      <c r="AR152" s="2"/>
      <c r="AS152" s="2"/>
      <c r="AT152" s="2"/>
    </row>
    <row r="153">
      <c r="E153" s="341"/>
      <c r="F153" s="353"/>
      <c r="G153" s="354"/>
      <c r="H153" s="349" t="s">
        <v>289</v>
      </c>
      <c r="I153" s="349" t="s">
        <v>282</v>
      </c>
      <c r="J153" s="349">
        <f t="shared" ref="J153:M153" si="23">J151/SHARDING(J152)</f>
        <v>16</v>
      </c>
      <c r="K153" s="349">
        <f t="shared" si="23"/>
        <v>1</v>
      </c>
      <c r="L153" s="349">
        <f t="shared" si="23"/>
        <v>128</v>
      </c>
      <c r="M153" s="349">
        <f t="shared" si="23"/>
        <v>192</v>
      </c>
      <c r="N153" s="349" t="s">
        <v>283</v>
      </c>
      <c r="O153" s="316"/>
      <c r="P153" s="351">
        <f>SIZEOF_IN_MIB(J153:M153, $O150)</f>
        <v>0.75</v>
      </c>
      <c r="Q153" s="316"/>
      <c r="R153" s="2"/>
      <c r="S153" s="2"/>
      <c r="AK153" s="2"/>
      <c r="AL153" s="2"/>
      <c r="AM153" s="2"/>
      <c r="AN153" s="2"/>
      <c r="AO153" s="2"/>
      <c r="AP153" s="2"/>
      <c r="AQ153" s="2"/>
      <c r="AR153" s="2"/>
      <c r="AS153" s="2"/>
      <c r="AT153" s="2"/>
    </row>
    <row r="154">
      <c r="E154" s="341"/>
      <c r="F154" s="474" t="s">
        <v>335</v>
      </c>
      <c r="G154" s="423" t="s">
        <v>336</v>
      </c>
      <c r="H154" s="475"/>
      <c r="I154" s="476" t="s">
        <v>337</v>
      </c>
      <c r="J154" s="477"/>
      <c r="K154" s="382"/>
      <c r="L154" s="383"/>
      <c r="M154" s="383"/>
      <c r="N154" s="383"/>
      <c r="O154" s="382"/>
      <c r="P154" s="384"/>
      <c r="Q154" s="382"/>
      <c r="R154" s="2"/>
      <c r="S154" s="2"/>
      <c r="AK154" s="2"/>
      <c r="AL154" s="2"/>
      <c r="AM154" s="2"/>
      <c r="AN154" s="2"/>
      <c r="AO154" s="2"/>
      <c r="AP154" s="2"/>
      <c r="AQ154" s="2"/>
      <c r="AR154" s="2"/>
      <c r="AS154" s="2"/>
      <c r="AT154" s="2"/>
    </row>
    <row r="155">
      <c r="E155" s="341"/>
      <c r="F155" s="341"/>
      <c r="G155" s="432" t="s">
        <v>338</v>
      </c>
      <c r="H155" s="478" t="str">
        <f>K148</f>
        <v/>
      </c>
      <c r="I155" s="479"/>
      <c r="J155" s="391"/>
      <c r="K155" s="404"/>
      <c r="L155" s="405"/>
      <c r="M155" s="405"/>
      <c r="N155" s="405"/>
      <c r="O155" s="404"/>
      <c r="P155" s="480"/>
      <c r="Q155" s="391"/>
      <c r="R155" s="2"/>
      <c r="S155" s="2"/>
      <c r="AK155" s="2"/>
      <c r="AL155" s="2"/>
      <c r="AM155" s="2"/>
      <c r="AN155" s="2"/>
      <c r="AO155" s="2"/>
      <c r="AP155" s="2"/>
      <c r="AQ155" s="2"/>
      <c r="AR155" s="2"/>
      <c r="AS155" s="2"/>
      <c r="AT155" s="2"/>
    </row>
    <row r="156">
      <c r="E156" s="341"/>
      <c r="F156" s="341"/>
      <c r="G156" s="432" t="s">
        <v>339</v>
      </c>
      <c r="H156" s="481" t="s">
        <v>306</v>
      </c>
      <c r="I156" s="482"/>
      <c r="J156" s="483">
        <v>2.0</v>
      </c>
      <c r="K156" s="399"/>
      <c r="L156" s="400"/>
      <c r="M156" s="400"/>
      <c r="N156" s="400"/>
      <c r="O156" s="399"/>
      <c r="P156" s="484"/>
      <c r="Q156" s="387"/>
      <c r="R156" s="2"/>
      <c r="S156" s="2"/>
      <c r="AK156" s="2"/>
      <c r="AL156" s="2"/>
      <c r="AM156" s="2"/>
      <c r="AN156" s="2"/>
      <c r="AO156" s="2"/>
      <c r="AP156" s="2"/>
      <c r="AQ156" s="2"/>
      <c r="AR156" s="2"/>
      <c r="AS156" s="2"/>
      <c r="AT156" s="2"/>
    </row>
    <row r="157">
      <c r="E157" s="341"/>
      <c r="F157" s="341"/>
      <c r="G157" s="341"/>
      <c r="H157" s="485" t="s">
        <v>307</v>
      </c>
      <c r="I157" s="479"/>
      <c r="J157" s="390">
        <f>P153/J156 * (J156-1)</f>
        <v>0.375</v>
      </c>
      <c r="K157" s="404"/>
      <c r="L157" s="405"/>
      <c r="M157" s="405"/>
      <c r="N157" s="405"/>
      <c r="O157" s="404"/>
      <c r="P157" s="480"/>
      <c r="Q157" s="391"/>
      <c r="R157" s="2"/>
      <c r="S157" s="2"/>
      <c r="AK157" s="2"/>
      <c r="AL157" s="2"/>
      <c r="AM157" s="2"/>
      <c r="AN157" s="2"/>
      <c r="AO157" s="2"/>
      <c r="AP157" s="2"/>
      <c r="AQ157" s="2"/>
      <c r="AR157" s="2"/>
      <c r="AS157" s="2"/>
      <c r="AT157" s="2"/>
    </row>
    <row r="158">
      <c r="E158" s="341"/>
      <c r="F158" s="341"/>
      <c r="G158" s="341"/>
      <c r="H158" s="481" t="s">
        <v>308</v>
      </c>
      <c r="I158" s="482"/>
      <c r="J158" s="395">
        <f>J157*J156</f>
        <v>0.75</v>
      </c>
      <c r="K158" s="399"/>
      <c r="L158" s="400"/>
      <c r="M158" s="400"/>
      <c r="N158" s="400"/>
      <c r="O158" s="399"/>
      <c r="P158" s="484"/>
      <c r="Q158" s="387"/>
      <c r="R158" s="2"/>
      <c r="S158" s="2"/>
      <c r="AK158" s="2"/>
      <c r="AL158" s="2"/>
      <c r="AM158" s="2"/>
      <c r="AN158" s="2"/>
      <c r="AO158" s="2"/>
      <c r="AP158" s="2"/>
      <c r="AQ158" s="2"/>
      <c r="AR158" s="2"/>
      <c r="AS158" s="2"/>
      <c r="AT158" s="2"/>
    </row>
    <row r="159">
      <c r="E159" s="341"/>
      <c r="F159" s="341"/>
      <c r="G159" s="352"/>
      <c r="H159" s="485" t="s">
        <v>311</v>
      </c>
      <c r="I159" s="479"/>
      <c r="J159" s="486">
        <f>ALL_GATHER_CORE2CORE_TIME_MS(J158)</f>
        <v>0.0004069010417</v>
      </c>
      <c r="K159" s="404"/>
      <c r="L159" s="405"/>
      <c r="M159" s="405"/>
      <c r="N159" s="405"/>
      <c r="O159" s="404"/>
      <c r="P159" s="480"/>
      <c r="Q159" s="391"/>
      <c r="R159" s="2"/>
      <c r="S159" s="2"/>
      <c r="AK159" s="2"/>
      <c r="AL159" s="2"/>
      <c r="AM159" s="2"/>
      <c r="AN159" s="2"/>
      <c r="AO159" s="2"/>
      <c r="AP159" s="2"/>
      <c r="AQ159" s="2"/>
      <c r="AR159" s="2"/>
      <c r="AS159" s="2"/>
      <c r="AT159" s="2"/>
    </row>
    <row r="160">
      <c r="E160" s="341"/>
      <c r="F160" s="341"/>
      <c r="G160" s="487" t="s">
        <v>340</v>
      </c>
      <c r="H160" s="488">
        <f>J159</f>
        <v>0.0004069010417</v>
      </c>
      <c r="I160" s="489"/>
      <c r="J160" s="399"/>
      <c r="K160" s="399"/>
      <c r="L160" s="400"/>
      <c r="M160" s="400"/>
      <c r="N160" s="400"/>
      <c r="O160" s="399"/>
      <c r="P160" s="484"/>
      <c r="Q160" s="387"/>
      <c r="R160" s="2"/>
      <c r="S160" s="2"/>
      <c r="AK160" s="2"/>
      <c r="AL160" s="2"/>
      <c r="AM160" s="2"/>
      <c r="AN160" s="2"/>
      <c r="AO160" s="2"/>
      <c r="AP160" s="2"/>
      <c r="AQ160" s="2"/>
      <c r="AR160" s="2"/>
      <c r="AS160" s="2"/>
      <c r="AT160" s="2"/>
    </row>
    <row r="161">
      <c r="E161" s="341"/>
      <c r="F161" s="341"/>
      <c r="G161" s="490"/>
      <c r="H161" s="491"/>
      <c r="I161" s="492"/>
      <c r="J161" s="336"/>
      <c r="K161" s="336"/>
      <c r="L161" s="349"/>
      <c r="M161" s="349"/>
      <c r="N161" s="349"/>
      <c r="O161" s="336"/>
      <c r="P161" s="351"/>
      <c r="Q161" s="298"/>
      <c r="R161" s="2"/>
      <c r="S161" s="2"/>
      <c r="AK161" s="2"/>
      <c r="AL161" s="2"/>
      <c r="AM161" s="2"/>
      <c r="AN161" s="2"/>
      <c r="AO161" s="2"/>
      <c r="AP161" s="2"/>
      <c r="AQ161" s="2"/>
      <c r="AR161" s="2"/>
      <c r="AS161" s="2"/>
      <c r="AT161" s="2"/>
    </row>
    <row r="162">
      <c r="E162" s="341"/>
      <c r="F162" s="341"/>
      <c r="G162" s="443" t="s">
        <v>322</v>
      </c>
      <c r="H162" s="444" t="s">
        <v>323</v>
      </c>
      <c r="I162" s="493"/>
      <c r="J162" s="345"/>
      <c r="K162" s="345"/>
      <c r="L162" s="346"/>
      <c r="M162" s="346"/>
      <c r="N162" s="346"/>
      <c r="O162" s="345"/>
      <c r="P162" s="348"/>
      <c r="Q162" s="379"/>
      <c r="R162" s="2"/>
      <c r="S162" s="2"/>
      <c r="AK162" s="2"/>
      <c r="AL162" s="2"/>
      <c r="AM162" s="2"/>
      <c r="AN162" s="2"/>
      <c r="AO162" s="2"/>
      <c r="AP162" s="2"/>
      <c r="AQ162" s="2"/>
      <c r="AR162" s="2"/>
      <c r="AS162" s="2"/>
      <c r="AT162" s="2"/>
    </row>
    <row r="163">
      <c r="E163" s="341"/>
      <c r="F163" s="352"/>
      <c r="G163" s="446" t="s">
        <v>324</v>
      </c>
      <c r="H163" s="447">
        <f>IF(H162=G154,H160,0)</f>
        <v>0</v>
      </c>
      <c r="I163" s="492"/>
      <c r="J163" s="336"/>
      <c r="K163" s="336"/>
      <c r="L163" s="349"/>
      <c r="M163" s="349"/>
      <c r="N163" s="349"/>
      <c r="O163" s="336"/>
      <c r="P163" s="351"/>
      <c r="Q163" s="298"/>
      <c r="R163" s="2"/>
      <c r="S163" s="2"/>
      <c r="AK163" s="2"/>
      <c r="AL163" s="2"/>
      <c r="AM163" s="2"/>
      <c r="AN163" s="2"/>
      <c r="AO163" s="2"/>
      <c r="AP163" s="2"/>
      <c r="AQ163" s="2"/>
      <c r="AR163" s="2"/>
      <c r="AS163" s="2"/>
      <c r="AT163" s="2"/>
    </row>
    <row r="164">
      <c r="E164" s="341"/>
      <c r="F164" s="458" t="s">
        <v>327</v>
      </c>
      <c r="G164" s="459" t="s">
        <v>328</v>
      </c>
      <c r="H164" s="346" t="str">
        <f>VLOOKUP(O142&amp;","&amp;O146,$T$3:$W$12,4, FALSE)</f>
        <v>fp8</v>
      </c>
      <c r="I164" s="493"/>
      <c r="J164" s="345"/>
      <c r="K164" s="345"/>
      <c r="L164" s="346"/>
      <c r="M164" s="346"/>
      <c r="N164" s="346"/>
      <c r="O164" s="345"/>
      <c r="P164" s="348"/>
      <c r="Q164" s="379"/>
      <c r="R164" s="2"/>
      <c r="S164" s="2"/>
      <c r="AK164" s="2"/>
      <c r="AL164" s="2"/>
      <c r="AM164" s="2"/>
      <c r="AN164" s="2"/>
      <c r="AO164" s="2"/>
      <c r="AP164" s="2"/>
      <c r="AQ164" s="2"/>
      <c r="AR164" s="2"/>
      <c r="AS164" s="2"/>
      <c r="AT164" s="2"/>
    </row>
    <row r="165">
      <c r="E165" s="341"/>
      <c r="F165" s="341"/>
      <c r="G165" s="455" t="s">
        <v>341</v>
      </c>
      <c r="H165" s="494">
        <f>CALCULATE_FLOPS(K145:M145,K149:M149,K149,1,H164)</f>
        <v>1207959552</v>
      </c>
      <c r="I165" s="492"/>
      <c r="J165" s="336"/>
      <c r="K165" s="336"/>
      <c r="L165" s="349"/>
      <c r="M165" s="349"/>
      <c r="N165" s="349"/>
      <c r="O165" s="336"/>
      <c r="P165" s="351"/>
      <c r="Q165" s="298"/>
      <c r="R165" s="2"/>
      <c r="S165" s="2"/>
      <c r="AK165" s="2"/>
      <c r="AL165" s="2"/>
      <c r="AM165" s="2"/>
      <c r="AN165" s="2"/>
      <c r="AO165" s="2"/>
      <c r="AP165" s="2"/>
      <c r="AQ165" s="2"/>
      <c r="AR165" s="2"/>
      <c r="AS165" s="2"/>
      <c r="AT165" s="2"/>
    </row>
    <row r="166">
      <c r="A166" s="207"/>
      <c r="B166" s="2"/>
      <c r="C166" s="2"/>
      <c r="D166" s="2"/>
      <c r="E166" s="341"/>
      <c r="F166" s="352"/>
      <c r="G166" s="462" t="s">
        <v>330</v>
      </c>
      <c r="H166" s="495">
        <f>COMPUTE_TIME_MS(H165, H164)</f>
        <v>0.0003221225472</v>
      </c>
      <c r="I166" s="464"/>
      <c r="J166" s="465"/>
      <c r="K166" s="465"/>
      <c r="L166" s="466"/>
      <c r="M166" s="466"/>
      <c r="N166" s="466"/>
      <c r="O166" s="465"/>
      <c r="P166" s="467"/>
      <c r="Q166" s="379"/>
      <c r="R166" s="2"/>
      <c r="S166" s="2"/>
      <c r="AK166" s="2"/>
      <c r="AL166" s="2"/>
      <c r="AM166" s="2"/>
      <c r="AN166" s="2"/>
      <c r="AO166" s="2"/>
      <c r="AP166" s="2"/>
      <c r="AQ166" s="2"/>
      <c r="AR166" s="2"/>
      <c r="AS166" s="2"/>
      <c r="AT166" s="2"/>
    </row>
    <row r="167">
      <c r="A167" s="207"/>
      <c r="B167" s="2"/>
      <c r="C167" s="2"/>
      <c r="D167" s="2"/>
      <c r="E167" s="341"/>
      <c r="F167" s="458" t="s">
        <v>331</v>
      </c>
      <c r="G167" s="455" t="s">
        <v>332</v>
      </c>
      <c r="H167" s="377">
        <f>IF(Q142,0,P145)+IF(Q146,0,P149)+IF(Q150,0,P153)</f>
        <v>36.7734375</v>
      </c>
      <c r="I167" s="336"/>
      <c r="J167" s="336"/>
      <c r="K167" s="336"/>
      <c r="L167" s="349"/>
      <c r="M167" s="349"/>
      <c r="N167" s="349"/>
      <c r="O167" s="336"/>
      <c r="P167" s="351"/>
      <c r="Q167" s="298"/>
      <c r="R167" s="2"/>
      <c r="S167" s="2"/>
      <c r="AK167" s="2"/>
      <c r="AL167" s="2"/>
      <c r="AM167" s="2"/>
      <c r="AN167" s="2"/>
      <c r="AO167" s="2"/>
      <c r="AP167" s="2"/>
      <c r="AQ167" s="2"/>
      <c r="AR167" s="2"/>
      <c r="AS167" s="2"/>
      <c r="AT167" s="2"/>
    </row>
    <row r="168">
      <c r="A168" s="2"/>
      <c r="B168" s="2"/>
      <c r="C168" s="2"/>
      <c r="D168" s="2"/>
      <c r="E168" s="352"/>
      <c r="F168" s="352"/>
      <c r="G168" s="469" t="s">
        <v>333</v>
      </c>
      <c r="H168" s="496">
        <f>HBM_TIME_MS(H167)</f>
        <v>0.004987716675</v>
      </c>
      <c r="I168" s="465"/>
      <c r="J168" s="465"/>
      <c r="K168" s="465"/>
      <c r="L168" s="466"/>
      <c r="M168" s="466"/>
      <c r="N168" s="466"/>
      <c r="O168" s="465"/>
      <c r="P168" s="467"/>
      <c r="Q168" s="379"/>
      <c r="R168" s="2"/>
      <c r="S168" s="2"/>
      <c r="AK168" s="2"/>
      <c r="AL168" s="2"/>
      <c r="AM168" s="2"/>
      <c r="AN168" s="2"/>
      <c r="AO168" s="2"/>
      <c r="AP168" s="2"/>
      <c r="AQ168" s="2"/>
      <c r="AR168" s="2"/>
      <c r="AS168" s="2"/>
      <c r="AT168" s="2"/>
    </row>
    <row r="169">
      <c r="A169" s="161"/>
      <c r="B169" s="161"/>
      <c r="C169" s="161"/>
      <c r="D169" s="161"/>
      <c r="E169" s="333" t="s">
        <v>342</v>
      </c>
      <c r="F169" s="357" t="s">
        <v>292</v>
      </c>
      <c r="G169" s="335"/>
      <c r="H169" s="364" t="s">
        <v>281</v>
      </c>
      <c r="I169" s="364" t="s">
        <v>282</v>
      </c>
      <c r="J169" s="273" t="s">
        <v>104</v>
      </c>
      <c r="K169" s="273" t="s">
        <v>102</v>
      </c>
      <c r="L169" s="273" t="s">
        <v>207</v>
      </c>
      <c r="M169" s="472" t="s">
        <v>201</v>
      </c>
      <c r="N169" s="364" t="s">
        <v>283</v>
      </c>
      <c r="O169" s="365" t="str">
        <f>EXTRACT_ACTIVATION_DTYPE(PARAMS("attn_proj_dtype"))</f>
        <v>fp8</v>
      </c>
      <c r="P169" s="366"/>
      <c r="Q169" s="365" t="b">
        <v>0</v>
      </c>
      <c r="R169" s="2"/>
      <c r="S169" s="2"/>
      <c r="AK169" s="2"/>
      <c r="AL169" s="2"/>
      <c r="AM169" s="2"/>
      <c r="AN169" s="2"/>
      <c r="AO169" s="2"/>
      <c r="AP169" s="2"/>
      <c r="AQ169" s="2"/>
      <c r="AR169" s="2"/>
      <c r="AS169" s="2"/>
      <c r="AT169" s="2"/>
    </row>
    <row r="170">
      <c r="A170" s="161"/>
      <c r="B170" s="161"/>
      <c r="C170" s="161"/>
      <c r="D170" s="161"/>
      <c r="E170" s="341"/>
      <c r="F170" s="342"/>
      <c r="G170" s="343"/>
      <c r="H170" s="273" t="s">
        <v>285</v>
      </c>
      <c r="I170" s="364" t="s">
        <v>282</v>
      </c>
      <c r="J170" s="363">
        <f t="shared" ref="J170:M170" si="24">PARAMS(J169)</f>
        <v>128</v>
      </c>
      <c r="K170" s="364">
        <f t="shared" si="24"/>
        <v>1</v>
      </c>
      <c r="L170" s="364">
        <f t="shared" si="24"/>
        <v>128</v>
      </c>
      <c r="M170" s="364">
        <f t="shared" si="24"/>
        <v>128</v>
      </c>
      <c r="N170" s="364" t="s">
        <v>283</v>
      </c>
      <c r="O170" s="341"/>
      <c r="P170" s="366">
        <f>SIZEOF_IN_MIB(J170:M170, $O169)</f>
        <v>2</v>
      </c>
      <c r="Q170" s="341"/>
      <c r="R170" s="2"/>
      <c r="S170" s="2"/>
      <c r="AK170" s="2"/>
      <c r="AL170" s="2"/>
      <c r="AM170" s="2"/>
      <c r="AN170" s="2"/>
      <c r="AO170" s="2"/>
      <c r="AP170" s="2"/>
      <c r="AQ170" s="2"/>
      <c r="AR170" s="2"/>
      <c r="AS170" s="2"/>
      <c r="AT170" s="2"/>
    </row>
    <row r="171">
      <c r="A171" s="161"/>
      <c r="B171" s="161"/>
      <c r="C171" s="161"/>
      <c r="D171" s="161"/>
      <c r="E171" s="341"/>
      <c r="F171" s="342"/>
      <c r="G171" s="343"/>
      <c r="H171" s="363" t="s">
        <v>287</v>
      </c>
      <c r="I171" s="363" t="s">
        <v>282</v>
      </c>
      <c r="J171" s="273" t="s">
        <v>196</v>
      </c>
      <c r="K171" s="273"/>
      <c r="L171" s="273"/>
      <c r="M171" s="363"/>
      <c r="N171" s="363" t="s">
        <v>283</v>
      </c>
      <c r="O171" s="341"/>
      <c r="P171" s="366"/>
      <c r="Q171" s="341"/>
      <c r="R171" s="2"/>
      <c r="S171" s="2"/>
      <c r="AG171" s="2"/>
      <c r="AH171" s="2"/>
      <c r="AI171" s="2"/>
      <c r="AJ171" s="2"/>
      <c r="AK171" s="2"/>
      <c r="AL171" s="2"/>
      <c r="AM171" s="2"/>
      <c r="AN171" s="2"/>
      <c r="AO171" s="2"/>
      <c r="AP171" s="2"/>
      <c r="AQ171" s="2"/>
      <c r="AR171" s="2"/>
      <c r="AS171" s="2"/>
      <c r="AT171" s="2"/>
    </row>
    <row r="172">
      <c r="A172" s="161"/>
      <c r="B172" s="161"/>
      <c r="C172" s="161"/>
      <c r="D172" s="161"/>
      <c r="E172" s="341"/>
      <c r="F172" s="353"/>
      <c r="G172" s="354"/>
      <c r="H172" s="273" t="s">
        <v>289</v>
      </c>
      <c r="I172" s="363" t="s">
        <v>282</v>
      </c>
      <c r="J172" s="363">
        <f t="shared" ref="J172:M172" si="25">J170/SHARDING(J171)</f>
        <v>16</v>
      </c>
      <c r="K172" s="363">
        <f t="shared" si="25"/>
        <v>1</v>
      </c>
      <c r="L172" s="363">
        <f t="shared" si="25"/>
        <v>128</v>
      </c>
      <c r="M172" s="363">
        <f t="shared" si="25"/>
        <v>128</v>
      </c>
      <c r="N172" s="363" t="s">
        <v>283</v>
      </c>
      <c r="O172" s="352"/>
      <c r="P172" s="366">
        <f>SIZEOF_IN_MIB(J172:M172, $O169)</f>
        <v>0.25</v>
      </c>
      <c r="Q172" s="352"/>
      <c r="R172" s="2"/>
      <c r="S172" s="2"/>
      <c r="AG172" s="2"/>
      <c r="AH172" s="2"/>
      <c r="AI172" s="2"/>
      <c r="AJ172" s="2"/>
      <c r="AK172" s="2"/>
      <c r="AL172" s="2"/>
      <c r="AM172" s="2"/>
      <c r="AN172" s="2"/>
      <c r="AO172" s="2"/>
      <c r="AP172" s="2"/>
      <c r="AQ172" s="2"/>
      <c r="AR172" s="2"/>
      <c r="AS172" s="2"/>
      <c r="AT172" s="2"/>
    </row>
    <row r="173">
      <c r="A173" s="161"/>
      <c r="B173" s="161"/>
      <c r="C173" s="161"/>
      <c r="D173" s="161"/>
      <c r="E173" s="341"/>
      <c r="F173" s="334" t="s">
        <v>296</v>
      </c>
      <c r="G173" s="335"/>
      <c r="H173" s="363" t="s">
        <v>281</v>
      </c>
      <c r="I173" s="363" t="s">
        <v>282</v>
      </c>
      <c r="J173" s="364"/>
      <c r="K173" s="273" t="s">
        <v>207</v>
      </c>
      <c r="L173" s="472" t="s">
        <v>201</v>
      </c>
      <c r="M173" s="273" t="s">
        <v>198</v>
      </c>
      <c r="N173" s="363" t="s">
        <v>283</v>
      </c>
      <c r="O173" s="365" t="str">
        <f>EXTRACT_WEIGHT_DTYPE(PARAMS("attn_proj_dtype"))</f>
        <v>fp8</v>
      </c>
      <c r="P173" s="366"/>
      <c r="Q173" s="365" t="b">
        <v>0</v>
      </c>
      <c r="R173" s="2"/>
      <c r="S173" s="2"/>
      <c r="AG173" s="2"/>
      <c r="AH173" s="2"/>
      <c r="AI173" s="2"/>
      <c r="AJ173" s="2"/>
      <c r="AK173" s="2"/>
      <c r="AL173" s="2"/>
      <c r="AM173" s="2"/>
      <c r="AN173" s="2"/>
      <c r="AO173" s="2"/>
      <c r="AP173" s="2"/>
      <c r="AQ173" s="2"/>
      <c r="AR173" s="2"/>
      <c r="AS173" s="2"/>
      <c r="AT173" s="2"/>
    </row>
    <row r="174">
      <c r="A174" s="161"/>
      <c r="B174" s="161"/>
      <c r="C174" s="161"/>
      <c r="D174" s="161"/>
      <c r="E174" s="341"/>
      <c r="F174" s="342"/>
      <c r="G174" s="343"/>
      <c r="H174" s="273" t="s">
        <v>285</v>
      </c>
      <c r="I174" s="363" t="s">
        <v>282</v>
      </c>
      <c r="J174" s="364"/>
      <c r="K174" s="363">
        <f t="shared" ref="K174:M174" si="26">PARAMS(K173)</f>
        <v>128</v>
      </c>
      <c r="L174" s="363">
        <f t="shared" si="26"/>
        <v>128</v>
      </c>
      <c r="M174" s="363">
        <f t="shared" si="26"/>
        <v>512</v>
      </c>
      <c r="N174" s="363" t="s">
        <v>283</v>
      </c>
      <c r="O174" s="341"/>
      <c r="P174" s="366">
        <f>SIZEOF_IN_MIB(J174:M174, $O173)</f>
        <v>8</v>
      </c>
      <c r="Q174" s="341"/>
      <c r="R174" s="2"/>
      <c r="S174" s="2"/>
      <c r="AG174" s="2"/>
      <c r="AH174" s="2"/>
      <c r="AI174" s="2"/>
      <c r="AJ174" s="2"/>
      <c r="AK174" s="2"/>
      <c r="AL174" s="2"/>
      <c r="AM174" s="2"/>
      <c r="AN174" s="2"/>
      <c r="AO174" s="2"/>
      <c r="AP174" s="2"/>
      <c r="AQ174" s="2"/>
      <c r="AR174" s="2"/>
      <c r="AS174" s="2"/>
      <c r="AT174" s="2"/>
    </row>
    <row r="175">
      <c r="A175" s="161"/>
      <c r="B175" s="161"/>
      <c r="C175" s="161"/>
      <c r="D175" s="161"/>
      <c r="E175" s="341"/>
      <c r="F175" s="342"/>
      <c r="G175" s="343"/>
      <c r="H175" s="363" t="s">
        <v>287</v>
      </c>
      <c r="I175" s="363" t="s">
        <v>282</v>
      </c>
      <c r="J175" s="364"/>
      <c r="K175" s="364"/>
      <c r="L175" s="363"/>
      <c r="M175" s="363"/>
      <c r="N175" s="363" t="s">
        <v>283</v>
      </c>
      <c r="O175" s="341"/>
      <c r="P175" s="366"/>
      <c r="Q175" s="341"/>
      <c r="R175" s="2"/>
      <c r="S175" s="2"/>
      <c r="AG175" s="2"/>
      <c r="AH175" s="2"/>
      <c r="AI175" s="2"/>
      <c r="AJ175" s="2"/>
      <c r="AK175" s="2"/>
      <c r="AL175" s="2"/>
      <c r="AM175" s="2"/>
      <c r="AN175" s="2"/>
      <c r="AO175" s="2"/>
      <c r="AP175" s="2"/>
      <c r="AQ175" s="2"/>
      <c r="AR175" s="2"/>
      <c r="AS175" s="2"/>
      <c r="AT175" s="2"/>
    </row>
    <row r="176">
      <c r="A176" s="161"/>
      <c r="B176" s="161"/>
      <c r="C176" s="161"/>
      <c r="D176" s="161"/>
      <c r="E176" s="341"/>
      <c r="F176" s="353"/>
      <c r="G176" s="354"/>
      <c r="H176" s="349" t="s">
        <v>289</v>
      </c>
      <c r="I176" s="349" t="s">
        <v>282</v>
      </c>
      <c r="J176" s="336"/>
      <c r="K176" s="349">
        <f t="shared" ref="K176:M176" si="27">K174/SHARDING(K175)</f>
        <v>128</v>
      </c>
      <c r="L176" s="349">
        <f t="shared" si="27"/>
        <v>128</v>
      </c>
      <c r="M176" s="349">
        <f t="shared" si="27"/>
        <v>512</v>
      </c>
      <c r="N176" s="349" t="s">
        <v>283</v>
      </c>
      <c r="O176" s="316"/>
      <c r="P176" s="351">
        <f>SIZEOF_IN_MIB(J176:M176, $O173)</f>
        <v>8</v>
      </c>
      <c r="Q176" s="316"/>
      <c r="R176" s="2"/>
      <c r="S176" s="2"/>
      <c r="T176" s="284"/>
      <c r="U176" s="284"/>
      <c r="V176" s="284"/>
      <c r="W176" s="284"/>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34" t="s">
        <v>56</v>
      </c>
      <c r="G177" s="335"/>
      <c r="H177" s="346" t="s">
        <v>281</v>
      </c>
      <c r="I177" s="346" t="s">
        <v>282</v>
      </c>
      <c r="J177" s="344" t="s">
        <v>104</v>
      </c>
      <c r="K177" s="344" t="s">
        <v>102</v>
      </c>
      <c r="L177" s="344" t="s">
        <v>207</v>
      </c>
      <c r="M177" s="344" t="s">
        <v>198</v>
      </c>
      <c r="N177" s="346" t="s">
        <v>283</v>
      </c>
      <c r="O177" s="473" t="s">
        <v>133</v>
      </c>
      <c r="P177" s="348"/>
      <c r="Q177" s="473" t="b">
        <v>0</v>
      </c>
      <c r="R177" s="2"/>
      <c r="S177" s="2"/>
      <c r="T177" s="284"/>
      <c r="U177" s="284"/>
      <c r="V177" s="284"/>
      <c r="W177" s="284"/>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 r="A178" s="161"/>
      <c r="B178" s="161"/>
      <c r="C178" s="161"/>
      <c r="D178" s="161"/>
      <c r="E178" s="341"/>
      <c r="F178" s="342"/>
      <c r="G178" s="343"/>
      <c r="H178" s="337" t="s">
        <v>285</v>
      </c>
      <c r="I178" s="349" t="s">
        <v>282</v>
      </c>
      <c r="J178" s="349">
        <f t="shared" ref="J178:M178" si="28">PARAMS(J177)</f>
        <v>128</v>
      </c>
      <c r="K178" s="349">
        <f t="shared" si="28"/>
        <v>1</v>
      </c>
      <c r="L178" s="349">
        <f t="shared" si="28"/>
        <v>128</v>
      </c>
      <c r="M178" s="349">
        <f t="shared" si="28"/>
        <v>512</v>
      </c>
      <c r="N178" s="349" t="s">
        <v>283</v>
      </c>
      <c r="O178" s="350"/>
      <c r="P178" s="351">
        <f>SIZEOF_IN_MIB(J178:M178, $O177)</f>
        <v>16</v>
      </c>
      <c r="Q178" s="350"/>
      <c r="R178" s="2"/>
      <c r="S178" s="2"/>
      <c r="T178" s="284"/>
      <c r="U178" s="284"/>
      <c r="V178" s="284"/>
      <c r="W178" s="284"/>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61"/>
      <c r="B179" s="161"/>
      <c r="C179" s="161"/>
      <c r="D179" s="161"/>
      <c r="E179" s="341"/>
      <c r="F179" s="342"/>
      <c r="G179" s="343"/>
      <c r="H179" s="346" t="s">
        <v>287</v>
      </c>
      <c r="I179" s="346" t="s">
        <v>282</v>
      </c>
      <c r="J179" s="344" t="s">
        <v>196</v>
      </c>
      <c r="K179" s="344"/>
      <c r="L179" s="344"/>
      <c r="M179" s="346"/>
      <c r="N179" s="346" t="s">
        <v>283</v>
      </c>
      <c r="O179" s="347"/>
      <c r="P179" s="348"/>
      <c r="Q179" s="347"/>
      <c r="R179" s="2"/>
      <c r="S179" s="2"/>
      <c r="T179" s="284"/>
      <c r="U179" s="284"/>
      <c r="V179" s="284"/>
      <c r="W179" s="284"/>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61"/>
      <c r="B180" s="161"/>
      <c r="C180" s="161"/>
      <c r="D180" s="161"/>
      <c r="E180" s="341"/>
      <c r="F180" s="353"/>
      <c r="G180" s="354"/>
      <c r="H180" s="349" t="s">
        <v>289</v>
      </c>
      <c r="I180" s="349" t="s">
        <v>282</v>
      </c>
      <c r="J180" s="349">
        <f t="shared" ref="J180:M180" si="29">J178/SHARDING(J179)</f>
        <v>16</v>
      </c>
      <c r="K180" s="349">
        <f t="shared" si="29"/>
        <v>1</v>
      </c>
      <c r="L180" s="349">
        <f t="shared" si="29"/>
        <v>128</v>
      </c>
      <c r="M180" s="349">
        <f t="shared" si="29"/>
        <v>512</v>
      </c>
      <c r="N180" s="349" t="s">
        <v>283</v>
      </c>
      <c r="O180" s="316"/>
      <c r="P180" s="351">
        <f>SIZEOF_IN_MIB(J180:M180, $O177)</f>
        <v>2</v>
      </c>
      <c r="Q180" s="316"/>
      <c r="R180" s="2"/>
      <c r="S180" s="2"/>
      <c r="T180" s="284"/>
      <c r="U180" s="284"/>
      <c r="V180" s="284"/>
      <c r="W180" s="284"/>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61"/>
      <c r="B181" s="161"/>
      <c r="C181" s="161"/>
      <c r="D181" s="161"/>
      <c r="E181" s="341"/>
      <c r="F181" s="474" t="s">
        <v>335</v>
      </c>
      <c r="G181" s="459" t="s">
        <v>109</v>
      </c>
      <c r="H181" s="497"/>
      <c r="I181" s="498"/>
      <c r="J181" s="345"/>
      <c r="K181" s="345"/>
      <c r="L181" s="346"/>
      <c r="M181" s="346"/>
      <c r="N181" s="346"/>
      <c r="O181" s="345"/>
      <c r="P181" s="348"/>
      <c r="Q181" s="379"/>
      <c r="T181" s="4"/>
      <c r="U181" s="4"/>
      <c r="V181" s="4"/>
      <c r="W181" s="4"/>
    </row>
    <row r="182">
      <c r="A182" s="161"/>
      <c r="B182" s="2"/>
      <c r="C182" s="2"/>
      <c r="D182" s="2"/>
      <c r="E182" s="341"/>
      <c r="F182" s="352"/>
      <c r="G182" s="459"/>
      <c r="H182" s="349"/>
      <c r="I182" s="492"/>
      <c r="J182" s="336"/>
      <c r="K182" s="336"/>
      <c r="L182" s="349"/>
      <c r="M182" s="349"/>
      <c r="N182" s="349"/>
      <c r="O182" s="336"/>
      <c r="P182" s="351"/>
      <c r="Q182" s="298"/>
      <c r="T182" s="4"/>
      <c r="U182" s="4"/>
      <c r="V182" s="4"/>
      <c r="W182" s="4"/>
    </row>
    <row r="183">
      <c r="A183" s="2"/>
      <c r="B183" s="2"/>
      <c r="C183" s="2"/>
      <c r="D183" s="2"/>
      <c r="E183" s="341"/>
      <c r="F183" s="458" t="s">
        <v>327</v>
      </c>
      <c r="G183" s="459" t="s">
        <v>328</v>
      </c>
      <c r="H183" s="346" t="str">
        <f>VLOOKUP(O169&amp;","&amp;O173,$T$3:$W$12,4, FALSE)</f>
        <v>fp8</v>
      </c>
      <c r="I183" s="493"/>
      <c r="J183" s="345"/>
      <c r="K183" s="345"/>
      <c r="L183" s="346"/>
      <c r="M183" s="346"/>
      <c r="N183" s="346"/>
      <c r="O183" s="345"/>
      <c r="P183" s="348"/>
      <c r="Q183" s="379"/>
      <c r="T183" s="4"/>
      <c r="U183" s="4"/>
      <c r="V183" s="4"/>
      <c r="W183" s="4"/>
    </row>
    <row r="184">
      <c r="A184" s="161"/>
      <c r="B184" s="161"/>
      <c r="C184" s="161"/>
      <c r="D184" s="161"/>
      <c r="E184" s="341"/>
      <c r="F184" s="341"/>
      <c r="G184" s="455" t="s">
        <v>341</v>
      </c>
      <c r="H184" s="494">
        <f>CALCULATE_FLOPS(J172:M172,J176:M176,L176,K176,H183)</f>
        <v>268435456</v>
      </c>
      <c r="I184" s="492"/>
      <c r="J184" s="336"/>
      <c r="K184" s="336"/>
      <c r="L184" s="349"/>
      <c r="M184" s="349"/>
      <c r="N184" s="349"/>
      <c r="O184" s="336"/>
      <c r="P184" s="351"/>
      <c r="Q184" s="298"/>
      <c r="T184" s="4"/>
      <c r="U184" s="4"/>
      <c r="V184" s="4"/>
      <c r="W184" s="4"/>
    </row>
    <row r="185">
      <c r="A185" s="161"/>
      <c r="B185" s="161"/>
      <c r="C185" s="161"/>
      <c r="D185" s="161"/>
      <c r="E185" s="341"/>
      <c r="F185" s="352"/>
      <c r="G185" s="462" t="s">
        <v>330</v>
      </c>
      <c r="H185" s="463">
        <f>COMPUTE_TIME_MS(H184, H183)</f>
        <v>0.00007158278827</v>
      </c>
      <c r="I185" s="464"/>
      <c r="J185" s="465"/>
      <c r="K185" s="465"/>
      <c r="L185" s="466"/>
      <c r="M185" s="466"/>
      <c r="N185" s="466"/>
      <c r="O185" s="465"/>
      <c r="P185" s="467"/>
      <c r="Q185" s="379"/>
      <c r="T185" s="4"/>
      <c r="U185" s="4"/>
      <c r="V185" s="4"/>
      <c r="W185" s="4"/>
    </row>
    <row r="186">
      <c r="A186" s="161"/>
      <c r="B186" s="161"/>
      <c r="C186" s="161"/>
      <c r="D186" s="161"/>
      <c r="E186" s="341"/>
      <c r="F186" s="458" t="s">
        <v>331</v>
      </c>
      <c r="G186" s="455" t="s">
        <v>332</v>
      </c>
      <c r="H186" s="377">
        <f>IF(Q169,0,P172)+IF(Q173,0,P176)+IF(Q177,0,P180)</f>
        <v>10.25</v>
      </c>
      <c r="I186" s="336"/>
      <c r="J186" s="336"/>
      <c r="K186" s="336"/>
      <c r="L186" s="349"/>
      <c r="M186" s="349"/>
      <c r="N186" s="349"/>
      <c r="O186" s="336"/>
      <c r="P186" s="351"/>
      <c r="Q186" s="298"/>
      <c r="R186" s="2"/>
      <c r="S186" s="2"/>
      <c r="T186" s="284"/>
      <c r="U186" s="284"/>
      <c r="V186" s="284"/>
      <c r="W186" s="284"/>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 r="A187" s="161"/>
      <c r="B187" s="161"/>
      <c r="C187" s="161"/>
      <c r="D187" s="161"/>
      <c r="E187" s="352"/>
      <c r="F187" s="352"/>
      <c r="G187" s="469" t="s">
        <v>333</v>
      </c>
      <c r="H187" s="496">
        <f>HBM_TIME_MS(H186)</f>
        <v>0.001390245226</v>
      </c>
      <c r="I187" s="465"/>
      <c r="J187" s="465"/>
      <c r="K187" s="465"/>
      <c r="L187" s="466"/>
      <c r="M187" s="466"/>
      <c r="N187" s="466"/>
      <c r="O187" s="465"/>
      <c r="P187" s="467"/>
      <c r="Q187" s="379"/>
      <c r="R187" s="2"/>
      <c r="S187" s="2"/>
      <c r="T187" s="284"/>
      <c r="U187" s="284"/>
      <c r="V187" s="284"/>
      <c r="W187" s="284"/>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 r="A188" s="161"/>
      <c r="B188" s="161"/>
      <c r="C188" s="161"/>
      <c r="D188" s="161"/>
      <c r="E188" s="333" t="s">
        <v>343</v>
      </c>
      <c r="F188" s="357" t="s">
        <v>292</v>
      </c>
      <c r="G188" s="335"/>
      <c r="H188" s="336" t="s">
        <v>281</v>
      </c>
      <c r="I188" s="336" t="s">
        <v>282</v>
      </c>
      <c r="J188" s="337"/>
      <c r="K188" s="337" t="s">
        <v>104</v>
      </c>
      <c r="L188" s="337" t="s">
        <v>102</v>
      </c>
      <c r="M188" s="499" t="s">
        <v>178</v>
      </c>
      <c r="N188" s="336" t="s">
        <v>283</v>
      </c>
      <c r="O188" s="338" t="str">
        <f>EXTRACT_ACTIVATION_DTYPE(PARAMS("attn_proj_dtype"))</f>
        <v>fp8</v>
      </c>
      <c r="P188" s="351"/>
      <c r="Q188" s="338" t="b">
        <v>0</v>
      </c>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 r="A189" s="161"/>
      <c r="B189" s="161"/>
      <c r="C189" s="161"/>
      <c r="D189" s="161"/>
      <c r="E189" s="341"/>
      <c r="F189" s="342"/>
      <c r="G189" s="343"/>
      <c r="H189" s="273" t="s">
        <v>285</v>
      </c>
      <c r="I189" s="364" t="s">
        <v>282</v>
      </c>
      <c r="J189" s="363"/>
      <c r="K189" s="363">
        <f t="shared" ref="K189:M189" si="30">PARAMS(K188)</f>
        <v>128</v>
      </c>
      <c r="L189" s="364">
        <f t="shared" si="30"/>
        <v>1</v>
      </c>
      <c r="M189" s="364">
        <f t="shared" si="30"/>
        <v>7168</v>
      </c>
      <c r="N189" s="364" t="s">
        <v>283</v>
      </c>
      <c r="O189" s="341"/>
      <c r="P189" s="366">
        <f>SIZEOF_IN_MIB(J189:M189, $O188)</f>
        <v>0.875</v>
      </c>
      <c r="Q189" s="341"/>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 r="A190" s="161"/>
      <c r="B190" s="161"/>
      <c r="C190" s="161"/>
      <c r="D190" s="161"/>
      <c r="E190" s="341"/>
      <c r="F190" s="342"/>
      <c r="G190" s="343"/>
      <c r="H190" s="363" t="s">
        <v>287</v>
      </c>
      <c r="I190" s="363" t="s">
        <v>282</v>
      </c>
      <c r="J190" s="364"/>
      <c r="K190" s="273" t="s">
        <v>196</v>
      </c>
      <c r="L190" s="273"/>
      <c r="M190" s="363"/>
      <c r="N190" s="363" t="s">
        <v>283</v>
      </c>
      <c r="O190" s="341"/>
      <c r="P190" s="366"/>
      <c r="Q190" s="341"/>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 r="A191" s="161"/>
      <c r="B191" s="161"/>
      <c r="C191" s="161"/>
      <c r="D191" s="161"/>
      <c r="E191" s="341"/>
      <c r="F191" s="353"/>
      <c r="G191" s="354"/>
      <c r="H191" s="273" t="s">
        <v>289</v>
      </c>
      <c r="I191" s="363" t="s">
        <v>282</v>
      </c>
      <c r="J191" s="364"/>
      <c r="K191" s="363">
        <f t="shared" ref="K191:M191" si="31">K189/SHARDING(K190)</f>
        <v>16</v>
      </c>
      <c r="L191" s="363">
        <f t="shared" si="31"/>
        <v>1</v>
      </c>
      <c r="M191" s="363">
        <f t="shared" si="31"/>
        <v>7168</v>
      </c>
      <c r="N191" s="363" t="s">
        <v>283</v>
      </c>
      <c r="O191" s="352"/>
      <c r="P191" s="366">
        <f>SIZEOF_IN_MIB(J191:M191, $O188)</f>
        <v>0.109375</v>
      </c>
      <c r="Q191" s="35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 r="A192" s="161"/>
      <c r="B192" s="161"/>
      <c r="C192" s="161"/>
      <c r="D192" s="161"/>
      <c r="E192" s="341"/>
      <c r="F192" s="334" t="s">
        <v>296</v>
      </c>
      <c r="G192" s="335"/>
      <c r="H192" s="363" t="s">
        <v>281</v>
      </c>
      <c r="I192" s="363" t="s">
        <v>282</v>
      </c>
      <c r="J192" s="364"/>
      <c r="K192" s="273"/>
      <c r="L192" s="472" t="s">
        <v>178</v>
      </c>
      <c r="M192" s="273" t="s">
        <v>210</v>
      </c>
      <c r="N192" s="363" t="s">
        <v>283</v>
      </c>
      <c r="O192" s="365" t="str">
        <f>EXTRACT_WEIGHT_DTYPE(PARAMS("attn_proj_dtype"))</f>
        <v>fp8</v>
      </c>
      <c r="P192" s="366"/>
      <c r="Q192" s="365" t="b">
        <v>0</v>
      </c>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 r="A193" s="161"/>
      <c r="B193" s="161"/>
      <c r="C193" s="161"/>
      <c r="D193" s="161"/>
      <c r="E193" s="341"/>
      <c r="F193" s="342"/>
      <c r="G193" s="343"/>
      <c r="H193" s="273" t="s">
        <v>285</v>
      </c>
      <c r="I193" s="363" t="s">
        <v>282</v>
      </c>
      <c r="J193" s="364"/>
      <c r="K193" s="363"/>
      <c r="L193" s="363">
        <f t="shared" ref="L193:M193" si="32">PARAMS(L192)</f>
        <v>7168</v>
      </c>
      <c r="M193" s="363">
        <f t="shared" si="32"/>
        <v>576</v>
      </c>
      <c r="N193" s="363" t="s">
        <v>283</v>
      </c>
      <c r="O193" s="341"/>
      <c r="P193" s="366">
        <f>SIZEOF_IN_MIB(J193:M193, $O192)</f>
        <v>3.9375</v>
      </c>
      <c r="Q193" s="341"/>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 r="A194" s="161"/>
      <c r="B194" s="161"/>
      <c r="C194" s="161"/>
      <c r="D194" s="161"/>
      <c r="E194" s="341"/>
      <c r="F194" s="342"/>
      <c r="G194" s="343"/>
      <c r="H194" s="363" t="s">
        <v>287</v>
      </c>
      <c r="I194" s="363" t="s">
        <v>282</v>
      </c>
      <c r="J194" s="364"/>
      <c r="K194" s="364"/>
      <c r="L194" s="363"/>
      <c r="M194" s="363"/>
      <c r="N194" s="363" t="s">
        <v>283</v>
      </c>
      <c r="O194" s="341"/>
      <c r="P194" s="366"/>
      <c r="Q194" s="341"/>
    </row>
    <row r="195">
      <c r="A195" s="161"/>
      <c r="B195" s="161"/>
      <c r="C195" s="161"/>
      <c r="D195" s="161"/>
      <c r="E195" s="341"/>
      <c r="F195" s="353"/>
      <c r="G195" s="354"/>
      <c r="H195" s="349" t="s">
        <v>289</v>
      </c>
      <c r="I195" s="349" t="s">
        <v>282</v>
      </c>
      <c r="J195" s="336"/>
      <c r="K195" s="349"/>
      <c r="L195" s="349">
        <f t="shared" ref="L195:M195" si="33">L193/SHARDING(L194)</f>
        <v>7168</v>
      </c>
      <c r="M195" s="349">
        <f t="shared" si="33"/>
        <v>576</v>
      </c>
      <c r="N195" s="349" t="s">
        <v>283</v>
      </c>
      <c r="O195" s="316"/>
      <c r="P195" s="351">
        <f>SIZEOF_IN_MIB(J195:M195, $O192)</f>
        <v>3.9375</v>
      </c>
      <c r="Q195" s="316"/>
    </row>
    <row r="196">
      <c r="A196" s="161"/>
      <c r="B196" s="161"/>
      <c r="C196" s="161"/>
      <c r="D196" s="161"/>
      <c r="E196" s="341"/>
      <c r="F196" s="334" t="s">
        <v>56</v>
      </c>
      <c r="G196" s="335"/>
      <c r="H196" s="346" t="s">
        <v>281</v>
      </c>
      <c r="I196" s="346" t="s">
        <v>282</v>
      </c>
      <c r="J196" s="345"/>
      <c r="K196" s="344" t="s">
        <v>104</v>
      </c>
      <c r="L196" s="344" t="s">
        <v>102</v>
      </c>
      <c r="M196" s="344" t="s">
        <v>210</v>
      </c>
      <c r="N196" s="346" t="s">
        <v>283</v>
      </c>
      <c r="O196" s="473" t="s">
        <v>133</v>
      </c>
      <c r="P196" s="348"/>
      <c r="Q196" s="473" t="b">
        <v>0</v>
      </c>
    </row>
    <row r="197">
      <c r="A197" s="161"/>
      <c r="B197" s="2"/>
      <c r="C197" s="2"/>
      <c r="D197" s="2"/>
      <c r="E197" s="341"/>
      <c r="F197" s="342"/>
      <c r="G197" s="343"/>
      <c r="H197" s="337" t="s">
        <v>285</v>
      </c>
      <c r="I197" s="349" t="s">
        <v>282</v>
      </c>
      <c r="J197" s="336"/>
      <c r="K197" s="349">
        <f t="shared" ref="K197:M197" si="34">PARAMS(K196)</f>
        <v>128</v>
      </c>
      <c r="L197" s="349">
        <f t="shared" si="34"/>
        <v>1</v>
      </c>
      <c r="M197" s="349">
        <f t="shared" si="34"/>
        <v>576</v>
      </c>
      <c r="N197" s="349" t="s">
        <v>283</v>
      </c>
      <c r="O197" s="350"/>
      <c r="P197" s="351">
        <f>SIZEOF_IN_MIB(K197:M197, $O196)</f>
        <v>0.140625</v>
      </c>
      <c r="Q197" s="350"/>
    </row>
    <row r="198">
      <c r="A198" s="2"/>
      <c r="B198" s="2"/>
      <c r="C198" s="2"/>
      <c r="D198" s="2"/>
      <c r="E198" s="341"/>
      <c r="F198" s="342"/>
      <c r="G198" s="343"/>
      <c r="H198" s="346" t="s">
        <v>287</v>
      </c>
      <c r="I198" s="346" t="s">
        <v>282</v>
      </c>
      <c r="J198" s="345"/>
      <c r="K198" s="344" t="s">
        <v>196</v>
      </c>
      <c r="L198" s="344"/>
      <c r="M198" s="346"/>
      <c r="N198" s="346" t="s">
        <v>283</v>
      </c>
      <c r="O198" s="347"/>
      <c r="P198" s="348"/>
      <c r="Q198" s="347"/>
    </row>
    <row r="199">
      <c r="A199" s="161"/>
      <c r="B199" s="161"/>
      <c r="C199" s="161"/>
      <c r="D199" s="161"/>
      <c r="E199" s="341"/>
      <c r="F199" s="353"/>
      <c r="G199" s="354"/>
      <c r="H199" s="349" t="s">
        <v>289</v>
      </c>
      <c r="I199" s="349" t="s">
        <v>282</v>
      </c>
      <c r="J199" s="349"/>
      <c r="K199" s="349">
        <f t="shared" ref="K199:M199" si="35">K197/SHARDING(K198)</f>
        <v>16</v>
      </c>
      <c r="L199" s="349">
        <f t="shared" si="35"/>
        <v>1</v>
      </c>
      <c r="M199" s="349">
        <f t="shared" si="35"/>
        <v>576</v>
      </c>
      <c r="N199" s="349" t="s">
        <v>283</v>
      </c>
      <c r="O199" s="316"/>
      <c r="P199" s="351">
        <f>SIZEOF_IN_MIB(K199:M199, $O196)</f>
        <v>0.017578125</v>
      </c>
      <c r="Q199" s="316"/>
    </row>
    <row r="200">
      <c r="A200" s="161"/>
      <c r="B200" s="161"/>
      <c r="C200" s="161"/>
      <c r="D200" s="161"/>
      <c r="E200" s="341"/>
      <c r="F200" s="474" t="s">
        <v>335</v>
      </c>
      <c r="G200" s="459" t="s">
        <v>109</v>
      </c>
      <c r="H200" s="497"/>
      <c r="I200" s="498"/>
      <c r="J200" s="345"/>
      <c r="K200" s="345"/>
      <c r="L200" s="346"/>
      <c r="M200" s="346"/>
      <c r="N200" s="346"/>
      <c r="O200" s="345"/>
      <c r="P200" s="348"/>
      <c r="Q200" s="379"/>
    </row>
    <row r="201">
      <c r="A201" s="161"/>
      <c r="B201" s="161"/>
      <c r="C201" s="161"/>
      <c r="D201" s="161"/>
      <c r="E201" s="341"/>
      <c r="F201" s="352"/>
      <c r="G201" s="459"/>
      <c r="H201" s="349"/>
      <c r="I201" s="492"/>
      <c r="J201" s="336"/>
      <c r="K201" s="336"/>
      <c r="L201" s="349"/>
      <c r="M201" s="349"/>
      <c r="N201" s="349"/>
      <c r="O201" s="336"/>
      <c r="P201" s="351"/>
      <c r="Q201" s="298"/>
    </row>
    <row r="202">
      <c r="A202" s="161"/>
      <c r="B202" s="161"/>
      <c r="C202" s="161"/>
      <c r="D202" s="161"/>
      <c r="E202" s="341"/>
      <c r="F202" s="458" t="s">
        <v>327</v>
      </c>
      <c r="G202" s="459" t="s">
        <v>328</v>
      </c>
      <c r="H202" s="346" t="str">
        <f>VLOOKUP(O188&amp;","&amp;O192,$T$3:$W$12,4, FALSE)</f>
        <v>fp8</v>
      </c>
      <c r="I202" s="493"/>
      <c r="J202" s="345"/>
      <c r="K202" s="345"/>
      <c r="L202" s="346"/>
      <c r="M202" s="346"/>
      <c r="N202" s="346"/>
      <c r="O202" s="345"/>
      <c r="P202" s="348"/>
      <c r="Q202" s="379"/>
    </row>
    <row r="203">
      <c r="A203" s="161"/>
      <c r="B203" s="161"/>
      <c r="C203" s="161"/>
      <c r="D203" s="161"/>
      <c r="E203" s="341"/>
      <c r="F203" s="341"/>
      <c r="G203" s="455" t="s">
        <v>341</v>
      </c>
      <c r="H203" s="494">
        <f>CALCULATE_FLOPS(J191:M191,J195:M195,L195,1,H202)</f>
        <v>132120576</v>
      </c>
      <c r="I203" s="492"/>
      <c r="J203" s="336"/>
      <c r="K203" s="336"/>
      <c r="L203" s="349"/>
      <c r="M203" s="349"/>
      <c r="N203" s="349"/>
      <c r="O203" s="336"/>
      <c r="P203" s="351"/>
      <c r="Q203" s="298"/>
    </row>
    <row r="204">
      <c r="A204" s="161"/>
      <c r="B204" s="161"/>
      <c r="C204" s="161"/>
      <c r="D204" s="161"/>
      <c r="E204" s="341"/>
      <c r="F204" s="352"/>
      <c r="G204" s="462" t="s">
        <v>330</v>
      </c>
      <c r="H204" s="495">
        <f>COMPUTE_TIME_MS(H203, H202)</f>
        <v>0.0000352321536</v>
      </c>
      <c r="I204" s="464"/>
      <c r="J204" s="465"/>
      <c r="K204" s="465"/>
      <c r="L204" s="466"/>
      <c r="M204" s="466"/>
      <c r="N204" s="466"/>
      <c r="O204" s="465"/>
      <c r="P204" s="467"/>
      <c r="Q204" s="379"/>
    </row>
    <row r="205">
      <c r="A205" s="161"/>
      <c r="B205" s="161"/>
      <c r="C205" s="161"/>
      <c r="D205" s="161"/>
      <c r="E205" s="341"/>
      <c r="F205" s="458" t="s">
        <v>331</v>
      </c>
      <c r="G205" s="455" t="s">
        <v>332</v>
      </c>
      <c r="H205" s="377">
        <f>IF(Q188,0,P191)+IF(Q192,0,P195)+IF(Q196,0,P199)</f>
        <v>4.064453125</v>
      </c>
      <c r="I205" s="336"/>
      <c r="J205" s="336"/>
      <c r="K205" s="336"/>
      <c r="L205" s="349"/>
      <c r="M205" s="349"/>
      <c r="N205" s="349"/>
      <c r="O205" s="336"/>
      <c r="P205" s="351"/>
      <c r="Q205" s="298"/>
    </row>
    <row r="206">
      <c r="A206" s="161"/>
      <c r="B206" s="161"/>
      <c r="C206" s="161"/>
      <c r="D206" s="161"/>
      <c r="E206" s="352"/>
      <c r="F206" s="352"/>
      <c r="G206" s="469" t="s">
        <v>333</v>
      </c>
      <c r="H206" s="500">
        <f>HBM_TIME_MS(H205)</f>
        <v>0.0005512767368</v>
      </c>
      <c r="I206" s="465"/>
      <c r="J206" s="465"/>
      <c r="K206" s="465"/>
      <c r="L206" s="466"/>
      <c r="M206" s="466"/>
      <c r="N206" s="466"/>
      <c r="O206" s="465"/>
      <c r="P206" s="467"/>
      <c r="Q206" s="379"/>
    </row>
    <row r="207">
      <c r="A207" s="161"/>
      <c r="B207" s="161"/>
      <c r="C207" s="161"/>
      <c r="D207" s="161"/>
      <c r="E207" s="501" t="s">
        <v>344</v>
      </c>
      <c r="F207" s="474" t="s">
        <v>345</v>
      </c>
      <c r="G207" s="502" t="s">
        <v>301</v>
      </c>
      <c r="H207" s="503" t="s">
        <v>281</v>
      </c>
      <c r="I207" s="336" t="s">
        <v>282</v>
      </c>
      <c r="J207" s="504" t="str">
        <f t="array" ref="J207:M210">J196:M199</f>
        <v/>
      </c>
      <c r="K207" s="337" t="s">
        <v>104</v>
      </c>
      <c r="L207" s="337" t="s">
        <v>102</v>
      </c>
      <c r="M207" s="337" t="s">
        <v>210</v>
      </c>
      <c r="N207" s="349" t="s">
        <v>283</v>
      </c>
      <c r="O207" s="338" t="s">
        <v>125</v>
      </c>
      <c r="P207" s="505"/>
      <c r="Q207" s="506"/>
    </row>
    <row r="208">
      <c r="A208" s="161"/>
      <c r="B208" s="161"/>
      <c r="C208" s="161"/>
      <c r="D208" s="161"/>
      <c r="E208" s="341"/>
      <c r="F208" s="341"/>
      <c r="G208" s="341"/>
      <c r="H208" s="507" t="s">
        <v>285</v>
      </c>
      <c r="I208" s="345" t="s">
        <v>282</v>
      </c>
      <c r="J208" s="508"/>
      <c r="K208" s="345">
        <v>128.0</v>
      </c>
      <c r="L208" s="346">
        <v>1.0</v>
      </c>
      <c r="M208" s="346">
        <v>576.0</v>
      </c>
      <c r="N208" s="346" t="s">
        <v>283</v>
      </c>
      <c r="O208" s="347"/>
      <c r="P208" s="509">
        <f>SIZEOF_IN_MIB(J208:M208, O207)</f>
        <v>0.0703125</v>
      </c>
      <c r="Q208" s="347"/>
    </row>
    <row r="209">
      <c r="A209" s="161"/>
      <c r="B209" s="161"/>
      <c r="C209" s="161"/>
      <c r="D209" s="161"/>
      <c r="E209" s="341"/>
      <c r="F209" s="341"/>
      <c r="G209" s="341"/>
      <c r="H209" s="503" t="s">
        <v>302</v>
      </c>
      <c r="I209" s="336" t="s">
        <v>282</v>
      </c>
      <c r="J209" s="504"/>
      <c r="K209" s="504" t="s">
        <v>196</v>
      </c>
      <c r="L209" s="349"/>
      <c r="M209" s="510"/>
      <c r="N209" s="349" t="s">
        <v>283</v>
      </c>
      <c r="O209" s="350"/>
      <c r="P209" s="511"/>
      <c r="Q209" s="350"/>
    </row>
    <row r="210">
      <c r="A210" s="161"/>
      <c r="B210" s="161"/>
      <c r="C210" s="161"/>
      <c r="D210" s="161"/>
      <c r="E210" s="341"/>
      <c r="F210" s="341"/>
      <c r="G210" s="341"/>
      <c r="H210" s="507" t="s">
        <v>303</v>
      </c>
      <c r="I210" s="345" t="s">
        <v>282</v>
      </c>
      <c r="J210" s="508"/>
      <c r="K210" s="346">
        <v>16.0</v>
      </c>
      <c r="L210" s="346">
        <v>1.0</v>
      </c>
      <c r="M210" s="346">
        <v>576.0</v>
      </c>
      <c r="N210" s="346" t="s">
        <v>283</v>
      </c>
      <c r="O210" s="347"/>
      <c r="P210" s="509">
        <f>SIZEOF_IN_MIB(J210:M210, O207)</f>
        <v>0.0087890625</v>
      </c>
      <c r="Q210" s="347"/>
    </row>
    <row r="211">
      <c r="A211" s="161"/>
      <c r="B211" s="161"/>
      <c r="C211" s="161"/>
      <c r="D211" s="161"/>
      <c r="E211" s="341"/>
      <c r="F211" s="341"/>
      <c r="G211" s="341"/>
      <c r="H211" s="503" t="s">
        <v>304</v>
      </c>
      <c r="I211" s="336" t="s">
        <v>282</v>
      </c>
      <c r="J211" s="504"/>
      <c r="K211" s="504"/>
      <c r="L211" s="510"/>
      <c r="M211" s="510"/>
      <c r="N211" s="349" t="s">
        <v>283</v>
      </c>
      <c r="O211" s="350"/>
      <c r="P211" s="505"/>
      <c r="Q211" s="350"/>
    </row>
    <row r="212">
      <c r="A212" s="161"/>
      <c r="B212" s="161"/>
      <c r="C212" s="161"/>
      <c r="D212" s="161"/>
      <c r="E212" s="341"/>
      <c r="F212" s="341"/>
      <c r="G212" s="352"/>
      <c r="H212" s="507" t="s">
        <v>303</v>
      </c>
      <c r="I212" s="345" t="s">
        <v>282</v>
      </c>
      <c r="J212" s="508"/>
      <c r="K212" s="346">
        <f t="shared" ref="K212:M212" si="36">K208/SHARDING(K211)</f>
        <v>128</v>
      </c>
      <c r="L212" s="346">
        <f t="shared" si="36"/>
        <v>1</v>
      </c>
      <c r="M212" s="346">
        <f t="shared" si="36"/>
        <v>576</v>
      </c>
      <c r="N212" s="346" t="s">
        <v>283</v>
      </c>
      <c r="O212" s="355"/>
      <c r="P212" s="509">
        <f>SIZEOF_IN_MIB(J212:M212, O207)</f>
        <v>0.0703125</v>
      </c>
      <c r="Q212" s="355"/>
    </row>
    <row r="213">
      <c r="A213" s="161"/>
      <c r="B213" s="161"/>
      <c r="C213" s="161"/>
      <c r="D213" s="161"/>
      <c r="E213" s="341"/>
      <c r="F213" s="341"/>
      <c r="G213" s="512" t="s">
        <v>305</v>
      </c>
      <c r="H213" s="513"/>
      <c r="I213" s="445"/>
      <c r="J213" s="445"/>
      <c r="K213" s="445"/>
      <c r="L213" s="514"/>
      <c r="M213" s="514"/>
      <c r="N213" s="514"/>
      <c r="O213" s="445"/>
      <c r="P213" s="515"/>
      <c r="Q213" s="445"/>
    </row>
    <row r="214">
      <c r="A214" s="161"/>
      <c r="B214" s="161"/>
      <c r="C214" s="161"/>
      <c r="D214" s="161"/>
      <c r="E214" s="341"/>
      <c r="F214" s="341"/>
      <c r="G214" s="516" t="s">
        <v>306</v>
      </c>
      <c r="H214" s="517">
        <f>SHARDING(K209)*SHARDING(L209)*SHARDING(M209)</f>
        <v>8</v>
      </c>
      <c r="I214" s="508"/>
      <c r="J214" s="508"/>
      <c r="K214" s="508"/>
      <c r="L214" s="518"/>
      <c r="M214" s="518"/>
      <c r="N214" s="518"/>
      <c r="O214" s="508"/>
      <c r="P214" s="519"/>
      <c r="Q214" s="508"/>
    </row>
    <row r="215">
      <c r="A215" s="161"/>
      <c r="B215" s="161"/>
      <c r="C215" s="161"/>
      <c r="D215" s="161"/>
      <c r="E215" s="341"/>
      <c r="F215" s="341"/>
      <c r="G215" s="516" t="s">
        <v>307</v>
      </c>
      <c r="H215" s="520">
        <f>P210 * (H214-1)</f>
        <v>0.0615234375</v>
      </c>
      <c r="I215" s="504"/>
      <c r="J215" s="504"/>
      <c r="K215" s="504"/>
      <c r="L215" s="510"/>
      <c r="M215" s="510"/>
      <c r="N215" s="510"/>
      <c r="O215" s="504"/>
      <c r="P215" s="511"/>
      <c r="Q215" s="504"/>
    </row>
    <row r="216">
      <c r="A216" s="161"/>
      <c r="B216" s="161"/>
      <c r="C216" s="161"/>
      <c r="D216" s="161"/>
      <c r="E216" s="341"/>
      <c r="F216" s="341"/>
      <c r="G216" s="516" t="s">
        <v>308</v>
      </c>
      <c r="H216" s="521">
        <f>H215*H214</f>
        <v>0.4921875</v>
      </c>
      <c r="I216" s="508"/>
      <c r="J216" s="508"/>
      <c r="K216" s="508"/>
      <c r="L216" s="518"/>
      <c r="M216" s="518"/>
      <c r="N216" s="518"/>
      <c r="O216" s="508"/>
      <c r="P216" s="519"/>
      <c r="Q216" s="508"/>
    </row>
    <row r="217">
      <c r="A217" s="161"/>
      <c r="B217" s="161"/>
      <c r="C217" s="161"/>
      <c r="D217" s="161"/>
      <c r="E217" s="341"/>
      <c r="F217" s="341"/>
      <c r="G217" s="516" t="s">
        <v>309</v>
      </c>
      <c r="H217" s="503">
        <f>IFS(H214=8,12,
H214=4,4,
H214=2,1,
H214=1,0,
TRUE,NA())</f>
        <v>12</v>
      </c>
      <c r="I217" s="504"/>
      <c r="J217" s="504"/>
      <c r="K217" s="504"/>
      <c r="L217" s="510"/>
      <c r="M217" s="510"/>
      <c r="N217" s="510"/>
      <c r="O217" s="504"/>
      <c r="P217" s="511"/>
      <c r="Q217" s="504"/>
    </row>
    <row r="218">
      <c r="A218" s="161"/>
      <c r="B218" s="161"/>
      <c r="C218" s="161"/>
      <c r="D218" s="161"/>
      <c r="E218" s="341"/>
      <c r="F218" s="341"/>
      <c r="G218" s="522" t="s">
        <v>310</v>
      </c>
      <c r="H218" s="523">
        <v>1.0</v>
      </c>
      <c r="I218" s="508"/>
      <c r="J218" s="508"/>
      <c r="K218" s="508"/>
      <c r="L218" s="518"/>
      <c r="M218" s="518"/>
      <c r="N218" s="518"/>
      <c r="O218" s="508"/>
      <c r="P218" s="519"/>
      <c r="Q218" s="508"/>
    </row>
    <row r="219">
      <c r="A219" s="161"/>
      <c r="B219" s="161"/>
      <c r="C219" s="161"/>
      <c r="D219" s="161"/>
      <c r="E219" s="341"/>
      <c r="F219" s="341"/>
      <c r="G219" s="524" t="s">
        <v>311</v>
      </c>
      <c r="H219" s="525">
        <f>ALL_GATHER_CHIP2CHIP_TIME_MS2(H216 * H218, H217)</f>
        <v>0.00002225240072</v>
      </c>
      <c r="I219" s="504"/>
      <c r="J219" s="504"/>
      <c r="K219" s="504"/>
      <c r="L219" s="510"/>
      <c r="M219" s="510"/>
      <c r="N219" s="510"/>
      <c r="O219" s="504"/>
      <c r="P219" s="511"/>
      <c r="Q219" s="504"/>
    </row>
    <row r="220">
      <c r="A220" s="161"/>
      <c r="B220" s="161"/>
      <c r="C220" s="161"/>
      <c r="D220" s="161"/>
      <c r="E220" s="341"/>
      <c r="F220" s="341"/>
      <c r="G220" s="522"/>
      <c r="H220" s="526"/>
      <c r="I220" s="508"/>
      <c r="J220" s="508"/>
      <c r="K220" s="508"/>
      <c r="L220" s="518"/>
      <c r="M220" s="518"/>
      <c r="N220" s="518"/>
      <c r="O220" s="508"/>
      <c r="P220" s="519"/>
      <c r="Q220" s="508"/>
    </row>
    <row r="221">
      <c r="A221" s="161"/>
      <c r="B221" s="161"/>
      <c r="C221" s="161"/>
      <c r="D221" s="161"/>
      <c r="E221" s="341"/>
      <c r="F221" s="341"/>
      <c r="G221" s="512" t="s">
        <v>312</v>
      </c>
      <c r="H221" s="513"/>
      <c r="I221" s="445"/>
      <c r="J221" s="445"/>
      <c r="K221" s="445"/>
      <c r="L221" s="514"/>
      <c r="M221" s="514"/>
      <c r="N221" s="514"/>
      <c r="O221" s="445"/>
      <c r="P221" s="515"/>
      <c r="Q221" s="445"/>
    </row>
    <row r="222">
      <c r="A222" s="161"/>
      <c r="B222" s="161"/>
      <c r="C222" s="161"/>
      <c r="D222" s="161"/>
      <c r="E222" s="341"/>
      <c r="F222" s="341"/>
      <c r="G222" s="527" t="s">
        <v>313</v>
      </c>
      <c r="H222" s="528" t="s">
        <v>306</v>
      </c>
      <c r="I222" s="508"/>
      <c r="J222" s="529">
        <f>SHARDING(K209)*SHARDING(L209)*SHARDING(M209)/HW_SPEC("# of TensorCore per Chip")</f>
        <v>8</v>
      </c>
      <c r="K222" s="508"/>
      <c r="L222" s="518"/>
      <c r="M222" s="518"/>
      <c r="N222" s="518"/>
      <c r="O222" s="508"/>
      <c r="P222" s="519"/>
      <c r="Q222" s="508"/>
    </row>
    <row r="223">
      <c r="A223" s="161"/>
      <c r="B223" s="161"/>
      <c r="C223" s="161"/>
      <c r="D223" s="161"/>
      <c r="E223" s="341"/>
      <c r="F223" s="341"/>
      <c r="G223" s="341"/>
      <c r="H223" s="530" t="s">
        <v>307</v>
      </c>
      <c r="I223" s="504"/>
      <c r="J223" s="520">
        <f>P210 * HW_SPEC("# of TensorCore per Chip") * (J222-1)</f>
        <v>0.0615234375</v>
      </c>
      <c r="K223" s="504"/>
      <c r="L223" s="510"/>
      <c r="M223" s="510"/>
      <c r="N223" s="510"/>
      <c r="O223" s="504"/>
      <c r="P223" s="511"/>
      <c r="Q223" s="504"/>
    </row>
    <row r="224">
      <c r="A224" s="161"/>
      <c r="B224" s="161"/>
      <c r="C224" s="161"/>
      <c r="D224" s="161"/>
      <c r="E224" s="341"/>
      <c r="F224" s="341"/>
      <c r="G224" s="341"/>
      <c r="H224" s="528" t="s">
        <v>308</v>
      </c>
      <c r="I224" s="508"/>
      <c r="J224" s="521">
        <f>J223*J222</f>
        <v>0.4921875</v>
      </c>
      <c r="K224" s="508"/>
      <c r="L224" s="518"/>
      <c r="M224" s="518"/>
      <c r="N224" s="518"/>
      <c r="O224" s="508"/>
      <c r="P224" s="519"/>
      <c r="Q224" s="508"/>
    </row>
    <row r="225">
      <c r="A225" s="161"/>
      <c r="B225" s="161"/>
      <c r="C225" s="161"/>
      <c r="D225" s="161"/>
      <c r="E225" s="341"/>
      <c r="F225" s="341"/>
      <c r="G225" s="341"/>
      <c r="H225" s="530" t="s">
        <v>309</v>
      </c>
      <c r="I225" s="504"/>
      <c r="J225" s="531">
        <f>IFS(J222=8,12,
J222=4,4,
J222=2,1,
J222=1,0,
TRUE,NA())</f>
        <v>12</v>
      </c>
      <c r="K225" s="504"/>
      <c r="L225" s="510"/>
      <c r="M225" s="510"/>
      <c r="N225" s="510"/>
      <c r="O225" s="504"/>
      <c r="P225" s="511"/>
      <c r="Q225" s="504"/>
    </row>
    <row r="226">
      <c r="A226" s="161"/>
      <c r="B226" s="161"/>
      <c r="C226" s="161"/>
      <c r="D226" s="161"/>
      <c r="E226" s="341"/>
      <c r="F226" s="341"/>
      <c r="G226" s="341"/>
      <c r="H226" s="526" t="s">
        <v>310</v>
      </c>
      <c r="I226" s="508"/>
      <c r="J226" s="345">
        <v>2.0</v>
      </c>
      <c r="K226" s="508"/>
      <c r="L226" s="518"/>
      <c r="M226" s="518"/>
      <c r="N226" s="518"/>
      <c r="O226" s="508"/>
      <c r="P226" s="519"/>
      <c r="Q226" s="508"/>
    </row>
    <row r="227">
      <c r="A227" s="161"/>
      <c r="B227" s="161"/>
      <c r="C227" s="161"/>
      <c r="D227" s="161"/>
      <c r="E227" s="341"/>
      <c r="F227" s="341"/>
      <c r="G227" s="352"/>
      <c r="H227" s="530" t="s">
        <v>311</v>
      </c>
      <c r="I227" s="504"/>
      <c r="J227" s="532">
        <f>ALL_GATHER_CHIP2CHIP_TIME_MS2(J224 * J226, J225)</f>
        <v>0.00004450480143</v>
      </c>
      <c r="K227" s="504"/>
      <c r="L227" s="510"/>
      <c r="M227" s="510"/>
      <c r="N227" s="510"/>
      <c r="O227" s="504"/>
      <c r="P227" s="511"/>
      <c r="Q227" s="504"/>
    </row>
    <row r="228">
      <c r="A228" s="161"/>
      <c r="B228" s="161"/>
      <c r="C228" s="161"/>
      <c r="D228" s="161"/>
      <c r="E228" s="341"/>
      <c r="F228" s="341"/>
      <c r="G228" s="527" t="s">
        <v>314</v>
      </c>
      <c r="H228" s="528" t="s">
        <v>306</v>
      </c>
      <c r="I228" s="508"/>
      <c r="J228" s="533">
        <f>HW_SPEC("# of TensorCore per Chip")</f>
        <v>1</v>
      </c>
      <c r="K228" s="508"/>
      <c r="L228" s="518"/>
      <c r="M228" s="518"/>
      <c r="N228" s="518"/>
      <c r="O228" s="508"/>
      <c r="P228" s="519"/>
      <c r="Q228" s="508"/>
    </row>
    <row r="229">
      <c r="A229" s="161"/>
      <c r="B229" s="161"/>
      <c r="C229" s="161"/>
      <c r="D229" s="161"/>
      <c r="E229" s="341"/>
      <c r="F229" s="341"/>
      <c r="G229" s="341"/>
      <c r="H229" s="530" t="s">
        <v>307</v>
      </c>
      <c r="I229" s="504"/>
      <c r="J229" s="520">
        <f>P210*J222 * (J228-1)</f>
        <v>0</v>
      </c>
      <c r="K229" s="504"/>
      <c r="L229" s="510"/>
      <c r="M229" s="510"/>
      <c r="N229" s="510"/>
      <c r="O229" s="504"/>
      <c r="P229" s="511"/>
      <c r="Q229" s="504"/>
    </row>
    <row r="230">
      <c r="A230" s="161"/>
      <c r="B230" s="161"/>
      <c r="C230" s="161"/>
      <c r="D230" s="161"/>
      <c r="E230" s="341"/>
      <c r="F230" s="341"/>
      <c r="G230" s="341"/>
      <c r="H230" s="528" t="s">
        <v>308</v>
      </c>
      <c r="I230" s="508"/>
      <c r="J230" s="521">
        <f>J229*J228</f>
        <v>0</v>
      </c>
      <c r="K230" s="508"/>
      <c r="L230" s="518"/>
      <c r="M230" s="518"/>
      <c r="N230" s="518"/>
      <c r="O230" s="508"/>
      <c r="P230" s="519"/>
      <c r="Q230" s="508"/>
    </row>
    <row r="231">
      <c r="A231" s="161"/>
      <c r="B231" s="161"/>
      <c r="C231" s="161"/>
      <c r="D231" s="161"/>
      <c r="E231" s="341"/>
      <c r="F231" s="341"/>
      <c r="G231" s="341"/>
      <c r="H231" s="530" t="s">
        <v>311</v>
      </c>
      <c r="I231" s="504"/>
      <c r="J231" s="534">
        <f>ALL_GATHER_CORE2CORE_TIME_MS(J230)</f>
        <v>0</v>
      </c>
      <c r="K231" s="504"/>
      <c r="L231" s="510"/>
      <c r="M231" s="510"/>
      <c r="N231" s="510"/>
      <c r="O231" s="504"/>
      <c r="P231" s="511"/>
      <c r="Q231" s="504"/>
    </row>
    <row r="232">
      <c r="A232" s="161"/>
      <c r="B232" s="161"/>
      <c r="C232" s="161"/>
      <c r="D232" s="161"/>
      <c r="E232" s="341"/>
      <c r="F232" s="341"/>
      <c r="G232" s="352"/>
      <c r="H232" s="535" t="s">
        <v>346</v>
      </c>
      <c r="I232" s="508"/>
      <c r="J232" s="536">
        <f>J231/J222</f>
        <v>0</v>
      </c>
      <c r="K232" s="508"/>
      <c r="L232" s="518"/>
      <c r="M232" s="518"/>
      <c r="N232" s="518"/>
      <c r="O232" s="508"/>
      <c r="P232" s="519"/>
      <c r="Q232" s="508"/>
    </row>
    <row r="233">
      <c r="A233" s="161"/>
      <c r="B233" s="161"/>
      <c r="C233" s="161"/>
      <c r="D233" s="161"/>
      <c r="E233" s="341"/>
      <c r="F233" s="341"/>
      <c r="G233" s="524" t="s">
        <v>316</v>
      </c>
      <c r="H233" s="537">
        <f>J227+J232</f>
        <v>0.00004450480143</v>
      </c>
      <c r="I233" s="504"/>
      <c r="J233" s="538"/>
      <c r="K233" s="504"/>
      <c r="L233" s="510"/>
      <c r="M233" s="510"/>
      <c r="N233" s="510"/>
      <c r="O233" s="504"/>
      <c r="P233" s="511"/>
      <c r="Q233" s="504"/>
    </row>
    <row r="234">
      <c r="A234" s="161"/>
      <c r="B234" s="161"/>
      <c r="C234" s="161"/>
      <c r="D234" s="161"/>
      <c r="E234" s="341"/>
      <c r="F234" s="341"/>
      <c r="G234" s="522"/>
      <c r="H234" s="539"/>
      <c r="I234" s="508"/>
      <c r="J234" s="540"/>
      <c r="K234" s="508"/>
      <c r="L234" s="518"/>
      <c r="M234" s="518"/>
      <c r="N234" s="518"/>
      <c r="O234" s="508"/>
      <c r="P234" s="519"/>
      <c r="Q234" s="508"/>
    </row>
    <row r="235">
      <c r="A235" s="161"/>
      <c r="B235" s="161"/>
      <c r="C235" s="161"/>
      <c r="D235" s="161"/>
      <c r="E235" s="341"/>
      <c r="F235" s="341"/>
      <c r="G235" s="541" t="s">
        <v>322</v>
      </c>
      <c r="H235" s="444" t="s">
        <v>323</v>
      </c>
      <c r="I235" s="445"/>
      <c r="J235" s="445"/>
      <c r="K235" s="445"/>
      <c r="L235" s="514"/>
      <c r="M235" s="514"/>
      <c r="N235" s="514"/>
      <c r="O235" s="445"/>
      <c r="P235" s="515"/>
      <c r="Q235" s="445"/>
    </row>
    <row r="236">
      <c r="A236" s="161"/>
      <c r="B236" s="161"/>
      <c r="C236" s="161"/>
      <c r="D236" s="161"/>
      <c r="E236" s="341"/>
      <c r="F236" s="341"/>
      <c r="G236" s="541" t="s">
        <v>340</v>
      </c>
      <c r="H236" s="542">
        <f>IFS(H235=G213,H219,
H235=G221,H233 ,
TRUE,0)</f>
        <v>0</v>
      </c>
      <c r="I236" s="445"/>
      <c r="J236" s="445"/>
      <c r="K236" s="445"/>
      <c r="L236" s="514"/>
      <c r="M236" s="514"/>
      <c r="N236" s="514"/>
      <c r="O236" s="445"/>
      <c r="P236" s="543"/>
      <c r="Q236" s="445"/>
    </row>
    <row r="237">
      <c r="A237" s="161"/>
      <c r="B237" s="161"/>
      <c r="C237" s="161"/>
      <c r="D237" s="161"/>
      <c r="E237" s="333" t="s">
        <v>347</v>
      </c>
      <c r="F237" s="357" t="s">
        <v>292</v>
      </c>
      <c r="G237" s="335"/>
      <c r="H237" s="364" t="s">
        <v>281</v>
      </c>
      <c r="I237" s="364" t="s">
        <v>282</v>
      </c>
      <c r="J237" s="273" t="s">
        <v>104</v>
      </c>
      <c r="K237" s="273" t="s">
        <v>102</v>
      </c>
      <c r="L237" s="273" t="s">
        <v>207</v>
      </c>
      <c r="M237" s="472" t="s">
        <v>198</v>
      </c>
      <c r="N237" s="364" t="s">
        <v>283</v>
      </c>
      <c r="O237" s="365" t="str">
        <f>PARAMS("attn_kv_k_dtype")</f>
        <v>bf16</v>
      </c>
      <c r="P237" s="366"/>
      <c r="Q237" s="365" t="b">
        <v>0</v>
      </c>
    </row>
    <row r="238">
      <c r="A238" s="161"/>
      <c r="B238" s="161"/>
      <c r="C238" s="161"/>
      <c r="D238" s="161"/>
      <c r="E238" s="341"/>
      <c r="F238" s="342"/>
      <c r="G238" s="343"/>
      <c r="H238" s="273" t="s">
        <v>285</v>
      </c>
      <c r="I238" s="364" t="s">
        <v>282</v>
      </c>
      <c r="J238" s="363">
        <f t="shared" ref="J238:M238" si="37">PARAMS(J237)</f>
        <v>128</v>
      </c>
      <c r="K238" s="364">
        <f t="shared" si="37"/>
        <v>1</v>
      </c>
      <c r="L238" s="364">
        <f t="shared" si="37"/>
        <v>128</v>
      </c>
      <c r="M238" s="364">
        <f t="shared" si="37"/>
        <v>512</v>
      </c>
      <c r="N238" s="364" t="s">
        <v>283</v>
      </c>
      <c r="O238" s="341"/>
      <c r="P238" s="366">
        <f>SIZEOF_IN_MIB(J238:M238, $O237)</f>
        <v>16</v>
      </c>
      <c r="Q238" s="341"/>
    </row>
    <row r="239">
      <c r="A239" s="161"/>
      <c r="B239" s="161"/>
      <c r="C239" s="161"/>
      <c r="D239" s="161"/>
      <c r="E239" s="341"/>
      <c r="F239" s="342"/>
      <c r="G239" s="343"/>
      <c r="H239" s="363" t="s">
        <v>287</v>
      </c>
      <c r="I239" s="363" t="s">
        <v>282</v>
      </c>
      <c r="J239" s="273" t="s">
        <v>196</v>
      </c>
      <c r="K239" s="273"/>
      <c r="L239" s="273"/>
      <c r="M239" s="363"/>
      <c r="N239" s="363" t="s">
        <v>283</v>
      </c>
      <c r="O239" s="341"/>
      <c r="P239" s="366"/>
      <c r="Q239" s="341"/>
    </row>
    <row r="240">
      <c r="A240" s="161"/>
      <c r="B240" s="161"/>
      <c r="C240" s="161"/>
      <c r="D240" s="161"/>
      <c r="E240" s="341"/>
      <c r="F240" s="353"/>
      <c r="G240" s="354"/>
      <c r="H240" s="273" t="s">
        <v>289</v>
      </c>
      <c r="I240" s="363" t="s">
        <v>282</v>
      </c>
      <c r="J240" s="363">
        <f t="shared" ref="J240:M240" si="38">J238/SHARDING(J239)</f>
        <v>16</v>
      </c>
      <c r="K240" s="363">
        <f t="shared" si="38"/>
        <v>1</v>
      </c>
      <c r="L240" s="363">
        <f t="shared" si="38"/>
        <v>128</v>
      </c>
      <c r="M240" s="363">
        <f t="shared" si="38"/>
        <v>512</v>
      </c>
      <c r="N240" s="363" t="s">
        <v>283</v>
      </c>
      <c r="O240" s="352"/>
      <c r="P240" s="366">
        <f>SIZEOF_IN_MIB(J240:M240, $O237)</f>
        <v>2</v>
      </c>
      <c r="Q240" s="352"/>
    </row>
    <row r="241">
      <c r="A241" s="161"/>
      <c r="B241" s="161"/>
      <c r="C241" s="161"/>
      <c r="D241" s="161"/>
      <c r="E241" s="341"/>
      <c r="F241" s="334" t="s">
        <v>296</v>
      </c>
      <c r="G241" s="335"/>
      <c r="H241" s="363" t="s">
        <v>281</v>
      </c>
      <c r="I241" s="363" t="s">
        <v>282</v>
      </c>
      <c r="J241" s="364"/>
      <c r="K241" s="273" t="s">
        <v>104</v>
      </c>
      <c r="L241" s="273" t="s">
        <v>106</v>
      </c>
      <c r="M241" s="472" t="s">
        <v>198</v>
      </c>
      <c r="N241" s="363" t="s">
        <v>283</v>
      </c>
      <c r="O241" s="365" t="str">
        <f>PARAMS("kv_dtype")</f>
        <v>fp8</v>
      </c>
      <c r="P241" s="366"/>
      <c r="Q241" s="365" t="b">
        <v>0</v>
      </c>
    </row>
    <row r="242">
      <c r="E242" s="341"/>
      <c r="F242" s="342"/>
      <c r="G242" s="343"/>
      <c r="H242" s="273" t="s">
        <v>285</v>
      </c>
      <c r="I242" s="363" t="s">
        <v>282</v>
      </c>
      <c r="J242" s="364"/>
      <c r="K242" s="363">
        <f t="shared" ref="K242:M242" si="39">PARAMS(K241)</f>
        <v>128</v>
      </c>
      <c r="L242" s="363">
        <f t="shared" si="39"/>
        <v>2560</v>
      </c>
      <c r="M242" s="363">
        <f t="shared" si="39"/>
        <v>512</v>
      </c>
      <c r="N242" s="363" t="s">
        <v>283</v>
      </c>
      <c r="O242" s="341"/>
      <c r="P242" s="366">
        <f>SIZEOF_IN_MIB(J242:M242, $O241)</f>
        <v>160</v>
      </c>
      <c r="Q242" s="341"/>
    </row>
    <row r="243">
      <c r="E243" s="341"/>
      <c r="F243" s="342"/>
      <c r="G243" s="343"/>
      <c r="H243" s="363" t="s">
        <v>287</v>
      </c>
      <c r="I243" s="363" t="s">
        <v>282</v>
      </c>
      <c r="J243" s="364"/>
      <c r="K243" s="273" t="s">
        <v>196</v>
      </c>
      <c r="L243" s="363"/>
      <c r="M243" s="363"/>
      <c r="N243" s="363" t="s">
        <v>283</v>
      </c>
      <c r="O243" s="341"/>
      <c r="P243" s="366"/>
      <c r="Q243" s="341"/>
    </row>
    <row r="244">
      <c r="E244" s="341"/>
      <c r="F244" s="353"/>
      <c r="G244" s="354"/>
      <c r="H244" s="349" t="s">
        <v>289</v>
      </c>
      <c r="I244" s="349" t="s">
        <v>282</v>
      </c>
      <c r="J244" s="336"/>
      <c r="K244" s="349">
        <f t="shared" ref="K244:M244" si="40">K242/SHARDING(K243)</f>
        <v>16</v>
      </c>
      <c r="L244" s="349">
        <f t="shared" si="40"/>
        <v>2560</v>
      </c>
      <c r="M244" s="349">
        <f t="shared" si="40"/>
        <v>512</v>
      </c>
      <c r="N244" s="349" t="s">
        <v>283</v>
      </c>
      <c r="O244" s="316"/>
      <c r="P244" s="351">
        <f>SIZEOF_IN_MIB(J244:M244, $O241)</f>
        <v>20</v>
      </c>
      <c r="Q244" s="316"/>
    </row>
    <row r="245">
      <c r="E245" s="341"/>
      <c r="F245" s="334" t="s">
        <v>56</v>
      </c>
      <c r="G245" s="335"/>
      <c r="H245" s="346" t="s">
        <v>281</v>
      </c>
      <c r="I245" s="346" t="s">
        <v>282</v>
      </c>
      <c r="J245" s="344" t="s">
        <v>104</v>
      </c>
      <c r="K245" s="344" t="s">
        <v>102</v>
      </c>
      <c r="L245" s="344" t="s">
        <v>106</v>
      </c>
      <c r="M245" s="344" t="s">
        <v>207</v>
      </c>
      <c r="N245" s="346" t="s">
        <v>283</v>
      </c>
      <c r="O245" s="473" t="s">
        <v>133</v>
      </c>
      <c r="P245" s="348"/>
      <c r="Q245" s="473" t="b">
        <v>1</v>
      </c>
    </row>
    <row r="246">
      <c r="E246" s="341"/>
      <c r="F246" s="342"/>
      <c r="G246" s="343"/>
      <c r="H246" s="337" t="s">
        <v>285</v>
      </c>
      <c r="I246" s="349" t="s">
        <v>282</v>
      </c>
      <c r="J246" s="349">
        <f t="shared" ref="J246:M246" si="41">PARAMS(J245)</f>
        <v>128</v>
      </c>
      <c r="K246" s="349">
        <f t="shared" si="41"/>
        <v>1</v>
      </c>
      <c r="L246" s="349">
        <f t="shared" si="41"/>
        <v>2560</v>
      </c>
      <c r="M246" s="349">
        <f t="shared" si="41"/>
        <v>128</v>
      </c>
      <c r="N246" s="349" t="s">
        <v>283</v>
      </c>
      <c r="O246" s="350"/>
      <c r="P246" s="351">
        <f>SIZEOF_IN_MIB(J246:M246, $O245)</f>
        <v>80</v>
      </c>
      <c r="Q246" s="350"/>
    </row>
    <row r="247">
      <c r="E247" s="341"/>
      <c r="F247" s="342"/>
      <c r="G247" s="343"/>
      <c r="H247" s="346" t="s">
        <v>287</v>
      </c>
      <c r="I247" s="346" t="s">
        <v>282</v>
      </c>
      <c r="J247" s="344" t="s">
        <v>196</v>
      </c>
      <c r="K247" s="344"/>
      <c r="L247" s="344"/>
      <c r="M247" s="346"/>
      <c r="N247" s="346" t="s">
        <v>283</v>
      </c>
      <c r="O247" s="347"/>
      <c r="P247" s="348"/>
      <c r="Q247" s="347"/>
    </row>
    <row r="248">
      <c r="E248" s="341"/>
      <c r="F248" s="353"/>
      <c r="G248" s="354"/>
      <c r="H248" s="349" t="s">
        <v>289</v>
      </c>
      <c r="I248" s="349" t="s">
        <v>282</v>
      </c>
      <c r="J248" s="349">
        <f t="shared" ref="J248:M248" si="42">J246/SHARDING(J247)</f>
        <v>16</v>
      </c>
      <c r="K248" s="349">
        <f t="shared" si="42"/>
        <v>1</v>
      </c>
      <c r="L248" s="349">
        <f t="shared" si="42"/>
        <v>2560</v>
      </c>
      <c r="M248" s="349">
        <f t="shared" si="42"/>
        <v>128</v>
      </c>
      <c r="N248" s="349" t="s">
        <v>283</v>
      </c>
      <c r="O248" s="316"/>
      <c r="P248" s="351">
        <f>SIZEOF_IN_MIB(J248:M248, $O245)</f>
        <v>10</v>
      </c>
      <c r="Q248" s="316"/>
    </row>
    <row r="249">
      <c r="E249" s="341"/>
      <c r="F249" s="474" t="s">
        <v>335</v>
      </c>
      <c r="G249" s="459" t="s">
        <v>109</v>
      </c>
      <c r="H249" s="544" t="s">
        <v>348</v>
      </c>
      <c r="I249" s="345"/>
      <c r="J249" s="345"/>
      <c r="K249" s="345"/>
      <c r="L249" s="346"/>
      <c r="M249" s="346"/>
      <c r="N249" s="346"/>
      <c r="O249" s="545"/>
      <c r="P249" s="348"/>
      <c r="Q249" s="545"/>
    </row>
    <row r="250">
      <c r="E250" s="341"/>
      <c r="F250" s="352"/>
      <c r="G250" s="459"/>
      <c r="H250" s="349"/>
      <c r="I250" s="492"/>
      <c r="J250" s="336"/>
      <c r="K250" s="336"/>
      <c r="L250" s="349"/>
      <c r="M250" s="349"/>
      <c r="N250" s="349"/>
      <c r="O250" s="336"/>
      <c r="P250" s="351"/>
      <c r="Q250" s="298"/>
    </row>
    <row r="251">
      <c r="E251" s="341"/>
      <c r="F251" s="458" t="s">
        <v>327</v>
      </c>
      <c r="G251" s="459" t="s">
        <v>328</v>
      </c>
      <c r="H251" s="346" t="str">
        <f>VLOOKUP(O237&amp;","&amp;O241,$T$3:$W$12,4, FALSE)</f>
        <v>bf16</v>
      </c>
      <c r="I251" s="493"/>
      <c r="J251" s="345"/>
      <c r="K251" s="345"/>
      <c r="L251" s="346"/>
      <c r="M251" s="346"/>
      <c r="N251" s="346"/>
      <c r="O251" s="345"/>
      <c r="P251" s="348"/>
      <c r="Q251" s="379"/>
    </row>
    <row r="252">
      <c r="E252" s="341"/>
      <c r="F252" s="341"/>
      <c r="G252" s="455" t="s">
        <v>341</v>
      </c>
      <c r="H252" s="494">
        <f>CALCULATE_FLOPS(J240:M240,J244:M244,M244,K244,H251)</f>
        <v>5368709120</v>
      </c>
      <c r="I252" s="492"/>
      <c r="J252" s="336"/>
      <c r="K252" s="336"/>
      <c r="L252" s="349"/>
      <c r="M252" s="349"/>
      <c r="N252" s="349"/>
      <c r="O252" s="336"/>
      <c r="P252" s="351"/>
      <c r="Q252" s="298"/>
    </row>
    <row r="253">
      <c r="E253" s="341"/>
      <c r="F253" s="352"/>
      <c r="G253" s="462" t="s">
        <v>330</v>
      </c>
      <c r="H253" s="463">
        <f>COMPUTE_TIME_MS(H252, H251)</f>
        <v>0.002863311531</v>
      </c>
      <c r="I253" s="464"/>
      <c r="J253" s="465"/>
      <c r="K253" s="465"/>
      <c r="L253" s="466"/>
      <c r="M253" s="466"/>
      <c r="N253" s="466"/>
      <c r="O253" s="465"/>
      <c r="P253" s="467"/>
      <c r="Q253" s="379"/>
    </row>
    <row r="254">
      <c r="E254" s="341"/>
      <c r="F254" s="458" t="s">
        <v>331</v>
      </c>
      <c r="G254" s="455" t="s">
        <v>332</v>
      </c>
      <c r="H254" s="377">
        <f>IF(Q237,0,P240)+IF(Q241,0,P244)+IF(Q245,0,P248)</f>
        <v>22</v>
      </c>
      <c r="I254" s="336"/>
      <c r="J254" s="336"/>
      <c r="K254" s="336"/>
      <c r="L254" s="349"/>
      <c r="M254" s="349"/>
      <c r="N254" s="349"/>
      <c r="O254" s="336"/>
      <c r="P254" s="351"/>
      <c r="Q254" s="298"/>
    </row>
    <row r="255">
      <c r="E255" s="352"/>
      <c r="F255" s="352"/>
      <c r="G255" s="469" t="s">
        <v>333</v>
      </c>
      <c r="H255" s="500">
        <f>HBM_TIME_MS(H254)</f>
        <v>0.002983940972</v>
      </c>
      <c r="I255" s="465"/>
      <c r="J255" s="465"/>
      <c r="K255" s="465"/>
      <c r="L255" s="466"/>
      <c r="M255" s="466"/>
      <c r="N255" s="466"/>
      <c r="O255" s="465"/>
      <c r="P255" s="467"/>
      <c r="Q255" s="379"/>
    </row>
    <row r="256">
      <c r="E256" s="333" t="s">
        <v>349</v>
      </c>
      <c r="F256" s="357" t="s">
        <v>292</v>
      </c>
      <c r="G256" s="335"/>
      <c r="H256" s="364" t="s">
        <v>281</v>
      </c>
      <c r="I256" s="364" t="s">
        <v>282</v>
      </c>
      <c r="J256" s="273" t="s">
        <v>104</v>
      </c>
      <c r="K256" s="273" t="s">
        <v>102</v>
      </c>
      <c r="L256" s="273" t="s">
        <v>207</v>
      </c>
      <c r="M256" s="472" t="s">
        <v>204</v>
      </c>
      <c r="N256" s="364" t="s">
        <v>283</v>
      </c>
      <c r="O256" s="365" t="str">
        <f>PARAMS("attn_kv_k_dtype")</f>
        <v>bf16</v>
      </c>
      <c r="P256" s="366"/>
      <c r="Q256" s="365" t="b">
        <v>0</v>
      </c>
    </row>
    <row r="257">
      <c r="E257" s="341"/>
      <c r="F257" s="342"/>
      <c r="G257" s="343"/>
      <c r="H257" s="273" t="s">
        <v>285</v>
      </c>
      <c r="I257" s="364" t="s">
        <v>282</v>
      </c>
      <c r="J257" s="363">
        <f t="shared" ref="J257:M257" si="43">PARAMS(J256)</f>
        <v>128</v>
      </c>
      <c r="K257" s="364">
        <f t="shared" si="43"/>
        <v>1</v>
      </c>
      <c r="L257" s="364">
        <f t="shared" si="43"/>
        <v>128</v>
      </c>
      <c r="M257" s="364">
        <f t="shared" si="43"/>
        <v>64</v>
      </c>
      <c r="N257" s="364" t="s">
        <v>283</v>
      </c>
      <c r="O257" s="341"/>
      <c r="P257" s="366">
        <f>SIZEOF_IN_MIB(J257:M257, $O256)</f>
        <v>2</v>
      </c>
      <c r="Q257" s="341"/>
    </row>
    <row r="258">
      <c r="E258" s="341"/>
      <c r="F258" s="342"/>
      <c r="G258" s="343"/>
      <c r="H258" s="363" t="s">
        <v>287</v>
      </c>
      <c r="I258" s="363" t="s">
        <v>282</v>
      </c>
      <c r="J258" s="273" t="s">
        <v>196</v>
      </c>
      <c r="K258" s="273"/>
      <c r="L258" s="273"/>
      <c r="M258" s="363"/>
      <c r="N258" s="363" t="s">
        <v>283</v>
      </c>
      <c r="O258" s="341"/>
      <c r="P258" s="366"/>
      <c r="Q258" s="341"/>
    </row>
    <row r="259">
      <c r="E259" s="341"/>
      <c r="F259" s="353"/>
      <c r="G259" s="354"/>
      <c r="H259" s="273" t="s">
        <v>289</v>
      </c>
      <c r="I259" s="363" t="s">
        <v>282</v>
      </c>
      <c r="J259" s="363">
        <f t="shared" ref="J259:M259" si="44">J257/SHARDING(J258)</f>
        <v>16</v>
      </c>
      <c r="K259" s="363">
        <f t="shared" si="44"/>
        <v>1</v>
      </c>
      <c r="L259" s="363">
        <f t="shared" si="44"/>
        <v>128</v>
      </c>
      <c r="M259" s="363">
        <f t="shared" si="44"/>
        <v>64</v>
      </c>
      <c r="N259" s="363" t="s">
        <v>283</v>
      </c>
      <c r="O259" s="352"/>
      <c r="P259" s="366">
        <f>SIZEOF_IN_MIB(J259:M259, $O256)</f>
        <v>0.25</v>
      </c>
      <c r="Q259" s="352"/>
    </row>
    <row r="260">
      <c r="E260" s="341"/>
      <c r="F260" s="334" t="s">
        <v>296</v>
      </c>
      <c r="G260" s="335"/>
      <c r="H260" s="363" t="s">
        <v>281</v>
      </c>
      <c r="I260" s="363" t="s">
        <v>282</v>
      </c>
      <c r="J260" s="364"/>
      <c r="K260" s="273" t="s">
        <v>104</v>
      </c>
      <c r="L260" s="273" t="s">
        <v>106</v>
      </c>
      <c r="M260" s="472" t="s">
        <v>204</v>
      </c>
      <c r="N260" s="363" t="s">
        <v>283</v>
      </c>
      <c r="O260" s="365" t="str">
        <f>PARAMS("kv_dtype")</f>
        <v>fp8</v>
      </c>
      <c r="P260" s="366"/>
      <c r="Q260" s="365" t="b">
        <v>0</v>
      </c>
    </row>
    <row r="261">
      <c r="E261" s="341"/>
      <c r="F261" s="342"/>
      <c r="G261" s="343"/>
      <c r="H261" s="273" t="s">
        <v>285</v>
      </c>
      <c r="I261" s="363" t="s">
        <v>282</v>
      </c>
      <c r="J261" s="364"/>
      <c r="K261" s="363">
        <f t="shared" ref="K261:M261" si="45">PARAMS(K260)</f>
        <v>128</v>
      </c>
      <c r="L261" s="363">
        <f t="shared" si="45"/>
        <v>2560</v>
      </c>
      <c r="M261" s="363">
        <f t="shared" si="45"/>
        <v>64</v>
      </c>
      <c r="N261" s="363" t="s">
        <v>283</v>
      </c>
      <c r="O261" s="341"/>
      <c r="P261" s="366">
        <f>SIZEOF_IN_MIB(J261:M261, $O260)</f>
        <v>20</v>
      </c>
      <c r="Q261" s="341"/>
    </row>
    <row r="262">
      <c r="E262" s="341"/>
      <c r="F262" s="342"/>
      <c r="G262" s="343"/>
      <c r="H262" s="363" t="s">
        <v>287</v>
      </c>
      <c r="I262" s="363" t="s">
        <v>282</v>
      </c>
      <c r="J262" s="364"/>
      <c r="K262" s="273" t="s">
        <v>196</v>
      </c>
      <c r="L262" s="363"/>
      <c r="M262" s="363"/>
      <c r="N262" s="363" t="s">
        <v>283</v>
      </c>
      <c r="O262" s="341"/>
      <c r="P262" s="366"/>
      <c r="Q262" s="341"/>
    </row>
    <row r="263">
      <c r="E263" s="341"/>
      <c r="F263" s="353"/>
      <c r="G263" s="354"/>
      <c r="H263" s="349" t="s">
        <v>289</v>
      </c>
      <c r="I263" s="349" t="s">
        <v>282</v>
      </c>
      <c r="J263" s="336"/>
      <c r="K263" s="349">
        <f t="shared" ref="K263:M263" si="46">K261/SHARDING(K262)</f>
        <v>16</v>
      </c>
      <c r="L263" s="349">
        <f t="shared" si="46"/>
        <v>2560</v>
      </c>
      <c r="M263" s="349">
        <f t="shared" si="46"/>
        <v>64</v>
      </c>
      <c r="N263" s="349" t="s">
        <v>283</v>
      </c>
      <c r="O263" s="316"/>
      <c r="P263" s="351">
        <f>SIZEOF_IN_MIB(J263:M263, $O260)</f>
        <v>2.5</v>
      </c>
      <c r="Q263" s="316"/>
    </row>
    <row r="264">
      <c r="E264" s="341"/>
      <c r="F264" s="334" t="s">
        <v>56</v>
      </c>
      <c r="G264" s="335"/>
      <c r="H264" s="346" t="s">
        <v>281</v>
      </c>
      <c r="I264" s="346" t="s">
        <v>282</v>
      </c>
      <c r="J264" s="344" t="s">
        <v>104</v>
      </c>
      <c r="K264" s="344" t="s">
        <v>102</v>
      </c>
      <c r="L264" s="344" t="s">
        <v>106</v>
      </c>
      <c r="M264" s="344" t="s">
        <v>207</v>
      </c>
      <c r="N264" s="346" t="s">
        <v>283</v>
      </c>
      <c r="O264" s="546" t="s">
        <v>133</v>
      </c>
      <c r="P264" s="348"/>
      <c r="Q264" s="473" t="b">
        <v>1</v>
      </c>
    </row>
    <row r="265">
      <c r="E265" s="341"/>
      <c r="F265" s="342"/>
      <c r="G265" s="343"/>
      <c r="H265" s="337" t="s">
        <v>285</v>
      </c>
      <c r="I265" s="349" t="s">
        <v>282</v>
      </c>
      <c r="J265" s="349">
        <f t="shared" ref="J265:M265" si="47">PARAMS(J264)</f>
        <v>128</v>
      </c>
      <c r="K265" s="349">
        <f t="shared" si="47"/>
        <v>1</v>
      </c>
      <c r="L265" s="349">
        <f t="shared" si="47"/>
        <v>2560</v>
      </c>
      <c r="M265" s="349">
        <f t="shared" si="47"/>
        <v>128</v>
      </c>
      <c r="N265" s="349" t="s">
        <v>283</v>
      </c>
      <c r="O265" s="350"/>
      <c r="P265" s="351">
        <f>SIZEOF_IN_MIB(J265:M265, $O264)</f>
        <v>80</v>
      </c>
      <c r="Q265" s="350"/>
    </row>
    <row r="266">
      <c r="E266" s="341"/>
      <c r="F266" s="342"/>
      <c r="G266" s="343"/>
      <c r="H266" s="346" t="s">
        <v>287</v>
      </c>
      <c r="I266" s="346" t="s">
        <v>282</v>
      </c>
      <c r="J266" s="344" t="s">
        <v>196</v>
      </c>
      <c r="K266" s="344"/>
      <c r="L266" s="344"/>
      <c r="M266" s="346"/>
      <c r="N266" s="346" t="s">
        <v>283</v>
      </c>
      <c r="O266" s="347"/>
      <c r="P266" s="348"/>
      <c r="Q266" s="347"/>
    </row>
    <row r="267">
      <c r="E267" s="341"/>
      <c r="F267" s="353"/>
      <c r="G267" s="354"/>
      <c r="H267" s="349" t="s">
        <v>289</v>
      </c>
      <c r="I267" s="349" t="s">
        <v>282</v>
      </c>
      <c r="J267" s="349">
        <f t="shared" ref="J267:M267" si="48">J265/SHARDING(J266)</f>
        <v>16</v>
      </c>
      <c r="K267" s="349">
        <f t="shared" si="48"/>
        <v>1</v>
      </c>
      <c r="L267" s="349">
        <f t="shared" si="48"/>
        <v>2560</v>
      </c>
      <c r="M267" s="349">
        <f t="shared" si="48"/>
        <v>128</v>
      </c>
      <c r="N267" s="349" t="s">
        <v>283</v>
      </c>
      <c r="O267" s="316"/>
      <c r="P267" s="351">
        <f>SIZEOF_IN_MIB(J267:M267, $O264)</f>
        <v>10</v>
      </c>
      <c r="Q267" s="316"/>
    </row>
    <row r="268">
      <c r="E268" s="341"/>
      <c r="F268" s="474" t="s">
        <v>335</v>
      </c>
      <c r="G268" s="459" t="s">
        <v>109</v>
      </c>
      <c r="H268" s="497"/>
      <c r="I268" s="498"/>
      <c r="J268" s="345"/>
      <c r="K268" s="345"/>
      <c r="L268" s="346"/>
      <c r="M268" s="346"/>
      <c r="N268" s="346"/>
      <c r="O268" s="345"/>
      <c r="P268" s="348"/>
      <c r="Q268" s="379"/>
    </row>
    <row r="269">
      <c r="E269" s="341"/>
      <c r="F269" s="352"/>
      <c r="G269" s="459"/>
      <c r="H269" s="349"/>
      <c r="I269" s="492"/>
      <c r="J269" s="336"/>
      <c r="K269" s="336"/>
      <c r="L269" s="349"/>
      <c r="M269" s="349"/>
      <c r="N269" s="349"/>
      <c r="O269" s="336"/>
      <c r="P269" s="351"/>
      <c r="Q269" s="298"/>
    </row>
    <row r="270">
      <c r="E270" s="341"/>
      <c r="F270" s="458" t="s">
        <v>327</v>
      </c>
      <c r="G270" s="459" t="s">
        <v>328</v>
      </c>
      <c r="H270" s="346" t="str">
        <f>VLOOKUP(O256&amp;","&amp;O260,$T$3:$W$12,4, FALSE)</f>
        <v>bf16</v>
      </c>
      <c r="I270" s="493"/>
      <c r="J270" s="345"/>
      <c r="K270" s="345"/>
      <c r="L270" s="346"/>
      <c r="M270" s="346"/>
      <c r="N270" s="346"/>
      <c r="O270" s="345"/>
      <c r="P270" s="348"/>
      <c r="Q270" s="379"/>
    </row>
    <row r="271">
      <c r="E271" s="341"/>
      <c r="F271" s="341"/>
      <c r="G271" s="455" t="s">
        <v>341</v>
      </c>
      <c r="H271" s="494">
        <f>CALCULATE_FLOPS(J259:M259,J263:M263,M263,K263,H270)</f>
        <v>671088640</v>
      </c>
      <c r="I271" s="492"/>
      <c r="J271" s="336"/>
      <c r="K271" s="336"/>
      <c r="L271" s="349"/>
      <c r="M271" s="349"/>
      <c r="N271" s="349"/>
      <c r="O271" s="336"/>
      <c r="P271" s="351"/>
      <c r="Q271" s="298"/>
    </row>
    <row r="272">
      <c r="E272" s="341"/>
      <c r="F272" s="352"/>
      <c r="G272" s="462" t="s">
        <v>330</v>
      </c>
      <c r="H272" s="495">
        <f>COMPUTE_TIME_MS(H271, H270)</f>
        <v>0.0003579139413</v>
      </c>
      <c r="I272" s="464"/>
      <c r="J272" s="465"/>
      <c r="K272" s="465"/>
      <c r="L272" s="466"/>
      <c r="M272" s="466"/>
      <c r="N272" s="466"/>
      <c r="O272" s="465"/>
      <c r="P272" s="467"/>
      <c r="Q272" s="379"/>
    </row>
    <row r="273">
      <c r="E273" s="341"/>
      <c r="F273" s="458" t="s">
        <v>331</v>
      </c>
      <c r="G273" s="455" t="s">
        <v>332</v>
      </c>
      <c r="H273" s="377">
        <f>IF(Q256,0,P259)+IF(Q260,0,P263)+IF(Q264,0,P267)</f>
        <v>2.75</v>
      </c>
      <c r="I273" s="336"/>
      <c r="J273" s="336"/>
      <c r="K273" s="336"/>
      <c r="L273" s="349"/>
      <c r="M273" s="349"/>
      <c r="N273" s="349"/>
      <c r="O273" s="336"/>
      <c r="P273" s="351"/>
      <c r="Q273" s="298"/>
    </row>
    <row r="274">
      <c r="E274" s="352"/>
      <c r="F274" s="352"/>
      <c r="G274" s="469" t="s">
        <v>333</v>
      </c>
      <c r="H274" s="500">
        <f>HBM_TIME_MS(H273)</f>
        <v>0.0003729926215</v>
      </c>
      <c r="I274" s="465"/>
      <c r="J274" s="465"/>
      <c r="K274" s="465"/>
      <c r="L274" s="466"/>
      <c r="M274" s="466"/>
      <c r="N274" s="466"/>
      <c r="O274" s="465"/>
      <c r="P274" s="467"/>
      <c r="Q274" s="379"/>
    </row>
    <row r="275">
      <c r="E275" s="333" t="s">
        <v>350</v>
      </c>
      <c r="F275" s="357" t="s">
        <v>292</v>
      </c>
      <c r="G275" s="335"/>
      <c r="H275" s="364" t="s">
        <v>281</v>
      </c>
      <c r="I275" s="364" t="s">
        <v>282</v>
      </c>
      <c r="J275" s="273" t="s">
        <v>104</v>
      </c>
      <c r="K275" s="273" t="s">
        <v>102</v>
      </c>
      <c r="L275" s="472" t="s">
        <v>106</v>
      </c>
      <c r="M275" s="273" t="s">
        <v>207</v>
      </c>
      <c r="N275" s="364" t="s">
        <v>283</v>
      </c>
      <c r="O275" s="365" t="str">
        <f>PARAMS("attn_av_a_dtype")</f>
        <v>bf16</v>
      </c>
      <c r="P275" s="366"/>
      <c r="Q275" s="365" t="b">
        <v>1</v>
      </c>
    </row>
    <row r="276">
      <c r="E276" s="341"/>
      <c r="F276" s="342"/>
      <c r="G276" s="343"/>
      <c r="H276" s="273" t="s">
        <v>285</v>
      </c>
      <c r="I276" s="364" t="s">
        <v>282</v>
      </c>
      <c r="J276" s="363">
        <f t="shared" ref="J276:M276" si="49">PARAMS(J275)</f>
        <v>128</v>
      </c>
      <c r="K276" s="364">
        <f t="shared" si="49"/>
        <v>1</v>
      </c>
      <c r="L276" s="364">
        <f t="shared" si="49"/>
        <v>2560</v>
      </c>
      <c r="M276" s="364">
        <f t="shared" si="49"/>
        <v>128</v>
      </c>
      <c r="N276" s="364" t="s">
        <v>283</v>
      </c>
      <c r="O276" s="341"/>
      <c r="P276" s="366">
        <f>SIZEOF_IN_MIB(J276:M276, $O275)</f>
        <v>80</v>
      </c>
      <c r="Q276" s="341"/>
    </row>
    <row r="277">
      <c r="E277" s="341"/>
      <c r="F277" s="342"/>
      <c r="G277" s="343"/>
      <c r="H277" s="363" t="s">
        <v>287</v>
      </c>
      <c r="I277" s="363" t="s">
        <v>282</v>
      </c>
      <c r="J277" s="273" t="s">
        <v>196</v>
      </c>
      <c r="K277" s="273"/>
      <c r="L277" s="273"/>
      <c r="M277" s="363"/>
      <c r="N277" s="363" t="s">
        <v>283</v>
      </c>
      <c r="O277" s="341"/>
      <c r="P277" s="366"/>
      <c r="Q277" s="341"/>
    </row>
    <row r="278">
      <c r="E278" s="341"/>
      <c r="F278" s="353"/>
      <c r="G278" s="354"/>
      <c r="H278" s="273" t="s">
        <v>289</v>
      </c>
      <c r="I278" s="363" t="s">
        <v>282</v>
      </c>
      <c r="J278" s="363">
        <f t="shared" ref="J278:M278" si="50">J276/SHARDING(J277)</f>
        <v>16</v>
      </c>
      <c r="K278" s="363">
        <f t="shared" si="50"/>
        <v>1</v>
      </c>
      <c r="L278" s="363">
        <f t="shared" si="50"/>
        <v>2560</v>
      </c>
      <c r="M278" s="363">
        <f t="shared" si="50"/>
        <v>128</v>
      </c>
      <c r="N278" s="363" t="s">
        <v>283</v>
      </c>
      <c r="O278" s="352"/>
      <c r="P278" s="366">
        <f>SIZEOF_IN_MIB(J278:M278, $O275)</f>
        <v>10</v>
      </c>
      <c r="Q278" s="352"/>
    </row>
    <row r="279">
      <c r="E279" s="341"/>
      <c r="F279" s="334" t="s">
        <v>296</v>
      </c>
      <c r="G279" s="335"/>
      <c r="H279" s="363" t="s">
        <v>281</v>
      </c>
      <c r="I279" s="363" t="s">
        <v>282</v>
      </c>
      <c r="J279" s="273" t="s">
        <v>104</v>
      </c>
      <c r="K279" s="273"/>
      <c r="L279" s="472" t="s">
        <v>106</v>
      </c>
      <c r="M279" s="273" t="s">
        <v>198</v>
      </c>
      <c r="N279" s="363" t="s">
        <v>283</v>
      </c>
      <c r="O279" s="365" t="str">
        <f>PARAMS("kv_dtype")</f>
        <v>fp8</v>
      </c>
      <c r="P279" s="366"/>
      <c r="Q279" s="365" t="b">
        <v>1</v>
      </c>
    </row>
    <row r="280">
      <c r="E280" s="341"/>
      <c r="F280" s="342"/>
      <c r="G280" s="343"/>
      <c r="H280" s="273" t="s">
        <v>285</v>
      </c>
      <c r="I280" s="363" t="s">
        <v>282</v>
      </c>
      <c r="J280" s="363">
        <f>PARAMS(J279)</f>
        <v>128</v>
      </c>
      <c r="K280" s="363"/>
      <c r="L280" s="363">
        <f t="shared" ref="L280:M280" si="51">PARAMS(L279)</f>
        <v>2560</v>
      </c>
      <c r="M280" s="363">
        <f t="shared" si="51"/>
        <v>512</v>
      </c>
      <c r="N280" s="363" t="s">
        <v>283</v>
      </c>
      <c r="O280" s="341"/>
      <c r="P280" s="366">
        <f>SIZEOF_IN_MIB(J280:M280, $O279)</f>
        <v>160</v>
      </c>
      <c r="Q280" s="341"/>
    </row>
    <row r="281">
      <c r="E281" s="341"/>
      <c r="F281" s="342"/>
      <c r="G281" s="343"/>
      <c r="H281" s="363" t="s">
        <v>287</v>
      </c>
      <c r="I281" s="363" t="s">
        <v>282</v>
      </c>
      <c r="J281" s="273" t="s">
        <v>196</v>
      </c>
      <c r="K281" s="364"/>
      <c r="L281" s="363"/>
      <c r="M281" s="363"/>
      <c r="N281" s="363" t="s">
        <v>283</v>
      </c>
      <c r="O281" s="341"/>
      <c r="P281" s="366"/>
      <c r="Q281" s="341"/>
    </row>
    <row r="282">
      <c r="E282" s="341"/>
      <c r="F282" s="353"/>
      <c r="G282" s="354"/>
      <c r="H282" s="349" t="s">
        <v>289</v>
      </c>
      <c r="I282" s="349" t="s">
        <v>282</v>
      </c>
      <c r="J282" s="349">
        <f>J280/SHARDING(J281)</f>
        <v>16</v>
      </c>
      <c r="K282" s="349"/>
      <c r="L282" s="349">
        <f t="shared" ref="L282:M282" si="52">L280/SHARDING(L281)</f>
        <v>2560</v>
      </c>
      <c r="M282" s="349">
        <f t="shared" si="52"/>
        <v>512</v>
      </c>
      <c r="N282" s="349" t="s">
        <v>283</v>
      </c>
      <c r="O282" s="316"/>
      <c r="P282" s="351">
        <f>SIZEOF_IN_MIB(J282:M282, $O279)</f>
        <v>20</v>
      </c>
      <c r="Q282" s="316"/>
    </row>
    <row r="283">
      <c r="E283" s="341"/>
      <c r="F283" s="334" t="s">
        <v>56</v>
      </c>
      <c r="G283" s="335"/>
      <c r="H283" s="346" t="s">
        <v>281</v>
      </c>
      <c r="I283" s="346" t="s">
        <v>282</v>
      </c>
      <c r="J283" s="344" t="s">
        <v>104</v>
      </c>
      <c r="K283" s="344" t="s">
        <v>102</v>
      </c>
      <c r="L283" s="344" t="s">
        <v>207</v>
      </c>
      <c r="M283" s="344" t="s">
        <v>198</v>
      </c>
      <c r="N283" s="346" t="s">
        <v>283</v>
      </c>
      <c r="O283" s="546" t="s">
        <v>133</v>
      </c>
      <c r="P283" s="348"/>
      <c r="Q283" s="473" t="b">
        <v>0</v>
      </c>
    </row>
    <row r="284">
      <c r="E284" s="341"/>
      <c r="F284" s="342"/>
      <c r="G284" s="343"/>
      <c r="H284" s="337" t="s">
        <v>285</v>
      </c>
      <c r="I284" s="349" t="s">
        <v>282</v>
      </c>
      <c r="J284" s="349">
        <f t="shared" ref="J284:M284" si="53">PARAMS(J283)</f>
        <v>128</v>
      </c>
      <c r="K284" s="349">
        <f t="shared" si="53"/>
        <v>1</v>
      </c>
      <c r="L284" s="349">
        <f t="shared" si="53"/>
        <v>128</v>
      </c>
      <c r="M284" s="349">
        <f t="shared" si="53"/>
        <v>512</v>
      </c>
      <c r="N284" s="349" t="s">
        <v>283</v>
      </c>
      <c r="O284" s="350"/>
      <c r="P284" s="351">
        <f>SIZEOF_IN_MIB(J284:M284, $O283)</f>
        <v>16</v>
      </c>
      <c r="Q284" s="350"/>
    </row>
    <row r="285">
      <c r="E285" s="341"/>
      <c r="F285" s="342"/>
      <c r="G285" s="343"/>
      <c r="H285" s="346" t="s">
        <v>287</v>
      </c>
      <c r="I285" s="346" t="s">
        <v>282</v>
      </c>
      <c r="J285" s="344" t="s">
        <v>196</v>
      </c>
      <c r="K285" s="344"/>
      <c r="L285" s="344"/>
      <c r="M285" s="346"/>
      <c r="N285" s="346" t="s">
        <v>283</v>
      </c>
      <c r="O285" s="347"/>
      <c r="P285" s="348"/>
      <c r="Q285" s="347"/>
    </row>
    <row r="286">
      <c r="E286" s="341"/>
      <c r="F286" s="353"/>
      <c r="G286" s="354"/>
      <c r="H286" s="349" t="s">
        <v>289</v>
      </c>
      <c r="I286" s="349" t="s">
        <v>282</v>
      </c>
      <c r="J286" s="349">
        <f t="shared" ref="J286:M286" si="54">J284/SHARDING(J285)</f>
        <v>16</v>
      </c>
      <c r="K286" s="349">
        <f t="shared" si="54"/>
        <v>1</v>
      </c>
      <c r="L286" s="349">
        <f t="shared" si="54"/>
        <v>128</v>
      </c>
      <c r="M286" s="349">
        <f t="shared" si="54"/>
        <v>512</v>
      </c>
      <c r="N286" s="349" t="s">
        <v>283</v>
      </c>
      <c r="O286" s="316"/>
      <c r="P286" s="351">
        <f>SIZEOF_IN_MIB(J286:M286, $O283)</f>
        <v>2</v>
      </c>
      <c r="Q286" s="316"/>
    </row>
    <row r="287">
      <c r="E287" s="341"/>
      <c r="F287" s="474" t="s">
        <v>335</v>
      </c>
      <c r="G287" s="459" t="s">
        <v>109</v>
      </c>
      <c r="H287" s="497"/>
      <c r="I287" s="498"/>
      <c r="J287" s="345"/>
      <c r="K287" s="345"/>
      <c r="L287" s="346"/>
      <c r="M287" s="346"/>
      <c r="N287" s="346"/>
      <c r="O287" s="345"/>
      <c r="P287" s="348"/>
      <c r="Q287" s="379"/>
    </row>
    <row r="288">
      <c r="E288" s="341"/>
      <c r="F288" s="352"/>
      <c r="G288" s="459"/>
      <c r="H288" s="349"/>
      <c r="I288" s="492"/>
      <c r="J288" s="336"/>
      <c r="K288" s="336"/>
      <c r="L288" s="349"/>
      <c r="M288" s="349"/>
      <c r="N288" s="349"/>
      <c r="O288" s="336"/>
      <c r="P288" s="351"/>
      <c r="Q288" s="298"/>
    </row>
    <row r="289">
      <c r="E289" s="341"/>
      <c r="F289" s="458" t="s">
        <v>327</v>
      </c>
      <c r="G289" s="459" t="s">
        <v>328</v>
      </c>
      <c r="H289" s="346" t="str">
        <f>VLOOKUP(O275&amp;","&amp;O279,$T$3:$W$12,4, FALSE)</f>
        <v>bf16</v>
      </c>
      <c r="I289" s="493"/>
      <c r="J289" s="345"/>
      <c r="K289" s="345"/>
      <c r="L289" s="346"/>
      <c r="M289" s="346"/>
      <c r="N289" s="346"/>
      <c r="O289" s="345"/>
      <c r="P289" s="348"/>
      <c r="Q289" s="379"/>
    </row>
    <row r="290">
      <c r="E290" s="341"/>
      <c r="F290" s="341"/>
      <c r="G290" s="455" t="s">
        <v>341</v>
      </c>
      <c r="H290" s="494">
        <f>CALCULATE_FLOPS(J278:M278,J282:M282,L282,J282,H289)</f>
        <v>5368709120</v>
      </c>
      <c r="I290" s="492"/>
      <c r="J290" s="336"/>
      <c r="K290" s="336"/>
      <c r="L290" s="349"/>
      <c r="M290" s="349"/>
      <c r="N290" s="349"/>
      <c r="O290" s="336"/>
      <c r="P290" s="351"/>
      <c r="Q290" s="298"/>
    </row>
    <row r="291">
      <c r="E291" s="341"/>
      <c r="F291" s="352"/>
      <c r="G291" s="462" t="s">
        <v>330</v>
      </c>
      <c r="H291" s="495">
        <f>COMPUTE_TIME_MS(H290, H289)</f>
        <v>0.002863311531</v>
      </c>
      <c r="I291" s="464"/>
      <c r="J291" s="465"/>
      <c r="K291" s="465"/>
      <c r="L291" s="466"/>
      <c r="M291" s="466"/>
      <c r="N291" s="466"/>
      <c r="O291" s="465"/>
      <c r="P291" s="467"/>
      <c r="Q291" s="379"/>
    </row>
    <row r="292">
      <c r="E292" s="341"/>
      <c r="F292" s="458" t="s">
        <v>331</v>
      </c>
      <c r="G292" s="455" t="s">
        <v>332</v>
      </c>
      <c r="H292" s="377">
        <f>IF(Q275,0,P278)+IF(Q279,0,P282)+IF(Q283,0,P286)</f>
        <v>2</v>
      </c>
      <c r="I292" s="336"/>
      <c r="J292" s="336"/>
      <c r="K292" s="336"/>
      <c r="L292" s="349"/>
      <c r="M292" s="349"/>
      <c r="N292" s="349"/>
      <c r="O292" s="336"/>
      <c r="P292" s="351"/>
      <c r="Q292" s="298"/>
    </row>
    <row r="293">
      <c r="E293" s="352"/>
      <c r="F293" s="352"/>
      <c r="G293" s="469" t="s">
        <v>333</v>
      </c>
      <c r="H293" s="547">
        <f>HBM_TIME_MS(H292)</f>
        <v>0.0002712673611</v>
      </c>
      <c r="I293" s="465"/>
      <c r="J293" s="465"/>
      <c r="K293" s="465"/>
      <c r="L293" s="466"/>
      <c r="M293" s="466"/>
      <c r="N293" s="466"/>
      <c r="O293" s="465"/>
      <c r="P293" s="467"/>
      <c r="Q293" s="379"/>
    </row>
    <row r="294">
      <c r="E294" s="333" t="s">
        <v>351</v>
      </c>
      <c r="F294" s="357" t="s">
        <v>292</v>
      </c>
      <c r="G294" s="335"/>
      <c r="H294" s="336" t="s">
        <v>281</v>
      </c>
      <c r="I294" s="336" t="s">
        <v>282</v>
      </c>
      <c r="J294" s="337" t="s">
        <v>104</v>
      </c>
      <c r="K294" s="337" t="s">
        <v>102</v>
      </c>
      <c r="L294" s="337" t="s">
        <v>207</v>
      </c>
      <c r="M294" s="499" t="s">
        <v>198</v>
      </c>
      <c r="N294" s="336" t="s">
        <v>283</v>
      </c>
      <c r="O294" s="338" t="str">
        <f>EXTRACT_ACTIVATION_DTYPE(PARAMS("attn_proj_dtype"))</f>
        <v>fp8</v>
      </c>
      <c r="P294" s="351"/>
      <c r="Q294" s="338" t="b">
        <v>0</v>
      </c>
    </row>
    <row r="295">
      <c r="E295" s="341"/>
      <c r="F295" s="342"/>
      <c r="G295" s="343"/>
      <c r="H295" s="344" t="s">
        <v>285</v>
      </c>
      <c r="I295" s="345" t="s">
        <v>282</v>
      </c>
      <c r="J295" s="346">
        <f t="shared" ref="J295:M295" si="55">PARAMS(J294)</f>
        <v>128</v>
      </c>
      <c r="K295" s="345">
        <f t="shared" si="55"/>
        <v>1</v>
      </c>
      <c r="L295" s="345">
        <f t="shared" si="55"/>
        <v>128</v>
      </c>
      <c r="M295" s="345">
        <f t="shared" si="55"/>
        <v>512</v>
      </c>
      <c r="N295" s="345" t="s">
        <v>283</v>
      </c>
      <c r="O295" s="347"/>
      <c r="P295" s="348">
        <f>SIZEOF_IN_MIB(J295:M295, $O294)</f>
        <v>8</v>
      </c>
      <c r="Q295" s="347"/>
    </row>
    <row r="296">
      <c r="E296" s="341"/>
      <c r="F296" s="342"/>
      <c r="G296" s="343"/>
      <c r="H296" s="349" t="s">
        <v>287</v>
      </c>
      <c r="I296" s="349" t="s">
        <v>282</v>
      </c>
      <c r="J296" s="337" t="s">
        <v>196</v>
      </c>
      <c r="K296" s="337"/>
      <c r="L296" s="337"/>
      <c r="M296" s="349"/>
      <c r="N296" s="349" t="s">
        <v>283</v>
      </c>
      <c r="O296" s="350"/>
      <c r="P296" s="351"/>
      <c r="Q296" s="350"/>
    </row>
    <row r="297">
      <c r="E297" s="341"/>
      <c r="F297" s="353"/>
      <c r="G297" s="354"/>
      <c r="H297" s="344" t="s">
        <v>289</v>
      </c>
      <c r="I297" s="346" t="s">
        <v>282</v>
      </c>
      <c r="J297" s="346">
        <f t="shared" ref="J297:M297" si="56">J295/SHARDING(J296)</f>
        <v>16</v>
      </c>
      <c r="K297" s="346">
        <f t="shared" si="56"/>
        <v>1</v>
      </c>
      <c r="L297" s="346">
        <f t="shared" si="56"/>
        <v>128</v>
      </c>
      <c r="M297" s="346">
        <f t="shared" si="56"/>
        <v>512</v>
      </c>
      <c r="N297" s="346" t="s">
        <v>283</v>
      </c>
      <c r="O297" s="355"/>
      <c r="P297" s="348">
        <f>SIZEOF_IN_MIB(J297:M297, $O294)</f>
        <v>1</v>
      </c>
      <c r="Q297" s="355"/>
    </row>
    <row r="298">
      <c r="E298" s="341"/>
      <c r="F298" s="334" t="s">
        <v>296</v>
      </c>
      <c r="G298" s="335"/>
      <c r="H298" s="349" t="s">
        <v>281</v>
      </c>
      <c r="I298" s="349" t="s">
        <v>282</v>
      </c>
      <c r="J298" s="336"/>
      <c r="K298" s="337" t="s">
        <v>207</v>
      </c>
      <c r="L298" s="337" t="s">
        <v>201</v>
      </c>
      <c r="M298" s="499" t="s">
        <v>198</v>
      </c>
      <c r="N298" s="349" t="s">
        <v>283</v>
      </c>
      <c r="O298" s="338" t="str">
        <f>EXTRACT_WEIGHT_DTYPE(PARAMS("attn_proj_dtype"))</f>
        <v>fp8</v>
      </c>
      <c r="P298" s="351"/>
      <c r="Q298" s="338" t="b">
        <v>0</v>
      </c>
    </row>
    <row r="299">
      <c r="E299" s="341"/>
      <c r="F299" s="342"/>
      <c r="G299" s="343"/>
      <c r="H299" s="344" t="s">
        <v>285</v>
      </c>
      <c r="I299" s="346" t="s">
        <v>282</v>
      </c>
      <c r="J299" s="345"/>
      <c r="K299" s="346">
        <f t="shared" ref="K299:M299" si="57">PARAMS(K298)</f>
        <v>128</v>
      </c>
      <c r="L299" s="346">
        <f t="shared" si="57"/>
        <v>128</v>
      </c>
      <c r="M299" s="346">
        <f t="shared" si="57"/>
        <v>512</v>
      </c>
      <c r="N299" s="346" t="s">
        <v>283</v>
      </c>
      <c r="O299" s="347"/>
      <c r="P299" s="348">
        <f>SIZEOF_IN_MIB(J299:M299, $O298)</f>
        <v>8</v>
      </c>
      <c r="Q299" s="347"/>
    </row>
    <row r="300">
      <c r="E300" s="341"/>
      <c r="F300" s="342"/>
      <c r="G300" s="343"/>
      <c r="H300" s="349" t="s">
        <v>287</v>
      </c>
      <c r="I300" s="349" t="s">
        <v>282</v>
      </c>
      <c r="J300" s="336"/>
      <c r="K300" s="336"/>
      <c r="L300" s="349"/>
      <c r="M300" s="349"/>
      <c r="N300" s="349" t="s">
        <v>283</v>
      </c>
      <c r="O300" s="350"/>
      <c r="P300" s="351"/>
      <c r="Q300" s="350"/>
    </row>
    <row r="301">
      <c r="E301" s="341"/>
      <c r="F301" s="353"/>
      <c r="G301" s="354"/>
      <c r="H301" s="346" t="s">
        <v>289</v>
      </c>
      <c r="I301" s="346" t="s">
        <v>282</v>
      </c>
      <c r="J301" s="345"/>
      <c r="K301" s="346">
        <f t="shared" ref="K301:M301" si="58">K299/SHARDING(K300)</f>
        <v>128</v>
      </c>
      <c r="L301" s="346">
        <f t="shared" si="58"/>
        <v>128</v>
      </c>
      <c r="M301" s="346">
        <f t="shared" si="58"/>
        <v>512</v>
      </c>
      <c r="N301" s="346" t="s">
        <v>283</v>
      </c>
      <c r="O301" s="355"/>
      <c r="P301" s="348">
        <f>SIZEOF_IN_MIB(J301:M301, $O298)</f>
        <v>8</v>
      </c>
      <c r="Q301" s="355"/>
    </row>
    <row r="302">
      <c r="E302" s="341"/>
      <c r="F302" s="334" t="s">
        <v>56</v>
      </c>
      <c r="G302" s="335"/>
      <c r="H302" s="349" t="s">
        <v>281</v>
      </c>
      <c r="I302" s="349" t="s">
        <v>282</v>
      </c>
      <c r="J302" s="337" t="s">
        <v>104</v>
      </c>
      <c r="K302" s="337" t="s">
        <v>102</v>
      </c>
      <c r="L302" s="337" t="s">
        <v>207</v>
      </c>
      <c r="M302" s="337" t="s">
        <v>201</v>
      </c>
      <c r="N302" s="349" t="s">
        <v>283</v>
      </c>
      <c r="O302" s="338" t="s">
        <v>133</v>
      </c>
      <c r="P302" s="351"/>
      <c r="Q302" s="338" t="b">
        <v>0</v>
      </c>
    </row>
    <row r="303">
      <c r="E303" s="341"/>
      <c r="F303" s="342"/>
      <c r="G303" s="343"/>
      <c r="H303" s="344" t="s">
        <v>285</v>
      </c>
      <c r="I303" s="346" t="s">
        <v>282</v>
      </c>
      <c r="J303" s="346">
        <f t="shared" ref="J303:M303" si="59">PARAMS(J302)</f>
        <v>128</v>
      </c>
      <c r="K303" s="346">
        <f t="shared" si="59"/>
        <v>1</v>
      </c>
      <c r="L303" s="346">
        <f t="shared" si="59"/>
        <v>128</v>
      </c>
      <c r="M303" s="346">
        <f t="shared" si="59"/>
        <v>128</v>
      </c>
      <c r="N303" s="346" t="s">
        <v>283</v>
      </c>
      <c r="O303" s="347"/>
      <c r="P303" s="348">
        <f>SIZEOF_IN_MIB(J303:M303, $O302)</f>
        <v>4</v>
      </c>
      <c r="Q303" s="347"/>
    </row>
    <row r="304">
      <c r="E304" s="341"/>
      <c r="F304" s="342"/>
      <c r="G304" s="343"/>
      <c r="H304" s="349" t="s">
        <v>287</v>
      </c>
      <c r="I304" s="349" t="s">
        <v>282</v>
      </c>
      <c r="J304" s="337" t="s">
        <v>196</v>
      </c>
      <c r="K304" s="337"/>
      <c r="L304" s="337"/>
      <c r="M304" s="349"/>
      <c r="N304" s="349" t="s">
        <v>283</v>
      </c>
      <c r="O304" s="350"/>
      <c r="P304" s="351"/>
      <c r="Q304" s="350"/>
    </row>
    <row r="305">
      <c r="E305" s="341"/>
      <c r="F305" s="353"/>
      <c r="G305" s="354"/>
      <c r="H305" s="346" t="s">
        <v>289</v>
      </c>
      <c r="I305" s="346" t="s">
        <v>282</v>
      </c>
      <c r="J305" s="346">
        <f t="shared" ref="J305:M305" si="60">J303/SHARDING(J304)</f>
        <v>16</v>
      </c>
      <c r="K305" s="346">
        <f t="shared" si="60"/>
        <v>1</v>
      </c>
      <c r="L305" s="346">
        <f t="shared" si="60"/>
        <v>128</v>
      </c>
      <c r="M305" s="346">
        <f t="shared" si="60"/>
        <v>128</v>
      </c>
      <c r="N305" s="346" t="s">
        <v>283</v>
      </c>
      <c r="O305" s="355"/>
      <c r="P305" s="348">
        <f>SIZEOF_IN_MIB(J305:M305, $O302)</f>
        <v>0.5</v>
      </c>
      <c r="Q305" s="355"/>
    </row>
    <row r="306">
      <c r="E306" s="341"/>
      <c r="F306" s="474" t="s">
        <v>335</v>
      </c>
      <c r="G306" s="459" t="s">
        <v>109</v>
      </c>
      <c r="H306" s="548"/>
      <c r="I306" s="549"/>
      <c r="J306" s="336"/>
      <c r="K306" s="336"/>
      <c r="L306" s="349"/>
      <c r="M306" s="349"/>
      <c r="N306" s="349"/>
      <c r="O306" s="336"/>
      <c r="P306" s="351"/>
      <c r="Q306" s="298"/>
    </row>
    <row r="307">
      <c r="E307" s="341"/>
      <c r="F307" s="352"/>
      <c r="G307" s="459"/>
      <c r="H307" s="346"/>
      <c r="I307" s="493"/>
      <c r="J307" s="345"/>
      <c r="K307" s="345"/>
      <c r="L307" s="346"/>
      <c r="M307" s="346"/>
      <c r="N307" s="346"/>
      <c r="O307" s="345"/>
      <c r="P307" s="348"/>
      <c r="Q307" s="379"/>
    </row>
    <row r="308">
      <c r="E308" s="341"/>
      <c r="F308" s="458" t="s">
        <v>327</v>
      </c>
      <c r="G308" s="459" t="s">
        <v>328</v>
      </c>
      <c r="H308" s="349" t="str">
        <f>VLOOKUP(O294&amp;","&amp;O298,$T$3:$W$12,4, FALSE)</f>
        <v>fp8</v>
      </c>
      <c r="I308" s="492"/>
      <c r="J308" s="336"/>
      <c r="K308" s="336"/>
      <c r="L308" s="349"/>
      <c r="M308" s="349"/>
      <c r="N308" s="349"/>
      <c r="O308" s="336"/>
      <c r="P308" s="351"/>
      <c r="Q308" s="298"/>
    </row>
    <row r="309">
      <c r="D309" s="805"/>
      <c r="E309" s="341"/>
      <c r="F309" s="341"/>
      <c r="G309" s="455" t="s">
        <v>341</v>
      </c>
      <c r="H309" s="550">
        <f>CALCULATE_FLOPS(J297:M297,J301:M301,M301,K301,H308)</f>
        <v>268435456</v>
      </c>
      <c r="I309" s="493"/>
      <c r="J309" s="345"/>
      <c r="K309" s="345"/>
      <c r="L309" s="346"/>
      <c r="M309" s="346"/>
      <c r="N309" s="346"/>
      <c r="O309" s="345"/>
      <c r="P309" s="348"/>
      <c r="Q309" s="379"/>
    </row>
    <row r="310">
      <c r="E310" s="341"/>
      <c r="F310" s="352"/>
      <c r="G310" s="462" t="s">
        <v>330</v>
      </c>
      <c r="H310" s="495">
        <f>COMPUTE_TIME_MS(H309, H308)</f>
        <v>0.00007158278827</v>
      </c>
      <c r="I310" s="464"/>
      <c r="J310" s="465"/>
      <c r="K310" s="465"/>
      <c r="L310" s="466"/>
      <c r="M310" s="466"/>
      <c r="N310" s="466"/>
      <c r="O310" s="465"/>
      <c r="P310" s="467"/>
      <c r="Q310" s="298"/>
    </row>
    <row r="311">
      <c r="C311" s="805"/>
      <c r="E311" s="341"/>
      <c r="F311" s="458" t="s">
        <v>331</v>
      </c>
      <c r="G311" s="455" t="s">
        <v>332</v>
      </c>
      <c r="H311" s="509">
        <f>IF(Q294,0,P297)+IF(Q298,0,P301)+IF(Q302,0,P305)</f>
        <v>9.5</v>
      </c>
      <c r="I311" s="345"/>
      <c r="J311" s="345"/>
      <c r="K311" s="345"/>
      <c r="L311" s="346"/>
      <c r="M311" s="346"/>
      <c r="N311" s="346"/>
      <c r="O311" s="345"/>
      <c r="P311" s="348"/>
      <c r="Q311" s="379"/>
    </row>
    <row r="312">
      <c r="E312" s="352"/>
      <c r="F312" s="352"/>
      <c r="G312" s="469" t="s">
        <v>333</v>
      </c>
      <c r="H312" s="500">
        <f>HBM_TIME_MS(H311)</f>
        <v>0.001288519965</v>
      </c>
      <c r="I312" s="465"/>
      <c r="J312" s="465"/>
      <c r="K312" s="465"/>
      <c r="L312" s="466"/>
      <c r="M312" s="466"/>
      <c r="N312" s="466"/>
      <c r="O312" s="465"/>
      <c r="P312" s="467"/>
      <c r="Q312" s="298"/>
    </row>
    <row r="313">
      <c r="E313" s="333" t="s">
        <v>352</v>
      </c>
      <c r="F313" s="551" t="s">
        <v>353</v>
      </c>
      <c r="G313" s="424"/>
      <c r="H313" s="552" t="s">
        <v>354</v>
      </c>
      <c r="I313" s="448"/>
      <c r="J313" s="553"/>
      <c r="K313" s="553"/>
      <c r="L313" s="553"/>
      <c r="M313" s="446"/>
      <c r="N313" s="448"/>
      <c r="O313" s="553"/>
      <c r="P313" s="451"/>
      <c r="Q313" s="553"/>
    </row>
    <row r="314">
      <c r="E314" s="341"/>
      <c r="F314" s="334" t="s">
        <v>301</v>
      </c>
      <c r="G314" s="335"/>
      <c r="H314" s="336" t="s">
        <v>281</v>
      </c>
      <c r="I314" s="336" t="s">
        <v>282</v>
      </c>
      <c r="J314" s="337" t="s">
        <v>104</v>
      </c>
      <c r="K314" s="337" t="s">
        <v>102</v>
      </c>
      <c r="L314" s="337" t="s">
        <v>207</v>
      </c>
      <c r="M314" s="499" t="s">
        <v>198</v>
      </c>
      <c r="N314" s="336" t="s">
        <v>283</v>
      </c>
      <c r="O314" s="338" t="str">
        <f>EXTRACT_ACTIVATION_DTYPE(PARAMS("attn_proj_dtype"))</f>
        <v>fp8</v>
      </c>
      <c r="P314" s="351"/>
      <c r="Q314" s="338"/>
    </row>
    <row r="315">
      <c r="E315" s="341"/>
      <c r="F315" s="342"/>
      <c r="G315" s="343"/>
      <c r="H315" s="344" t="s">
        <v>285</v>
      </c>
      <c r="I315" s="345" t="s">
        <v>282</v>
      </c>
      <c r="J315" s="346">
        <f t="shared" ref="J315:M315" si="61">PARAMS(J314)</f>
        <v>128</v>
      </c>
      <c r="K315" s="345">
        <f t="shared" si="61"/>
        <v>1</v>
      </c>
      <c r="L315" s="345">
        <f t="shared" si="61"/>
        <v>128</v>
      </c>
      <c r="M315" s="345">
        <f t="shared" si="61"/>
        <v>512</v>
      </c>
      <c r="N315" s="345" t="s">
        <v>283</v>
      </c>
      <c r="O315" s="347"/>
      <c r="P315" s="348">
        <f>SIZEOF_IN_MIB(J315:M315, $O314)</f>
        <v>8</v>
      </c>
      <c r="Q315" s="347"/>
    </row>
    <row r="316">
      <c r="E316" s="341"/>
      <c r="F316" s="342"/>
      <c r="G316" s="343"/>
      <c r="H316" s="349" t="s">
        <v>287</v>
      </c>
      <c r="I316" s="349" t="s">
        <v>282</v>
      </c>
      <c r="J316" s="337" t="s">
        <v>196</v>
      </c>
      <c r="K316" s="337"/>
      <c r="L316" s="337"/>
      <c r="M316" s="349"/>
      <c r="N316" s="349" t="s">
        <v>283</v>
      </c>
      <c r="O316" s="350"/>
      <c r="P316" s="351"/>
      <c r="Q316" s="350"/>
    </row>
    <row r="317">
      <c r="E317" s="341"/>
      <c r="F317" s="342"/>
      <c r="G317" s="343"/>
      <c r="H317" s="344" t="s">
        <v>289</v>
      </c>
      <c r="I317" s="346" t="s">
        <v>282</v>
      </c>
      <c r="J317" s="346">
        <f t="shared" ref="J317:M317" si="62">J315/SHARDING(J316)</f>
        <v>16</v>
      </c>
      <c r="K317" s="346">
        <f t="shared" si="62"/>
        <v>1</v>
      </c>
      <c r="L317" s="346">
        <f t="shared" si="62"/>
        <v>128</v>
      </c>
      <c r="M317" s="346">
        <f t="shared" si="62"/>
        <v>512</v>
      </c>
      <c r="N317" s="346" t="s">
        <v>283</v>
      </c>
      <c r="O317" s="355"/>
      <c r="P317" s="348">
        <f>SIZEOF_IN_MIB(J317:M317, $O314)</f>
        <v>1</v>
      </c>
      <c r="Q317" s="355"/>
    </row>
    <row r="318">
      <c r="E318" s="341"/>
      <c r="F318" s="353"/>
      <c r="G318" s="354"/>
      <c r="H318" s="337" t="s">
        <v>304</v>
      </c>
      <c r="I318" s="349"/>
      <c r="J318" s="337" t="s">
        <v>96</v>
      </c>
      <c r="K318" s="337"/>
      <c r="L318" s="337"/>
      <c r="M318" s="499"/>
      <c r="N318" s="349"/>
      <c r="O318" s="337"/>
      <c r="P318" s="351"/>
      <c r="Q318" s="337"/>
    </row>
    <row r="319">
      <c r="E319" s="341"/>
      <c r="F319" s="426" t="s">
        <v>319</v>
      </c>
      <c r="G319" s="554" t="s">
        <v>97</v>
      </c>
      <c r="H319" s="388"/>
      <c r="I319" s="555"/>
      <c r="J319" s="345"/>
      <c r="K319" s="344"/>
      <c r="L319" s="344"/>
      <c r="M319" s="556"/>
      <c r="N319" s="346"/>
      <c r="O319" s="473"/>
      <c r="P319" s="348"/>
      <c r="Q319" s="473"/>
    </row>
    <row r="320">
      <c r="E320" s="341"/>
      <c r="F320" s="432" t="s">
        <v>320</v>
      </c>
      <c r="G320" s="557" t="s">
        <v>306</v>
      </c>
      <c r="H320" s="558">
        <f>HW_SPEC("# of TensorCore per Chip")</f>
        <v>1</v>
      </c>
      <c r="J320" s="336"/>
      <c r="K320" s="349"/>
      <c r="L320" s="349"/>
      <c r="M320" s="349"/>
      <c r="N320" s="349"/>
      <c r="O320" s="350"/>
      <c r="P320" s="351"/>
      <c r="Q320" s="350"/>
    </row>
    <row r="321">
      <c r="E321" s="341"/>
      <c r="F321" s="341"/>
      <c r="G321" s="559" t="s">
        <v>307</v>
      </c>
      <c r="H321" s="395">
        <f>P317*(H320-1)</f>
        <v>0</v>
      </c>
      <c r="J321" s="345"/>
      <c r="K321" s="345"/>
      <c r="L321" s="346"/>
      <c r="M321" s="346"/>
      <c r="N321" s="346"/>
      <c r="O321" s="347"/>
      <c r="P321" s="348"/>
      <c r="Q321" s="347"/>
    </row>
    <row r="322">
      <c r="E322" s="341"/>
      <c r="F322" s="341"/>
      <c r="G322" s="557" t="s">
        <v>308</v>
      </c>
      <c r="H322" s="390">
        <f>H321*H320</f>
        <v>0</v>
      </c>
      <c r="J322" s="336"/>
      <c r="K322" s="349"/>
      <c r="L322" s="349"/>
      <c r="M322" s="349"/>
      <c r="N322" s="349"/>
      <c r="O322" s="316"/>
      <c r="P322" s="351"/>
      <c r="Q322" s="316"/>
    </row>
    <row r="323">
      <c r="E323" s="341"/>
      <c r="F323" s="352"/>
      <c r="G323" s="559" t="s">
        <v>311</v>
      </c>
      <c r="H323" s="560">
        <f>ALL_GATHER_CORE2CORE_TIME_MS(H322)</f>
        <v>0</v>
      </c>
      <c r="J323" s="344"/>
      <c r="K323" s="344"/>
      <c r="L323" s="344"/>
      <c r="M323" s="344"/>
      <c r="N323" s="346"/>
      <c r="O323" s="473"/>
      <c r="P323" s="348"/>
      <c r="Q323" s="473"/>
    </row>
    <row r="324">
      <c r="E324" s="341"/>
      <c r="F324" s="487" t="s">
        <v>340</v>
      </c>
      <c r="G324" s="561">
        <f>H323</f>
        <v>0</v>
      </c>
      <c r="H324" s="562"/>
      <c r="I324" s="405"/>
      <c r="J324" s="349"/>
      <c r="K324" s="349"/>
      <c r="L324" s="349"/>
      <c r="M324" s="349"/>
      <c r="N324" s="349"/>
      <c r="O324" s="563"/>
      <c r="P324" s="351"/>
      <c r="Q324" s="316"/>
    </row>
    <row r="325">
      <c r="E325" s="341"/>
      <c r="F325" s="564"/>
      <c r="G325" s="565"/>
      <c r="H325" s="566"/>
      <c r="I325" s="465"/>
      <c r="J325" s="465"/>
      <c r="K325" s="465"/>
      <c r="L325" s="466"/>
      <c r="M325" s="466"/>
      <c r="N325" s="466"/>
      <c r="O325" s="567"/>
      <c r="P325" s="467"/>
      <c r="Q325" s="379"/>
    </row>
    <row r="326">
      <c r="E326" s="341"/>
      <c r="F326" s="568" t="s">
        <v>322</v>
      </c>
      <c r="G326" s="569" t="s">
        <v>323</v>
      </c>
      <c r="H326" s="570"/>
      <c r="I326" s="448"/>
      <c r="J326" s="448"/>
      <c r="K326" s="448"/>
      <c r="L326" s="449"/>
      <c r="M326" s="449"/>
      <c r="N326" s="449"/>
      <c r="O326" s="571"/>
      <c r="P326" s="451"/>
      <c r="Q326" s="572"/>
    </row>
    <row r="327">
      <c r="E327" s="352"/>
      <c r="F327" s="568" t="s">
        <v>340</v>
      </c>
      <c r="G327" s="573">
        <f>IF(G326=F313,G324,0)</f>
        <v>0</v>
      </c>
      <c r="H327" s="570"/>
      <c r="I327" s="448"/>
      <c r="J327" s="448"/>
      <c r="K327" s="448"/>
      <c r="L327" s="449"/>
      <c r="M327" s="449"/>
      <c r="N327" s="449"/>
      <c r="O327" s="448"/>
      <c r="P327" s="451"/>
      <c r="Q327" s="572"/>
    </row>
    <row r="328">
      <c r="E328" s="333" t="s">
        <v>355</v>
      </c>
      <c r="F328" s="357" t="s">
        <v>292</v>
      </c>
      <c r="G328" s="335"/>
      <c r="H328" s="336" t="s">
        <v>281</v>
      </c>
      <c r="I328" s="336" t="s">
        <v>282</v>
      </c>
      <c r="J328" s="337" t="s">
        <v>104</v>
      </c>
      <c r="K328" s="337" t="s">
        <v>102</v>
      </c>
      <c r="L328" s="499" t="s">
        <v>207</v>
      </c>
      <c r="M328" s="499" t="s">
        <v>201</v>
      </c>
      <c r="N328" s="336" t="s">
        <v>283</v>
      </c>
      <c r="O328" s="338" t="str">
        <f>EXTRACT_ACTIVATION_DTYPE(PARAMS("attn_oproj_dtype"))</f>
        <v>fp8</v>
      </c>
      <c r="P328" s="351"/>
      <c r="Q328" s="338" t="b">
        <v>0</v>
      </c>
    </row>
    <row r="329">
      <c r="E329" s="341"/>
      <c r="F329" s="342"/>
      <c r="G329" s="343"/>
      <c r="H329" s="344" t="s">
        <v>285</v>
      </c>
      <c r="I329" s="345" t="s">
        <v>282</v>
      </c>
      <c r="J329" s="346">
        <f t="shared" ref="J329:M329" si="63">PARAMS(J328)</f>
        <v>128</v>
      </c>
      <c r="K329" s="345">
        <f t="shared" si="63"/>
        <v>1</v>
      </c>
      <c r="L329" s="345">
        <f t="shared" si="63"/>
        <v>128</v>
      </c>
      <c r="M329" s="345">
        <f t="shared" si="63"/>
        <v>128</v>
      </c>
      <c r="N329" s="345" t="s">
        <v>283</v>
      </c>
      <c r="O329" s="347"/>
      <c r="P329" s="348">
        <f>SIZEOF_IN_MIB(J329:M329, $O328)</f>
        <v>2</v>
      </c>
      <c r="Q329" s="347"/>
    </row>
    <row r="330">
      <c r="E330" s="341"/>
      <c r="F330" s="342"/>
      <c r="G330" s="343"/>
      <c r="H330" s="349" t="s">
        <v>287</v>
      </c>
      <c r="I330" s="349" t="s">
        <v>282</v>
      </c>
      <c r="J330" s="337" t="s">
        <v>196</v>
      </c>
      <c r="K330" s="337"/>
      <c r="L330" s="337"/>
      <c r="M330" s="349"/>
      <c r="N330" s="349" t="s">
        <v>283</v>
      </c>
      <c r="O330" s="350"/>
      <c r="P330" s="351"/>
      <c r="Q330" s="350"/>
    </row>
    <row r="331">
      <c r="E331" s="341"/>
      <c r="F331" s="353"/>
      <c r="G331" s="354"/>
      <c r="H331" s="344" t="s">
        <v>289</v>
      </c>
      <c r="I331" s="346" t="s">
        <v>282</v>
      </c>
      <c r="J331" s="346">
        <f t="shared" ref="J331:M331" si="64">J329/SHARDING(J330)</f>
        <v>16</v>
      </c>
      <c r="K331" s="346">
        <f t="shared" si="64"/>
        <v>1</v>
      </c>
      <c r="L331" s="346">
        <f t="shared" si="64"/>
        <v>128</v>
      </c>
      <c r="M331" s="346">
        <f t="shared" si="64"/>
        <v>128</v>
      </c>
      <c r="N331" s="346" t="s">
        <v>283</v>
      </c>
      <c r="O331" s="355"/>
      <c r="P331" s="348">
        <f>SIZEOF_IN_MIB(J331:M331, $O328)</f>
        <v>0.25</v>
      </c>
      <c r="Q331" s="355"/>
    </row>
    <row r="332">
      <c r="E332" s="341"/>
      <c r="F332" s="334" t="s">
        <v>296</v>
      </c>
      <c r="G332" s="335"/>
      <c r="H332" s="349" t="s">
        <v>281</v>
      </c>
      <c r="I332" s="349" t="s">
        <v>282</v>
      </c>
      <c r="J332" s="336"/>
      <c r="K332" s="499" t="s">
        <v>207</v>
      </c>
      <c r="L332" s="499" t="s">
        <v>201</v>
      </c>
      <c r="M332" s="337" t="s">
        <v>178</v>
      </c>
      <c r="N332" s="349" t="s">
        <v>283</v>
      </c>
      <c r="O332" s="338" t="str">
        <f>EXTRACT_WEIGHT_DTYPE(PARAMS("attn_oproj_dtype"))</f>
        <v>fp8</v>
      </c>
      <c r="P332" s="351"/>
      <c r="Q332" s="338" t="b">
        <v>0</v>
      </c>
    </row>
    <row r="333">
      <c r="E333" s="341"/>
      <c r="F333" s="342"/>
      <c r="G333" s="343"/>
      <c r="H333" s="344" t="s">
        <v>285</v>
      </c>
      <c r="I333" s="346" t="s">
        <v>282</v>
      </c>
      <c r="J333" s="345"/>
      <c r="K333" s="346">
        <f t="shared" ref="K333:M333" si="65">PARAMS(K332)</f>
        <v>128</v>
      </c>
      <c r="L333" s="346">
        <f t="shared" si="65"/>
        <v>128</v>
      </c>
      <c r="M333" s="346">
        <f t="shared" si="65"/>
        <v>7168</v>
      </c>
      <c r="N333" s="346" t="s">
        <v>283</v>
      </c>
      <c r="O333" s="347"/>
      <c r="P333" s="348">
        <f>SIZEOF_IN_MIB(J333:M333, $O332)</f>
        <v>112</v>
      </c>
      <c r="Q333" s="347"/>
    </row>
    <row r="334">
      <c r="E334" s="341"/>
      <c r="F334" s="342"/>
      <c r="G334" s="343"/>
      <c r="H334" s="349" t="s">
        <v>287</v>
      </c>
      <c r="I334" s="349" t="s">
        <v>282</v>
      </c>
      <c r="J334" s="336"/>
      <c r="K334" s="336"/>
      <c r="L334" s="349"/>
      <c r="M334" s="349"/>
      <c r="N334" s="349" t="s">
        <v>283</v>
      </c>
      <c r="O334" s="350"/>
      <c r="P334" s="351"/>
      <c r="Q334" s="350"/>
    </row>
    <row r="335">
      <c r="E335" s="341"/>
      <c r="F335" s="353"/>
      <c r="G335" s="354"/>
      <c r="H335" s="346" t="s">
        <v>289</v>
      </c>
      <c r="I335" s="346" t="s">
        <v>282</v>
      </c>
      <c r="J335" s="345"/>
      <c r="K335" s="346">
        <f t="shared" ref="K335:M335" si="66">K333/SHARDING(K334)</f>
        <v>128</v>
      </c>
      <c r="L335" s="346">
        <f t="shared" si="66"/>
        <v>128</v>
      </c>
      <c r="M335" s="346">
        <f t="shared" si="66"/>
        <v>7168</v>
      </c>
      <c r="N335" s="346" t="s">
        <v>283</v>
      </c>
      <c r="O335" s="355"/>
      <c r="P335" s="348">
        <f>SIZEOF_IN_MIB(J335:M335, $O332)</f>
        <v>112</v>
      </c>
      <c r="Q335" s="355"/>
    </row>
    <row r="336">
      <c r="E336" s="341"/>
      <c r="F336" s="334" t="s">
        <v>56</v>
      </c>
      <c r="G336" s="335"/>
      <c r="H336" s="349" t="s">
        <v>281</v>
      </c>
      <c r="I336" s="349" t="s">
        <v>282</v>
      </c>
      <c r="J336" s="336"/>
      <c r="K336" s="337" t="s">
        <v>104</v>
      </c>
      <c r="L336" s="337" t="s">
        <v>102</v>
      </c>
      <c r="M336" s="337" t="s">
        <v>178</v>
      </c>
      <c r="N336" s="349" t="s">
        <v>283</v>
      </c>
      <c r="O336" s="338" t="s">
        <v>133</v>
      </c>
      <c r="P336" s="351"/>
      <c r="Q336" s="338" t="b">
        <v>0</v>
      </c>
    </row>
    <row r="337">
      <c r="A337" s="181" t="s">
        <v>436</v>
      </c>
      <c r="B337" s="66">
        <f>128*512*7168/1024/1024</f>
        <v>448</v>
      </c>
      <c r="E337" s="341"/>
      <c r="F337" s="342"/>
      <c r="G337" s="343"/>
      <c r="H337" s="344" t="s">
        <v>285</v>
      </c>
      <c r="I337" s="346" t="s">
        <v>282</v>
      </c>
      <c r="J337" s="345"/>
      <c r="K337" s="346">
        <f t="shared" ref="K337:M337" si="67">PARAMS(K336)</f>
        <v>128</v>
      </c>
      <c r="L337" s="346">
        <f t="shared" si="67"/>
        <v>1</v>
      </c>
      <c r="M337" s="346">
        <f t="shared" si="67"/>
        <v>7168</v>
      </c>
      <c r="N337" s="346" t="s">
        <v>283</v>
      </c>
      <c r="O337" s="347"/>
      <c r="P337" s="348">
        <f>SIZEOF_IN_MIB(K337:M337, $O336)</f>
        <v>1.75</v>
      </c>
      <c r="Q337" s="347"/>
    </row>
    <row r="338">
      <c r="E338" s="341"/>
      <c r="F338" s="342"/>
      <c r="G338" s="343"/>
      <c r="H338" s="349" t="s">
        <v>287</v>
      </c>
      <c r="I338" s="349" t="s">
        <v>282</v>
      </c>
      <c r="J338" s="336"/>
      <c r="K338" s="337" t="s">
        <v>196</v>
      </c>
      <c r="L338" s="337"/>
      <c r="M338" s="349"/>
      <c r="N338" s="349" t="s">
        <v>283</v>
      </c>
      <c r="O338" s="350"/>
      <c r="P338" s="351"/>
      <c r="Q338" s="350"/>
    </row>
    <row r="339">
      <c r="B339" s="66">
        <f>128*128*7168</f>
        <v>117440512</v>
      </c>
      <c r="E339" s="341"/>
      <c r="F339" s="353"/>
      <c r="G339" s="354"/>
      <c r="H339" s="346" t="s">
        <v>289</v>
      </c>
      <c r="I339" s="346" t="s">
        <v>282</v>
      </c>
      <c r="J339" s="346"/>
      <c r="K339" s="346">
        <f t="shared" ref="K339:M339" si="68">K337/SHARDING(K338)</f>
        <v>16</v>
      </c>
      <c r="L339" s="346">
        <f t="shared" si="68"/>
        <v>1</v>
      </c>
      <c r="M339" s="346">
        <f t="shared" si="68"/>
        <v>7168</v>
      </c>
      <c r="N339" s="346" t="s">
        <v>283</v>
      </c>
      <c r="O339" s="355"/>
      <c r="P339" s="348">
        <f>SIZEOF_IN_MIB(K339:M339, $O336)</f>
        <v>0.21875</v>
      </c>
      <c r="Q339" s="355"/>
    </row>
    <row r="340">
      <c r="B340" s="66">
        <f>128*128*512</f>
        <v>8388608</v>
      </c>
      <c r="E340" s="341"/>
      <c r="F340" s="474" t="s">
        <v>335</v>
      </c>
      <c r="G340" s="423" t="s">
        <v>356</v>
      </c>
      <c r="H340" s="424"/>
      <c r="I340" s="382"/>
      <c r="J340" s="574" t="s">
        <v>357</v>
      </c>
      <c r="K340" s="382"/>
      <c r="L340" s="383"/>
      <c r="M340" s="383"/>
      <c r="N340" s="383"/>
      <c r="O340" s="382"/>
      <c r="P340" s="384"/>
      <c r="Q340" s="382"/>
    </row>
    <row r="341">
      <c r="B341" s="66">
        <f>sum(B339:B340)/1024/1024</f>
        <v>120</v>
      </c>
      <c r="E341" s="341"/>
      <c r="F341" s="341"/>
      <c r="G341" s="426" t="s">
        <v>319</v>
      </c>
      <c r="H341" s="575" t="s">
        <v>97</v>
      </c>
      <c r="I341" s="482"/>
      <c r="J341" s="555"/>
      <c r="K341" s="387"/>
      <c r="L341" s="388"/>
      <c r="M341" s="388"/>
      <c r="N341" s="388"/>
      <c r="O341" s="387"/>
      <c r="P341" s="389"/>
      <c r="Q341" s="387"/>
    </row>
    <row r="342">
      <c r="E342" s="341"/>
      <c r="F342" s="341"/>
      <c r="G342" s="432" t="s">
        <v>320</v>
      </c>
      <c r="H342" s="576" t="s">
        <v>358</v>
      </c>
      <c r="I342" s="479"/>
      <c r="J342" s="558">
        <f>SHARDING(H341)</f>
        <v>8</v>
      </c>
      <c r="K342" s="391"/>
      <c r="L342" s="392"/>
      <c r="M342" s="392"/>
      <c r="N342" s="392"/>
      <c r="O342" s="391"/>
      <c r="P342" s="393"/>
      <c r="Q342" s="391"/>
    </row>
    <row r="343">
      <c r="E343" s="341"/>
      <c r="F343" s="341"/>
      <c r="G343" s="341"/>
      <c r="H343" s="481" t="s">
        <v>307</v>
      </c>
      <c r="I343" s="482"/>
      <c r="J343" s="395">
        <f>P331 * (J342-1)</f>
        <v>1.75</v>
      </c>
      <c r="K343" s="387"/>
      <c r="L343" s="388"/>
      <c r="M343" s="388"/>
      <c r="N343" s="388"/>
      <c r="O343" s="387"/>
      <c r="P343" s="389"/>
      <c r="Q343" s="387"/>
    </row>
    <row r="344">
      <c r="E344" s="341"/>
      <c r="F344" s="341"/>
      <c r="G344" s="341"/>
      <c r="H344" s="485" t="s">
        <v>308</v>
      </c>
      <c r="I344" s="479"/>
      <c r="J344" s="390">
        <f>J343*J342</f>
        <v>14</v>
      </c>
      <c r="K344" s="391"/>
      <c r="L344" s="392"/>
      <c r="M344" s="392"/>
      <c r="N344" s="392"/>
      <c r="O344" s="391"/>
      <c r="P344" s="393"/>
      <c r="Q344" s="391"/>
    </row>
    <row r="345">
      <c r="E345" s="341"/>
      <c r="F345" s="341"/>
      <c r="G345" s="352"/>
      <c r="H345" s="481" t="s">
        <v>311</v>
      </c>
      <c r="I345" s="482"/>
      <c r="J345" s="560">
        <f>ALL_GATHER_CORE2CORE_TIME_MS(J344)</f>
        <v>0.007595486111</v>
      </c>
      <c r="K345" s="387"/>
      <c r="L345" s="388"/>
      <c r="M345" s="388"/>
      <c r="N345" s="388"/>
      <c r="O345" s="387"/>
      <c r="P345" s="389"/>
      <c r="Q345" s="387"/>
    </row>
    <row r="346">
      <c r="E346" s="341"/>
      <c r="F346" s="341"/>
      <c r="G346" s="487" t="s">
        <v>340</v>
      </c>
      <c r="H346" s="577">
        <f>J345</f>
        <v>0.007595486111</v>
      </c>
      <c r="I346" s="562"/>
      <c r="J346" s="404"/>
      <c r="K346" s="404"/>
      <c r="L346" s="405"/>
      <c r="M346" s="405"/>
      <c r="N346" s="405"/>
      <c r="O346" s="404"/>
      <c r="P346" s="480"/>
      <c r="Q346" s="391"/>
    </row>
    <row r="347">
      <c r="E347" s="341"/>
      <c r="F347" s="341"/>
      <c r="G347" s="459"/>
      <c r="H347" s="346"/>
      <c r="I347" s="493"/>
      <c r="J347" s="345"/>
      <c r="K347" s="345"/>
      <c r="L347" s="346"/>
      <c r="M347" s="346"/>
      <c r="N347" s="346"/>
      <c r="O347" s="345"/>
      <c r="P347" s="578"/>
      <c r="Q347" s="379"/>
    </row>
    <row r="348">
      <c r="E348" s="341"/>
      <c r="F348" s="341"/>
      <c r="G348" s="579" t="s">
        <v>322</v>
      </c>
      <c r="H348" s="580" t="s">
        <v>323</v>
      </c>
      <c r="I348" s="581"/>
      <c r="J348" s="448"/>
      <c r="K348" s="448"/>
      <c r="L348" s="449"/>
      <c r="M348" s="449"/>
      <c r="N348" s="449"/>
      <c r="O348" s="448"/>
      <c r="P348" s="582"/>
      <c r="Q348" s="572"/>
    </row>
    <row r="349">
      <c r="E349" s="341"/>
      <c r="F349" s="352"/>
      <c r="G349" s="579" t="s">
        <v>340</v>
      </c>
      <c r="H349" s="583">
        <f>IF(G340=H348,H346,0)</f>
        <v>0</v>
      </c>
      <c r="I349" s="581"/>
      <c r="J349" s="448"/>
      <c r="K349" s="448"/>
      <c r="L349" s="449"/>
      <c r="M349" s="449"/>
      <c r="N349" s="449"/>
      <c r="O349" s="448"/>
      <c r="P349" s="582"/>
      <c r="Q349" s="572"/>
    </row>
    <row r="350">
      <c r="E350" s="341"/>
      <c r="F350" s="458" t="s">
        <v>327</v>
      </c>
      <c r="G350" s="459" t="s">
        <v>328</v>
      </c>
      <c r="H350" s="349" t="str">
        <f>VLOOKUP(O328&amp;","&amp;O332,$T$3:$W$12,4, FALSE)</f>
        <v>fp8</v>
      </c>
      <c r="I350" s="492"/>
      <c r="J350" s="336"/>
      <c r="K350" s="336"/>
      <c r="L350" s="349"/>
      <c r="M350" s="349"/>
      <c r="N350" s="349"/>
      <c r="O350" s="336"/>
      <c r="P350" s="339"/>
      <c r="Q350" s="298"/>
    </row>
    <row r="351">
      <c r="E351" s="341"/>
      <c r="F351" s="341"/>
      <c r="G351" s="455" t="s">
        <v>341</v>
      </c>
      <c r="H351" s="550">
        <f>CALCULATE_FLOPS(J331:M331,J335:M335,K335:L335,1,H350)</f>
        <v>3758096384</v>
      </c>
      <c r="I351" s="584" t="s">
        <v>359</v>
      </c>
      <c r="J351" s="345"/>
      <c r="K351" s="345"/>
      <c r="L351" s="346"/>
      <c r="M351" s="346"/>
      <c r="N351" s="346"/>
      <c r="O351" s="345"/>
      <c r="P351" s="578"/>
      <c r="Q351" s="379"/>
    </row>
    <row r="352">
      <c r="E352" s="341"/>
      <c r="F352" s="352"/>
      <c r="G352" s="462" t="s">
        <v>330</v>
      </c>
      <c r="H352" s="585">
        <f>COMPUTE_TIME_MS(H351, H350)</f>
        <v>0.001002159036</v>
      </c>
      <c r="I352" s="464"/>
      <c r="J352" s="465"/>
      <c r="K352" s="465"/>
      <c r="L352" s="466"/>
      <c r="M352" s="466"/>
      <c r="N352" s="466"/>
      <c r="O352" s="465"/>
      <c r="P352" s="586"/>
      <c r="Q352" s="298"/>
    </row>
    <row r="353">
      <c r="E353" s="341"/>
      <c r="F353" s="458" t="s">
        <v>331</v>
      </c>
      <c r="G353" s="455" t="s">
        <v>332</v>
      </c>
      <c r="H353" s="509">
        <f>IF(Q328,0,P331)+IF(Q332,0,P335)+IF(Q336,0,P339)</f>
        <v>112.46875</v>
      </c>
      <c r="I353" s="345"/>
      <c r="J353" s="345"/>
      <c r="K353" s="345"/>
      <c r="L353" s="346"/>
      <c r="M353" s="346"/>
      <c r="N353" s="346"/>
      <c r="O353" s="345"/>
      <c r="P353" s="578"/>
      <c r="Q353" s="379"/>
    </row>
    <row r="354">
      <c r="E354" s="352"/>
      <c r="F354" s="352"/>
      <c r="G354" s="469" t="s">
        <v>333</v>
      </c>
      <c r="H354" s="547">
        <f>HBM_TIME_MS(H353)</f>
        <v>0.01525455051</v>
      </c>
      <c r="I354" s="465"/>
      <c r="J354" s="465"/>
      <c r="K354" s="465"/>
      <c r="L354" s="466"/>
      <c r="M354" s="466"/>
      <c r="N354" s="466"/>
      <c r="O354" s="465"/>
      <c r="P354" s="586"/>
      <c r="Q354" s="11"/>
    </row>
    <row r="358">
      <c r="E358" s="281" t="s">
        <v>360</v>
      </c>
    </row>
    <row r="359">
      <c r="E359" s="324" t="s">
        <v>272</v>
      </c>
      <c r="F359" s="587" t="s">
        <v>273</v>
      </c>
      <c r="G359" s="326"/>
      <c r="H359" s="588"/>
      <c r="I359" s="325" t="s">
        <v>274</v>
      </c>
      <c r="J359" s="589"/>
      <c r="K359" s="589"/>
      <c r="L359" s="589"/>
      <c r="M359" s="589"/>
      <c r="N359" s="588"/>
      <c r="O359" s="328" t="s">
        <v>275</v>
      </c>
      <c r="P359" s="328" t="s">
        <v>361</v>
      </c>
      <c r="Q359" s="330" t="s">
        <v>277</v>
      </c>
    </row>
    <row r="360">
      <c r="E360" s="333" t="s">
        <v>362</v>
      </c>
      <c r="F360" s="590" t="s">
        <v>335</v>
      </c>
      <c r="G360" s="591" t="s">
        <v>363</v>
      </c>
      <c r="H360" s="592" t="s">
        <v>364</v>
      </c>
      <c r="I360" s="448"/>
      <c r="J360" s="448"/>
      <c r="K360" s="553"/>
      <c r="L360" s="553"/>
      <c r="M360" s="593"/>
      <c r="N360" s="448"/>
      <c r="O360" s="553"/>
      <c r="P360" s="448"/>
      <c r="Q360" s="553"/>
    </row>
    <row r="361">
      <c r="E361" s="341"/>
      <c r="F361" s="341"/>
      <c r="G361" s="371" t="s">
        <v>301</v>
      </c>
      <c r="H361" s="531" t="s">
        <v>281</v>
      </c>
      <c r="I361" s="336" t="s">
        <v>282</v>
      </c>
      <c r="J361" s="336"/>
      <c r="K361" s="337" t="s">
        <v>104</v>
      </c>
      <c r="L361" s="337" t="s">
        <v>212</v>
      </c>
      <c r="M361" s="358" t="s">
        <v>178</v>
      </c>
      <c r="N361" s="336" t="s">
        <v>283</v>
      </c>
      <c r="O361" s="338" t="str">
        <f>PARAMS("expert_dispatch_dtype")</f>
        <v>fp8</v>
      </c>
      <c r="P361" s="336"/>
      <c r="Q361" s="338"/>
    </row>
    <row r="362">
      <c r="E362" s="341"/>
      <c r="F362" s="341"/>
      <c r="G362" s="341"/>
      <c r="H362" s="378" t="s">
        <v>285</v>
      </c>
      <c r="I362" s="345" t="s">
        <v>282</v>
      </c>
      <c r="J362" s="346"/>
      <c r="K362" s="345">
        <f t="shared" ref="K362:M362" si="69">PARAMS(K361)</f>
        <v>128</v>
      </c>
      <c r="L362" s="345">
        <f t="shared" si="69"/>
        <v>4</v>
      </c>
      <c r="M362" s="345">
        <f t="shared" si="69"/>
        <v>7168</v>
      </c>
      <c r="N362" s="345" t="s">
        <v>283</v>
      </c>
      <c r="O362" s="347"/>
      <c r="P362" s="509">
        <f>SIZEOF_IN_MIB(J362:M362, O361)</f>
        <v>3.5</v>
      </c>
      <c r="Q362" s="347"/>
    </row>
    <row r="363">
      <c r="E363" s="341"/>
      <c r="F363" s="341"/>
      <c r="G363" s="341"/>
      <c r="H363" s="376" t="s">
        <v>302</v>
      </c>
      <c r="I363" s="349" t="s">
        <v>282</v>
      </c>
      <c r="J363" s="336"/>
      <c r="K363" s="337" t="s">
        <v>196</v>
      </c>
      <c r="L363" s="337"/>
      <c r="M363" s="337"/>
      <c r="N363" s="349" t="s">
        <v>283</v>
      </c>
      <c r="O363" s="350"/>
      <c r="P363" s="377"/>
      <c r="Q363" s="350"/>
    </row>
    <row r="364">
      <c r="E364" s="341"/>
      <c r="F364" s="341"/>
      <c r="G364" s="341"/>
      <c r="H364" s="378" t="s">
        <v>303</v>
      </c>
      <c r="I364" s="346" t="s">
        <v>282</v>
      </c>
      <c r="J364" s="345"/>
      <c r="K364" s="346">
        <f t="shared" ref="K364:M364" si="70">K362/SHARDING(K363)</f>
        <v>16</v>
      </c>
      <c r="L364" s="346">
        <f t="shared" si="70"/>
        <v>4</v>
      </c>
      <c r="M364" s="346">
        <f t="shared" si="70"/>
        <v>7168</v>
      </c>
      <c r="N364" s="344" t="s">
        <v>283</v>
      </c>
      <c r="O364" s="347"/>
      <c r="P364" s="509"/>
      <c r="Q364" s="347"/>
    </row>
    <row r="365">
      <c r="E365" s="341"/>
      <c r="F365" s="341"/>
      <c r="G365" s="352"/>
      <c r="H365" s="376" t="s">
        <v>304</v>
      </c>
      <c r="I365" s="349" t="s">
        <v>282</v>
      </c>
      <c r="J365" s="336"/>
      <c r="K365" s="337" t="s">
        <v>196</v>
      </c>
      <c r="L365" s="337"/>
      <c r="M365" s="337"/>
      <c r="N365" s="349" t="s">
        <v>283</v>
      </c>
      <c r="O365" s="316"/>
      <c r="P365" s="377">
        <f>SIZEOF_IN_MIB(J364:M364, O361)</f>
        <v>0.4375</v>
      </c>
      <c r="Q365" s="316"/>
    </row>
    <row r="366">
      <c r="E366" s="341"/>
      <c r="F366" s="341"/>
      <c r="G366" s="594" t="s">
        <v>365</v>
      </c>
      <c r="H366" s="595">
        <f>vlookup(SHARDING(K363)*SHARDING(L363)/HW_SPEC("# of TensorCore per Chip"), DB!$A$26:$D$31, 3, FALSE)</f>
        <v>4</v>
      </c>
      <c r="I366" s="379"/>
      <c r="J366" s="379"/>
      <c r="K366" s="379"/>
      <c r="L366" s="379"/>
      <c r="M366" s="379"/>
      <c r="N366" s="379"/>
      <c r="O366" s="379"/>
      <c r="P366" s="596"/>
      <c r="Q366" s="379"/>
    </row>
    <row r="367">
      <c r="E367" s="341"/>
      <c r="F367" s="341"/>
      <c r="G367" s="594" t="s">
        <v>366</v>
      </c>
      <c r="H367" s="597">
        <f>COLLECTIVE_TIME_GPU("GB200", "ALL_TO_ALL", SHARDING(K363)*SHARDING(L363), P365*1024*1024)/1000</f>
        <v>0.01636</v>
      </c>
      <c r="I367" s="298"/>
      <c r="J367" s="298"/>
      <c r="K367" s="298"/>
      <c r="L367" s="298"/>
      <c r="M367" s="298"/>
      <c r="N367" s="298"/>
      <c r="O367" s="298"/>
      <c r="P367" s="598"/>
      <c r="Q367" s="298"/>
    </row>
    <row r="368">
      <c r="E368" s="341"/>
      <c r="F368" s="341"/>
      <c r="G368" s="599" t="s">
        <v>367</v>
      </c>
      <c r="H368" s="600">
        <f>IF(PARAMS("use_nccl_lookup")=TRUE, H367, ALL2ALL_CHIP2CHIP_TIME_MS(P362, H366))</f>
        <v>0.01636</v>
      </c>
      <c r="I368" s="379"/>
      <c r="J368" s="379"/>
      <c r="K368" s="379"/>
      <c r="L368" s="379"/>
      <c r="M368" s="379"/>
      <c r="N368" s="379"/>
      <c r="O368" s="379"/>
      <c r="P368" s="596"/>
      <c r="Q368" s="379"/>
    </row>
    <row r="369">
      <c r="E369" s="341"/>
      <c r="F369" s="341"/>
      <c r="G369" s="601"/>
      <c r="H369" s="602"/>
      <c r="I369" s="349"/>
      <c r="J369" s="336"/>
      <c r="K369" s="337"/>
      <c r="L369" s="499"/>
      <c r="M369" s="337"/>
      <c r="N369" s="349"/>
      <c r="O369" s="337"/>
      <c r="P369" s="377"/>
      <c r="Q369" s="337"/>
    </row>
    <row r="370">
      <c r="E370" s="341"/>
      <c r="F370" s="341"/>
      <c r="G370" s="591" t="s">
        <v>368</v>
      </c>
      <c r="H370" s="603" t="s">
        <v>437</v>
      </c>
      <c r="I370" s="449"/>
      <c r="J370" s="448"/>
      <c r="K370" s="553"/>
      <c r="L370" s="446"/>
      <c r="M370" s="553"/>
      <c r="N370" s="449"/>
      <c r="O370" s="553"/>
      <c r="P370" s="604"/>
      <c r="Q370" s="553"/>
    </row>
    <row r="371">
      <c r="E371" s="341"/>
      <c r="F371" s="341"/>
      <c r="G371" s="371" t="s">
        <v>301</v>
      </c>
      <c r="H371" s="602" t="s">
        <v>281</v>
      </c>
      <c r="I371" s="349" t="s">
        <v>282</v>
      </c>
      <c r="J371" s="336"/>
      <c r="K371" s="337" t="s">
        <v>104</v>
      </c>
      <c r="L371" s="499" t="s">
        <v>102</v>
      </c>
      <c r="M371" s="337" t="s">
        <v>178</v>
      </c>
      <c r="N371" s="349" t="s">
        <v>283</v>
      </c>
      <c r="O371" s="338" t="str">
        <f>PARAMS("expert_dispatch_dtype")</f>
        <v>fp8</v>
      </c>
      <c r="P371" s="377"/>
      <c r="Q371" s="338"/>
    </row>
    <row r="372">
      <c r="E372" s="341"/>
      <c r="F372" s="341"/>
      <c r="G372" s="341"/>
      <c r="H372" s="378" t="s">
        <v>285</v>
      </c>
      <c r="I372" s="346" t="s">
        <v>282</v>
      </c>
      <c r="J372" s="345"/>
      <c r="K372" s="346">
        <f t="shared" ref="K372:M372" si="71">PARAMS(K371)</f>
        <v>128</v>
      </c>
      <c r="L372" s="346">
        <f t="shared" si="71"/>
        <v>1</v>
      </c>
      <c r="M372" s="346">
        <f t="shared" si="71"/>
        <v>7168</v>
      </c>
      <c r="N372" s="346" t="s">
        <v>283</v>
      </c>
      <c r="O372" s="347"/>
      <c r="P372" s="509">
        <f>SIZEOF_IN_MIB(J372:M372, O371)</f>
        <v>0.875</v>
      </c>
      <c r="Q372" s="347"/>
    </row>
    <row r="373">
      <c r="E373" s="341"/>
      <c r="F373" s="341"/>
      <c r="G373" s="341"/>
      <c r="H373" s="376" t="s">
        <v>302</v>
      </c>
      <c r="I373" s="349" t="s">
        <v>282</v>
      </c>
      <c r="J373" s="336"/>
      <c r="K373" s="337" t="s">
        <v>196</v>
      </c>
      <c r="L373" s="337"/>
      <c r="M373" s="337"/>
      <c r="N373" s="349" t="s">
        <v>283</v>
      </c>
      <c r="O373" s="350"/>
      <c r="P373" s="377"/>
      <c r="Q373" s="350"/>
    </row>
    <row r="374">
      <c r="E374" s="341"/>
      <c r="F374" s="341"/>
      <c r="G374" s="341"/>
      <c r="H374" s="517" t="s">
        <v>289</v>
      </c>
      <c r="I374" s="346" t="s">
        <v>282</v>
      </c>
      <c r="J374" s="345"/>
      <c r="K374" s="346">
        <f t="shared" ref="K374:M374" si="72">K372/SHARDING(K373)</f>
        <v>16</v>
      </c>
      <c r="L374" s="346">
        <f t="shared" si="72"/>
        <v>1</v>
      </c>
      <c r="M374" s="346">
        <f t="shared" si="72"/>
        <v>7168</v>
      </c>
      <c r="N374" s="346" t="s">
        <v>283</v>
      </c>
      <c r="O374" s="347"/>
      <c r="P374" s="509">
        <f>SIZEOF_IN_MIB(J374:M374, O371)</f>
        <v>0.109375</v>
      </c>
      <c r="Q374" s="355"/>
    </row>
    <row r="375">
      <c r="E375" s="341"/>
      <c r="F375" s="341"/>
      <c r="G375" s="352"/>
      <c r="H375" s="605" t="s">
        <v>304</v>
      </c>
      <c r="I375" s="349" t="s">
        <v>282</v>
      </c>
      <c r="J375" s="298"/>
      <c r="K375" s="298"/>
      <c r="L375" s="298"/>
      <c r="M375" s="337"/>
      <c r="N375" s="349" t="s">
        <v>283</v>
      </c>
      <c r="O375" s="316"/>
      <c r="P375" s="598"/>
      <c r="Q375" s="298"/>
    </row>
    <row r="376">
      <c r="E376" s="341"/>
      <c r="F376" s="341"/>
      <c r="G376" s="385" t="s">
        <v>306</v>
      </c>
      <c r="H376" s="386">
        <f>SHARDING(K373)*SHARDING(L373)</f>
        <v>8</v>
      </c>
      <c r="I376" s="379"/>
      <c r="J376" s="379"/>
      <c r="K376" s="379"/>
      <c r="L376" s="379"/>
      <c r="M376" s="379"/>
      <c r="N376" s="379"/>
      <c r="O376" s="379"/>
      <c r="P376" s="596"/>
      <c r="Q376" s="379"/>
    </row>
    <row r="377">
      <c r="E377" s="341"/>
      <c r="F377" s="341"/>
      <c r="G377" s="385" t="s">
        <v>307</v>
      </c>
      <c r="H377" s="390">
        <f>P374 * (H376-1)</f>
        <v>0.765625</v>
      </c>
      <c r="I377" s="298"/>
      <c r="J377" s="298"/>
      <c r="K377" s="298"/>
      <c r="L377" s="298"/>
      <c r="M377" s="298"/>
      <c r="N377" s="298"/>
      <c r="O377" s="298"/>
      <c r="P377" s="598"/>
      <c r="Q377" s="298"/>
    </row>
    <row r="378">
      <c r="E378" s="341"/>
      <c r="F378" s="341"/>
      <c r="G378" s="394" t="s">
        <v>308</v>
      </c>
      <c r="H378" s="395">
        <f>H377*H376</f>
        <v>6.125</v>
      </c>
      <c r="I378" s="346"/>
      <c r="J378" s="345"/>
      <c r="K378" s="345"/>
      <c r="L378" s="344"/>
      <c r="M378" s="346"/>
      <c r="N378" s="346"/>
      <c r="O378" s="344"/>
      <c r="P378" s="509"/>
      <c r="Q378" s="344"/>
    </row>
    <row r="379">
      <c r="E379" s="341"/>
      <c r="F379" s="341"/>
      <c r="G379" s="396" t="s">
        <v>309</v>
      </c>
      <c r="H379" s="397">
        <f>IFS(H376=8,12,
H376=4,4,
H376=2,1,
H376=1,0,
TRUE,NA())</f>
        <v>12</v>
      </c>
      <c r="I379" s="349"/>
      <c r="J379" s="336"/>
      <c r="K379" s="336"/>
      <c r="L379" s="337"/>
      <c r="M379" s="349"/>
      <c r="N379" s="349"/>
      <c r="O379" s="337"/>
      <c r="P379" s="377"/>
      <c r="Q379" s="337"/>
    </row>
    <row r="380">
      <c r="E380" s="341"/>
      <c r="F380" s="341"/>
      <c r="G380" s="9" t="s">
        <v>310</v>
      </c>
      <c r="H380" s="606">
        <v>1.0</v>
      </c>
      <c r="I380" s="346"/>
      <c r="J380" s="345"/>
      <c r="K380" s="345"/>
      <c r="L380" s="344"/>
      <c r="M380" s="346"/>
      <c r="N380" s="346"/>
      <c r="O380" s="344"/>
      <c r="P380" s="509"/>
      <c r="Q380" s="344"/>
    </row>
    <row r="381">
      <c r="E381" s="341"/>
      <c r="F381" s="341"/>
      <c r="G381" s="385" t="s">
        <v>370</v>
      </c>
      <c r="H381" s="607">
        <f>COLLECTIVE_TIME_GPU("GB200", "ALL_GATHER", H376, P372*1024*1024)/1000</f>
        <v>0.022405</v>
      </c>
      <c r="I381" s="349"/>
      <c r="J381" s="336"/>
      <c r="K381" s="336"/>
      <c r="L381" s="337"/>
      <c r="M381" s="349"/>
      <c r="N381" s="349"/>
      <c r="O381" s="337"/>
      <c r="P381" s="377"/>
      <c r="Q381" s="337"/>
    </row>
    <row r="382">
      <c r="E382" s="341"/>
      <c r="F382" s="341"/>
      <c r="G382" s="402" t="s">
        <v>311</v>
      </c>
      <c r="H382" s="608">
        <f>IF(PARAMS("use_nccl_lookup")=TRUE, H381, ALL_GATHER_CHIP2CHIP_TIME_MS2(H378 * H380, H379))</f>
        <v>0.022405</v>
      </c>
      <c r="I382" s="346"/>
      <c r="J382" s="345"/>
      <c r="K382" s="345"/>
      <c r="L382" s="344"/>
      <c r="M382" s="346"/>
      <c r="N382" s="346"/>
      <c r="O382" s="344"/>
      <c r="P382" s="509"/>
      <c r="Q382" s="344"/>
    </row>
    <row r="383">
      <c r="E383" s="341"/>
      <c r="F383" s="341"/>
      <c r="G383" s="601"/>
      <c r="H383" s="602"/>
      <c r="I383" s="349"/>
      <c r="J383" s="336"/>
      <c r="K383" s="337"/>
      <c r="L383" s="499"/>
      <c r="M383" s="337"/>
      <c r="N383" s="349"/>
      <c r="O383" s="337"/>
      <c r="P383" s="377"/>
      <c r="Q383" s="337"/>
    </row>
    <row r="384">
      <c r="E384" s="341"/>
      <c r="F384" s="341"/>
      <c r="G384" s="591" t="s">
        <v>117</v>
      </c>
      <c r="H384" s="592" t="s">
        <v>371</v>
      </c>
      <c r="I384" s="449"/>
      <c r="J384" s="448"/>
      <c r="K384" s="553"/>
      <c r="L384" s="446"/>
      <c r="M384" s="553"/>
      <c r="N384" s="449"/>
      <c r="O384" s="553"/>
      <c r="P384" s="604"/>
      <c r="Q384" s="553"/>
    </row>
    <row r="385">
      <c r="E385" s="341"/>
      <c r="F385" s="341"/>
      <c r="G385" s="609" t="s">
        <v>301</v>
      </c>
      <c r="H385" s="602" t="s">
        <v>281</v>
      </c>
      <c r="I385" s="349" t="s">
        <v>282</v>
      </c>
      <c r="J385" s="336"/>
      <c r="K385" s="337" t="s">
        <v>104</v>
      </c>
      <c r="L385" s="499" t="s">
        <v>102</v>
      </c>
      <c r="M385" s="337" t="s">
        <v>178</v>
      </c>
      <c r="N385" s="349" t="s">
        <v>283</v>
      </c>
      <c r="O385" s="338" t="str">
        <f>PARAMS("expert_dispatch_dtype")</f>
        <v>fp8</v>
      </c>
      <c r="P385" s="377"/>
      <c r="Q385" s="337"/>
    </row>
    <row r="386">
      <c r="E386" s="341"/>
      <c r="F386" s="341"/>
      <c r="G386" s="341"/>
      <c r="H386" s="378" t="s">
        <v>285</v>
      </c>
      <c r="I386" s="346" t="s">
        <v>282</v>
      </c>
      <c r="J386" s="345"/>
      <c r="K386" s="346">
        <f t="shared" ref="K386:M386" si="73">PARAMS(K385)</f>
        <v>128</v>
      </c>
      <c r="L386" s="346">
        <f t="shared" si="73"/>
        <v>1</v>
      </c>
      <c r="M386" s="346">
        <f t="shared" si="73"/>
        <v>7168</v>
      </c>
      <c r="N386" s="346" t="s">
        <v>283</v>
      </c>
      <c r="O386" s="347"/>
      <c r="P386" s="509">
        <f>SIZEOF_IN_MIB(J386:M386, O385)</f>
        <v>0.875</v>
      </c>
      <c r="Q386" s="344"/>
    </row>
    <row r="387">
      <c r="E387" s="341"/>
      <c r="F387" s="341"/>
      <c r="G387" s="341"/>
      <c r="H387" s="376" t="s">
        <v>302</v>
      </c>
      <c r="I387" s="349" t="s">
        <v>282</v>
      </c>
      <c r="J387" s="336"/>
      <c r="K387" s="337" t="s">
        <v>196</v>
      </c>
      <c r="L387" s="337"/>
      <c r="M387" s="337"/>
      <c r="N387" s="349" t="s">
        <v>283</v>
      </c>
      <c r="O387" s="350"/>
      <c r="P387" s="377"/>
      <c r="Q387" s="337"/>
    </row>
    <row r="388">
      <c r="E388" s="341"/>
      <c r="F388" s="341"/>
      <c r="G388" s="341"/>
      <c r="H388" s="378" t="s">
        <v>303</v>
      </c>
      <c r="I388" s="346" t="s">
        <v>282</v>
      </c>
      <c r="J388" s="345"/>
      <c r="K388" s="346">
        <f t="shared" ref="K388:M388" si="74">K386/SHARDING(K387)</f>
        <v>16</v>
      </c>
      <c r="L388" s="346">
        <f t="shared" si="74"/>
        <v>1</v>
      </c>
      <c r="M388" s="346">
        <f t="shared" si="74"/>
        <v>7168</v>
      </c>
      <c r="N388" s="346" t="s">
        <v>283</v>
      </c>
      <c r="O388" s="347"/>
      <c r="P388" s="509">
        <f>SIZEOF_IN_MIB(J388:M388, O385)</f>
        <v>0.109375</v>
      </c>
      <c r="Q388" s="344"/>
    </row>
    <row r="389">
      <c r="E389" s="341"/>
      <c r="F389" s="341"/>
      <c r="G389" s="352"/>
      <c r="H389" s="605" t="s">
        <v>304</v>
      </c>
      <c r="I389" s="349" t="s">
        <v>282</v>
      </c>
      <c r="J389" s="298"/>
      <c r="K389" s="298"/>
      <c r="L389" s="298"/>
      <c r="M389" s="337"/>
      <c r="N389" s="349" t="s">
        <v>283</v>
      </c>
      <c r="O389" s="316"/>
      <c r="P389" s="298"/>
      <c r="Q389" s="337"/>
    </row>
    <row r="390">
      <c r="E390" s="341"/>
      <c r="F390" s="341"/>
      <c r="G390" s="458" t="s">
        <v>372</v>
      </c>
      <c r="H390" s="610" t="s">
        <v>306</v>
      </c>
      <c r="I390" s="379"/>
      <c r="J390" s="410">
        <f>SHARDING(K387) * SHARDING(L387) / HW_SPEC("# of TensorCore per Chip")</f>
        <v>8</v>
      </c>
      <c r="K390" s="345"/>
      <c r="L390" s="344"/>
      <c r="M390" s="346"/>
      <c r="N390" s="346"/>
      <c r="O390" s="344"/>
      <c r="P390" s="509"/>
      <c r="Q390" s="344"/>
    </row>
    <row r="391">
      <c r="E391" s="341"/>
      <c r="F391" s="341"/>
      <c r="G391" s="341"/>
      <c r="H391" s="605" t="s">
        <v>307</v>
      </c>
      <c r="I391" s="298"/>
      <c r="J391" s="390">
        <f>P388 * (J390-1)</f>
        <v>0.765625</v>
      </c>
      <c r="K391" s="336"/>
      <c r="L391" s="337"/>
      <c r="M391" s="349"/>
      <c r="N391" s="349"/>
      <c r="O391" s="337"/>
      <c r="P391" s="377"/>
      <c r="Q391" s="337"/>
    </row>
    <row r="392">
      <c r="E392" s="341"/>
      <c r="F392" s="341"/>
      <c r="G392" s="341"/>
      <c r="H392" s="410" t="s">
        <v>308</v>
      </c>
      <c r="I392" s="379"/>
      <c r="J392" s="395">
        <f>J391*J390</f>
        <v>6.125</v>
      </c>
      <c r="K392" s="345"/>
      <c r="L392" s="344"/>
      <c r="M392" s="346"/>
      <c r="N392" s="346"/>
      <c r="O392" s="344"/>
      <c r="P392" s="509"/>
      <c r="Q392" s="344"/>
    </row>
    <row r="393">
      <c r="E393" s="341"/>
      <c r="F393" s="341"/>
      <c r="G393" s="341"/>
      <c r="H393" s="478" t="s">
        <v>309</v>
      </c>
      <c r="I393" s="298"/>
      <c r="J393" s="397">
        <f>vlookup(J390, DB!$A$26:$G$31, 6, False)</f>
        <v>12</v>
      </c>
      <c r="K393" s="336"/>
      <c r="L393" s="337"/>
      <c r="M393" s="349"/>
      <c r="N393" s="349"/>
      <c r="O393" s="337"/>
      <c r="P393" s="377"/>
      <c r="Q393" s="337"/>
    </row>
    <row r="394">
      <c r="E394" s="341"/>
      <c r="F394" s="341"/>
      <c r="G394" s="341"/>
      <c r="H394" s="606" t="s">
        <v>310</v>
      </c>
      <c r="I394" s="379"/>
      <c r="J394" s="611">
        <f>HW_SPEC("# of TensorCore per Chip")</f>
        <v>1</v>
      </c>
      <c r="K394" s="345"/>
      <c r="L394" s="344"/>
      <c r="M394" s="346"/>
      <c r="N394" s="346"/>
      <c r="O394" s="344"/>
      <c r="P394" s="509"/>
      <c r="Q394" s="344"/>
    </row>
    <row r="395">
      <c r="E395" s="341"/>
      <c r="F395" s="341"/>
      <c r="G395" s="352"/>
      <c r="H395" s="612" t="s">
        <v>311</v>
      </c>
      <c r="I395" s="613"/>
      <c r="J395" s="403">
        <f>ALL_GATHER_CHIP2CHIP_TIME_MS2(J392 * J394, J393)</f>
        <v>0.0002769187645</v>
      </c>
      <c r="K395" s="336"/>
      <c r="L395" s="337"/>
      <c r="M395" s="349"/>
      <c r="N395" s="349"/>
      <c r="O395" s="337"/>
      <c r="P395" s="377"/>
      <c r="Q395" s="337"/>
    </row>
    <row r="396">
      <c r="E396" s="341"/>
      <c r="F396" s="341"/>
      <c r="G396" s="458" t="s">
        <v>373</v>
      </c>
      <c r="H396" s="410" t="s">
        <v>306</v>
      </c>
      <c r="I396" s="387"/>
      <c r="J396" s="483">
        <f>HW_SPEC("# of TensorCore per Chip")</f>
        <v>1</v>
      </c>
      <c r="K396" s="345"/>
      <c r="L396" s="344"/>
      <c r="M396" s="346"/>
      <c r="N396" s="346"/>
      <c r="O396" s="344"/>
      <c r="P396" s="509"/>
      <c r="Q396" s="344"/>
    </row>
    <row r="397">
      <c r="E397" s="341"/>
      <c r="F397" s="341"/>
      <c r="G397" s="341"/>
      <c r="H397" s="478" t="s">
        <v>307</v>
      </c>
      <c r="I397" s="391"/>
      <c r="J397" s="390">
        <f> P386 / J396 * (J396-1)</f>
        <v>0</v>
      </c>
      <c r="K397" s="336"/>
      <c r="L397" s="337"/>
      <c r="M397" s="349"/>
      <c r="N397" s="349"/>
      <c r="O397" s="337"/>
      <c r="P397" s="377"/>
      <c r="Q397" s="337"/>
    </row>
    <row r="398">
      <c r="E398" s="341"/>
      <c r="F398" s="341"/>
      <c r="G398" s="341"/>
      <c r="H398" s="410" t="s">
        <v>308</v>
      </c>
      <c r="I398" s="387"/>
      <c r="J398" s="395">
        <f>J397*J396</f>
        <v>0</v>
      </c>
      <c r="K398" s="345"/>
      <c r="L398" s="344"/>
      <c r="M398" s="346"/>
      <c r="N398" s="346"/>
      <c r="O398" s="344"/>
      <c r="P398" s="509"/>
      <c r="Q398" s="344"/>
    </row>
    <row r="399">
      <c r="E399" s="341"/>
      <c r="F399" s="341"/>
      <c r="G399" s="341"/>
      <c r="H399" s="614" t="s">
        <v>311</v>
      </c>
      <c r="I399" s="615"/>
      <c r="J399" s="616">
        <f>ALL_GATHER_CORE2CORE_TIME_MS(J398)</f>
        <v>0</v>
      </c>
      <c r="K399" s="336"/>
      <c r="L399" s="337"/>
      <c r="M399" s="349"/>
      <c r="N399" s="349"/>
      <c r="O399" s="337"/>
      <c r="P399" s="377"/>
      <c r="Q399" s="337"/>
    </row>
    <row r="400">
      <c r="E400" s="341"/>
      <c r="F400" s="341"/>
      <c r="G400" s="352"/>
      <c r="H400" s="617" t="s">
        <v>374</v>
      </c>
      <c r="I400" s="618"/>
      <c r="J400" s="619">
        <f>J399/J390</f>
        <v>0</v>
      </c>
      <c r="K400" s="345"/>
      <c r="L400" s="344"/>
      <c r="M400" s="346"/>
      <c r="N400" s="346"/>
      <c r="O400" s="344"/>
      <c r="P400" s="509"/>
      <c r="Q400" s="344"/>
    </row>
    <row r="401">
      <c r="E401" s="341"/>
      <c r="F401" s="341"/>
      <c r="G401" s="402" t="s">
        <v>316</v>
      </c>
      <c r="H401" s="620" t="str">
        <f>IF(PARAMS("use_nccl_lookup")=TRUE, "N/A", J395+J400)</f>
        <v>N/A</v>
      </c>
      <c r="I401" s="298"/>
      <c r="J401" s="621"/>
      <c r="K401" s="336"/>
      <c r="L401" s="337"/>
      <c r="M401" s="349"/>
      <c r="N401" s="349"/>
      <c r="O401" s="337"/>
      <c r="P401" s="377"/>
      <c r="Q401" s="337"/>
    </row>
    <row r="402">
      <c r="E402" s="341"/>
      <c r="F402" s="341"/>
      <c r="G402" s="601"/>
      <c r="H402" s="622"/>
      <c r="I402" s="493"/>
      <c r="J402" s="345"/>
      <c r="K402" s="345"/>
      <c r="L402" s="346"/>
      <c r="M402" s="346"/>
      <c r="N402" s="346"/>
      <c r="O402" s="345"/>
      <c r="P402" s="509"/>
      <c r="Q402" s="379"/>
    </row>
    <row r="403">
      <c r="E403" s="341"/>
      <c r="F403" s="341"/>
      <c r="G403" s="623" t="s">
        <v>375</v>
      </c>
      <c r="H403" s="624" t="str">
        <f>'Config and Summary'!C22</f>
        <v>Strategy C: Hirarachical All-Gather</v>
      </c>
      <c r="I403" s="581"/>
      <c r="J403" s="448"/>
      <c r="K403" s="448"/>
      <c r="L403" s="449"/>
      <c r="M403" s="449"/>
      <c r="N403" s="449"/>
      <c r="O403" s="448"/>
      <c r="P403" s="604"/>
      <c r="Q403" s="572"/>
    </row>
    <row r="404">
      <c r="E404" s="341"/>
      <c r="F404" s="341"/>
      <c r="G404" s="591" t="s">
        <v>340</v>
      </c>
      <c r="H404" s="625" t="str">
        <f>IFS(H403=G360,H368,H403=G370,H382,H403=G384,H401, TRUE,0)</f>
        <v>N/A</v>
      </c>
      <c r="I404" s="581"/>
      <c r="J404" s="448"/>
      <c r="K404" s="448"/>
      <c r="L404" s="449"/>
      <c r="M404" s="449"/>
      <c r="N404" s="449"/>
      <c r="O404" s="448"/>
      <c r="P404" s="604"/>
      <c r="Q404" s="572"/>
    </row>
    <row r="405">
      <c r="E405" s="341"/>
      <c r="F405" s="341"/>
      <c r="G405" s="452" t="s">
        <v>376</v>
      </c>
      <c r="H405" s="626">
        <f>vlookup(PARAMS("topo"), DB!$E$26:$G$31, 3, FALSE)</f>
        <v>3</v>
      </c>
      <c r="I405" s="460"/>
      <c r="J405" s="454"/>
      <c r="K405" s="454"/>
      <c r="L405" s="455"/>
      <c r="M405" s="455"/>
      <c r="N405" s="455"/>
      <c r="O405" s="454"/>
      <c r="P405" s="468"/>
      <c r="Q405" s="11"/>
    </row>
    <row r="406">
      <c r="E406" s="352"/>
      <c r="F406" s="352"/>
      <c r="G406" s="446" t="s">
        <v>326</v>
      </c>
      <c r="H406" s="447">
        <f>IF(H403="No Collectives", 0, H405 * HW_SPEC("Chip-to-Chip ICI Latency (ms)"))</f>
        <v>0</v>
      </c>
      <c r="I406" s="581"/>
      <c r="J406" s="448"/>
      <c r="K406" s="448"/>
      <c r="L406" s="449"/>
      <c r="M406" s="449"/>
      <c r="N406" s="449"/>
      <c r="O406" s="448"/>
      <c r="P406" s="604"/>
      <c r="Q406" s="572"/>
    </row>
    <row r="407">
      <c r="E407" s="333" t="s">
        <v>377</v>
      </c>
      <c r="F407" s="627" t="s">
        <v>292</v>
      </c>
      <c r="G407" s="335"/>
      <c r="H407" s="372" t="s">
        <v>281</v>
      </c>
      <c r="I407" s="364" t="s">
        <v>282</v>
      </c>
      <c r="J407" s="364"/>
      <c r="K407" s="273" t="s">
        <v>104</v>
      </c>
      <c r="L407" s="273" t="s">
        <v>212</v>
      </c>
      <c r="M407" s="472" t="s">
        <v>178</v>
      </c>
      <c r="N407" s="364" t="s">
        <v>283</v>
      </c>
      <c r="O407" s="628" t="str">
        <f>EXTRACT_ACTIVATION_DTYPE(PARAMS("moe_dtype"))</f>
        <v>fp8</v>
      </c>
      <c r="P407" s="375"/>
      <c r="Q407" s="365" t="b">
        <v>0</v>
      </c>
    </row>
    <row r="408">
      <c r="E408" s="341"/>
      <c r="F408" s="342"/>
      <c r="G408" s="343"/>
      <c r="H408" s="374" t="s">
        <v>285</v>
      </c>
      <c r="I408" s="364" t="s">
        <v>282</v>
      </c>
      <c r="J408" s="363"/>
      <c r="K408" s="364">
        <f t="shared" ref="K408:M408" si="75">PARAMS(K407)</f>
        <v>128</v>
      </c>
      <c r="L408" s="364">
        <f t="shared" si="75"/>
        <v>4</v>
      </c>
      <c r="M408" s="364">
        <f t="shared" si="75"/>
        <v>7168</v>
      </c>
      <c r="N408" s="364" t="s">
        <v>283</v>
      </c>
      <c r="O408" s="341"/>
      <c r="P408" s="375">
        <f>SIZEOF_IN_MIB(J408:M408, O407)</f>
        <v>3.5</v>
      </c>
      <c r="Q408" s="341"/>
    </row>
    <row r="409">
      <c r="E409" s="341"/>
      <c r="F409" s="342"/>
      <c r="G409" s="343"/>
      <c r="H409" s="629" t="s">
        <v>287</v>
      </c>
      <c r="I409" s="363" t="s">
        <v>282</v>
      </c>
      <c r="J409" s="364"/>
      <c r="K409" s="273"/>
      <c r="L409" s="273"/>
      <c r="M409" s="273"/>
      <c r="N409" s="363" t="s">
        <v>283</v>
      </c>
      <c r="O409" s="341"/>
      <c r="P409" s="375"/>
      <c r="Q409" s="341"/>
    </row>
    <row r="410">
      <c r="E410" s="341"/>
      <c r="F410" s="353"/>
      <c r="G410" s="354"/>
      <c r="H410" s="376" t="s">
        <v>289</v>
      </c>
      <c r="I410" s="349" t="s">
        <v>282</v>
      </c>
      <c r="J410" s="336"/>
      <c r="K410" s="349">
        <f t="shared" ref="K410:M410" si="76">K408/SHARDING(K409)</f>
        <v>128</v>
      </c>
      <c r="L410" s="349">
        <f t="shared" si="76"/>
        <v>4</v>
      </c>
      <c r="M410" s="349">
        <f t="shared" si="76"/>
        <v>7168</v>
      </c>
      <c r="N410" s="349" t="s">
        <v>283</v>
      </c>
      <c r="O410" s="316"/>
      <c r="P410" s="377">
        <f>SIZEOF_IN_MIB(J410:M410, O407)</f>
        <v>3.5</v>
      </c>
      <c r="Q410" s="316"/>
      <c r="R410" s="806"/>
    </row>
    <row r="411">
      <c r="E411" s="341"/>
      <c r="F411" s="630" t="s">
        <v>296</v>
      </c>
      <c r="G411" s="335"/>
      <c r="H411" s="517" t="s">
        <v>281</v>
      </c>
      <c r="I411" s="346" t="s">
        <v>282</v>
      </c>
      <c r="J411" s="344">
        <v>2.0</v>
      </c>
      <c r="K411" s="344" t="s">
        <v>184</v>
      </c>
      <c r="L411" s="556" t="s">
        <v>178</v>
      </c>
      <c r="M411" s="344" t="s">
        <v>182</v>
      </c>
      <c r="N411" s="346" t="s">
        <v>283</v>
      </c>
      <c r="O411" s="631" t="str">
        <f>EXTRACT_WEIGHT_DTYPE(PARAMS("moe_dtype"))</f>
        <v>fp8</v>
      </c>
      <c r="P411" s="509"/>
      <c r="Q411" s="473" t="b">
        <v>0</v>
      </c>
      <c r="R411" s="807"/>
    </row>
    <row r="412">
      <c r="E412" s="341"/>
      <c r="F412" s="342"/>
      <c r="G412" s="343"/>
      <c r="H412" s="376" t="s">
        <v>285</v>
      </c>
      <c r="I412" s="349" t="s">
        <v>282</v>
      </c>
      <c r="J412" s="349">
        <f t="shared" ref="J412:M412" si="77">PARAMS(J411)</f>
        <v>2</v>
      </c>
      <c r="K412" s="349">
        <f t="shared" si="77"/>
        <v>128</v>
      </c>
      <c r="L412" s="349">
        <f t="shared" si="77"/>
        <v>7168</v>
      </c>
      <c r="M412" s="349">
        <f t="shared" si="77"/>
        <v>4096</v>
      </c>
      <c r="N412" s="349" t="s">
        <v>283</v>
      </c>
      <c r="O412" s="350"/>
      <c r="P412" s="377">
        <f>SIZEOF_IN_MIB(J412:M412, O411)</f>
        <v>7168</v>
      </c>
      <c r="Q412" s="350"/>
      <c r="R412" s="806"/>
    </row>
    <row r="413">
      <c r="E413" s="341"/>
      <c r="F413" s="342"/>
      <c r="G413" s="343"/>
      <c r="H413" s="517" t="s">
        <v>287</v>
      </c>
      <c r="I413" s="346"/>
      <c r="J413" s="345"/>
      <c r="K413" s="344"/>
      <c r="L413" s="344"/>
      <c r="M413" s="344" t="s">
        <v>196</v>
      </c>
      <c r="N413" s="346" t="s">
        <v>283</v>
      </c>
      <c r="O413" s="347"/>
      <c r="P413" s="509"/>
      <c r="Q413" s="347"/>
      <c r="R413" s="807"/>
    </row>
    <row r="414">
      <c r="E414" s="341"/>
      <c r="F414" s="353"/>
      <c r="G414" s="354"/>
      <c r="H414" s="602" t="s">
        <v>289</v>
      </c>
      <c r="I414" s="349" t="s">
        <v>282</v>
      </c>
      <c r="J414" s="349">
        <f t="shared" ref="J414:M414" si="78">J412/SHARDING(J413)</f>
        <v>2</v>
      </c>
      <c r="K414" s="349">
        <f t="shared" si="78"/>
        <v>128</v>
      </c>
      <c r="L414" s="349">
        <f t="shared" si="78"/>
        <v>7168</v>
      </c>
      <c r="M414" s="349">
        <f t="shared" si="78"/>
        <v>512</v>
      </c>
      <c r="N414" s="349" t="s">
        <v>283</v>
      </c>
      <c r="O414" s="316"/>
      <c r="P414" s="377">
        <f>SIZEOF_IN_MIB(J414:M414, O411)</f>
        <v>896</v>
      </c>
      <c r="Q414" s="316"/>
      <c r="R414" s="806"/>
    </row>
    <row r="415">
      <c r="E415" s="341"/>
      <c r="F415" s="630" t="s">
        <v>56</v>
      </c>
      <c r="G415" s="335"/>
      <c r="H415" s="517" t="s">
        <v>281</v>
      </c>
      <c r="I415" s="346" t="s">
        <v>282</v>
      </c>
      <c r="J415" s="344">
        <v>2.0</v>
      </c>
      <c r="K415" s="344" t="s">
        <v>104</v>
      </c>
      <c r="L415" s="344" t="s">
        <v>212</v>
      </c>
      <c r="M415" s="344" t="s">
        <v>182</v>
      </c>
      <c r="N415" s="346" t="s">
        <v>283</v>
      </c>
      <c r="O415" s="546" t="s">
        <v>133</v>
      </c>
      <c r="P415" s="509"/>
      <c r="Q415" s="473" t="b">
        <v>0</v>
      </c>
      <c r="R415" s="807"/>
    </row>
    <row r="416">
      <c r="E416" s="341"/>
      <c r="F416" s="342"/>
      <c r="G416" s="343"/>
      <c r="H416" s="376" t="s">
        <v>285</v>
      </c>
      <c r="I416" s="349" t="s">
        <v>282</v>
      </c>
      <c r="J416" s="349">
        <f t="shared" ref="J416:M416" si="79">PARAMS(J415)</f>
        <v>2</v>
      </c>
      <c r="K416" s="349">
        <f t="shared" si="79"/>
        <v>128</v>
      </c>
      <c r="L416" s="349">
        <f t="shared" si="79"/>
        <v>4</v>
      </c>
      <c r="M416" s="349">
        <f t="shared" si="79"/>
        <v>4096</v>
      </c>
      <c r="N416" s="349" t="s">
        <v>283</v>
      </c>
      <c r="O416" s="350"/>
      <c r="P416" s="377">
        <f>SIZEOF_IN_MIB(J416:M416, O415)</f>
        <v>8</v>
      </c>
      <c r="Q416" s="350"/>
      <c r="R416" s="806"/>
    </row>
    <row r="417">
      <c r="E417" s="341"/>
      <c r="F417" s="342"/>
      <c r="G417" s="343"/>
      <c r="H417" s="517" t="s">
        <v>287</v>
      </c>
      <c r="I417" s="346" t="s">
        <v>282</v>
      </c>
      <c r="J417" s="345"/>
      <c r="K417" s="344"/>
      <c r="L417" s="344"/>
      <c r="M417" s="344" t="s">
        <v>196</v>
      </c>
      <c r="N417" s="346" t="s">
        <v>283</v>
      </c>
      <c r="O417" s="347"/>
      <c r="P417" s="509"/>
      <c r="Q417" s="347"/>
      <c r="R417" s="807"/>
    </row>
    <row r="418">
      <c r="E418" s="341"/>
      <c r="F418" s="353"/>
      <c r="G418" s="354"/>
      <c r="H418" s="602" t="s">
        <v>289</v>
      </c>
      <c r="I418" s="349" t="s">
        <v>282</v>
      </c>
      <c r="J418" s="349">
        <f t="shared" ref="J418:M418" si="80">J416/SHARDING(J417)</f>
        <v>2</v>
      </c>
      <c r="K418" s="349">
        <f t="shared" si="80"/>
        <v>128</v>
      </c>
      <c r="L418" s="349">
        <f t="shared" si="80"/>
        <v>4</v>
      </c>
      <c r="M418" s="349">
        <f t="shared" si="80"/>
        <v>512</v>
      </c>
      <c r="N418" s="349" t="s">
        <v>283</v>
      </c>
      <c r="O418" s="316"/>
      <c r="P418" s="377">
        <f>SIZEOF_IN_MIB(J418:M418, O415)</f>
        <v>1</v>
      </c>
      <c r="Q418" s="316"/>
      <c r="R418" s="806"/>
    </row>
    <row r="419">
      <c r="E419" s="341"/>
      <c r="F419" s="370" t="s">
        <v>378</v>
      </c>
      <c r="G419" s="601" t="s">
        <v>438</v>
      </c>
      <c r="H419" s="498" t="str">
        <f>L413</f>
        <v/>
      </c>
      <c r="I419" s="632" t="s">
        <v>439</v>
      </c>
      <c r="J419" s="345"/>
      <c r="K419" s="345"/>
      <c r="L419" s="346"/>
      <c r="M419" s="346"/>
      <c r="N419" s="346"/>
      <c r="O419" s="345"/>
      <c r="P419" s="509"/>
      <c r="Q419" s="379"/>
      <c r="R419" s="697"/>
    </row>
    <row r="420">
      <c r="E420" s="341"/>
      <c r="F420" s="341"/>
      <c r="G420" s="591" t="s">
        <v>381</v>
      </c>
      <c r="H420" s="633" t="s">
        <v>382</v>
      </c>
      <c r="I420" s="633"/>
      <c r="J420" s="448"/>
      <c r="K420" s="448"/>
      <c r="L420" s="449"/>
      <c r="M420" s="449"/>
      <c r="N420" s="449"/>
      <c r="O420" s="448"/>
      <c r="P420" s="604"/>
      <c r="Q420" s="572"/>
      <c r="R420" s="808"/>
    </row>
    <row r="421">
      <c r="E421" s="341"/>
      <c r="F421" s="341"/>
      <c r="G421" s="594" t="s">
        <v>306</v>
      </c>
      <c r="H421" s="634">
        <f>SHARDING(H419)</f>
        <v>1</v>
      </c>
      <c r="I421" s="498"/>
      <c r="J421" s="345"/>
      <c r="K421" s="345"/>
      <c r="L421" s="346"/>
      <c r="M421" s="346"/>
      <c r="N421" s="346"/>
      <c r="O421" s="345"/>
      <c r="P421" s="509"/>
      <c r="Q421" s="379"/>
      <c r="R421" s="697"/>
    </row>
    <row r="422">
      <c r="E422" s="341"/>
      <c r="F422" s="341"/>
      <c r="G422" s="594" t="s">
        <v>383</v>
      </c>
      <c r="H422" s="635">
        <f>P418/H421*(H421-1)</f>
        <v>0</v>
      </c>
      <c r="I422" s="549"/>
      <c r="J422" s="336"/>
      <c r="K422" s="336"/>
      <c r="L422" s="349"/>
      <c r="M422" s="349"/>
      <c r="N422" s="349"/>
      <c r="O422" s="336"/>
      <c r="P422" s="377"/>
      <c r="Q422" s="298"/>
      <c r="R422" s="808"/>
    </row>
    <row r="423">
      <c r="E423" s="341"/>
      <c r="F423" s="341"/>
      <c r="G423" s="594" t="s">
        <v>384</v>
      </c>
      <c r="H423" s="636">
        <f>H422*H421</f>
        <v>0</v>
      </c>
      <c r="I423" s="498"/>
      <c r="J423" s="345"/>
      <c r="K423" s="345"/>
      <c r="L423" s="346"/>
      <c r="M423" s="346"/>
      <c r="N423" s="346"/>
      <c r="O423" s="345"/>
      <c r="P423" s="509"/>
      <c r="Q423" s="379"/>
      <c r="R423" s="697"/>
    </row>
    <row r="424">
      <c r="E424" s="341"/>
      <c r="F424" s="341"/>
      <c r="G424" s="637" t="s">
        <v>385</v>
      </c>
      <c r="H424" s="638" t="s">
        <v>309</v>
      </c>
      <c r="I424" s="549"/>
      <c r="J424" s="639">
        <f>IFS(H421=8,12,
H421=4,4,
H421=2,1,
H421=1,0,
TRUE,NA())</f>
        <v>0</v>
      </c>
      <c r="K424" s="336"/>
      <c r="L424" s="349"/>
      <c r="M424" s="349"/>
      <c r="N424" s="349"/>
      <c r="O424" s="336"/>
      <c r="P424" s="377"/>
      <c r="Q424" s="298"/>
    </row>
    <row r="425">
      <c r="E425" s="341"/>
      <c r="F425" s="341"/>
      <c r="G425" s="341"/>
      <c r="H425" s="640" t="s">
        <v>386</v>
      </c>
      <c r="I425" s="379"/>
      <c r="J425" s="641">
        <f>HW_SPEC("# of TensorCore per Chip")</f>
        <v>1</v>
      </c>
      <c r="K425" s="345"/>
      <c r="L425" s="346"/>
      <c r="M425" s="346"/>
      <c r="N425" s="346"/>
      <c r="O425" s="345"/>
      <c r="P425" s="509"/>
      <c r="Q425" s="379"/>
      <c r="R425" s="697"/>
    </row>
    <row r="426">
      <c r="E426" s="341"/>
      <c r="F426" s="341"/>
      <c r="G426" s="352"/>
      <c r="H426" s="642" t="s">
        <v>311</v>
      </c>
      <c r="I426" s="549"/>
      <c r="J426" s="643">
        <f>REDUCE_SCATTER_CHIP2CHIP_TIME_MS2(H423*J425,J424)</f>
        <v>0</v>
      </c>
      <c r="K426" s="336"/>
      <c r="L426" s="349"/>
      <c r="M426" s="349"/>
      <c r="N426" s="349"/>
      <c r="O426" s="336"/>
      <c r="P426" s="377"/>
      <c r="Q426" s="298"/>
      <c r="R426" s="808"/>
    </row>
    <row r="427">
      <c r="E427" s="341"/>
      <c r="F427" s="341"/>
      <c r="G427" s="644" t="s">
        <v>387</v>
      </c>
      <c r="H427" s="645" t="s">
        <v>311</v>
      </c>
      <c r="I427" s="379"/>
      <c r="J427" s="646">
        <f>REDUCE_SCATTER_CORE2CORE_TIME_MS(H423)</f>
        <v>0</v>
      </c>
      <c r="K427" s="345"/>
      <c r="L427" s="346"/>
      <c r="M427" s="346"/>
      <c r="N427" s="346"/>
      <c r="O427" s="345"/>
      <c r="P427" s="509"/>
      <c r="Q427" s="379"/>
      <c r="R427" s="697"/>
    </row>
    <row r="428">
      <c r="E428" s="341"/>
      <c r="F428" s="341"/>
      <c r="G428" s="11"/>
      <c r="H428" s="298"/>
      <c r="I428" s="549"/>
      <c r="J428" s="336"/>
      <c r="K428" s="336"/>
      <c r="L428" s="349"/>
      <c r="M428" s="349"/>
      <c r="N428" s="349"/>
      <c r="O428" s="336"/>
      <c r="P428" s="377"/>
      <c r="Q428" s="298"/>
      <c r="R428" s="808"/>
    </row>
    <row r="429">
      <c r="E429" s="341"/>
      <c r="F429" s="341"/>
      <c r="G429" s="591" t="s">
        <v>388</v>
      </c>
      <c r="H429" s="647" t="s">
        <v>389</v>
      </c>
      <c r="I429" s="648"/>
      <c r="J429" s="448"/>
      <c r="K429" s="448"/>
      <c r="L429" s="449"/>
      <c r="M429" s="449"/>
      <c r="N429" s="449"/>
      <c r="O429" s="448"/>
      <c r="P429" s="604"/>
      <c r="Q429" s="572"/>
      <c r="R429" s="697"/>
    </row>
    <row r="430">
      <c r="E430" s="341"/>
      <c r="F430" s="341"/>
      <c r="G430" s="601" t="s">
        <v>390</v>
      </c>
      <c r="H430" s="649">
        <f>P418/2</f>
        <v>0.5</v>
      </c>
      <c r="I430" s="650"/>
      <c r="J430" s="454"/>
      <c r="K430" s="454"/>
      <c r="L430" s="455"/>
      <c r="M430" s="455"/>
      <c r="N430" s="455"/>
      <c r="O430" s="454"/>
      <c r="P430" s="468"/>
      <c r="Q430" s="11"/>
    </row>
    <row r="431">
      <c r="E431" s="341"/>
      <c r="F431" s="341"/>
      <c r="G431" s="11"/>
      <c r="H431" s="11"/>
      <c r="I431" s="650"/>
      <c r="J431" s="454"/>
      <c r="K431" s="454"/>
      <c r="L431" s="455"/>
      <c r="M431" s="455"/>
      <c r="N431" s="455"/>
      <c r="O431" s="454"/>
      <c r="P431" s="468"/>
      <c r="Q431" s="11"/>
    </row>
    <row r="432">
      <c r="E432" s="341"/>
      <c r="F432" s="341"/>
      <c r="G432" s="591" t="s">
        <v>263</v>
      </c>
      <c r="H432" s="647" t="s">
        <v>391</v>
      </c>
      <c r="I432" s="648"/>
      <c r="J432" s="448"/>
      <c r="K432" s="448"/>
      <c r="L432" s="449"/>
      <c r="M432" s="449"/>
      <c r="N432" s="449"/>
      <c r="O432" s="448"/>
      <c r="P432" s="604"/>
      <c r="Q432" s="572"/>
    </row>
    <row r="433">
      <c r="E433" s="341"/>
      <c r="F433" s="341"/>
      <c r="G433" s="594" t="s">
        <v>306</v>
      </c>
      <c r="H433" s="651">
        <f>H421</f>
        <v>1</v>
      </c>
      <c r="I433" s="650"/>
      <c r="J433" s="454"/>
      <c r="K433" s="454"/>
      <c r="L433" s="455"/>
      <c r="M433" s="455"/>
      <c r="N433" s="455"/>
      <c r="O433" s="454"/>
      <c r="P433" s="468"/>
      <c r="Q433" s="11"/>
    </row>
    <row r="434">
      <c r="E434" s="341"/>
      <c r="F434" s="341"/>
      <c r="G434" s="594" t="s">
        <v>392</v>
      </c>
      <c r="H434" s="652">
        <f>H430/H433 * (H433-1)</f>
        <v>0</v>
      </c>
      <c r="I434" s="650"/>
      <c r="J434" s="454"/>
      <c r="K434" s="454"/>
      <c r="L434" s="455"/>
      <c r="M434" s="455"/>
      <c r="N434" s="455"/>
      <c r="O434" s="454"/>
      <c r="P434" s="468"/>
      <c r="Q434" s="11"/>
    </row>
    <row r="435">
      <c r="E435" s="341"/>
      <c r="F435" s="341"/>
      <c r="G435" s="594" t="s">
        <v>308</v>
      </c>
      <c r="H435" s="652">
        <f>H434*H433</f>
        <v>0</v>
      </c>
      <c r="I435" s="650"/>
      <c r="J435" s="454"/>
      <c r="K435" s="454"/>
      <c r="L435" s="455"/>
      <c r="M435" s="455"/>
      <c r="N435" s="455"/>
      <c r="O435" s="454"/>
      <c r="P435" s="468"/>
      <c r="Q435" s="11"/>
    </row>
    <row r="436">
      <c r="E436" s="341"/>
      <c r="F436" s="341"/>
      <c r="G436" s="653" t="s">
        <v>385</v>
      </c>
      <c r="H436" s="385" t="s">
        <v>309</v>
      </c>
      <c r="I436" s="11"/>
      <c r="J436" s="654" t="str">
        <f>IFS(H433=8,12,
H433=4,4,
H433=2,1,
TRUE,NA())</f>
        <v>#N/A</v>
      </c>
      <c r="K436" s="454"/>
      <c r="L436" s="455"/>
      <c r="M436" s="455"/>
      <c r="N436" s="455"/>
      <c r="O436" s="454"/>
      <c r="P436" s="468"/>
      <c r="Q436" s="11"/>
      <c r="S436" s="655"/>
    </row>
    <row r="437">
      <c r="E437" s="341"/>
      <c r="F437" s="341"/>
      <c r="G437" s="341"/>
      <c r="H437" s="385" t="s">
        <v>386</v>
      </c>
      <c r="I437" s="11"/>
      <c r="J437" s="656">
        <f>HW_SPEC("# of TensorCore per Chip")</f>
        <v>1</v>
      </c>
      <c r="K437" s="454"/>
      <c r="L437" s="455"/>
      <c r="M437" s="455"/>
      <c r="N437" s="455"/>
      <c r="O437" s="454"/>
      <c r="P437" s="468"/>
      <c r="Q437" s="11"/>
    </row>
    <row r="438">
      <c r="E438" s="341"/>
      <c r="F438" s="341"/>
      <c r="G438" s="352"/>
      <c r="H438" s="402" t="s">
        <v>311</v>
      </c>
      <c r="I438" s="650"/>
      <c r="J438" s="657">
        <f>REDUCE_SCATTER_CHIP2CHIP_TIME_MS2(H435*J437,J436)</f>
        <v>0</v>
      </c>
      <c r="K438" s="454"/>
      <c r="L438" s="455"/>
      <c r="M438" s="455"/>
      <c r="N438" s="455"/>
      <c r="O438" s="454"/>
      <c r="P438" s="468"/>
      <c r="Q438" s="11"/>
    </row>
    <row r="439">
      <c r="E439" s="341"/>
      <c r="F439" s="341"/>
      <c r="G439" s="658" t="s">
        <v>387</v>
      </c>
      <c r="H439" s="402" t="s">
        <v>311</v>
      </c>
      <c r="I439" s="650"/>
      <c r="J439" s="657">
        <f>REDUCE_SCATTER_CORE2CORE_TIME_MS(H435)</f>
        <v>0</v>
      </c>
      <c r="K439" s="454"/>
      <c r="L439" s="455"/>
      <c r="M439" s="455"/>
      <c r="N439" s="455"/>
      <c r="O439" s="454"/>
      <c r="P439" s="468"/>
      <c r="Q439" s="11"/>
    </row>
    <row r="440">
      <c r="E440" s="341"/>
      <c r="F440" s="341"/>
      <c r="G440" s="594"/>
      <c r="H440" s="659"/>
      <c r="I440" s="650"/>
      <c r="J440" s="454"/>
      <c r="K440" s="454"/>
      <c r="L440" s="455"/>
      <c r="M440" s="455"/>
      <c r="N440" s="455"/>
      <c r="O440" s="454"/>
      <c r="P440" s="468"/>
      <c r="Q440" s="11"/>
    </row>
    <row r="441">
      <c r="E441" s="341"/>
      <c r="F441" s="341"/>
      <c r="G441" s="591" t="s">
        <v>393</v>
      </c>
      <c r="H441" s="660" t="s">
        <v>394</v>
      </c>
      <c r="I441" s="648"/>
      <c r="J441" s="448"/>
      <c r="K441" s="448"/>
      <c r="L441" s="449"/>
      <c r="M441" s="449"/>
      <c r="N441" s="449"/>
      <c r="O441" s="448"/>
      <c r="P441" s="604"/>
      <c r="Q441" s="572"/>
    </row>
    <row r="442">
      <c r="E442" s="341"/>
      <c r="F442" s="341"/>
      <c r="G442" s="661" t="s">
        <v>395</v>
      </c>
      <c r="H442" s="662">
        <f>IFS(H441=G424,J426,
H441=G427,J427 ,
TRUE,0)</f>
        <v>0</v>
      </c>
      <c r="I442" s="650"/>
      <c r="J442" s="454"/>
      <c r="K442" s="454"/>
      <c r="L442" s="455"/>
      <c r="M442" s="455"/>
      <c r="N442" s="455"/>
      <c r="O442" s="454"/>
      <c r="P442" s="468"/>
      <c r="Q442" s="11"/>
    </row>
    <row r="443">
      <c r="E443" s="341"/>
      <c r="F443" s="341"/>
      <c r="G443" s="661" t="s">
        <v>396</v>
      </c>
      <c r="H443" s="662">
        <f>IFS(H441=G436,J438,
H441=G439,J439 ,
TRUE,0)</f>
        <v>0</v>
      </c>
      <c r="I443" s="650"/>
      <c r="J443" s="454"/>
      <c r="K443" s="454"/>
      <c r="L443" s="455"/>
      <c r="M443" s="455"/>
      <c r="N443" s="455"/>
      <c r="O443" s="454"/>
      <c r="P443" s="468"/>
      <c r="Q443" s="11"/>
    </row>
    <row r="444">
      <c r="E444" s="341"/>
      <c r="F444" s="352"/>
      <c r="G444" s="591" t="s">
        <v>340</v>
      </c>
      <c r="H444" s="625">
        <f>SUM(H442:H443)</f>
        <v>0</v>
      </c>
      <c r="I444" s="581"/>
      <c r="J444" s="448"/>
      <c r="K444" s="448"/>
      <c r="L444" s="449"/>
      <c r="M444" s="449"/>
      <c r="N444" s="449"/>
      <c r="O444" s="448"/>
      <c r="P444" s="604"/>
      <c r="Q444" s="572"/>
    </row>
    <row r="445">
      <c r="E445" s="341"/>
      <c r="F445" s="609" t="s">
        <v>327</v>
      </c>
      <c r="G445" s="601" t="s">
        <v>328</v>
      </c>
      <c r="H445" s="663" t="str">
        <f>VLOOKUP(O407&amp;","&amp;O411,$T$3:$W$12,4, FALSE)</f>
        <v>fp8</v>
      </c>
      <c r="I445" s="460"/>
      <c r="J445" s="454"/>
      <c r="K445" s="454"/>
      <c r="L445" s="455"/>
      <c r="M445" s="455"/>
      <c r="N445" s="455"/>
      <c r="O445" s="454"/>
      <c r="P445" s="468"/>
      <c r="Q445" s="11"/>
    </row>
    <row r="446">
      <c r="E446" s="341"/>
      <c r="F446" s="341"/>
      <c r="G446" s="664" t="s">
        <v>397</v>
      </c>
      <c r="H446" s="664">
        <v>128.0</v>
      </c>
      <c r="I446" s="460"/>
      <c r="J446" s="454"/>
      <c r="K446" s="454"/>
      <c r="L446" s="455"/>
      <c r="M446" s="455"/>
      <c r="N446" s="455"/>
      <c r="O446" s="454"/>
      <c r="P446" s="468"/>
      <c r="Q446" s="11"/>
    </row>
    <row r="447">
      <c r="E447" s="341"/>
      <c r="F447" s="341"/>
      <c r="G447" s="664" t="s">
        <v>398</v>
      </c>
      <c r="H447" s="665">
        <f t="array" ref="H447">CALCULATE_FLOPS(HSTACK(H446,M410),J414:M414,L414,K414,H445)</f>
        <v>1879048192</v>
      </c>
      <c r="I447" s="460"/>
      <c r="J447" s="454"/>
      <c r="K447" s="454"/>
      <c r="L447" s="455"/>
      <c r="M447" s="455"/>
      <c r="N447" s="455"/>
      <c r="O447" s="454"/>
      <c r="P447" s="468"/>
      <c r="Q447" s="11"/>
    </row>
    <row r="448">
      <c r="E448" s="341"/>
      <c r="F448" s="341"/>
      <c r="G448" s="664" t="s">
        <v>399</v>
      </c>
      <c r="H448" s="664">
        <f>CEILING(PRODUCT(K410:L410)/H446,1)</f>
        <v>4</v>
      </c>
      <c r="I448" s="460"/>
      <c r="J448" s="454"/>
      <c r="K448" s="454"/>
      <c r="L448" s="455"/>
      <c r="M448" s="455"/>
      <c r="N448" s="455"/>
      <c r="O448" s="454"/>
      <c r="P448" s="468"/>
      <c r="Q448" s="11"/>
    </row>
    <row r="449">
      <c r="E449" s="341"/>
      <c r="F449" s="341"/>
      <c r="G449" s="664" t="s">
        <v>400</v>
      </c>
      <c r="H449" s="664">
        <f>PARAMS("E")/SHARDING(K413)</f>
        <v>128</v>
      </c>
      <c r="I449" s="460"/>
      <c r="J449" s="454"/>
      <c r="K449" s="454"/>
      <c r="L449" s="455"/>
      <c r="M449" s="455"/>
      <c r="N449" s="455"/>
      <c r="O449" s="454"/>
      <c r="P449" s="468"/>
      <c r="Q449" s="11"/>
    </row>
    <row r="450">
      <c r="E450" s="341"/>
      <c r="F450" s="341"/>
      <c r="G450" s="664" t="s">
        <v>401</v>
      </c>
      <c r="H450" s="663">
        <f>H448 + IF(PARAMS("enforce_perfect_expert_routing"),0,H449-1)</f>
        <v>4</v>
      </c>
      <c r="I450" s="666" t="s">
        <v>402</v>
      </c>
      <c r="J450" s="454"/>
      <c r="K450" s="454"/>
      <c r="L450" s="455"/>
      <c r="M450" s="455"/>
      <c r="N450" s="455"/>
      <c r="O450" s="454"/>
      <c r="P450" s="468"/>
      <c r="Q450" s="11"/>
    </row>
    <row r="451">
      <c r="E451" s="341"/>
      <c r="F451" s="341"/>
      <c r="G451" s="601" t="s">
        <v>403</v>
      </c>
      <c r="H451" s="667">
        <f>H450*H447</f>
        <v>7516192768</v>
      </c>
      <c r="I451" s="460"/>
      <c r="J451" s="668">
        <f>product(J418:M418)*L412*2/1000/1000/1000</f>
        <v>7.516192768</v>
      </c>
      <c r="K451" s="454"/>
      <c r="L451" s="455"/>
      <c r="M451" s="455"/>
      <c r="N451" s="455"/>
      <c r="O451" s="454"/>
      <c r="P451" s="468"/>
      <c r="Q451" s="11"/>
    </row>
    <row r="452">
      <c r="E452" s="341"/>
      <c r="F452" s="352"/>
      <c r="G452" s="669" t="s">
        <v>330</v>
      </c>
      <c r="H452" s="670">
        <f>COMPUTE_TIME_MS(H451, H445)</f>
        <v>0.002004318071</v>
      </c>
      <c r="I452" s="464"/>
      <c r="J452" s="465"/>
      <c r="K452" s="465"/>
      <c r="L452" s="466"/>
      <c r="M452" s="466"/>
      <c r="N452" s="466"/>
      <c r="O452" s="465"/>
      <c r="P452" s="671"/>
      <c r="Q452" s="11"/>
    </row>
    <row r="453">
      <c r="E453" s="341"/>
      <c r="F453" s="609" t="s">
        <v>331</v>
      </c>
      <c r="G453" s="663" t="s">
        <v>332</v>
      </c>
      <c r="H453" s="672">
        <f>IF(Q407,0,P410)+IF(Q411,0,P414)+IF(Q415,0,P418 / 2)</f>
        <v>900</v>
      </c>
      <c r="I453" s="454"/>
      <c r="J453" s="454"/>
      <c r="K453" s="454"/>
      <c r="L453" s="455"/>
      <c r="M453" s="455"/>
      <c r="N453" s="455"/>
      <c r="O453" s="454"/>
      <c r="P453" s="468"/>
      <c r="Q453" s="11"/>
    </row>
    <row r="454">
      <c r="E454" s="352"/>
      <c r="F454" s="352"/>
      <c r="G454" s="673" t="s">
        <v>333</v>
      </c>
      <c r="H454" s="670">
        <f>HBM_TIME_MS(H453)</f>
        <v>0.1220703125</v>
      </c>
      <c r="I454" s="465"/>
      <c r="J454" s="465"/>
      <c r="K454" s="465"/>
      <c r="L454" s="466"/>
      <c r="M454" s="466"/>
      <c r="N454" s="466"/>
      <c r="O454" s="465"/>
      <c r="P454" s="671"/>
      <c r="Q454" s="11"/>
    </row>
    <row r="455">
      <c r="E455" s="333" t="s">
        <v>404</v>
      </c>
      <c r="F455" s="627" t="s">
        <v>292</v>
      </c>
      <c r="G455" s="335"/>
      <c r="H455" s="372" t="s">
        <v>281</v>
      </c>
      <c r="I455" s="364" t="s">
        <v>282</v>
      </c>
      <c r="J455" s="273"/>
      <c r="K455" s="273" t="s">
        <v>104</v>
      </c>
      <c r="L455" s="273" t="s">
        <v>212</v>
      </c>
      <c r="M455" s="472" t="s">
        <v>182</v>
      </c>
      <c r="N455" s="364" t="s">
        <v>283</v>
      </c>
      <c r="O455" s="628" t="str">
        <f>EXTRACT_ACTIVATION_DTYPE(PARAMS("moe_dtype"))</f>
        <v>fp8</v>
      </c>
      <c r="P455" s="375"/>
      <c r="Q455" s="365" t="b">
        <v>0</v>
      </c>
    </row>
    <row r="456">
      <c r="E456" s="341"/>
      <c r="F456" s="342"/>
      <c r="G456" s="343"/>
      <c r="H456" s="374" t="s">
        <v>285</v>
      </c>
      <c r="I456" s="364" t="s">
        <v>282</v>
      </c>
      <c r="J456" s="363"/>
      <c r="K456" s="364">
        <f t="shared" ref="K456:M456" si="81">PARAMS(K455)</f>
        <v>128</v>
      </c>
      <c r="L456" s="364">
        <f t="shared" si="81"/>
        <v>4</v>
      </c>
      <c r="M456" s="364">
        <f t="shared" si="81"/>
        <v>4096</v>
      </c>
      <c r="N456" s="364" t="s">
        <v>283</v>
      </c>
      <c r="O456" s="341"/>
      <c r="P456" s="375">
        <f>SIZEOF_IN_MIB(J456:M456, O455)</f>
        <v>2</v>
      </c>
      <c r="Q456" s="341"/>
    </row>
    <row r="457">
      <c r="E457" s="341"/>
      <c r="F457" s="342"/>
      <c r="G457" s="343"/>
      <c r="H457" s="629" t="s">
        <v>287</v>
      </c>
      <c r="I457" s="363" t="s">
        <v>282</v>
      </c>
      <c r="J457" s="364"/>
      <c r="K457" s="273"/>
      <c r="L457" s="273"/>
      <c r="M457" s="273" t="s">
        <v>196</v>
      </c>
      <c r="N457" s="363" t="s">
        <v>283</v>
      </c>
      <c r="O457" s="341"/>
      <c r="P457" s="375"/>
      <c r="Q457" s="341"/>
    </row>
    <row r="458">
      <c r="E458" s="341"/>
      <c r="F458" s="353"/>
      <c r="G458" s="354"/>
      <c r="H458" s="374" t="s">
        <v>289</v>
      </c>
      <c r="I458" s="363" t="s">
        <v>282</v>
      </c>
      <c r="J458" s="364"/>
      <c r="K458" s="363">
        <f t="shared" ref="K458:M458" si="82">K456/SHARDING(K457)</f>
        <v>128</v>
      </c>
      <c r="L458" s="363">
        <f t="shared" si="82"/>
        <v>4</v>
      </c>
      <c r="M458" s="363">
        <f t="shared" si="82"/>
        <v>512</v>
      </c>
      <c r="N458" s="363" t="s">
        <v>283</v>
      </c>
      <c r="O458" s="316"/>
      <c r="P458" s="375">
        <f>SIZEOF_IN_MIB(J458:M458, O455)</f>
        <v>0.25</v>
      </c>
      <c r="Q458" s="352"/>
    </row>
    <row r="459">
      <c r="E459" s="341"/>
      <c r="F459" s="630" t="s">
        <v>296</v>
      </c>
      <c r="G459" s="335"/>
      <c r="H459" s="629" t="s">
        <v>281</v>
      </c>
      <c r="I459" s="363" t="s">
        <v>282</v>
      </c>
      <c r="J459" s="364"/>
      <c r="K459" s="273" t="s">
        <v>184</v>
      </c>
      <c r="L459" s="472" t="s">
        <v>182</v>
      </c>
      <c r="M459" s="273" t="s">
        <v>178</v>
      </c>
      <c r="N459" s="363" t="s">
        <v>283</v>
      </c>
      <c r="O459" s="631" t="str">
        <f>EXTRACT_WEIGHT_DTYPE(PARAMS("moe_dtype"))</f>
        <v>fp8</v>
      </c>
      <c r="P459" s="375"/>
      <c r="Q459" s="365" t="b">
        <v>0</v>
      </c>
    </row>
    <row r="460">
      <c r="E460" s="341"/>
      <c r="F460" s="342"/>
      <c r="G460" s="343"/>
      <c r="H460" s="374" t="s">
        <v>285</v>
      </c>
      <c r="I460" s="363" t="s">
        <v>282</v>
      </c>
      <c r="J460" s="364"/>
      <c r="K460" s="363">
        <f t="shared" ref="K460:M460" si="83">PARAMS(K459)</f>
        <v>128</v>
      </c>
      <c r="L460" s="363">
        <f t="shared" si="83"/>
        <v>4096</v>
      </c>
      <c r="M460" s="363">
        <f t="shared" si="83"/>
        <v>7168</v>
      </c>
      <c r="N460" s="363" t="s">
        <v>283</v>
      </c>
      <c r="O460" s="350"/>
      <c r="P460" s="375">
        <f>SIZEOF_IN_MIB(J460:M460, O459)</f>
        <v>3584</v>
      </c>
      <c r="Q460" s="341"/>
    </row>
    <row r="461">
      <c r="E461" s="341"/>
      <c r="F461" s="342"/>
      <c r="G461" s="343"/>
      <c r="H461" s="629" t="s">
        <v>287</v>
      </c>
      <c r="I461" s="363" t="s">
        <v>282</v>
      </c>
      <c r="J461" s="364"/>
      <c r="K461" s="273"/>
      <c r="L461" s="273" t="s">
        <v>196</v>
      </c>
      <c r="M461" s="273"/>
      <c r="N461" s="363" t="s">
        <v>283</v>
      </c>
      <c r="O461" s="347"/>
      <c r="P461" s="375"/>
      <c r="Q461" s="341"/>
    </row>
    <row r="462">
      <c r="E462" s="341"/>
      <c r="F462" s="353"/>
      <c r="G462" s="354"/>
      <c r="H462" s="629" t="s">
        <v>289</v>
      </c>
      <c r="I462" s="363" t="s">
        <v>282</v>
      </c>
      <c r="J462" s="364"/>
      <c r="K462" s="363">
        <f t="shared" ref="K462:M462" si="84">K460/SHARDING(K461)</f>
        <v>128</v>
      </c>
      <c r="L462" s="363">
        <f t="shared" si="84"/>
        <v>512</v>
      </c>
      <c r="M462" s="363">
        <f t="shared" si="84"/>
        <v>7168</v>
      </c>
      <c r="N462" s="363" t="s">
        <v>283</v>
      </c>
      <c r="O462" s="316"/>
      <c r="P462" s="375">
        <f>SIZEOF_IN_MIB(J462:M462, O459)</f>
        <v>448</v>
      </c>
      <c r="Q462" s="352"/>
    </row>
    <row r="463">
      <c r="E463" s="341"/>
      <c r="F463" s="630" t="s">
        <v>56</v>
      </c>
      <c r="G463" s="335"/>
      <c r="H463" s="629" t="s">
        <v>281</v>
      </c>
      <c r="I463" s="363" t="s">
        <v>282</v>
      </c>
      <c r="J463" s="364"/>
      <c r="K463" s="273" t="s">
        <v>104</v>
      </c>
      <c r="L463" s="273" t="s">
        <v>212</v>
      </c>
      <c r="M463" s="273" t="s">
        <v>178</v>
      </c>
      <c r="N463" s="363" t="s">
        <v>283</v>
      </c>
      <c r="O463" s="674" t="s">
        <v>133</v>
      </c>
      <c r="P463" s="375"/>
      <c r="Q463" s="365" t="b">
        <v>0</v>
      </c>
    </row>
    <row r="464">
      <c r="E464" s="341"/>
      <c r="F464" s="342"/>
      <c r="G464" s="343"/>
      <c r="H464" s="374" t="s">
        <v>285</v>
      </c>
      <c r="I464" s="363" t="s">
        <v>282</v>
      </c>
      <c r="J464" s="364"/>
      <c r="K464" s="363">
        <f t="shared" ref="K464:M464" si="85">PARAMS(K463)</f>
        <v>128</v>
      </c>
      <c r="L464" s="363">
        <f t="shared" si="85"/>
        <v>4</v>
      </c>
      <c r="M464" s="363">
        <f t="shared" si="85"/>
        <v>7168</v>
      </c>
      <c r="N464" s="363" t="s">
        <v>283</v>
      </c>
      <c r="O464" s="341"/>
      <c r="P464" s="375">
        <f>SIZEOF_IN_MIB(J464:M464, O463)</f>
        <v>7</v>
      </c>
      <c r="Q464" s="341"/>
    </row>
    <row r="465">
      <c r="E465" s="341"/>
      <c r="F465" s="342"/>
      <c r="G465" s="343"/>
      <c r="H465" s="629" t="s">
        <v>287</v>
      </c>
      <c r="I465" s="363" t="s">
        <v>282</v>
      </c>
      <c r="J465" s="364"/>
      <c r="K465" s="273"/>
      <c r="L465" s="273"/>
      <c r="M465" s="273"/>
      <c r="N465" s="363" t="s">
        <v>283</v>
      </c>
      <c r="O465" s="341"/>
      <c r="P465" s="375"/>
      <c r="Q465" s="341"/>
    </row>
    <row r="466">
      <c r="E466" s="341"/>
      <c r="F466" s="353"/>
      <c r="G466" s="354"/>
      <c r="H466" s="629" t="s">
        <v>289</v>
      </c>
      <c r="I466" s="363" t="s">
        <v>282</v>
      </c>
      <c r="J466" s="363"/>
      <c r="K466" s="363">
        <f t="shared" ref="K466:M466" si="86">K464/SHARDING(K465)</f>
        <v>128</v>
      </c>
      <c r="L466" s="363">
        <f t="shared" si="86"/>
        <v>4</v>
      </c>
      <c r="M466" s="363">
        <f t="shared" si="86"/>
        <v>7168</v>
      </c>
      <c r="N466" s="363" t="s">
        <v>283</v>
      </c>
      <c r="O466" s="352"/>
      <c r="P466" s="375">
        <f>SIZEOF_IN_MIB(J466:M466, O463)</f>
        <v>7</v>
      </c>
      <c r="Q466" s="352"/>
    </row>
    <row r="467">
      <c r="E467" s="341"/>
      <c r="F467" s="370" t="s">
        <v>378</v>
      </c>
      <c r="G467" s="675" t="s">
        <v>440</v>
      </c>
      <c r="H467" s="676" t="str">
        <f>L461</f>
        <v>data,model</v>
      </c>
      <c r="I467" s="364"/>
      <c r="J467" s="11"/>
      <c r="K467" s="364"/>
      <c r="L467" s="363"/>
      <c r="M467" s="363"/>
      <c r="N467" s="363"/>
      <c r="O467" s="364"/>
      <c r="P467" s="375"/>
      <c r="Q467" s="677"/>
    </row>
    <row r="468">
      <c r="E468" s="341"/>
      <c r="F468" s="341"/>
      <c r="G468" s="678" t="s">
        <v>406</v>
      </c>
      <c r="H468" s="679" t="s">
        <v>441</v>
      </c>
      <c r="I468" s="448"/>
      <c r="J468" s="448"/>
      <c r="K468" s="448"/>
      <c r="L468" s="449"/>
      <c r="M468" s="449"/>
      <c r="N468" s="449"/>
      <c r="O468" s="448"/>
      <c r="P468" s="604"/>
      <c r="Q468" s="450"/>
    </row>
    <row r="469">
      <c r="E469" s="341"/>
      <c r="F469" s="341"/>
      <c r="G469" s="680" t="s">
        <v>306</v>
      </c>
      <c r="H469" s="374">
        <f>SHARDING(H467)</f>
        <v>8</v>
      </c>
      <c r="I469" s="364"/>
      <c r="J469" s="364"/>
      <c r="K469" s="364"/>
      <c r="L469" s="363"/>
      <c r="M469" s="363"/>
      <c r="N469" s="363"/>
      <c r="O469" s="364"/>
      <c r="P469" s="375"/>
      <c r="Q469" s="677"/>
    </row>
    <row r="470">
      <c r="E470" s="341"/>
      <c r="F470" s="341"/>
      <c r="G470" s="680" t="s">
        <v>392</v>
      </c>
      <c r="H470" s="681">
        <f>P466 / H469 * (H469-1)</f>
        <v>6.125</v>
      </c>
      <c r="I470" s="364"/>
      <c r="J470" s="364"/>
      <c r="K470" s="364"/>
      <c r="L470" s="363"/>
      <c r="M470" s="363"/>
      <c r="N470" s="363"/>
      <c r="O470" s="364"/>
      <c r="P470" s="375"/>
      <c r="Q470" s="677"/>
    </row>
    <row r="471">
      <c r="E471" s="341"/>
      <c r="F471" s="341"/>
      <c r="G471" s="680" t="s">
        <v>308</v>
      </c>
      <c r="H471" s="681">
        <f>H470*H469</f>
        <v>49</v>
      </c>
      <c r="I471" s="364"/>
      <c r="J471" s="364"/>
      <c r="K471" s="364"/>
      <c r="L471" s="363"/>
      <c r="M471" s="363"/>
      <c r="N471" s="363"/>
      <c r="O471" s="364"/>
      <c r="P471" s="375"/>
      <c r="Q471" s="677"/>
    </row>
    <row r="472">
      <c r="E472" s="341"/>
      <c r="F472" s="341"/>
      <c r="G472" s="385" t="s">
        <v>309</v>
      </c>
      <c r="H472" s="654">
        <f>IFS(H469=8,12,
H469=4,4,
H469=2,1,
TRUE,NA())</f>
        <v>12</v>
      </c>
      <c r="I472" s="11"/>
      <c r="J472" s="364"/>
      <c r="K472" s="364"/>
      <c r="L472" s="363"/>
      <c r="M472" s="363"/>
      <c r="N472" s="363"/>
      <c r="O472" s="364"/>
      <c r="P472" s="375"/>
      <c r="Q472" s="677"/>
    </row>
    <row r="473">
      <c r="E473" s="341"/>
      <c r="F473" s="341"/>
      <c r="G473" s="682" t="s">
        <v>340</v>
      </c>
      <c r="H473" s="683">
        <f>ALL_REDUCE_CHIP2CHIP_TIME_MS(H471,H472)</f>
        <v>0.004430700231</v>
      </c>
      <c r="I473" s="364"/>
      <c r="J473" s="364"/>
      <c r="K473" s="364"/>
      <c r="L473" s="363"/>
      <c r="M473" s="363"/>
      <c r="N473" s="363"/>
      <c r="O473" s="364"/>
      <c r="P473" s="375"/>
      <c r="Q473" s="677"/>
    </row>
    <row r="474">
      <c r="E474" s="341"/>
      <c r="F474" s="341"/>
      <c r="G474" s="682"/>
      <c r="H474" s="683"/>
      <c r="I474" s="364"/>
      <c r="J474" s="364"/>
      <c r="K474" s="364"/>
      <c r="L474" s="363"/>
      <c r="M474" s="363"/>
      <c r="N474" s="363"/>
      <c r="O474" s="364"/>
      <c r="P474" s="375"/>
      <c r="Q474" s="677"/>
    </row>
    <row r="475">
      <c r="E475" s="341"/>
      <c r="F475" s="341"/>
      <c r="G475" s="678" t="s">
        <v>408</v>
      </c>
      <c r="H475" s="684" t="s">
        <v>409</v>
      </c>
      <c r="I475" s="448"/>
      <c r="J475" s="448"/>
      <c r="K475" s="448"/>
      <c r="L475" s="449"/>
      <c r="M475" s="449"/>
      <c r="N475" s="449"/>
      <c r="O475" s="448"/>
      <c r="P475" s="604"/>
      <c r="Q475" s="450"/>
    </row>
    <row r="476">
      <c r="E476" s="341"/>
      <c r="F476" s="341"/>
      <c r="G476" s="8" t="s">
        <v>340</v>
      </c>
      <c r="H476" s="670">
        <f>0</f>
        <v>0</v>
      </c>
      <c r="I476" s="364"/>
      <c r="J476" s="364"/>
      <c r="K476" s="364"/>
      <c r="L476" s="363"/>
      <c r="M476" s="363"/>
      <c r="N476" s="363"/>
      <c r="O476" s="364"/>
      <c r="P476" s="375"/>
      <c r="Q476" s="677"/>
    </row>
    <row r="477">
      <c r="E477" s="341"/>
      <c r="F477" s="341"/>
      <c r="G477" s="8"/>
      <c r="H477" s="670"/>
      <c r="I477" s="364"/>
      <c r="J477" s="364"/>
      <c r="K477" s="364"/>
      <c r="L477" s="363"/>
      <c r="M477" s="363"/>
      <c r="N477" s="363"/>
      <c r="O477" s="364"/>
      <c r="P477" s="375"/>
      <c r="Q477" s="677"/>
    </row>
    <row r="478">
      <c r="E478" s="341"/>
      <c r="F478" s="341"/>
      <c r="G478" s="591" t="s">
        <v>393</v>
      </c>
      <c r="H478" s="685" t="s">
        <v>408</v>
      </c>
      <c r="I478" s="448"/>
      <c r="J478" s="448"/>
      <c r="K478" s="448"/>
      <c r="L478" s="449"/>
      <c r="M478" s="449"/>
      <c r="N478" s="449"/>
      <c r="O478" s="448"/>
      <c r="P478" s="604"/>
      <c r="Q478" s="450"/>
    </row>
    <row r="479">
      <c r="E479" s="341"/>
      <c r="F479" s="352"/>
      <c r="G479" s="669" t="s">
        <v>340</v>
      </c>
      <c r="H479" s="670">
        <f>IFS(H478=G468,H473,H478=G475,H476,TRUE,0)</f>
        <v>0</v>
      </c>
      <c r="I479" s="686"/>
      <c r="J479" s="364"/>
      <c r="K479" s="364"/>
      <c r="L479" s="363"/>
      <c r="M479" s="363"/>
      <c r="N479" s="363"/>
      <c r="O479" s="364"/>
      <c r="P479" s="375"/>
      <c r="Q479" s="677"/>
    </row>
    <row r="480">
      <c r="E480" s="341"/>
      <c r="F480" s="609" t="s">
        <v>327</v>
      </c>
      <c r="G480" s="601" t="s">
        <v>328</v>
      </c>
      <c r="H480" s="663" t="str">
        <f>VLOOKUP(O455&amp;","&amp;O459,$T$3:$W$12,4, FALSE)</f>
        <v>fp8</v>
      </c>
      <c r="I480" s="460"/>
      <c r="J480" s="454"/>
      <c r="K480" s="454"/>
      <c r="L480" s="455"/>
      <c r="M480" s="455"/>
      <c r="N480" s="455"/>
      <c r="O480" s="454"/>
      <c r="P480" s="468"/>
      <c r="Q480" s="11"/>
    </row>
    <row r="481">
      <c r="E481" s="341"/>
      <c r="F481" s="341"/>
      <c r="G481" s="601" t="s">
        <v>397</v>
      </c>
      <c r="H481" s="601">
        <v>128.0</v>
      </c>
      <c r="I481" s="460"/>
      <c r="J481" s="454"/>
      <c r="K481" s="454"/>
      <c r="L481" s="455"/>
      <c r="M481" s="455"/>
      <c r="N481" s="455"/>
      <c r="O481" s="454"/>
      <c r="P481" s="468"/>
      <c r="Q481" s="11"/>
    </row>
    <row r="482">
      <c r="E482" s="341"/>
      <c r="F482" s="341"/>
      <c r="G482" s="601" t="s">
        <v>398</v>
      </c>
      <c r="H482" s="667">
        <f t="array" ref="H482">CALCULATE_FLOPS(HSTACK(H481,M458),J462:M462,L462,K462,H480)</f>
        <v>939524096</v>
      </c>
      <c r="I482" s="460"/>
      <c r="J482" s="454"/>
      <c r="K482" s="454"/>
      <c r="L482" s="455"/>
      <c r="M482" s="455"/>
      <c r="N482" s="455"/>
      <c r="O482" s="454"/>
      <c r="P482" s="468"/>
      <c r="Q482" s="11"/>
    </row>
    <row r="483">
      <c r="E483" s="341"/>
      <c r="F483" s="341"/>
      <c r="G483" s="601" t="s">
        <v>399</v>
      </c>
      <c r="H483" s="601">
        <f>CEILING(PRODUCT(K458:L458)/H481,1)</f>
        <v>4</v>
      </c>
      <c r="I483" s="460"/>
      <c r="J483" s="454"/>
      <c r="K483" s="454"/>
      <c r="L483" s="455"/>
      <c r="M483" s="455"/>
      <c r="N483" s="455"/>
      <c r="O483" s="454"/>
      <c r="P483" s="468"/>
      <c r="Q483" s="11"/>
    </row>
    <row r="484">
      <c r="E484" s="341"/>
      <c r="F484" s="341"/>
      <c r="G484" s="601" t="s">
        <v>400</v>
      </c>
      <c r="H484" s="601">
        <f>PARAMS("E")/SHARDING(K461)</f>
        <v>128</v>
      </c>
      <c r="I484" s="460"/>
      <c r="J484" s="454"/>
      <c r="K484" s="454"/>
      <c r="L484" s="455"/>
      <c r="M484" s="455"/>
      <c r="N484" s="455"/>
      <c r="O484" s="454"/>
      <c r="P484" s="468"/>
      <c r="Q484" s="11"/>
    </row>
    <row r="485">
      <c r="E485" s="341"/>
      <c r="F485" s="341"/>
      <c r="G485" s="601" t="s">
        <v>410</v>
      </c>
      <c r="H485" s="663">
        <f>H483 + IF(PARAMS("enforce_perfect_expert_routing"),0,H484-1)</f>
        <v>4</v>
      </c>
      <c r="I485" s="666" t="s">
        <v>402</v>
      </c>
      <c r="J485" s="454"/>
      <c r="K485" s="454"/>
      <c r="L485" s="455"/>
      <c r="M485" s="455"/>
      <c r="N485" s="455"/>
      <c r="O485" s="454"/>
      <c r="P485" s="468"/>
      <c r="Q485" s="11"/>
    </row>
    <row r="486">
      <c r="E486" s="341"/>
      <c r="F486" s="341"/>
      <c r="G486" s="601" t="s">
        <v>341</v>
      </c>
      <c r="H486" s="667">
        <f>H482*H485</f>
        <v>3758096384</v>
      </c>
      <c r="I486" s="460"/>
      <c r="J486" s="454"/>
      <c r="K486" s="454"/>
      <c r="L486" s="455"/>
      <c r="M486" s="455"/>
      <c r="N486" s="455"/>
      <c r="O486" s="454"/>
      <c r="P486" s="468"/>
      <c r="Q486" s="11"/>
    </row>
    <row r="487">
      <c r="E487" s="341"/>
      <c r="F487" s="341"/>
      <c r="G487" s="663" t="s">
        <v>341</v>
      </c>
      <c r="H487" s="687">
        <f>H482*H485</f>
        <v>3758096384</v>
      </c>
      <c r="I487" s="492"/>
      <c r="J487" s="336"/>
      <c r="K487" s="336"/>
      <c r="L487" s="349"/>
      <c r="M487" s="349"/>
      <c r="N487" s="349"/>
      <c r="O487" s="336"/>
      <c r="P487" s="377"/>
      <c r="Q487" s="298"/>
    </row>
    <row r="488">
      <c r="E488" s="341"/>
      <c r="F488" s="352"/>
      <c r="G488" s="669" t="s">
        <v>330</v>
      </c>
      <c r="H488" s="688">
        <f>COMPUTE_TIME_MS(H487, H480)</f>
        <v>0.001002159036</v>
      </c>
      <c r="I488" s="464"/>
      <c r="J488" s="465"/>
      <c r="K488" s="465"/>
      <c r="L488" s="466"/>
      <c r="M488" s="466"/>
      <c r="N488" s="466"/>
      <c r="O488" s="465"/>
      <c r="P488" s="671"/>
      <c r="Q488" s="379"/>
    </row>
    <row r="489">
      <c r="E489" s="341"/>
      <c r="F489" s="609" t="s">
        <v>331</v>
      </c>
      <c r="G489" s="663" t="s">
        <v>332</v>
      </c>
      <c r="H489" s="689">
        <f>IF(Q455,0,P458)+IF(Q459,0,P462)+IF(Q463,0,P466)</f>
        <v>455.25</v>
      </c>
      <c r="I489" s="336"/>
      <c r="J489" s="336"/>
      <c r="K489" s="336"/>
      <c r="L489" s="349"/>
      <c r="M489" s="349"/>
      <c r="N489" s="349"/>
      <c r="O489" s="336"/>
      <c r="P489" s="377"/>
      <c r="Q489" s="298"/>
    </row>
    <row r="490">
      <c r="E490" s="352"/>
      <c r="F490" s="352"/>
      <c r="G490" s="673" t="s">
        <v>333</v>
      </c>
      <c r="H490" s="690">
        <f>HBM_TIME_MS(H489)</f>
        <v>0.06174723307</v>
      </c>
      <c r="I490" s="465"/>
      <c r="J490" s="465"/>
      <c r="K490" s="465"/>
      <c r="L490" s="466"/>
      <c r="M490" s="466"/>
      <c r="N490" s="466"/>
      <c r="O490" s="465"/>
      <c r="P490" s="671"/>
      <c r="Q490" s="379"/>
    </row>
    <row r="491">
      <c r="E491" s="333" t="s">
        <v>411</v>
      </c>
      <c r="F491" s="691" t="s">
        <v>412</v>
      </c>
      <c r="G491" s="371" t="s">
        <v>301</v>
      </c>
      <c r="H491" s="531" t="s">
        <v>281</v>
      </c>
      <c r="I491" s="336" t="s">
        <v>282</v>
      </c>
      <c r="J491" s="337"/>
      <c r="K491" s="337" t="s">
        <v>104</v>
      </c>
      <c r="L491" s="337" t="s">
        <v>212</v>
      </c>
      <c r="M491" s="499" t="s">
        <v>178</v>
      </c>
      <c r="N491" s="336" t="s">
        <v>283</v>
      </c>
      <c r="O491" s="338" t="str">
        <f>PARAMS("expert_collect_dtype")</f>
        <v>bf16</v>
      </c>
      <c r="P491" s="377"/>
      <c r="Q491" s="337"/>
    </row>
    <row r="492">
      <c r="E492" s="341"/>
      <c r="F492" s="341"/>
      <c r="G492" s="341"/>
      <c r="H492" s="378" t="s">
        <v>285</v>
      </c>
      <c r="I492" s="345" t="s">
        <v>282</v>
      </c>
      <c r="J492" s="346"/>
      <c r="K492" s="345">
        <f t="shared" ref="K492:M492" si="87">PARAMS(K491)</f>
        <v>128</v>
      </c>
      <c r="L492" s="345">
        <f t="shared" si="87"/>
        <v>4</v>
      </c>
      <c r="M492" s="345">
        <f t="shared" si="87"/>
        <v>7168</v>
      </c>
      <c r="N492" s="345" t="s">
        <v>283</v>
      </c>
      <c r="O492" s="347"/>
      <c r="P492" s="509">
        <f>SIZEOF_IN_MIB(J492:M492, O491)</f>
        <v>7</v>
      </c>
      <c r="Q492" s="344"/>
    </row>
    <row r="493">
      <c r="E493" s="341"/>
      <c r="F493" s="341"/>
      <c r="G493" s="341"/>
      <c r="H493" s="376" t="s">
        <v>287</v>
      </c>
      <c r="I493" s="349" t="s">
        <v>282</v>
      </c>
      <c r="J493" s="336"/>
      <c r="K493" s="337" t="s">
        <v>196</v>
      </c>
      <c r="L493" s="337"/>
      <c r="M493" s="337"/>
      <c r="N493" s="349" t="s">
        <v>283</v>
      </c>
      <c r="O493" s="350"/>
      <c r="P493" s="377"/>
      <c r="Q493" s="337"/>
    </row>
    <row r="494">
      <c r="E494" s="341"/>
      <c r="F494" s="341"/>
      <c r="G494" s="341"/>
      <c r="H494" s="378" t="s">
        <v>289</v>
      </c>
      <c r="I494" s="346" t="s">
        <v>282</v>
      </c>
      <c r="J494" s="345"/>
      <c r="K494" s="346">
        <f t="shared" ref="K494:M494" si="88">K492/SHARDING(K493)</f>
        <v>16</v>
      </c>
      <c r="L494" s="346">
        <f t="shared" si="88"/>
        <v>4</v>
      </c>
      <c r="M494" s="346">
        <f t="shared" si="88"/>
        <v>7168</v>
      </c>
      <c r="N494" s="346" t="s">
        <v>283</v>
      </c>
      <c r="O494" s="355"/>
      <c r="P494" s="509">
        <f>SIZEOF_IN_MIB(J494:M494, O491)</f>
        <v>0.875</v>
      </c>
      <c r="Q494" s="344"/>
    </row>
    <row r="495">
      <c r="E495" s="341"/>
      <c r="F495" s="341"/>
      <c r="G495" s="352"/>
      <c r="H495" s="376" t="s">
        <v>304</v>
      </c>
      <c r="I495" s="349"/>
      <c r="J495" s="336"/>
      <c r="K495" s="337" t="s">
        <v>196</v>
      </c>
      <c r="L495" s="349"/>
      <c r="M495" s="349"/>
      <c r="N495" s="349"/>
      <c r="O495" s="337"/>
      <c r="P495" s="377"/>
      <c r="Q495" s="337"/>
    </row>
    <row r="496">
      <c r="E496" s="341"/>
      <c r="F496" s="341"/>
      <c r="G496" s="692" t="s">
        <v>413</v>
      </c>
      <c r="H496" s="693" t="s">
        <v>414</v>
      </c>
      <c r="I496" s="379"/>
      <c r="J496" s="634">
        <f>SHARDING(K493)*SHARDING(L493)/HW_SPEC("# of TensorCore per Chip")</f>
        <v>8</v>
      </c>
      <c r="K496" s="346"/>
      <c r="L496" s="346"/>
      <c r="M496" s="346"/>
      <c r="N496" s="346"/>
      <c r="O496" s="344"/>
      <c r="P496" s="509"/>
      <c r="Q496" s="344"/>
    </row>
    <row r="497">
      <c r="E497" s="341"/>
      <c r="F497" s="341"/>
      <c r="H497" s="694" t="s">
        <v>365</v>
      </c>
      <c r="I497" s="298"/>
      <c r="J497" s="695">
        <f>vlookup(J496, DB!$A$26:$D$31, 3, FALSE)</f>
        <v>4</v>
      </c>
      <c r="K497" s="349"/>
      <c r="L497" s="349"/>
      <c r="M497" s="349"/>
      <c r="N497" s="349"/>
      <c r="O497" s="337"/>
      <c r="P497" s="377"/>
      <c r="Q497" s="337"/>
    </row>
    <row r="498">
      <c r="E498" s="341"/>
      <c r="F498" s="341"/>
      <c r="H498" s="696" t="s">
        <v>366</v>
      </c>
      <c r="I498" s="697"/>
      <c r="J498" s="698">
        <f>COLLECTIVE_TIME_GPU("GB200", "ALL_TO_ALL", J496, P494*1024*1024)/1000</f>
        <v>0.0184675</v>
      </c>
      <c r="K498" s="346"/>
      <c r="L498" s="346"/>
      <c r="M498" s="346"/>
      <c r="N498" s="346"/>
      <c r="O498" s="344"/>
      <c r="P498" s="509"/>
      <c r="Q498" s="344"/>
    </row>
    <row r="499">
      <c r="E499" s="341"/>
      <c r="F499" s="341"/>
      <c r="H499" s="300" t="s">
        <v>311</v>
      </c>
      <c r="I499" s="298"/>
      <c r="J499" s="699">
        <f>IF(PARAMS("use_nccl_lookup")=TRUE, J498, ALL2ALL_CHIP2CHIP_TIME_MS(P492,J497))</f>
        <v>0.0184675</v>
      </c>
      <c r="K499" s="349"/>
      <c r="L499" s="349"/>
      <c r="M499" s="349"/>
      <c r="N499" s="349"/>
      <c r="O499" s="337"/>
      <c r="P499" s="377"/>
      <c r="Q499" s="337"/>
      <c r="T499" s="700"/>
    </row>
    <row r="500">
      <c r="E500" s="341"/>
      <c r="F500" s="341"/>
      <c r="G500" s="408" t="s">
        <v>415</v>
      </c>
      <c r="H500" s="398" t="s">
        <v>306</v>
      </c>
      <c r="I500" s="379"/>
      <c r="J500" s="701">
        <f>HW_SPEC("# of TensorCore per Chip")</f>
        <v>1</v>
      </c>
      <c r="K500" s="346"/>
      <c r="L500" s="346"/>
      <c r="M500" s="346"/>
      <c r="N500" s="346"/>
      <c r="O500" s="344"/>
      <c r="P500" s="509"/>
      <c r="Q500" s="344"/>
    </row>
    <row r="501">
      <c r="E501" s="341"/>
      <c r="F501" s="341"/>
      <c r="G501" s="341"/>
      <c r="H501" s="300" t="s">
        <v>416</v>
      </c>
      <c r="I501" s="298"/>
      <c r="J501" s="598">
        <f>P494 /J496 * (J500-1)</f>
        <v>0</v>
      </c>
      <c r="K501" s="349"/>
      <c r="L501" s="349"/>
      <c r="M501" s="349"/>
      <c r="N501" s="349"/>
      <c r="O501" s="337"/>
      <c r="P501" s="377"/>
      <c r="Q501" s="337"/>
    </row>
    <row r="502">
      <c r="E502" s="341"/>
      <c r="F502" s="341"/>
      <c r="G502" s="341"/>
      <c r="H502" s="398" t="s">
        <v>384</v>
      </c>
      <c r="I502" s="379"/>
      <c r="J502" s="596">
        <f>J501*J500</f>
        <v>0</v>
      </c>
      <c r="K502" s="346"/>
      <c r="L502" s="346"/>
      <c r="M502" s="346"/>
      <c r="N502" s="346"/>
      <c r="O502" s="344"/>
      <c r="P502" s="509"/>
      <c r="Q502" s="344"/>
    </row>
    <row r="503">
      <c r="E503" s="341"/>
      <c r="F503" s="341"/>
      <c r="G503" s="352"/>
      <c r="H503" s="300" t="s">
        <v>311</v>
      </c>
      <c r="I503" s="298"/>
      <c r="J503" s="298">
        <f>ALL2ALL_CORE2CORE_TIME_MS(J502)</f>
        <v>0</v>
      </c>
      <c r="K503" s="349"/>
      <c r="L503" s="349"/>
      <c r="M503" s="349"/>
      <c r="N503" s="349"/>
      <c r="O503" s="337"/>
      <c r="P503" s="377"/>
      <c r="Q503" s="337"/>
    </row>
    <row r="504">
      <c r="E504" s="341"/>
      <c r="F504" s="352"/>
      <c r="G504" s="594" t="s">
        <v>311</v>
      </c>
      <c r="H504" s="646">
        <f>J499+J503</f>
        <v>0.0184675</v>
      </c>
      <c r="I504" s="346"/>
      <c r="J504" s="345"/>
      <c r="K504" s="346"/>
      <c r="L504" s="346"/>
      <c r="M504" s="346"/>
      <c r="N504" s="346"/>
      <c r="O504" s="344"/>
      <c r="P504" s="509"/>
      <c r="Q504" s="344"/>
    </row>
    <row r="505">
      <c r="E505" s="341"/>
      <c r="F505" s="702" t="s">
        <v>417</v>
      </c>
      <c r="G505" s="661" t="s">
        <v>169</v>
      </c>
      <c r="H505" s="703" t="s">
        <v>418</v>
      </c>
      <c r="I505" s="336"/>
      <c r="J505" s="337"/>
      <c r="K505" s="337"/>
      <c r="L505" s="337"/>
      <c r="M505" s="337"/>
      <c r="N505" s="349"/>
      <c r="O505" s="337"/>
      <c r="P505" s="377"/>
      <c r="Q505" s="337"/>
    </row>
    <row r="506">
      <c r="E506" s="341"/>
      <c r="F506" s="341"/>
      <c r="G506" s="371" t="s">
        <v>301</v>
      </c>
      <c r="H506" s="529" t="s">
        <v>281</v>
      </c>
      <c r="I506" s="345" t="s">
        <v>282</v>
      </c>
      <c r="J506" s="344"/>
      <c r="K506" s="344" t="s">
        <v>104</v>
      </c>
      <c r="L506" s="344" t="s">
        <v>102</v>
      </c>
      <c r="M506" s="344" t="s">
        <v>178</v>
      </c>
      <c r="N506" s="346"/>
      <c r="O506" s="473" t="str">
        <f>PARAMS("expert_collect_dtype")</f>
        <v>bf16</v>
      </c>
      <c r="P506" s="509"/>
      <c r="Q506" s="344"/>
    </row>
    <row r="507">
      <c r="E507" s="341"/>
      <c r="F507" s="341"/>
      <c r="G507" s="341"/>
      <c r="H507" s="376" t="s">
        <v>285</v>
      </c>
      <c r="I507" s="336" t="s">
        <v>282</v>
      </c>
      <c r="J507" s="349"/>
      <c r="K507" s="336">
        <f t="shared" ref="K507:M507" si="89">PARAMS(K506)</f>
        <v>128</v>
      </c>
      <c r="L507" s="336">
        <f t="shared" si="89"/>
        <v>1</v>
      </c>
      <c r="M507" s="336">
        <f t="shared" si="89"/>
        <v>7168</v>
      </c>
      <c r="N507" s="349"/>
      <c r="O507" s="350"/>
      <c r="P507" s="377">
        <f>SIZEOF_IN_MIB(J507:M507, O506)</f>
        <v>1.75</v>
      </c>
      <c r="Q507" s="337"/>
    </row>
    <row r="508">
      <c r="E508" s="341"/>
      <c r="F508" s="341"/>
      <c r="G508" s="341"/>
      <c r="H508" s="517" t="s">
        <v>287</v>
      </c>
      <c r="I508" s="346" t="s">
        <v>282</v>
      </c>
      <c r="J508" s="345"/>
      <c r="K508" s="344"/>
      <c r="L508" s="344"/>
      <c r="M508" s="344"/>
      <c r="N508" s="346"/>
      <c r="O508" s="347"/>
      <c r="P508" s="509"/>
      <c r="Q508" s="344"/>
    </row>
    <row r="509">
      <c r="E509" s="341"/>
      <c r="F509" s="341"/>
      <c r="G509" s="341"/>
      <c r="H509" s="374" t="s">
        <v>289</v>
      </c>
      <c r="I509" s="363" t="s">
        <v>282</v>
      </c>
      <c r="J509" s="364"/>
      <c r="K509" s="363">
        <f t="shared" ref="K509:M509" si="90">K507/SHARDING(K508)</f>
        <v>128</v>
      </c>
      <c r="L509" s="363">
        <f t="shared" si="90"/>
        <v>1</v>
      </c>
      <c r="M509" s="363">
        <f t="shared" si="90"/>
        <v>7168</v>
      </c>
      <c r="N509" s="363"/>
      <c r="O509" s="352"/>
      <c r="P509" s="375">
        <f>SIZEOF_IN_MIB(J509:M509, O506)</f>
        <v>1.75</v>
      </c>
      <c r="Q509" s="273"/>
    </row>
    <row r="510">
      <c r="E510" s="341"/>
      <c r="F510" s="341"/>
      <c r="G510" s="352"/>
      <c r="H510" s="704" t="s">
        <v>419</v>
      </c>
      <c r="I510" s="705"/>
      <c r="J510" s="273"/>
      <c r="K510" s="363"/>
      <c r="L510" s="363"/>
      <c r="M510" s="363"/>
      <c r="N510" s="363"/>
      <c r="O510" s="273"/>
      <c r="P510" s="706"/>
      <c r="Q510" s="273"/>
    </row>
    <row r="511">
      <c r="E511" s="341"/>
      <c r="F511" s="341"/>
      <c r="G511" s="385" t="s">
        <v>306</v>
      </c>
      <c r="H511" s="707">
        <f>SHARDING(J510) * SHARDING(H467)</f>
        <v>8</v>
      </c>
      <c r="I511" s="363"/>
      <c r="J511" s="364"/>
      <c r="K511" s="363"/>
      <c r="L511" s="363"/>
      <c r="M511" s="363"/>
      <c r="N511" s="363"/>
      <c r="O511" s="273"/>
      <c r="P511" s="706"/>
      <c r="Q511" s="273"/>
    </row>
    <row r="512">
      <c r="E512" s="341"/>
      <c r="F512" s="341"/>
      <c r="G512" s="594" t="s">
        <v>383</v>
      </c>
      <c r="H512" s="652">
        <f>P509 / H511 * (H511-1)</f>
        <v>1.53125</v>
      </c>
      <c r="I512" s="363"/>
      <c r="J512" s="364"/>
      <c r="K512" s="363"/>
      <c r="L512" s="363"/>
      <c r="M512" s="363"/>
      <c r="N512" s="363"/>
      <c r="O512" s="273"/>
      <c r="P512" s="706"/>
      <c r="Q512" s="273"/>
    </row>
    <row r="513">
      <c r="E513" s="341"/>
      <c r="F513" s="341"/>
      <c r="G513" s="594" t="s">
        <v>384</v>
      </c>
      <c r="H513" s="708">
        <f>H512*H511</f>
        <v>12.25</v>
      </c>
      <c r="I513" s="601"/>
      <c r="J513" s="364"/>
      <c r="K513" s="363"/>
      <c r="L513" s="363"/>
      <c r="M513" s="363"/>
      <c r="N513" s="363"/>
      <c r="O513" s="273"/>
      <c r="P513" s="706"/>
      <c r="Q513" s="273"/>
    </row>
    <row r="514">
      <c r="E514" s="341"/>
      <c r="F514" s="341"/>
      <c r="G514" s="594" t="s">
        <v>420</v>
      </c>
      <c r="H514" s="709">
        <f>HW_SPEC("# of TensorCore per Chip")</f>
        <v>1</v>
      </c>
      <c r="I514" s="703" t="s">
        <v>421</v>
      </c>
      <c r="J514" s="336"/>
      <c r="K514" s="349"/>
      <c r="L514" s="349"/>
      <c r="M514" s="349"/>
      <c r="N514" s="349"/>
      <c r="O514" s="337"/>
      <c r="P514" s="710"/>
      <c r="Q514" s="337"/>
    </row>
    <row r="515">
      <c r="E515" s="341"/>
      <c r="F515" s="341"/>
      <c r="G515" s="385" t="s">
        <v>309</v>
      </c>
      <c r="H515" s="410">
        <f>IFS(H511=8,12,
H511=4,4,
H511=2,1,
TRUE,NA())</f>
        <v>12</v>
      </c>
      <c r="I515" s="711"/>
      <c r="J515" s="345"/>
      <c r="K515" s="346"/>
      <c r="L515" s="346"/>
      <c r="M515" s="346"/>
      <c r="N515" s="346"/>
      <c r="O515" s="344"/>
      <c r="P515" s="712"/>
      <c r="Q515" s="344"/>
    </row>
    <row r="516">
      <c r="E516" s="341"/>
      <c r="F516" s="341"/>
      <c r="G516" s="594" t="s">
        <v>422</v>
      </c>
      <c r="H516" s="643">
        <f>COLLECTIVE_TIME_GPU("GB200", "REDUCE_SCATTER", H511, P507*1024*1024)/1000</f>
        <v>0.02416</v>
      </c>
      <c r="I516" s="602"/>
      <c r="J516" s="336"/>
      <c r="K516" s="349"/>
      <c r="L516" s="349"/>
      <c r="M516" s="349"/>
      <c r="N516" s="349"/>
      <c r="O516" s="337"/>
      <c r="P516" s="710"/>
      <c r="Q516" s="337"/>
    </row>
    <row r="517">
      <c r="E517" s="341"/>
      <c r="F517" s="352"/>
      <c r="G517" s="594" t="s">
        <v>423</v>
      </c>
      <c r="H517" s="646">
        <f>IF(PARAMS("use_nccl_lookup")=TRUE, H516, REDUCE_SCATTER_CHIP2CHIP_TIME_MS2(H513*H514,H515))</f>
        <v>0.02416</v>
      </c>
      <c r="I517" s="517"/>
      <c r="J517" s="345"/>
      <c r="K517" s="346"/>
      <c r="L517" s="346"/>
      <c r="M517" s="346"/>
      <c r="N517" s="346"/>
      <c r="O517" s="344"/>
      <c r="P517" s="712"/>
      <c r="Q517" s="344"/>
    </row>
    <row r="518">
      <c r="E518" s="341"/>
      <c r="F518" s="702" t="s">
        <v>119</v>
      </c>
      <c r="G518" s="713" t="s">
        <v>169</v>
      </c>
      <c r="H518" s="300" t="s">
        <v>442</v>
      </c>
      <c r="I518" s="337"/>
      <c r="J518" s="336"/>
      <c r="K518" s="337"/>
      <c r="L518" s="499"/>
      <c r="M518" s="337"/>
      <c r="N518" s="349"/>
      <c r="O518" s="337"/>
      <c r="P518" s="377"/>
      <c r="Q518" s="337"/>
    </row>
    <row r="519">
      <c r="E519" s="341"/>
      <c r="F519" s="341"/>
      <c r="G519" s="609" t="s">
        <v>301</v>
      </c>
      <c r="H519" s="517" t="s">
        <v>281</v>
      </c>
      <c r="I519" s="517"/>
      <c r="J519" s="345"/>
      <c r="K519" s="344" t="s">
        <v>104</v>
      </c>
      <c r="L519" s="556" t="s">
        <v>102</v>
      </c>
      <c r="M519" s="344" t="s">
        <v>178</v>
      </c>
      <c r="N519" s="346"/>
      <c r="O519" s="473" t="str">
        <f>PARAMS("expert_collect_dtype")</f>
        <v>bf16</v>
      </c>
      <c r="P519" s="509"/>
      <c r="Q519" s="344"/>
    </row>
    <row r="520">
      <c r="E520" s="341"/>
      <c r="F520" s="341"/>
      <c r="G520" s="341"/>
      <c r="H520" s="376" t="s">
        <v>285</v>
      </c>
      <c r="I520" s="376"/>
      <c r="J520" s="336"/>
      <c r="K520" s="349">
        <f t="shared" ref="K520:M520" si="91">PARAMS(K519)</f>
        <v>128</v>
      </c>
      <c r="L520" s="349">
        <f t="shared" si="91"/>
        <v>1</v>
      </c>
      <c r="M520" s="349">
        <f t="shared" si="91"/>
        <v>7168</v>
      </c>
      <c r="N520" s="349"/>
      <c r="O520" s="350"/>
      <c r="P520" s="377">
        <f>SIZEOF_IN_MIB(J520:M520, O519)</f>
        <v>1.75</v>
      </c>
      <c r="Q520" s="337"/>
    </row>
    <row r="521">
      <c r="E521" s="341"/>
      <c r="F521" s="341"/>
      <c r="G521" s="341"/>
      <c r="H521" s="517" t="s">
        <v>287</v>
      </c>
      <c r="I521" s="517"/>
      <c r="J521" s="345"/>
      <c r="K521" s="344"/>
      <c r="L521" s="344"/>
      <c r="M521" s="344"/>
      <c r="N521" s="346"/>
      <c r="O521" s="347"/>
      <c r="P521" s="509"/>
      <c r="Q521" s="344"/>
    </row>
    <row r="522">
      <c r="E522" s="341"/>
      <c r="F522" s="341"/>
      <c r="G522" s="341"/>
      <c r="H522" s="602" t="s">
        <v>289</v>
      </c>
      <c r="I522" s="602"/>
      <c r="J522" s="336"/>
      <c r="K522" s="349">
        <f t="shared" ref="K522:M522" si="92">K520/SHARDING(K521)</f>
        <v>128</v>
      </c>
      <c r="L522" s="349">
        <f t="shared" si="92"/>
        <v>1</v>
      </c>
      <c r="M522" s="349">
        <f t="shared" si="92"/>
        <v>7168</v>
      </c>
      <c r="N522" s="349"/>
      <c r="O522" s="316"/>
      <c r="P522" s="377">
        <f>SIZEOF_IN_MIB(J522:M522, O519)</f>
        <v>1.75</v>
      </c>
      <c r="Q522" s="337"/>
    </row>
    <row r="523">
      <c r="E523" s="341"/>
      <c r="F523" s="341"/>
      <c r="G523" s="352"/>
      <c r="H523" s="634" t="s">
        <v>419</v>
      </c>
      <c r="I523" s="378"/>
      <c r="J523" s="634"/>
      <c r="K523" s="345"/>
      <c r="L523" s="344"/>
      <c r="M523" s="346"/>
      <c r="N523" s="346"/>
      <c r="O523" s="344"/>
      <c r="P523" s="509"/>
      <c r="Q523" s="344"/>
    </row>
    <row r="524">
      <c r="E524" s="341"/>
      <c r="F524" s="341"/>
      <c r="G524" s="458" t="s">
        <v>425</v>
      </c>
      <c r="H524" s="293" t="s">
        <v>306</v>
      </c>
      <c r="I524" s="298"/>
      <c r="J524" s="714">
        <f>SHARDING(J523)*SHARDING(H467)/HW_SPEC("# of TensorCore per Chip")</f>
        <v>8</v>
      </c>
      <c r="K524" s="336"/>
      <c r="L524" s="337"/>
      <c r="M524" s="349"/>
      <c r="N524" s="349"/>
      <c r="O524" s="337"/>
      <c r="P524" s="377"/>
      <c r="Q524" s="337"/>
    </row>
    <row r="525">
      <c r="E525" s="341"/>
      <c r="F525" s="341"/>
      <c r="G525" s="341"/>
      <c r="H525" s="634" t="s">
        <v>426</v>
      </c>
      <c r="I525" s="379"/>
      <c r="J525" s="715">
        <f>P522 / J524 * (J524-1)</f>
        <v>1.53125</v>
      </c>
      <c r="K525" s="345"/>
      <c r="L525" s="344"/>
      <c r="M525" s="346"/>
      <c r="N525" s="346"/>
      <c r="O525" s="344"/>
      <c r="P525" s="509"/>
      <c r="Q525" s="344"/>
    </row>
    <row r="526">
      <c r="E526" s="341"/>
      <c r="F526" s="341"/>
      <c r="G526" s="341"/>
      <c r="H526" s="639" t="s">
        <v>384</v>
      </c>
      <c r="I526" s="298"/>
      <c r="J526" s="716">
        <f>J525*J524</f>
        <v>12.25</v>
      </c>
      <c r="K526" s="336"/>
      <c r="L526" s="337"/>
      <c r="M526" s="349"/>
      <c r="N526" s="349"/>
      <c r="O526" s="337"/>
      <c r="P526" s="377"/>
      <c r="Q526" s="337"/>
    </row>
    <row r="527">
      <c r="E527" s="341"/>
      <c r="F527" s="341"/>
      <c r="G527" s="341"/>
      <c r="H527" s="634" t="s">
        <v>309</v>
      </c>
      <c r="I527" s="379"/>
      <c r="J527" s="595">
        <f>vlookup(J524, DB!$A$26:$G$31, 6, False)</f>
        <v>12</v>
      </c>
      <c r="K527" s="345"/>
      <c r="L527" s="344"/>
      <c r="M527" s="346"/>
      <c r="N527" s="346"/>
      <c r="O527" s="344"/>
      <c r="P527" s="509"/>
      <c r="Q527" s="344"/>
    </row>
    <row r="528">
      <c r="E528" s="341"/>
      <c r="F528" s="341"/>
      <c r="G528" s="352"/>
      <c r="H528" s="639" t="s">
        <v>311</v>
      </c>
      <c r="I528" s="298"/>
      <c r="J528" s="597">
        <f>IF(J526=0,0, REDUCE_SCATTER_CHIP2CHIP_TIME_MS2(J526,J527))</f>
        <v>0.0005538375289</v>
      </c>
      <c r="K528" s="336"/>
      <c r="L528" s="337"/>
      <c r="M528" s="349"/>
      <c r="N528" s="349"/>
      <c r="O528" s="337"/>
      <c r="P528" s="377"/>
      <c r="Q528" s="337"/>
    </row>
    <row r="529">
      <c r="E529" s="341"/>
      <c r="F529" s="341"/>
      <c r="G529" s="609" t="s">
        <v>427</v>
      </c>
      <c r="H529" s="416" t="s">
        <v>306</v>
      </c>
      <c r="I529" s="601"/>
      <c r="J529" s="717">
        <f>HW_SPEC("# of TensorCore per Chip")</f>
        <v>1</v>
      </c>
      <c r="K529" s="364"/>
      <c r="L529" s="273"/>
      <c r="M529" s="363"/>
      <c r="N529" s="363"/>
      <c r="O529" s="273"/>
      <c r="P529" s="375"/>
      <c r="Q529" s="273"/>
    </row>
    <row r="530">
      <c r="E530" s="341"/>
      <c r="F530" s="341"/>
      <c r="G530" s="341"/>
      <c r="H530" s="704" t="s">
        <v>416</v>
      </c>
      <c r="I530" s="11"/>
      <c r="J530" s="718">
        <f>P522 * (J529-1)/J529</f>
        <v>0</v>
      </c>
      <c r="K530" s="364"/>
      <c r="L530" s="273"/>
      <c r="M530" s="363"/>
      <c r="N530" s="363"/>
      <c r="O530" s="273"/>
      <c r="P530" s="375"/>
      <c r="Q530" s="273"/>
    </row>
    <row r="531">
      <c r="E531" s="341"/>
      <c r="F531" s="341"/>
      <c r="G531" s="341"/>
      <c r="H531" s="704" t="s">
        <v>384</v>
      </c>
      <c r="I531" s="11"/>
      <c r="J531" s="718">
        <f>J530*J529</f>
        <v>0</v>
      </c>
      <c r="K531" s="364"/>
      <c r="L531" s="273"/>
      <c r="M531" s="363"/>
      <c r="N531" s="363"/>
      <c r="O531" s="273"/>
      <c r="P531" s="375"/>
      <c r="Q531" s="273"/>
    </row>
    <row r="532">
      <c r="E532" s="341"/>
      <c r="F532" s="341"/>
      <c r="G532" s="341"/>
      <c r="H532" s="704" t="s">
        <v>311</v>
      </c>
      <c r="I532" s="11"/>
      <c r="J532" s="719">
        <f>REDUCE_SCATTER_CORE2CORE_TIME_MS(J531)</f>
        <v>0</v>
      </c>
      <c r="K532" s="364"/>
      <c r="L532" s="273"/>
      <c r="M532" s="363"/>
      <c r="N532" s="363"/>
      <c r="O532" s="273"/>
      <c r="P532" s="375"/>
      <c r="Q532" s="273"/>
    </row>
    <row r="533">
      <c r="E533" s="341"/>
      <c r="F533" s="341"/>
      <c r="G533" s="352"/>
      <c r="H533" s="704" t="s">
        <v>428</v>
      </c>
      <c r="I533" s="11"/>
      <c r="J533" s="719">
        <f>J532/J524</f>
        <v>0</v>
      </c>
      <c r="K533" s="364"/>
      <c r="L533" s="273"/>
      <c r="M533" s="363"/>
      <c r="N533" s="363"/>
      <c r="O533" s="273"/>
      <c r="P533" s="375"/>
      <c r="Q533" s="273"/>
    </row>
    <row r="534">
      <c r="E534" s="341"/>
      <c r="F534" s="352"/>
      <c r="G534" s="599" t="s">
        <v>429</v>
      </c>
      <c r="H534" s="676" t="str">
        <f>IF(PARAMS("use_nccl_lookup")=TRUE, "N/A", SUM(J528+J533))</f>
        <v>N/A</v>
      </c>
      <c r="I534" s="719"/>
      <c r="J534" s="364"/>
      <c r="K534" s="364"/>
      <c r="L534" s="273"/>
      <c r="M534" s="363"/>
      <c r="N534" s="363"/>
      <c r="O534" s="273"/>
      <c r="P534" s="375"/>
      <c r="Q534" s="273"/>
    </row>
    <row r="535">
      <c r="E535" s="341"/>
      <c r="F535" s="370" t="s">
        <v>335</v>
      </c>
      <c r="G535" s="720" t="s">
        <v>322</v>
      </c>
      <c r="H535" s="721" t="str">
        <f>'Config and Summary'!C23</f>
        <v>Option C: Hierachical RS</v>
      </c>
      <c r="I535" s="650"/>
      <c r="J535" s="454"/>
      <c r="K535" s="454"/>
      <c r="L535" s="455"/>
      <c r="M535" s="455"/>
      <c r="N535" s="455"/>
      <c r="O535" s="454"/>
      <c r="P535" s="722"/>
      <c r="Q535" s="11"/>
    </row>
    <row r="536">
      <c r="E536" s="341"/>
      <c r="F536" s="341"/>
      <c r="G536" s="591" t="s">
        <v>340</v>
      </c>
      <c r="H536" s="723" t="str">
        <f>IFS(H535=F491,H504,H535=F505,H517,F518=H535,H534, TRUE,0)</f>
        <v>N/A</v>
      </c>
      <c r="I536" s="581"/>
      <c r="J536" s="448"/>
      <c r="K536" s="448"/>
      <c r="L536" s="449"/>
      <c r="M536" s="449"/>
      <c r="N536" s="449"/>
      <c r="O536" s="448"/>
      <c r="P536" s="724"/>
      <c r="Q536" s="450"/>
    </row>
    <row r="537">
      <c r="E537" s="341"/>
      <c r="F537" s="341"/>
      <c r="G537" s="452" t="s">
        <v>376</v>
      </c>
      <c r="H537" s="626">
        <f>vlookup(PARAMS("topo"), DB!$E$26:$G$31, 3, FALSE)</f>
        <v>3</v>
      </c>
      <c r="I537" s="650"/>
      <c r="J537" s="454"/>
      <c r="K537" s="454"/>
      <c r="L537" s="455"/>
      <c r="M537" s="455"/>
      <c r="N537" s="455"/>
      <c r="O537" s="454"/>
      <c r="P537" s="722"/>
      <c r="Q537" s="11"/>
    </row>
    <row r="538">
      <c r="E538" s="352"/>
      <c r="F538" s="352"/>
      <c r="G538" s="446" t="s">
        <v>326</v>
      </c>
      <c r="H538" s="447">
        <f>IF(H535="No Collectives", 0, H537 * HW_SPEC("Chip-to-Chip ICI Latency (ms)"))</f>
        <v>0</v>
      </c>
      <c r="I538" s="648"/>
      <c r="J538" s="448"/>
      <c r="K538" s="448"/>
      <c r="L538" s="449"/>
      <c r="M538" s="449"/>
      <c r="N538" s="449"/>
      <c r="O538" s="448"/>
      <c r="P538" s="724"/>
      <c r="Q538" s="572"/>
    </row>
    <row r="539">
      <c r="E539" s="333" t="s">
        <v>443</v>
      </c>
      <c r="F539" s="725" t="s">
        <v>292</v>
      </c>
      <c r="G539" s="335"/>
      <c r="H539" s="531" t="s">
        <v>281</v>
      </c>
      <c r="I539" s="336" t="s">
        <v>282</v>
      </c>
      <c r="J539" s="337"/>
      <c r="K539" s="337" t="s">
        <v>104</v>
      </c>
      <c r="L539" s="337" t="s">
        <v>102</v>
      </c>
      <c r="M539" s="499" t="s">
        <v>178</v>
      </c>
      <c r="N539" s="336" t="s">
        <v>283</v>
      </c>
      <c r="O539" s="338" t="s">
        <v>125</v>
      </c>
      <c r="P539" s="377"/>
      <c r="Q539" s="338" t="b">
        <v>0</v>
      </c>
    </row>
    <row r="540">
      <c r="E540" s="341"/>
      <c r="F540" s="342"/>
      <c r="G540" s="343"/>
      <c r="H540" s="378" t="s">
        <v>285</v>
      </c>
      <c r="I540" s="345" t="s">
        <v>282</v>
      </c>
      <c r="J540" s="346"/>
      <c r="K540" s="345">
        <f t="shared" ref="K540:M540" si="93">PARAMS(K539)</f>
        <v>128</v>
      </c>
      <c r="L540" s="345">
        <f t="shared" si="93"/>
        <v>1</v>
      </c>
      <c r="M540" s="345">
        <f t="shared" si="93"/>
        <v>7168</v>
      </c>
      <c r="N540" s="345" t="s">
        <v>283</v>
      </c>
      <c r="O540" s="347"/>
      <c r="P540" s="509">
        <f>SIZEOF_IN_MIB(J540:M540, O539)</f>
        <v>0.875</v>
      </c>
      <c r="Q540" s="347"/>
    </row>
    <row r="541">
      <c r="E541" s="341"/>
      <c r="F541" s="342"/>
      <c r="G541" s="343"/>
      <c r="H541" s="602" t="s">
        <v>287</v>
      </c>
      <c r="I541" s="349" t="s">
        <v>282</v>
      </c>
      <c r="J541" s="336"/>
      <c r="K541" s="337" t="s">
        <v>196</v>
      </c>
      <c r="L541" s="337"/>
      <c r="M541" s="337"/>
      <c r="N541" s="349" t="s">
        <v>283</v>
      </c>
      <c r="O541" s="350"/>
      <c r="P541" s="377"/>
      <c r="Q541" s="350"/>
    </row>
    <row r="542">
      <c r="E542" s="341"/>
      <c r="F542" s="353"/>
      <c r="G542" s="354"/>
      <c r="H542" s="378" t="s">
        <v>289</v>
      </c>
      <c r="I542" s="346" t="s">
        <v>282</v>
      </c>
      <c r="J542" s="345"/>
      <c r="K542" s="346">
        <f t="shared" ref="K542:M542" si="94">K540/SHARDING(K541)</f>
        <v>16</v>
      </c>
      <c r="L542" s="346">
        <f t="shared" si="94"/>
        <v>1</v>
      </c>
      <c r="M542" s="346">
        <f t="shared" si="94"/>
        <v>7168</v>
      </c>
      <c r="N542" s="346" t="s">
        <v>283</v>
      </c>
      <c r="O542" s="355"/>
      <c r="P542" s="509">
        <f>SIZEOF_IN_MIB(J542:M542, O539)</f>
        <v>0.109375</v>
      </c>
      <c r="Q542" s="355"/>
    </row>
    <row r="543">
      <c r="E543" s="341"/>
      <c r="F543" s="726" t="s">
        <v>296</v>
      </c>
      <c r="G543" s="335"/>
      <c r="H543" s="602" t="s">
        <v>281</v>
      </c>
      <c r="I543" s="349" t="s">
        <v>282</v>
      </c>
      <c r="J543" s="336"/>
      <c r="K543" s="499">
        <v>2.0</v>
      </c>
      <c r="L543" s="499" t="s">
        <v>178</v>
      </c>
      <c r="M543" s="337" t="s">
        <v>182</v>
      </c>
      <c r="N543" s="349" t="s">
        <v>283</v>
      </c>
      <c r="O543" s="338" t="s">
        <v>125</v>
      </c>
      <c r="P543" s="377"/>
      <c r="Q543" s="338" t="b">
        <v>0</v>
      </c>
    </row>
    <row r="544">
      <c r="E544" s="341"/>
      <c r="F544" s="342"/>
      <c r="G544" s="343"/>
      <c r="H544" s="378" t="s">
        <v>285</v>
      </c>
      <c r="I544" s="346" t="s">
        <v>282</v>
      </c>
      <c r="J544" s="345"/>
      <c r="K544" s="346">
        <f t="shared" ref="K544:M544" si="95">PARAMS(K543)</f>
        <v>2</v>
      </c>
      <c r="L544" s="346">
        <f t="shared" si="95"/>
        <v>7168</v>
      </c>
      <c r="M544" s="346">
        <f t="shared" si="95"/>
        <v>4096</v>
      </c>
      <c r="N544" s="346" t="s">
        <v>283</v>
      </c>
      <c r="O544" s="347"/>
      <c r="P544" s="509">
        <f>SIZEOF_IN_MIB(J544:M544, O543)</f>
        <v>56</v>
      </c>
      <c r="Q544" s="347"/>
    </row>
    <row r="545">
      <c r="E545" s="341"/>
      <c r="F545" s="342"/>
      <c r="G545" s="343"/>
      <c r="H545" s="602" t="s">
        <v>287</v>
      </c>
      <c r="I545" s="349" t="s">
        <v>282</v>
      </c>
      <c r="J545" s="336"/>
      <c r="K545" s="298"/>
      <c r="L545" s="337"/>
      <c r="M545" s="337"/>
      <c r="N545" s="349" t="s">
        <v>283</v>
      </c>
      <c r="O545" s="350"/>
      <c r="P545" s="377"/>
      <c r="Q545" s="350"/>
    </row>
    <row r="546">
      <c r="E546" s="341"/>
      <c r="F546" s="353"/>
      <c r="G546" s="354"/>
      <c r="H546" s="517" t="s">
        <v>289</v>
      </c>
      <c r="I546" s="346" t="s">
        <v>282</v>
      </c>
      <c r="J546" s="345"/>
      <c r="K546" s="346">
        <f t="shared" ref="K546:M546" si="96">K544/SHARDING(K545)</f>
        <v>2</v>
      </c>
      <c r="L546" s="346">
        <f t="shared" si="96"/>
        <v>7168</v>
      </c>
      <c r="M546" s="346">
        <f t="shared" si="96"/>
        <v>4096</v>
      </c>
      <c r="N546" s="346" t="s">
        <v>283</v>
      </c>
      <c r="O546" s="355"/>
      <c r="P546" s="509">
        <f>SIZEOF_IN_MIB(J546:M546, O543)</f>
        <v>56</v>
      </c>
      <c r="Q546" s="355"/>
    </row>
    <row r="547">
      <c r="E547" s="341"/>
      <c r="F547" s="726" t="s">
        <v>56</v>
      </c>
      <c r="G547" s="335"/>
      <c r="H547" s="602" t="s">
        <v>281</v>
      </c>
      <c r="I547" s="349" t="s">
        <v>282</v>
      </c>
      <c r="J547" s="337">
        <v>2.0</v>
      </c>
      <c r="K547" s="337" t="s">
        <v>104</v>
      </c>
      <c r="L547" s="337" t="s">
        <v>102</v>
      </c>
      <c r="M547" s="337" t="s">
        <v>182</v>
      </c>
      <c r="N547" s="349" t="s">
        <v>283</v>
      </c>
      <c r="O547" s="727" t="s">
        <v>133</v>
      </c>
      <c r="P547" s="377"/>
      <c r="Q547" s="338" t="b">
        <v>0</v>
      </c>
    </row>
    <row r="548">
      <c r="E548" s="341"/>
      <c r="F548" s="342"/>
      <c r="G548" s="343"/>
      <c r="H548" s="378" t="s">
        <v>285</v>
      </c>
      <c r="I548" s="346" t="s">
        <v>282</v>
      </c>
      <c r="J548" s="346">
        <f t="shared" ref="J548:M548" si="97">PARAMS(J547)</f>
        <v>2</v>
      </c>
      <c r="K548" s="346">
        <f t="shared" si="97"/>
        <v>128</v>
      </c>
      <c r="L548" s="346">
        <f t="shared" si="97"/>
        <v>1</v>
      </c>
      <c r="M548" s="346">
        <f t="shared" si="97"/>
        <v>4096</v>
      </c>
      <c r="N548" s="346" t="s">
        <v>283</v>
      </c>
      <c r="O548" s="347"/>
      <c r="P548" s="509">
        <f>SIZEOF_IN_MIB(J548:M548, O547)</f>
        <v>2</v>
      </c>
      <c r="Q548" s="347"/>
    </row>
    <row r="549">
      <c r="E549" s="341"/>
      <c r="F549" s="342"/>
      <c r="G549" s="343"/>
      <c r="H549" s="602" t="s">
        <v>287</v>
      </c>
      <c r="I549" s="349" t="s">
        <v>282</v>
      </c>
      <c r="J549" s="336"/>
      <c r="K549" s="337" t="s">
        <v>196</v>
      </c>
      <c r="L549" s="337"/>
      <c r="M549" s="337"/>
      <c r="N549" s="349" t="s">
        <v>283</v>
      </c>
      <c r="O549" s="350"/>
      <c r="P549" s="377"/>
      <c r="Q549" s="350"/>
    </row>
    <row r="550">
      <c r="E550" s="341"/>
      <c r="F550" s="353"/>
      <c r="G550" s="354"/>
      <c r="H550" s="517" t="s">
        <v>289</v>
      </c>
      <c r="I550" s="346" t="s">
        <v>282</v>
      </c>
      <c r="J550" s="346">
        <f t="shared" ref="J550:M550" si="98">J548/SHARDING(J549)</f>
        <v>2</v>
      </c>
      <c r="K550" s="346">
        <f t="shared" si="98"/>
        <v>16</v>
      </c>
      <c r="L550" s="346">
        <f t="shared" si="98"/>
        <v>1</v>
      </c>
      <c r="M550" s="346">
        <f t="shared" si="98"/>
        <v>4096</v>
      </c>
      <c r="N550" s="346" t="s">
        <v>283</v>
      </c>
      <c r="O550" s="355"/>
      <c r="P550" s="509">
        <f>SIZEOF_IN_MIB(J550:M550, O547)</f>
        <v>0.25</v>
      </c>
      <c r="Q550" s="355"/>
    </row>
    <row r="551">
      <c r="E551" s="341"/>
      <c r="F551" s="371" t="s">
        <v>335</v>
      </c>
      <c r="G551" s="601"/>
      <c r="H551" s="728"/>
      <c r="I551" s="336"/>
      <c r="J551" s="336"/>
      <c r="K551" s="336"/>
      <c r="L551" s="349"/>
      <c r="M551" s="349"/>
      <c r="N551" s="349"/>
      <c r="O551" s="336"/>
      <c r="P551" s="377"/>
      <c r="Q551" s="729"/>
    </row>
    <row r="552">
      <c r="E552" s="341"/>
      <c r="F552" s="352"/>
      <c r="G552" s="669" t="s">
        <v>340</v>
      </c>
      <c r="H552" s="730"/>
      <c r="I552" s="493"/>
      <c r="J552" s="345"/>
      <c r="K552" s="345"/>
      <c r="L552" s="346"/>
      <c r="M552" s="346"/>
      <c r="N552" s="346"/>
      <c r="O552" s="345"/>
      <c r="P552" s="509"/>
      <c r="Q552" s="545"/>
      <c r="T552" s="66">
        <f>(H554*1000000000)/(H556*1000000)</f>
        <v>16670236247</v>
      </c>
    </row>
    <row r="553">
      <c r="E553" s="341"/>
      <c r="F553" s="731" t="s">
        <v>327</v>
      </c>
      <c r="G553" s="601" t="s">
        <v>328</v>
      </c>
      <c r="H553" s="663" t="str">
        <f>VLOOKUP(O539&amp;","&amp;O543,$T$3:$W$12,4, FALSE)</f>
        <v>fp8</v>
      </c>
      <c r="I553" s="460"/>
      <c r="J553" s="454"/>
      <c r="K553" s="454"/>
      <c r="L553" s="455"/>
      <c r="M553" s="455"/>
      <c r="N553" s="455"/>
      <c r="O553" s="454"/>
      <c r="P553" s="468"/>
      <c r="Q553" s="11"/>
    </row>
    <row r="554">
      <c r="E554" s="341"/>
      <c r="F554" s="341"/>
      <c r="G554" s="663" t="s">
        <v>341</v>
      </c>
      <c r="H554" s="667">
        <f>CALCULATE_FLOPS(J542:M542,J546:M546,L546,K546,H553)</f>
        <v>939524096</v>
      </c>
      <c r="I554" s="460"/>
      <c r="J554" s="454"/>
      <c r="K554" s="454"/>
      <c r="L554" s="455"/>
      <c r="M554" s="455"/>
      <c r="N554" s="455"/>
      <c r="O554" s="454"/>
      <c r="P554" s="468"/>
      <c r="Q554" s="11"/>
    </row>
    <row r="555">
      <c r="E555" s="341"/>
      <c r="F555" s="352"/>
      <c r="G555" s="669" t="s">
        <v>330</v>
      </c>
      <c r="H555" s="732">
        <f>COMPUTE_TIME_MS(H554, H553)</f>
        <v>0.0002505397589</v>
      </c>
      <c r="I555" s="464"/>
      <c r="J555" s="465"/>
      <c r="K555" s="465"/>
      <c r="L555" s="466"/>
      <c r="M555" s="466"/>
      <c r="N555" s="466"/>
      <c r="O555" s="465"/>
      <c r="P555" s="671"/>
      <c r="Q555" s="11"/>
    </row>
    <row r="556">
      <c r="E556" s="341"/>
      <c r="F556" s="731" t="s">
        <v>331</v>
      </c>
      <c r="G556" s="663" t="s">
        <v>332</v>
      </c>
      <c r="H556" s="672">
        <f>IF(Q539,0,P542)+IF(Q543,0,P546)+IF(Q547,0,P550)</f>
        <v>56.359375</v>
      </c>
      <c r="I556" s="454"/>
      <c r="J556" s="454"/>
      <c r="K556" s="454"/>
      <c r="L556" s="455"/>
      <c r="M556" s="455"/>
      <c r="N556" s="455"/>
      <c r="O556" s="454"/>
      <c r="P556" s="468"/>
      <c r="Q556" s="11"/>
    </row>
    <row r="557">
      <c r="E557" s="352"/>
      <c r="F557" s="352"/>
      <c r="G557" s="673" t="s">
        <v>333</v>
      </c>
      <c r="H557" s="733">
        <f>HBM_TIME_MS(H556)</f>
        <v>0.007644229465</v>
      </c>
      <c r="I557" s="465"/>
      <c r="J557" s="465"/>
      <c r="K557" s="465"/>
      <c r="L557" s="466"/>
      <c r="M557" s="466"/>
      <c r="N557" s="466"/>
      <c r="O557" s="465"/>
      <c r="P557" s="671"/>
      <c r="Q557" s="11"/>
    </row>
    <row r="558">
      <c r="E558" s="333" t="s">
        <v>431</v>
      </c>
      <c r="F558" s="725" t="s">
        <v>292</v>
      </c>
      <c r="G558" s="335"/>
      <c r="H558" s="531" t="s">
        <v>281</v>
      </c>
      <c r="I558" s="336" t="s">
        <v>282</v>
      </c>
      <c r="J558" s="405"/>
      <c r="K558" s="734" t="s">
        <v>104</v>
      </c>
      <c r="L558" s="734" t="s">
        <v>102</v>
      </c>
      <c r="M558" s="735" t="s">
        <v>182</v>
      </c>
      <c r="N558" s="336" t="s">
        <v>283</v>
      </c>
      <c r="O558" s="338" t="s">
        <v>125</v>
      </c>
      <c r="P558" s="377"/>
      <c r="Q558" s="338" t="b">
        <v>0</v>
      </c>
    </row>
    <row r="559">
      <c r="E559" s="341"/>
      <c r="F559" s="342"/>
      <c r="G559" s="343"/>
      <c r="H559" s="378" t="s">
        <v>285</v>
      </c>
      <c r="I559" s="345" t="s">
        <v>282</v>
      </c>
      <c r="J559" s="400"/>
      <c r="K559" s="736">
        <f t="shared" ref="K559:M559" si="99">PARAMS(K558)</f>
        <v>128</v>
      </c>
      <c r="L559" s="737">
        <f t="shared" si="99"/>
        <v>1</v>
      </c>
      <c r="M559" s="737">
        <f t="shared" si="99"/>
        <v>4096</v>
      </c>
      <c r="N559" s="345" t="s">
        <v>283</v>
      </c>
      <c r="O559" s="347"/>
      <c r="P559" s="509">
        <f>SIZEOF_IN_MIB(J559:M559, O558)</f>
        <v>0.5</v>
      </c>
      <c r="Q559" s="347"/>
    </row>
    <row r="560">
      <c r="E560" s="341"/>
      <c r="F560" s="342"/>
      <c r="G560" s="343"/>
      <c r="H560" s="602" t="s">
        <v>287</v>
      </c>
      <c r="I560" s="349" t="s">
        <v>282</v>
      </c>
      <c r="J560" s="404"/>
      <c r="K560" s="337" t="s">
        <v>196</v>
      </c>
      <c r="L560" s="405"/>
      <c r="M560" s="738"/>
      <c r="N560" s="349" t="s">
        <v>283</v>
      </c>
      <c r="O560" s="350"/>
      <c r="P560" s="377"/>
      <c r="Q560" s="350"/>
    </row>
    <row r="561">
      <c r="E561" s="341"/>
      <c r="F561" s="353"/>
      <c r="G561" s="354"/>
      <c r="H561" s="378" t="s">
        <v>289</v>
      </c>
      <c r="I561" s="346" t="s">
        <v>282</v>
      </c>
      <c r="J561" s="399"/>
      <c r="K561" s="736">
        <f t="shared" ref="K561:M561" si="100">K559/SHARDING(K560)</f>
        <v>16</v>
      </c>
      <c r="L561" s="736">
        <f t="shared" si="100"/>
        <v>1</v>
      </c>
      <c r="M561" s="736">
        <f t="shared" si="100"/>
        <v>4096</v>
      </c>
      <c r="N561" s="346" t="s">
        <v>283</v>
      </c>
      <c r="O561" s="355"/>
      <c r="P561" s="509">
        <f>SIZEOF_IN_MIB(J561:M561, O558)</f>
        <v>0.0625</v>
      </c>
      <c r="Q561" s="355"/>
    </row>
    <row r="562">
      <c r="E562" s="341"/>
      <c r="F562" s="726" t="s">
        <v>296</v>
      </c>
      <c r="G562" s="335"/>
      <c r="H562" s="602" t="s">
        <v>281</v>
      </c>
      <c r="I562" s="349" t="s">
        <v>282</v>
      </c>
      <c r="J562" s="404"/>
      <c r="K562" s="391"/>
      <c r="L562" s="735" t="s">
        <v>182</v>
      </c>
      <c r="M562" s="734" t="s">
        <v>178</v>
      </c>
      <c r="N562" s="349" t="s">
        <v>283</v>
      </c>
      <c r="O562" s="338" t="s">
        <v>125</v>
      </c>
      <c r="P562" s="377"/>
      <c r="Q562" s="338" t="b">
        <v>0</v>
      </c>
    </row>
    <row r="563">
      <c r="E563" s="341"/>
      <c r="F563" s="342"/>
      <c r="G563" s="343"/>
      <c r="H563" s="378" t="s">
        <v>285</v>
      </c>
      <c r="I563" s="346" t="s">
        <v>282</v>
      </c>
      <c r="J563" s="399"/>
      <c r="K563" s="388"/>
      <c r="L563" s="736">
        <f t="shared" ref="L563:M563" si="101">PARAMS(L562)</f>
        <v>4096</v>
      </c>
      <c r="M563" s="736">
        <f t="shared" si="101"/>
        <v>7168</v>
      </c>
      <c r="N563" s="346" t="s">
        <v>283</v>
      </c>
      <c r="O563" s="347"/>
      <c r="P563" s="509">
        <f>SIZEOF_IN_MIB(J563:M563, O562)</f>
        <v>28</v>
      </c>
      <c r="Q563" s="347"/>
    </row>
    <row r="564">
      <c r="E564" s="341"/>
      <c r="F564" s="342"/>
      <c r="G564" s="343"/>
      <c r="H564" s="602" t="s">
        <v>287</v>
      </c>
      <c r="I564" s="349" t="s">
        <v>282</v>
      </c>
      <c r="J564" s="404"/>
      <c r="K564" s="391"/>
      <c r="L564" s="738"/>
      <c r="M564" s="405"/>
      <c r="N564" s="349" t="s">
        <v>283</v>
      </c>
      <c r="O564" s="350"/>
      <c r="P564" s="377"/>
      <c r="Q564" s="350"/>
    </row>
    <row r="565">
      <c r="E565" s="341"/>
      <c r="F565" s="353"/>
      <c r="G565" s="354"/>
      <c r="H565" s="517" t="s">
        <v>289</v>
      </c>
      <c r="I565" s="346" t="s">
        <v>282</v>
      </c>
      <c r="J565" s="399"/>
      <c r="K565" s="388"/>
      <c r="L565" s="736">
        <f t="shared" ref="L565:M565" si="102">L563/SHARDING(L564)</f>
        <v>4096</v>
      </c>
      <c r="M565" s="736">
        <f t="shared" si="102"/>
        <v>7168</v>
      </c>
      <c r="N565" s="346" t="s">
        <v>283</v>
      </c>
      <c r="O565" s="355"/>
      <c r="P565" s="509">
        <f>SIZEOF_IN_MIB(J565:M565, O562)</f>
        <v>28</v>
      </c>
      <c r="Q565" s="355"/>
    </row>
    <row r="566">
      <c r="E566" s="341"/>
      <c r="F566" s="726" t="s">
        <v>56</v>
      </c>
      <c r="G566" s="335"/>
      <c r="H566" s="602" t="s">
        <v>281</v>
      </c>
      <c r="I566" s="349" t="s">
        <v>282</v>
      </c>
      <c r="J566" s="404"/>
      <c r="K566" s="734" t="s">
        <v>104</v>
      </c>
      <c r="L566" s="734" t="s">
        <v>102</v>
      </c>
      <c r="M566" s="734" t="s">
        <v>178</v>
      </c>
      <c r="N566" s="349" t="s">
        <v>283</v>
      </c>
      <c r="O566" s="727" t="s">
        <v>133</v>
      </c>
      <c r="P566" s="377"/>
      <c r="Q566" s="338" t="b">
        <v>0</v>
      </c>
    </row>
    <row r="567">
      <c r="E567" s="341"/>
      <c r="F567" s="342"/>
      <c r="G567" s="343"/>
      <c r="H567" s="378" t="s">
        <v>285</v>
      </c>
      <c r="I567" s="346" t="s">
        <v>282</v>
      </c>
      <c r="J567" s="400"/>
      <c r="K567" s="739">
        <f t="shared" ref="K567:M567" si="103">PARAMS(K566)</f>
        <v>128</v>
      </c>
      <c r="L567" s="736">
        <f t="shared" si="103"/>
        <v>1</v>
      </c>
      <c r="M567" s="736">
        <f t="shared" si="103"/>
        <v>7168</v>
      </c>
      <c r="N567" s="346" t="s">
        <v>283</v>
      </c>
      <c r="O567" s="347"/>
      <c r="P567" s="509">
        <f>SIZEOF_IN_MIB(J567:M567, O566)</f>
        <v>1.75</v>
      </c>
      <c r="Q567" s="347"/>
    </row>
    <row r="568">
      <c r="E568" s="341"/>
      <c r="F568" s="342"/>
      <c r="G568" s="343"/>
      <c r="H568" s="602" t="s">
        <v>287</v>
      </c>
      <c r="I568" s="349" t="s">
        <v>282</v>
      </c>
      <c r="J568" s="404"/>
      <c r="K568" s="337" t="s">
        <v>196</v>
      </c>
      <c r="L568" s="405"/>
      <c r="M568" s="405"/>
      <c r="N568" s="349" t="s">
        <v>283</v>
      </c>
      <c r="O568" s="350"/>
      <c r="P568" s="377"/>
      <c r="Q568" s="350"/>
    </row>
    <row r="569">
      <c r="E569" s="341"/>
      <c r="F569" s="353"/>
      <c r="G569" s="354"/>
      <c r="H569" s="517" t="s">
        <v>289</v>
      </c>
      <c r="I569" s="346" t="s">
        <v>282</v>
      </c>
      <c r="J569" s="400"/>
      <c r="K569" s="736">
        <f t="shared" ref="K569:M569" si="104">K567/SHARDING(K568)</f>
        <v>16</v>
      </c>
      <c r="L569" s="736">
        <f t="shared" si="104"/>
        <v>1</v>
      </c>
      <c r="M569" s="736">
        <f t="shared" si="104"/>
        <v>7168</v>
      </c>
      <c r="N569" s="346" t="s">
        <v>283</v>
      </c>
      <c r="O569" s="355"/>
      <c r="P569" s="509">
        <f>SIZEOF_IN_MIB(J569:M569, O566)</f>
        <v>0.21875</v>
      </c>
      <c r="Q569" s="355"/>
    </row>
    <row r="570">
      <c r="E570" s="341"/>
      <c r="F570" s="740" t="s">
        <v>119</v>
      </c>
      <c r="G570" s="741" t="s">
        <v>169</v>
      </c>
      <c r="H570" s="742" t="s">
        <v>444</v>
      </c>
      <c r="I570" s="404"/>
      <c r="J570" s="404"/>
      <c r="K570" s="404"/>
      <c r="L570" s="405"/>
      <c r="M570" s="405"/>
      <c r="N570" s="405"/>
      <c r="O570" s="404"/>
      <c r="P570" s="406"/>
      <c r="Q570" s="404"/>
    </row>
    <row r="571">
      <c r="E571" s="341"/>
      <c r="F571" s="341"/>
      <c r="G571" s="743" t="s">
        <v>301</v>
      </c>
      <c r="H571" s="744" t="s">
        <v>281</v>
      </c>
      <c r="I571" s="489"/>
      <c r="J571" s="399"/>
      <c r="K571" s="737" t="s">
        <v>104</v>
      </c>
      <c r="L571" s="745" t="s">
        <v>102</v>
      </c>
      <c r="M571" s="736" t="s">
        <v>178</v>
      </c>
      <c r="N571" s="400"/>
      <c r="O571" s="746" t="str">
        <f>PARAMS("expert_collect_dtype")</f>
        <v>bf16</v>
      </c>
      <c r="P571" s="401"/>
      <c r="Q571" s="399"/>
    </row>
    <row r="572">
      <c r="E572" s="341"/>
      <c r="F572" s="341"/>
      <c r="G572" s="341"/>
      <c r="H572" s="747" t="s">
        <v>285</v>
      </c>
      <c r="I572" s="748"/>
      <c r="J572" s="749"/>
      <c r="K572" s="750">
        <f t="shared" ref="K572:M572" si="105">PARAMS(K571)</f>
        <v>128</v>
      </c>
      <c r="L572" s="751">
        <f t="shared" si="105"/>
        <v>1</v>
      </c>
      <c r="M572" s="751">
        <f t="shared" si="105"/>
        <v>7168</v>
      </c>
      <c r="N572" s="752"/>
      <c r="O572" s="341"/>
      <c r="P572" s="753">
        <f>SIZEOF_IN_MIB(J572:M572, O571)</f>
        <v>1.75</v>
      </c>
      <c r="Q572" s="749"/>
    </row>
    <row r="573">
      <c r="E573" s="341"/>
      <c r="F573" s="341"/>
      <c r="G573" s="341"/>
      <c r="H573" s="754" t="s">
        <v>287</v>
      </c>
      <c r="I573" s="755"/>
      <c r="J573" s="756"/>
      <c r="K573" s="756"/>
      <c r="L573" s="757"/>
      <c r="M573" s="757"/>
      <c r="N573" s="757"/>
      <c r="O573" s="341"/>
      <c r="P573" s="758"/>
      <c r="Q573" s="756"/>
    </row>
    <row r="574">
      <c r="E574" s="341"/>
      <c r="F574" s="341"/>
      <c r="G574" s="341"/>
      <c r="H574" s="759" t="s">
        <v>289</v>
      </c>
      <c r="I574" s="748"/>
      <c r="J574" s="749"/>
      <c r="K574" s="750">
        <f t="shared" ref="K574:M574" si="106">K572/SHARDING(K573)</f>
        <v>128</v>
      </c>
      <c r="L574" s="751">
        <f t="shared" si="106"/>
        <v>1</v>
      </c>
      <c r="M574" s="751">
        <f t="shared" si="106"/>
        <v>7168</v>
      </c>
      <c r="N574" s="752"/>
      <c r="O574" s="352"/>
      <c r="P574" s="753">
        <f>SIZEOF_IN_MIB(J574:M574, O571)</f>
        <v>1.75</v>
      </c>
      <c r="Q574" s="749"/>
    </row>
    <row r="575">
      <c r="E575" s="341"/>
      <c r="F575" s="341"/>
      <c r="G575" s="352"/>
      <c r="H575" s="760" t="s">
        <v>419</v>
      </c>
      <c r="I575" s="756"/>
      <c r="J575" s="761" t="s">
        <v>196</v>
      </c>
      <c r="K575" s="756"/>
      <c r="L575" s="757"/>
      <c r="M575" s="757"/>
      <c r="N575" s="757"/>
      <c r="O575" s="756"/>
      <c r="P575" s="758"/>
      <c r="Q575" s="756"/>
    </row>
    <row r="576">
      <c r="E576" s="341"/>
      <c r="F576" s="341"/>
      <c r="G576" s="432" t="s">
        <v>425</v>
      </c>
      <c r="H576" s="762" t="s">
        <v>306</v>
      </c>
      <c r="I576" s="428"/>
      <c r="J576" s="763">
        <f>SHARDING(J575)/HW_SPEC("# of TensorCore per Chip")</f>
        <v>8</v>
      </c>
      <c r="K576" s="749"/>
      <c r="L576" s="752"/>
      <c r="M576" s="752"/>
      <c r="N576" s="752"/>
      <c r="O576" s="749"/>
      <c r="P576" s="764"/>
      <c r="Q576" s="749"/>
    </row>
    <row r="577">
      <c r="E577" s="341"/>
      <c r="F577" s="341"/>
      <c r="G577" s="341"/>
      <c r="H577" s="765" t="s">
        <v>426</v>
      </c>
      <c r="I577" s="434"/>
      <c r="J577" s="441">
        <f>P574 / J576 * (J576-1)</f>
        <v>1.53125</v>
      </c>
      <c r="K577" s="756"/>
      <c r="L577" s="756"/>
      <c r="M577" s="756"/>
      <c r="N577" s="756"/>
      <c r="O577" s="756"/>
      <c r="P577" s="758"/>
      <c r="Q577" s="756"/>
    </row>
    <row r="578">
      <c r="E578" s="341"/>
      <c r="F578" s="341"/>
      <c r="G578" s="341"/>
      <c r="H578" s="766" t="s">
        <v>384</v>
      </c>
      <c r="I578" s="428"/>
      <c r="J578" s="439">
        <f>J577*J576</f>
        <v>12.25</v>
      </c>
      <c r="K578" s="749"/>
      <c r="L578" s="749"/>
      <c r="M578" s="749"/>
      <c r="N578" s="749"/>
      <c r="O578" s="749"/>
      <c r="P578" s="764"/>
      <c r="Q578" s="749"/>
    </row>
    <row r="579">
      <c r="E579" s="341"/>
      <c r="F579" s="341"/>
      <c r="G579" s="341"/>
      <c r="H579" s="765" t="s">
        <v>309</v>
      </c>
      <c r="I579" s="434"/>
      <c r="J579" s="767">
        <f>IFS(J576=8,12,
J576=4,4,
J576=2,1,
TRUE,NA())</f>
        <v>12</v>
      </c>
      <c r="K579" s="756"/>
      <c r="L579" s="756"/>
      <c r="M579" s="756"/>
      <c r="N579" s="756"/>
      <c r="O579" s="756"/>
      <c r="P579" s="758"/>
      <c r="Q579" s="756"/>
    </row>
    <row r="580">
      <c r="E580" s="341"/>
      <c r="F580" s="341"/>
      <c r="G580" s="352"/>
      <c r="H580" s="768" t="s">
        <v>311</v>
      </c>
      <c r="I580" s="428"/>
      <c r="J580" s="769">
        <f>IF(J578=0,0, REDUCE_SCATTER_CHIP2CHIP_TIME_MS2(J578,J579))</f>
        <v>0.0005538375289</v>
      </c>
      <c r="K580" s="749"/>
      <c r="L580" s="749"/>
      <c r="M580" s="749"/>
      <c r="N580" s="749"/>
      <c r="O580" s="749"/>
      <c r="P580" s="764"/>
      <c r="Q580" s="749"/>
    </row>
    <row r="581">
      <c r="E581" s="341"/>
      <c r="F581" s="341"/>
      <c r="G581" s="770" t="s">
        <v>427</v>
      </c>
      <c r="H581" s="771" t="s">
        <v>306</v>
      </c>
      <c r="I581" s="772"/>
      <c r="J581" s="773">
        <f>HW_SPEC("# of TensorCore per Chip")</f>
        <v>1</v>
      </c>
      <c r="K581" s="772"/>
      <c r="L581" s="772"/>
      <c r="M581" s="772"/>
      <c r="N581" s="772"/>
      <c r="O581" s="772"/>
      <c r="P581" s="774"/>
      <c r="Q581" s="772"/>
    </row>
    <row r="582">
      <c r="E582" s="341"/>
      <c r="F582" s="341"/>
      <c r="G582" s="341"/>
      <c r="H582" s="775" t="s">
        <v>416</v>
      </c>
      <c r="I582" s="81"/>
      <c r="J582" s="776">
        <f>P574 * (J581-1)/J581</f>
        <v>0</v>
      </c>
      <c r="K582" s="772"/>
      <c r="L582" s="772"/>
      <c r="M582" s="772"/>
      <c r="N582" s="772"/>
      <c r="O582" s="772"/>
      <c r="P582" s="774"/>
      <c r="Q582" s="772"/>
    </row>
    <row r="583">
      <c r="E583" s="341"/>
      <c r="F583" s="341"/>
      <c r="G583" s="341"/>
      <c r="H583" s="775" t="s">
        <v>384</v>
      </c>
      <c r="I583" s="81"/>
      <c r="J583" s="776">
        <f>J582*J581</f>
        <v>0</v>
      </c>
      <c r="K583" s="772"/>
      <c r="L583" s="772"/>
      <c r="M583" s="772"/>
      <c r="N583" s="772"/>
      <c r="O583" s="772"/>
      <c r="P583" s="774"/>
      <c r="Q583" s="772"/>
    </row>
    <row r="584">
      <c r="E584" s="341"/>
      <c r="F584" s="341"/>
      <c r="G584" s="341"/>
      <c r="H584" s="775" t="s">
        <v>311</v>
      </c>
      <c r="I584" s="81"/>
      <c r="J584" s="777">
        <f>REDUCE_SCATTER_CORE2CORE_TIME_MS(J583)</f>
        <v>0</v>
      </c>
      <c r="K584" s="772"/>
      <c r="L584" s="772"/>
      <c r="M584" s="772"/>
      <c r="N584" s="772"/>
      <c r="O584" s="772"/>
      <c r="P584" s="774"/>
      <c r="Q584" s="772"/>
    </row>
    <row r="585">
      <c r="E585" s="341"/>
      <c r="F585" s="341"/>
      <c r="G585" s="352"/>
      <c r="H585" s="775" t="s">
        <v>428</v>
      </c>
      <c r="I585" s="81"/>
      <c r="J585" s="777">
        <f>J584/J576</f>
        <v>0</v>
      </c>
      <c r="K585" s="772"/>
      <c r="L585" s="772"/>
      <c r="M585" s="772"/>
      <c r="N585" s="772"/>
      <c r="O585" s="772"/>
      <c r="P585" s="774"/>
      <c r="Q585" s="772"/>
    </row>
    <row r="586">
      <c r="E586" s="341"/>
      <c r="F586" s="352"/>
      <c r="G586" s="778" t="s">
        <v>429</v>
      </c>
      <c r="H586" s="779">
        <f>SUM(J580+J585)</f>
        <v>0.0005538375289</v>
      </c>
      <c r="I586" s="780"/>
      <c r="J586" s="772"/>
      <c r="K586" s="772"/>
      <c r="L586" s="772"/>
      <c r="M586" s="772"/>
      <c r="N586" s="772"/>
      <c r="O586" s="772"/>
      <c r="P586" s="774"/>
      <c r="Q586" s="772"/>
    </row>
    <row r="587">
      <c r="E587" s="341"/>
      <c r="F587" s="770" t="s">
        <v>335</v>
      </c>
      <c r="G587" s="781" t="s">
        <v>322</v>
      </c>
      <c r="H587" s="782" t="s">
        <v>119</v>
      </c>
      <c r="I587" s="772"/>
      <c r="J587" s="772"/>
      <c r="K587" s="772"/>
      <c r="L587" s="772"/>
      <c r="M587" s="772"/>
      <c r="N587" s="772"/>
      <c r="O587" s="772"/>
      <c r="P587" s="783"/>
      <c r="Q587" s="81"/>
    </row>
    <row r="588">
      <c r="E588" s="341"/>
      <c r="F588" s="341"/>
      <c r="G588" s="784" t="s">
        <v>340</v>
      </c>
      <c r="H588" s="785">
        <f>IFS(H587=F539,H557,H587=F558,H569,F570=H587,H586, TRUE,0)</f>
        <v>0.0005538375289</v>
      </c>
      <c r="I588" s="786"/>
      <c r="J588" s="787"/>
      <c r="K588" s="787"/>
      <c r="L588" s="787"/>
      <c r="M588" s="787"/>
      <c r="N588" s="787"/>
      <c r="O588" s="787"/>
      <c r="P588" s="788"/>
      <c r="Q588" s="787"/>
    </row>
    <row r="589">
      <c r="E589" s="341"/>
      <c r="F589" s="341"/>
      <c r="G589" s="789" t="s">
        <v>325</v>
      </c>
      <c r="H589" s="790">
        <f>IFS(PARAMS("topo")="2x2x2", (2+2+2)/2,
PARAMS("topo")="2x2", (2+2)/2,
TRUE, NA())</f>
        <v>3</v>
      </c>
      <c r="I589" s="772"/>
      <c r="J589" s="772"/>
      <c r="K589" s="772"/>
      <c r="L589" s="772"/>
      <c r="M589" s="772"/>
      <c r="N589" s="772"/>
      <c r="O589" s="772"/>
      <c r="P589" s="783"/>
      <c r="Q589" s="81"/>
    </row>
    <row r="590">
      <c r="E590" s="341"/>
      <c r="F590" s="352"/>
      <c r="G590" s="791" t="s">
        <v>326</v>
      </c>
      <c r="H590" s="792">
        <f>IF(H587="No Collectives", 0, H589 * HW_SPEC("Chip-to-Chip ICI Latency (ms)"))</f>
        <v>0</v>
      </c>
      <c r="I590" s="787"/>
      <c r="J590" s="787"/>
      <c r="K590" s="787"/>
      <c r="L590" s="787"/>
      <c r="M590" s="787"/>
      <c r="N590" s="787"/>
      <c r="O590" s="787"/>
      <c r="P590" s="788"/>
      <c r="Q590" s="382"/>
    </row>
    <row r="591">
      <c r="E591" s="341"/>
      <c r="F591" s="793" t="s">
        <v>327</v>
      </c>
      <c r="G591" s="794" t="s">
        <v>328</v>
      </c>
      <c r="H591" s="795" t="str">
        <f>VLOOKUP(O558&amp;","&amp;O562,$T$3:$W$12,4, FALSE)</f>
        <v>fp8</v>
      </c>
      <c r="I591" s="755"/>
      <c r="J591" s="756"/>
      <c r="K591" s="756"/>
      <c r="L591" s="756"/>
      <c r="M591" s="756"/>
      <c r="N591" s="756"/>
      <c r="O591" s="756"/>
      <c r="P591" s="758"/>
      <c r="Q591" s="434"/>
    </row>
    <row r="592">
      <c r="E592" s="341"/>
      <c r="F592" s="341"/>
      <c r="G592" s="794" t="s">
        <v>341</v>
      </c>
      <c r="H592" s="796">
        <f>CALCULATE_FLOPS(J561:M561,J565:M565,L565,1,H572)</f>
        <v>939524096</v>
      </c>
      <c r="I592" s="748"/>
      <c r="J592" s="749"/>
      <c r="K592" s="749"/>
      <c r="L592" s="749"/>
      <c r="M592" s="749"/>
      <c r="N592" s="749"/>
      <c r="O592" s="749"/>
      <c r="P592" s="764"/>
      <c r="Q592" s="428"/>
    </row>
    <row r="593">
      <c r="E593" s="341"/>
      <c r="F593" s="352"/>
      <c r="G593" s="797" t="s">
        <v>330</v>
      </c>
      <c r="H593" s="798">
        <f>COMPUTE_TIME_MS(H592, H591)</f>
        <v>0.0002505397589</v>
      </c>
      <c r="I593" s="799"/>
      <c r="J593" s="800"/>
      <c r="K593" s="800"/>
      <c r="L593" s="800"/>
      <c r="M593" s="800"/>
      <c r="N593" s="800"/>
      <c r="O593" s="800"/>
      <c r="P593" s="801"/>
      <c r="Q593" s="434"/>
    </row>
    <row r="594">
      <c r="E594" s="341"/>
      <c r="F594" s="793" t="s">
        <v>331</v>
      </c>
      <c r="G594" s="794" t="s">
        <v>332</v>
      </c>
      <c r="H594" s="802">
        <f>IF(Q558,0,P561)+IF(Q562,0,P565)+IF(Q566,0,P569)</f>
        <v>28.28125</v>
      </c>
      <c r="I594" s="749"/>
      <c r="J594" s="749"/>
      <c r="K594" s="749"/>
      <c r="L594" s="749"/>
      <c r="M594" s="749"/>
      <c r="N594" s="749"/>
      <c r="O594" s="749"/>
      <c r="P594" s="764"/>
      <c r="Q594" s="428"/>
    </row>
    <row r="595">
      <c r="E595" s="352"/>
      <c r="F595" s="352"/>
      <c r="G595" s="803" t="s">
        <v>333</v>
      </c>
      <c r="H595" s="804">
        <f>HBM_TIME_MS(H594)</f>
        <v>0.003835890028</v>
      </c>
      <c r="I595" s="800"/>
      <c r="J595" s="800"/>
      <c r="K595" s="800"/>
      <c r="L595" s="800"/>
      <c r="M595" s="800"/>
      <c r="N595" s="800"/>
      <c r="O595" s="800"/>
      <c r="P595" s="801"/>
      <c r="Q595" s="434"/>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row r="1280">
      <c r="P1280" s="227"/>
    </row>
    <row r="1281">
      <c r="P1281" s="227"/>
    </row>
    <row r="1282">
      <c r="P1282" s="227"/>
    </row>
    <row r="1283">
      <c r="P1283" s="227"/>
    </row>
    <row r="1284">
      <c r="P1284" s="227"/>
    </row>
    <row r="1285">
      <c r="P1285" s="227"/>
    </row>
    <row r="1286">
      <c r="P1286" s="227"/>
    </row>
    <row r="1287">
      <c r="P1287" s="227"/>
    </row>
    <row r="1288">
      <c r="P1288" s="227"/>
    </row>
    <row r="1289">
      <c r="P1289" s="227"/>
    </row>
    <row r="1290">
      <c r="P1290" s="227"/>
    </row>
    <row r="1291">
      <c r="P1291" s="227"/>
    </row>
    <row r="1292">
      <c r="P1292" s="227"/>
    </row>
    <row r="1293">
      <c r="P1293" s="227"/>
    </row>
    <row r="1294">
      <c r="P1294" s="227"/>
    </row>
    <row r="1295">
      <c r="P1295" s="227"/>
    </row>
    <row r="1296">
      <c r="P1296" s="227"/>
    </row>
    <row r="1297">
      <c r="P1297" s="227"/>
    </row>
    <row r="1298">
      <c r="P1298" s="227"/>
    </row>
    <row r="1299">
      <c r="P1299" s="227"/>
    </row>
    <row r="1300">
      <c r="P1300" s="227"/>
    </row>
    <row r="1301">
      <c r="P1301" s="227"/>
    </row>
    <row r="1302">
      <c r="P1302" s="227"/>
    </row>
    <row r="1303">
      <c r="P1303" s="227"/>
    </row>
    <row r="1304">
      <c r="P1304" s="227"/>
    </row>
    <row r="1305">
      <c r="P1305" s="227"/>
    </row>
    <row r="1306">
      <c r="P1306" s="227"/>
    </row>
    <row r="1307">
      <c r="P1307" s="227"/>
    </row>
    <row r="1308">
      <c r="P1308" s="227"/>
    </row>
    <row r="1309">
      <c r="P1309" s="227"/>
    </row>
    <row r="1310">
      <c r="P1310" s="227"/>
    </row>
    <row r="1311">
      <c r="P1311" s="227"/>
    </row>
    <row r="1312">
      <c r="P1312" s="227"/>
    </row>
    <row r="1313">
      <c r="P1313" s="227"/>
    </row>
    <row r="1314">
      <c r="P1314" s="227"/>
    </row>
    <row r="1315">
      <c r="P1315" s="227"/>
    </row>
    <row r="1316">
      <c r="P1316" s="227"/>
    </row>
    <row r="1317">
      <c r="P1317" s="227"/>
    </row>
    <row r="1318">
      <c r="P1318" s="227"/>
    </row>
    <row r="1319">
      <c r="P1319" s="227"/>
    </row>
    <row r="1320">
      <c r="P1320" s="227"/>
    </row>
    <row r="1321">
      <c r="P1321" s="227"/>
    </row>
    <row r="1322">
      <c r="P1322" s="227"/>
    </row>
    <row r="1323">
      <c r="P1323" s="227"/>
    </row>
    <row r="1324">
      <c r="P1324" s="227"/>
    </row>
    <row r="1325">
      <c r="P1325" s="227"/>
    </row>
    <row r="1326">
      <c r="P1326" s="227"/>
    </row>
    <row r="1327">
      <c r="P1327" s="227"/>
    </row>
    <row r="1328">
      <c r="P1328" s="227"/>
    </row>
    <row r="1329">
      <c r="P1329" s="227"/>
    </row>
    <row r="1330">
      <c r="P1330" s="227"/>
    </row>
    <row r="1331">
      <c r="P1331" s="227"/>
    </row>
    <row r="1332">
      <c r="P1332" s="227"/>
    </row>
  </sheetData>
  <mergeCells count="235">
    <mergeCell ref="E491:E538"/>
    <mergeCell ref="E539:E557"/>
    <mergeCell ref="E558:E595"/>
    <mergeCell ref="E275:E293"/>
    <mergeCell ref="E294:E312"/>
    <mergeCell ref="E313:E327"/>
    <mergeCell ref="E328:E354"/>
    <mergeCell ref="E360:E406"/>
    <mergeCell ref="E407:E454"/>
    <mergeCell ref="E455:E490"/>
    <mergeCell ref="F539:G542"/>
    <mergeCell ref="F543:G546"/>
    <mergeCell ref="F547:G550"/>
    <mergeCell ref="F551:F552"/>
    <mergeCell ref="F553:F555"/>
    <mergeCell ref="F556:F557"/>
    <mergeCell ref="F558:G561"/>
    <mergeCell ref="F591:F593"/>
    <mergeCell ref="F594:F595"/>
    <mergeCell ref="F562:G565"/>
    <mergeCell ref="F566:G569"/>
    <mergeCell ref="F570:F586"/>
    <mergeCell ref="G571:G575"/>
    <mergeCell ref="G576:G580"/>
    <mergeCell ref="G581:G585"/>
    <mergeCell ref="F587:F590"/>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571:O574"/>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J534 K518:K520 L518:Q534 K522:K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570 H587">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1" location="gid=0&amp;range=D45:D63" ref="B57"/>
    <hyperlink r:id="rId2" location="gid=0&amp;range=D64:D82" ref="B58"/>
    <hyperlink r:id="rId3" location="gid=0&amp;range=D83:D101" ref="B59"/>
    <hyperlink r:id="rId4" location="gid=0&amp;range=D102:D120" ref="B60"/>
    <hyperlink r:id="rId5" location="gid=0&amp;range=E182:E211" ref="B61"/>
    <hyperlink r:id="rId6" location="gid=0&amp;range=D121:D139" ref="B64"/>
    <hyperlink r:id="rId7" location="gid=0&amp;range=D140:D158" ref="B65"/>
    <hyperlink r:id="rId8" location="gid=0&amp;range=D159:D177" ref="B66"/>
    <hyperlink r:id="rId9" location="gid=0&amp;range=D178:D196" ref="B67"/>
    <hyperlink r:id="rId10" location="gid=0&amp;range=D197:D215" ref="B69"/>
    <hyperlink r:id="rId11" location="gid=0&amp;range=S44:S58" ref="B70"/>
    <hyperlink r:id="rId12" location="gid=0&amp;range=S59:S77" ref="B71"/>
    <hyperlink r:id="rId13" location="gid=0&amp;range=S78:S96" ref="B72"/>
    <hyperlink r:id="rId14" location="gid=0&amp;range=S97:S115" ref="B73"/>
  </hyperlinks>
  <drawing r:id="rId15"/>
  <tableParts count="16">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08" t="s">
        <v>168</v>
      </c>
      <c r="B1" s="209"/>
      <c r="C1" s="209"/>
      <c r="D1" s="210"/>
      <c r="E1" s="211"/>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217"/>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224"/>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445</v>
      </c>
      <c r="B4" s="223" t="s">
        <v>182</v>
      </c>
      <c r="C4" s="229">
        <v>4096.0</v>
      </c>
      <c r="D4" s="224"/>
      <c r="F4" s="230" t="s">
        <v>96</v>
      </c>
      <c r="G4" s="225">
        <f>'Config and Summary'!$D8</f>
        <v>1</v>
      </c>
      <c r="H4" s="226"/>
      <c r="P4" s="227"/>
      <c r="Q4" s="181" t="s">
        <v>125</v>
      </c>
      <c r="R4" s="181">
        <v>1.0</v>
      </c>
      <c r="T4" s="66" t="str">
        <f t="shared" si="1"/>
        <v>fp4,fp8</v>
      </c>
      <c r="U4" s="181" t="s">
        <v>180</v>
      </c>
      <c r="V4" s="181" t="s">
        <v>125</v>
      </c>
      <c r="W4" s="181" t="s">
        <v>125</v>
      </c>
    </row>
    <row r="5">
      <c r="A5" s="223" t="s">
        <v>183</v>
      </c>
      <c r="B5" s="223" t="s">
        <v>184</v>
      </c>
      <c r="C5" s="229">
        <v>128.0</v>
      </c>
      <c r="D5" s="224"/>
      <c r="F5" s="230" t="s">
        <v>97</v>
      </c>
      <c r="G5" s="225">
        <f>'Config and Summary'!$D9</f>
        <v>8</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224"/>
      <c r="F6" s="230" t="s">
        <v>98</v>
      </c>
      <c r="G6" s="225">
        <f>'Config and Summary'!$D10</f>
        <v>1</v>
      </c>
      <c r="H6" s="226"/>
      <c r="P6" s="227"/>
      <c r="T6" s="66" t="str">
        <f t="shared" si="1"/>
        <v>fp8,fp4</v>
      </c>
      <c r="U6" s="181" t="s">
        <v>125</v>
      </c>
      <c r="V6" s="181" t="s">
        <v>180</v>
      </c>
      <c r="W6" s="181" t="s">
        <v>125</v>
      </c>
    </row>
    <row r="7">
      <c r="A7" s="231" t="s">
        <v>188</v>
      </c>
      <c r="B7" s="231" t="s">
        <v>189</v>
      </c>
      <c r="C7" s="231">
        <v>3.0</v>
      </c>
      <c r="D7" s="224"/>
      <c r="F7" s="230" t="s">
        <v>99</v>
      </c>
      <c r="G7" s="225">
        <f>'Config and Summary'!$D11</f>
        <v>1</v>
      </c>
      <c r="H7" s="226" t="s">
        <v>190</v>
      </c>
      <c r="P7" s="227"/>
      <c r="T7" s="66" t="str">
        <f t="shared" si="1"/>
        <v>fp8,fp8</v>
      </c>
      <c r="U7" s="181" t="s">
        <v>125</v>
      </c>
      <c r="V7" s="181" t="s">
        <v>125</v>
      </c>
      <c r="W7" s="181" t="s">
        <v>125</v>
      </c>
      <c r="AR7" s="161"/>
      <c r="AS7" s="161"/>
      <c r="AT7" s="161"/>
    </row>
    <row r="8">
      <c r="A8" s="223" t="s">
        <v>191</v>
      </c>
      <c r="B8" s="223" t="s">
        <v>192</v>
      </c>
      <c r="C8" s="229">
        <v>4.0</v>
      </c>
      <c r="D8" s="224"/>
      <c r="F8" s="219" t="s">
        <v>193</v>
      </c>
      <c r="P8" s="227"/>
      <c r="U8" s="181"/>
      <c r="V8" s="181"/>
      <c r="W8" s="181"/>
      <c r="AB8" s="181"/>
      <c r="AC8" s="181"/>
      <c r="AD8" s="181"/>
      <c r="AE8" s="181"/>
    </row>
    <row r="9">
      <c r="A9" s="232" t="s">
        <v>194</v>
      </c>
      <c r="B9" s="233" t="s">
        <v>195</v>
      </c>
      <c r="C9" s="223">
        <v>1536.0</v>
      </c>
      <c r="D9" s="224"/>
      <c r="F9" s="234" t="s">
        <v>196</v>
      </c>
      <c r="G9" s="235">
        <f>G5*G4</f>
        <v>8</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224"/>
      <c r="F10" s="237" t="s">
        <v>199</v>
      </c>
      <c r="G10" s="238">
        <f>PRODUCT(G3:G6)</f>
        <v>8</v>
      </c>
      <c r="H10" s="239"/>
      <c r="P10" s="227"/>
      <c r="T10" s="66" t="str">
        <f t="shared" si="2"/>
        <v>bf16,fp4</v>
      </c>
      <c r="U10" s="181" t="s">
        <v>133</v>
      </c>
      <c r="V10" s="181" t="s">
        <v>180</v>
      </c>
      <c r="W10" s="181" t="s">
        <v>133</v>
      </c>
      <c r="AP10" s="218"/>
      <c r="AQ10" s="218"/>
      <c r="AT10" s="228"/>
    </row>
    <row r="11">
      <c r="A11" s="232" t="s">
        <v>200</v>
      </c>
      <c r="B11" s="233" t="s">
        <v>201</v>
      </c>
      <c r="C11" s="223">
        <v>128.0</v>
      </c>
      <c r="D11" s="224"/>
      <c r="F11" s="237" t="s">
        <v>202</v>
      </c>
      <c r="G11" s="238">
        <f>$G$10/$H$18</f>
        <v>8</v>
      </c>
      <c r="H11" s="239"/>
      <c r="P11" s="227"/>
      <c r="T11" s="66" t="str">
        <f t="shared" si="2"/>
        <v>bf16,fp8</v>
      </c>
      <c r="U11" s="181" t="s">
        <v>133</v>
      </c>
      <c r="V11" s="181" t="s">
        <v>125</v>
      </c>
      <c r="W11" s="181" t="s">
        <v>133</v>
      </c>
      <c r="AP11" s="222"/>
    </row>
    <row r="12">
      <c r="A12" s="232" t="s">
        <v>203</v>
      </c>
      <c r="B12" s="233" t="s">
        <v>204</v>
      </c>
      <c r="C12" s="223">
        <v>64.0</v>
      </c>
      <c r="D12" s="224"/>
      <c r="L12" s="240"/>
      <c r="P12" s="227"/>
      <c r="T12" s="66" t="s">
        <v>205</v>
      </c>
      <c r="U12" s="181" t="s">
        <v>133</v>
      </c>
      <c r="V12" s="181" t="s">
        <v>133</v>
      </c>
      <c r="W12" s="181" t="s">
        <v>133</v>
      </c>
      <c r="AP12" s="218"/>
      <c r="AQ12" s="218"/>
      <c r="AT12" s="228"/>
    </row>
    <row r="13">
      <c r="A13" s="223" t="s">
        <v>206</v>
      </c>
      <c r="B13" s="233" t="s">
        <v>207</v>
      </c>
      <c r="C13" s="223">
        <v>128.0</v>
      </c>
      <c r="D13" s="224"/>
    </row>
    <row r="14">
      <c r="A14" s="241" t="s">
        <v>208</v>
      </c>
      <c r="B14" s="242"/>
      <c r="C14" s="242"/>
      <c r="D14" s="243"/>
      <c r="AG14" s="207"/>
      <c r="AH14" s="207"/>
      <c r="AI14" s="161"/>
      <c r="AJ14" s="2"/>
      <c r="AK14" s="2"/>
      <c r="AL14" s="2"/>
      <c r="AM14" s="2"/>
      <c r="AN14" s="161"/>
      <c r="AO14" s="2"/>
      <c r="AP14" s="207"/>
      <c r="AQ14" s="2"/>
      <c r="AR14" s="2"/>
      <c r="AS14" s="161"/>
      <c r="AT14" s="161"/>
    </row>
    <row r="15">
      <c r="A15" s="244" t="s">
        <v>209</v>
      </c>
      <c r="B15" s="244" t="s">
        <v>209</v>
      </c>
      <c r="C15" s="245">
        <f>$C$11+$C$12</f>
        <v>192</v>
      </c>
      <c r="D15" s="246"/>
      <c r="AG15" s="2"/>
      <c r="AH15" s="2"/>
      <c r="AI15" s="161"/>
      <c r="AJ15" s="2"/>
      <c r="AK15" s="2"/>
      <c r="AL15" s="2"/>
      <c r="AM15" s="2"/>
      <c r="AN15" s="161"/>
      <c r="AO15" s="2"/>
      <c r="AP15" s="247"/>
      <c r="AQ15" s="247"/>
      <c r="AR15" s="2"/>
      <c r="AS15" s="161"/>
      <c r="AT15" s="248"/>
    </row>
    <row r="16">
      <c r="A16" s="244" t="s">
        <v>210</v>
      </c>
      <c r="B16" s="244" t="s">
        <v>210</v>
      </c>
      <c r="C16" s="249">
        <f>$C$10+$C$12</f>
        <v>576</v>
      </c>
      <c r="D16" s="224"/>
      <c r="AG16" s="2"/>
      <c r="AH16" s="2"/>
      <c r="AI16" s="161"/>
      <c r="AJ16" s="2"/>
      <c r="AK16" s="2"/>
      <c r="AL16" s="2"/>
      <c r="AM16" s="2"/>
      <c r="AN16" s="161"/>
      <c r="AO16" s="2"/>
      <c r="AP16" s="247"/>
      <c r="AQ16" s="247"/>
      <c r="AR16" s="2"/>
      <c r="AS16" s="161"/>
      <c r="AT16" s="248"/>
    </row>
    <row r="17">
      <c r="A17" s="249" t="s">
        <v>211</v>
      </c>
      <c r="B17" s="249" t="s">
        <v>212</v>
      </c>
      <c r="C17" s="245">
        <f>C8*$C$25</f>
        <v>8192</v>
      </c>
      <c r="D17" s="246"/>
      <c r="F17" s="250" t="s">
        <v>213</v>
      </c>
      <c r="G17" s="11"/>
      <c r="H17" s="251" t="str">
        <f>'Config and Summary'!D4</f>
        <v>GB200 Derated</v>
      </c>
      <c r="AG17" s="2"/>
      <c r="AH17" s="2"/>
      <c r="AI17" s="161"/>
      <c r="AJ17" s="2"/>
      <c r="AK17" s="2"/>
      <c r="AL17" s="2"/>
      <c r="AM17" s="2"/>
      <c r="AN17" s="161"/>
      <c r="AO17" s="2"/>
      <c r="AP17" s="247"/>
      <c r="AQ17" s="247"/>
      <c r="AR17" s="2"/>
      <c r="AS17" s="161"/>
      <c r="AT17" s="248"/>
    </row>
    <row r="18">
      <c r="A18" s="252" t="s">
        <v>173</v>
      </c>
      <c r="B18" s="252" t="s">
        <v>214</v>
      </c>
      <c r="C18" s="253">
        <f>$G$10</f>
        <v>8</v>
      </c>
      <c r="D18" s="246"/>
      <c r="F18" s="185" t="str">
        <f t="array" ref="F18:F32">DB!A2:A16</f>
        <v># of TensorCore per Chip</v>
      </c>
      <c r="G18" s="11"/>
      <c r="H18" s="254">
        <f t="array" ref="H18:H32">xlookup($H$17,DB!1:1,DB!2:16)</f>
        <v>1</v>
      </c>
      <c r="AG18" s="2"/>
      <c r="AH18" s="2"/>
      <c r="AI18" s="161"/>
      <c r="AJ18" s="2"/>
      <c r="AK18" s="2"/>
      <c r="AL18" s="2"/>
      <c r="AM18" s="2"/>
      <c r="AN18" s="161"/>
      <c r="AO18" s="2"/>
      <c r="AP18" s="247"/>
      <c r="AQ18" s="2"/>
      <c r="AR18" s="2"/>
      <c r="AS18" s="161"/>
      <c r="AT18" s="161"/>
    </row>
    <row r="19">
      <c r="A19" s="252" t="s">
        <v>215</v>
      </c>
      <c r="B19" s="252" t="s">
        <v>216</v>
      </c>
      <c r="C19" s="253">
        <f>$G$11</f>
        <v>8</v>
      </c>
      <c r="D19" s="246"/>
      <c r="F19" s="185" t="s">
        <v>217</v>
      </c>
      <c r="G19" s="11"/>
      <c r="H19" s="254">
        <v>7200.0</v>
      </c>
      <c r="AG19" s="2"/>
      <c r="AH19" s="2"/>
      <c r="AI19" s="161"/>
      <c r="AJ19" s="2"/>
      <c r="AK19" s="2"/>
      <c r="AL19" s="2"/>
      <c r="AM19" s="2"/>
      <c r="AN19" s="161"/>
      <c r="AO19" s="2"/>
      <c r="AP19" s="247"/>
      <c r="AQ19" s="2"/>
      <c r="AR19" s="2"/>
      <c r="AS19" s="161"/>
      <c r="AT19" s="161"/>
    </row>
    <row r="20">
      <c r="A20" s="255" t="s">
        <v>218</v>
      </c>
      <c r="B20" s="256" t="s">
        <v>219</v>
      </c>
      <c r="C20" s="257" t="str">
        <f>vlookup(C19, DB!$A$26:$F$31, 5, False)</f>
        <v>2x2x2</v>
      </c>
      <c r="D20" s="258"/>
      <c r="F20" s="185" t="s">
        <v>220</v>
      </c>
      <c r="G20" s="11"/>
      <c r="H20" s="254">
        <v>7500.0</v>
      </c>
      <c r="AG20" s="2"/>
      <c r="AH20" s="2"/>
      <c r="AI20" s="161"/>
      <c r="AJ20" s="2"/>
      <c r="AK20" s="2"/>
      <c r="AL20" s="2"/>
      <c r="AM20" s="2"/>
      <c r="AN20" s="161"/>
      <c r="AO20" s="2"/>
      <c r="AP20" s="247"/>
      <c r="AQ20" s="2"/>
      <c r="AR20" s="2"/>
      <c r="AS20" s="161"/>
      <c r="AT20" s="161"/>
    </row>
    <row r="21">
      <c r="A21" s="259" t="s">
        <v>221</v>
      </c>
      <c r="B21" s="260" t="s">
        <v>222</v>
      </c>
      <c r="C21" s="257">
        <f>vlookup(C19, DB!$A$26:$F$31, 6, False)</f>
        <v>12</v>
      </c>
      <c r="D21" s="261"/>
      <c r="F21" s="185" t="s">
        <v>223</v>
      </c>
      <c r="G21" s="11"/>
      <c r="H21" s="254">
        <v>3750.0</v>
      </c>
      <c r="AG21" s="2"/>
      <c r="AH21" s="2"/>
      <c r="AI21" s="161"/>
      <c r="AJ21" s="2"/>
      <c r="AK21" s="2"/>
      <c r="AL21" s="2"/>
      <c r="AM21" s="2"/>
      <c r="AN21" s="161"/>
      <c r="AO21" s="2"/>
      <c r="AP21" s="247"/>
      <c r="AQ21" s="2"/>
      <c r="AR21" s="2"/>
      <c r="AS21" s="161"/>
      <c r="AT21" s="161"/>
    </row>
    <row r="22">
      <c r="A22" s="253"/>
      <c r="B22" s="253"/>
      <c r="C22" s="253"/>
      <c r="D22" s="246"/>
      <c r="F22" s="185" t="s">
        <v>224</v>
      </c>
      <c r="G22" s="11"/>
      <c r="H22" s="254">
        <v>1875.0</v>
      </c>
      <c r="AG22" s="2"/>
      <c r="AH22" s="2"/>
      <c r="AI22" s="161"/>
      <c r="AJ22" s="2"/>
      <c r="AK22" s="2"/>
      <c r="AL22" s="2"/>
      <c r="AM22" s="2"/>
      <c r="AN22" s="161"/>
      <c r="AO22" s="2"/>
      <c r="AP22" s="247"/>
      <c r="AQ22" s="247"/>
      <c r="AR22" s="2"/>
      <c r="AS22" s="161"/>
      <c r="AT22" s="248"/>
    </row>
    <row r="23">
      <c r="A23" s="262" t="s">
        <v>225</v>
      </c>
      <c r="B23" s="263"/>
      <c r="C23" s="264"/>
      <c r="D23" s="265"/>
      <c r="F23" s="185" t="s">
        <v>226</v>
      </c>
      <c r="G23" s="11"/>
      <c r="H23" s="266">
        <v>179.0</v>
      </c>
      <c r="AG23" s="2"/>
      <c r="AH23" s="2"/>
      <c r="AI23" s="161"/>
      <c r="AJ23" s="2"/>
      <c r="AK23" s="2"/>
      <c r="AL23" s="2"/>
      <c r="AM23" s="2"/>
      <c r="AN23" s="161"/>
      <c r="AO23" s="2"/>
      <c r="AP23" s="247"/>
      <c r="AQ23" s="247"/>
      <c r="AR23" s="2"/>
      <c r="AS23" s="161"/>
      <c r="AT23" s="248"/>
    </row>
    <row r="24">
      <c r="A24" s="249" t="s">
        <v>227</v>
      </c>
      <c r="B24" s="249" t="s">
        <v>228</v>
      </c>
      <c r="C24" s="249" t="s">
        <v>60</v>
      </c>
      <c r="D24" s="224"/>
      <c r="F24" s="185" t="s">
        <v>229</v>
      </c>
      <c r="G24" s="11"/>
      <c r="H24" s="266">
        <v>7200.0</v>
      </c>
      <c r="AG24" s="2"/>
      <c r="AH24" s="2"/>
      <c r="AI24" s="161"/>
      <c r="AJ24" s="2"/>
      <c r="AK24" s="2"/>
      <c r="AL24" s="2"/>
      <c r="AM24" s="2"/>
      <c r="AN24" s="161"/>
      <c r="AO24" s="2"/>
      <c r="AP24" s="247"/>
      <c r="AQ24" s="247"/>
      <c r="AR24" s="2"/>
      <c r="AS24" s="161"/>
      <c r="AT24" s="248"/>
    </row>
    <row r="25">
      <c r="A25" s="267" t="s">
        <v>101</v>
      </c>
      <c r="B25" s="267" t="s">
        <v>102</v>
      </c>
      <c r="C25" s="267">
        <f>'Config and Summary'!D14</f>
        <v>2048</v>
      </c>
      <c r="D25" s="224"/>
      <c r="F25" s="185" t="s">
        <v>230</v>
      </c>
      <c r="G25" s="11"/>
      <c r="H25" s="254">
        <v>7500.0</v>
      </c>
      <c r="AG25" s="2"/>
      <c r="AH25" s="2"/>
      <c r="AI25" s="161"/>
      <c r="AJ25" s="248"/>
      <c r="AK25" s="2"/>
      <c r="AL25" s="2"/>
      <c r="AM25" s="2"/>
    </row>
    <row r="26">
      <c r="A26" s="249" t="s">
        <v>103</v>
      </c>
      <c r="B26" s="249" t="s">
        <v>104</v>
      </c>
      <c r="C26" s="249">
        <f>'Config and Summary'!D15</f>
        <v>8</v>
      </c>
      <c r="D26" s="268"/>
      <c r="F26" s="185" t="s">
        <v>231</v>
      </c>
      <c r="G26" s="11"/>
      <c r="H26" s="254">
        <v>3750.0</v>
      </c>
      <c r="AG26" s="207"/>
      <c r="AH26" s="207"/>
      <c r="AI26" s="207"/>
      <c r="AK26" s="2"/>
      <c r="AL26" s="2"/>
      <c r="AM26" s="2"/>
      <c r="AN26" s="161"/>
      <c r="AO26" s="2"/>
      <c r="AP26" s="2"/>
      <c r="AQ26" s="2"/>
      <c r="AR26" s="2"/>
      <c r="AS26" s="161"/>
      <c r="AT26" s="161"/>
    </row>
    <row r="27">
      <c r="A27" s="249" t="s">
        <v>105</v>
      </c>
      <c r="B27" s="252" t="s">
        <v>106</v>
      </c>
      <c r="C27" s="252">
        <f>'Config and Summary'!D16</f>
        <v>2048</v>
      </c>
      <c r="D27" s="224"/>
      <c r="F27" s="185" t="s">
        <v>233</v>
      </c>
      <c r="G27" s="11"/>
      <c r="H27" s="254">
        <v>1875.0</v>
      </c>
      <c r="AG27" s="207"/>
      <c r="AH27" s="207"/>
      <c r="AI27" s="207"/>
      <c r="AK27" s="2"/>
      <c r="AL27" s="2"/>
      <c r="AM27" s="2"/>
      <c r="AN27" s="161"/>
      <c r="AO27" s="2"/>
      <c r="AP27" s="2"/>
      <c r="AQ27" s="2"/>
      <c r="AR27" s="2"/>
      <c r="AS27" s="161"/>
      <c r="AT27" s="161"/>
    </row>
    <row r="28">
      <c r="A28" s="249" t="s">
        <v>110</v>
      </c>
      <c r="B28" s="253"/>
      <c r="C28" s="252">
        <f>'Config and Summary'!D18</f>
        <v>0</v>
      </c>
      <c r="D28" s="224"/>
      <c r="F28" s="185" t="s">
        <v>234</v>
      </c>
      <c r="G28" s="11"/>
      <c r="H28" s="271">
        <v>179.0</v>
      </c>
      <c r="AG28" s="207"/>
      <c r="AH28" s="207"/>
      <c r="AI28" s="207"/>
      <c r="AL28" s="2"/>
      <c r="AM28" s="2"/>
      <c r="AN28" s="161"/>
      <c r="AO28" s="2"/>
      <c r="AP28" s="2"/>
      <c r="AQ28" s="2"/>
      <c r="AR28" s="2"/>
      <c r="AS28" s="161"/>
      <c r="AT28" s="161"/>
    </row>
    <row r="29">
      <c r="A29" s="249" t="s">
        <v>111</v>
      </c>
      <c r="B29" s="253"/>
      <c r="C29" s="252">
        <f>'Config and Summary'!D19</f>
        <v>1</v>
      </c>
      <c r="D29" s="224"/>
      <c r="F29" s="185" t="s">
        <v>235</v>
      </c>
      <c r="G29" s="11"/>
      <c r="H29" s="254">
        <v>900.0</v>
      </c>
      <c r="AB29" s="181"/>
      <c r="AC29" s="181"/>
      <c r="AD29" s="181"/>
      <c r="AE29" s="181"/>
      <c r="AM29" s="222"/>
      <c r="AN29" s="218"/>
      <c r="AO29" s="222"/>
      <c r="AP29" s="222"/>
      <c r="AQ29" s="272"/>
      <c r="AR29" s="222"/>
      <c r="AS29" s="66"/>
    </row>
    <row r="30">
      <c r="A30" s="249" t="s">
        <v>112</v>
      </c>
      <c r="B30" s="252" t="s">
        <v>113</v>
      </c>
      <c r="C30" s="273" t="b">
        <f>'Config and Summary'!D20</f>
        <v>1</v>
      </c>
      <c r="D30" s="274"/>
      <c r="F30" s="11" t="s">
        <v>236</v>
      </c>
      <c r="G30" s="11"/>
      <c r="H30" s="275">
        <v>900.0</v>
      </c>
      <c r="AB30" s="181"/>
      <c r="AC30" s="181"/>
      <c r="AD30" s="181"/>
      <c r="AE30" s="181"/>
      <c r="AM30" s="222"/>
      <c r="AN30" s="218"/>
      <c r="AO30" s="222"/>
      <c r="AP30" s="222"/>
      <c r="AQ30" s="272"/>
      <c r="AR30" s="222"/>
      <c r="AS30" s="66"/>
    </row>
    <row r="31">
      <c r="A31" s="9" t="s">
        <v>114</v>
      </c>
      <c r="B31" s="9" t="s">
        <v>115</v>
      </c>
      <c r="C31" s="273" t="b">
        <f>'Config and Summary'!D21</f>
        <v>1</v>
      </c>
      <c r="D31" s="274"/>
      <c r="F31" s="182" t="s">
        <v>237</v>
      </c>
      <c r="G31" s="11"/>
      <c r="H31" s="182">
        <v>0.0</v>
      </c>
      <c r="AM31" s="222"/>
      <c r="AN31" s="218"/>
      <c r="AO31" s="218"/>
      <c r="AP31" s="218"/>
      <c r="AQ31" s="218"/>
      <c r="AR31" s="222"/>
      <c r="AT31" s="228"/>
    </row>
    <row r="32">
      <c r="A32" s="262" t="s">
        <v>238</v>
      </c>
      <c r="B32" s="263"/>
      <c r="C32" s="264"/>
      <c r="D32" s="265"/>
      <c r="F32" s="182" t="s">
        <v>239</v>
      </c>
      <c r="G32" s="11"/>
      <c r="H32" s="182">
        <v>1.0</v>
      </c>
      <c r="AM32" s="222"/>
      <c r="AN32" s="218"/>
      <c r="AO32" s="218"/>
      <c r="AP32" s="218"/>
      <c r="AQ32" s="218"/>
      <c r="AR32" s="222"/>
      <c r="AT32" s="228"/>
    </row>
    <row r="33">
      <c r="A33" s="249" t="s">
        <v>123</v>
      </c>
      <c r="B33" s="252" t="s">
        <v>124</v>
      </c>
      <c r="C33" s="273" t="str">
        <f>'Config and Summary'!D27</f>
        <v>fp8</v>
      </c>
      <c r="D33" s="276"/>
      <c r="AM33" s="222"/>
      <c r="AN33" s="218"/>
      <c r="AO33" s="218"/>
      <c r="AP33" s="222"/>
      <c r="AQ33" s="222"/>
      <c r="AR33" s="222"/>
    </row>
    <row r="34">
      <c r="A34" s="249" t="s">
        <v>126</v>
      </c>
      <c r="B34" s="244" t="s">
        <v>127</v>
      </c>
      <c r="C34" s="277" t="str">
        <f>'Config and Summary'!D28</f>
        <v>w8a8</v>
      </c>
      <c r="D34" s="276"/>
      <c r="AM34" s="222"/>
      <c r="AN34" s="218"/>
      <c r="AO34" s="218"/>
      <c r="AP34" s="222"/>
      <c r="AQ34" s="222"/>
      <c r="AR34" s="222"/>
    </row>
    <row r="35">
      <c r="A35" s="249" t="s">
        <v>129</v>
      </c>
      <c r="B35" s="244" t="s">
        <v>130</v>
      </c>
      <c r="C35" s="277" t="str">
        <f>'Config and Summary'!D29</f>
        <v>w8a8</v>
      </c>
      <c r="D35" s="276"/>
      <c r="AM35" s="222"/>
      <c r="AN35" s="218"/>
      <c r="AO35" s="218"/>
      <c r="AP35" s="222"/>
      <c r="AQ35" s="222"/>
      <c r="AR35" s="222"/>
    </row>
    <row r="36">
      <c r="A36" s="249" t="s">
        <v>131</v>
      </c>
      <c r="B36" s="244" t="s">
        <v>132</v>
      </c>
      <c r="C36" s="273" t="str">
        <f>'Config and Summary'!D30</f>
        <v>bf16</v>
      </c>
      <c r="D36" s="276"/>
      <c r="AM36" s="222"/>
      <c r="AN36" s="218"/>
      <c r="AO36" s="218"/>
      <c r="AP36" s="222"/>
      <c r="AQ36" s="222"/>
      <c r="AR36" s="222"/>
    </row>
    <row r="37">
      <c r="A37" s="249" t="s">
        <v>134</v>
      </c>
      <c r="B37" s="244" t="s">
        <v>135</v>
      </c>
      <c r="C37" s="273" t="str">
        <f>'Config and Summary'!D31</f>
        <v>bf16</v>
      </c>
      <c r="D37" s="276"/>
      <c r="AM37" s="222"/>
      <c r="AN37" s="218"/>
      <c r="AO37" s="218"/>
      <c r="AP37" s="222"/>
      <c r="AQ37" s="222"/>
      <c r="AR37" s="222"/>
    </row>
    <row r="38">
      <c r="A38" s="249" t="s">
        <v>136</v>
      </c>
      <c r="B38" s="244" t="s">
        <v>137</v>
      </c>
      <c r="C38" s="273" t="str">
        <f>'Config and Summary'!D32</f>
        <v>fp8</v>
      </c>
      <c r="D38" s="276"/>
      <c r="AM38" s="222"/>
      <c r="AN38" s="218"/>
      <c r="AO38" s="218"/>
      <c r="AP38" s="222"/>
      <c r="AQ38" s="222"/>
      <c r="AR38" s="222"/>
    </row>
    <row r="39">
      <c r="A39" s="9" t="s">
        <v>138</v>
      </c>
      <c r="B39" s="244" t="s">
        <v>139</v>
      </c>
      <c r="C39" s="277" t="str">
        <f>'Config and Summary'!D33</f>
        <v>w8a8</v>
      </c>
      <c r="D39" s="276"/>
      <c r="AM39" s="222"/>
      <c r="AN39" s="218"/>
      <c r="AO39" s="218"/>
      <c r="AP39" s="222"/>
      <c r="AQ39" s="222"/>
      <c r="AR39" s="222"/>
    </row>
    <row r="40">
      <c r="A40" s="249" t="s">
        <v>140</v>
      </c>
      <c r="B40" s="244" t="s">
        <v>141</v>
      </c>
      <c r="C40" s="273" t="str">
        <f>'Config and Summary'!D34</f>
        <v>bf16</v>
      </c>
      <c r="D40" s="276"/>
      <c r="AM40" s="222"/>
      <c r="AN40" s="218"/>
      <c r="AO40" s="218"/>
      <c r="AP40" s="222"/>
      <c r="AQ40" s="222"/>
      <c r="AR40" s="222"/>
    </row>
    <row r="41">
      <c r="A41" s="181"/>
      <c r="B41" s="278"/>
      <c r="C41" s="278"/>
      <c r="D41" s="278"/>
      <c r="AM41" s="222"/>
      <c r="AN41" s="218"/>
      <c r="AO41" s="218"/>
      <c r="AP41" s="222"/>
      <c r="AQ41" s="222"/>
      <c r="AR41" s="222"/>
    </row>
    <row r="42">
      <c r="A42" s="199" t="s">
        <v>94</v>
      </c>
      <c r="B42" s="185" t="s">
        <v>240</v>
      </c>
      <c r="C42" s="182" t="b">
        <f>'Config and Summary'!D5</f>
        <v>1</v>
      </c>
      <c r="AG42" s="2"/>
      <c r="AH42" s="2"/>
      <c r="AI42" s="2"/>
      <c r="AJ42" s="2"/>
      <c r="AK42" s="2"/>
      <c r="AL42" s="2"/>
      <c r="AM42" s="247"/>
      <c r="AN42" s="247"/>
      <c r="AO42" s="279"/>
      <c r="AP42" s="222"/>
      <c r="AQ42" s="247"/>
      <c r="AR42" s="247"/>
      <c r="AT42" s="280"/>
    </row>
    <row r="43" ht="27.0" customHeight="1">
      <c r="A43" s="281"/>
      <c r="AG43" s="2"/>
      <c r="AH43" s="2"/>
      <c r="AI43" s="2"/>
      <c r="AJ43" s="2"/>
      <c r="AK43" s="2"/>
      <c r="AL43" s="2"/>
      <c r="AM43" s="247"/>
      <c r="AN43" s="247"/>
      <c r="AO43" s="279"/>
      <c r="AP43" s="222"/>
      <c r="AQ43" s="247"/>
      <c r="AR43" s="247"/>
      <c r="AT43" s="280"/>
    </row>
    <row r="44" ht="27.0" customHeight="1">
      <c r="A44" s="281" t="s">
        <v>241</v>
      </c>
      <c r="AG44" s="2"/>
      <c r="AH44" s="2"/>
      <c r="AI44" s="2"/>
      <c r="AJ44" s="2"/>
      <c r="AK44" s="2"/>
      <c r="AL44" s="2"/>
      <c r="AM44" s="247"/>
      <c r="AN44" s="247"/>
      <c r="AO44" s="279"/>
      <c r="AP44" s="222"/>
      <c r="AQ44" s="247"/>
      <c r="AR44" s="247"/>
      <c r="AT44" s="280"/>
    </row>
    <row r="45" ht="30.0" customHeight="1">
      <c r="A45" s="282" t="s">
        <v>242</v>
      </c>
      <c r="B45" s="282" t="str">
        <f> "Value (" &amp; H17 &amp; ")"</f>
        <v>Value (GB200 Derated)</v>
      </c>
      <c r="D45" s="4"/>
      <c r="E45" s="4"/>
      <c r="F45" s="4"/>
      <c r="G45" s="4"/>
      <c r="H45" s="4"/>
      <c r="I45" s="4"/>
      <c r="J45" s="4"/>
      <c r="K45" s="4"/>
      <c r="L45" s="4"/>
      <c r="M45" s="4"/>
      <c r="N45" s="4"/>
      <c r="O45" s="4"/>
      <c r="P45" s="283"/>
      <c r="Q45" s="4"/>
      <c r="R45" s="4"/>
      <c r="S45" s="4"/>
      <c r="T45" s="4"/>
      <c r="U45" s="4"/>
      <c r="V45" s="4"/>
      <c r="W45" s="4"/>
      <c r="X45" s="4"/>
      <c r="Y45" s="4"/>
      <c r="Z45" s="4"/>
      <c r="AA45" s="4"/>
      <c r="AB45" s="4"/>
      <c r="AC45" s="4"/>
      <c r="AD45" s="4"/>
      <c r="AE45" s="4"/>
      <c r="AF45" s="4"/>
      <c r="AG45" s="284"/>
      <c r="AH45" s="284"/>
      <c r="AI45" s="284"/>
      <c r="AJ45" s="284"/>
      <c r="AK45" s="284"/>
      <c r="AL45" s="284"/>
      <c r="AM45" s="285"/>
      <c r="AN45" s="285"/>
      <c r="AO45" s="286"/>
      <c r="AP45" s="104"/>
      <c r="AQ45" s="285"/>
      <c r="AR45" s="285"/>
      <c r="AS45" s="4"/>
      <c r="AT45" s="287"/>
    </row>
    <row r="46" ht="15.0" customHeight="1">
      <c r="A46" s="185" t="s">
        <v>76</v>
      </c>
      <c r="B46" s="271">
        <f>$C26*$C25</f>
        <v>16384</v>
      </c>
      <c r="P46" s="227"/>
      <c r="AG46" s="2"/>
      <c r="AH46" s="2"/>
      <c r="AI46" s="2"/>
      <c r="AJ46" s="2"/>
      <c r="AK46" s="2"/>
      <c r="AL46" s="2"/>
      <c r="AM46" s="247"/>
      <c r="AN46" s="247"/>
      <c r="AO46" s="279"/>
      <c r="AP46" s="222"/>
      <c r="AQ46" s="247"/>
      <c r="AR46" s="247"/>
      <c r="AT46" s="280"/>
    </row>
    <row r="47" ht="15.0" customHeight="1">
      <c r="A47" s="185" t="s">
        <v>243</v>
      </c>
      <c r="B47" s="288">
        <f>G10</f>
        <v>8</v>
      </c>
      <c r="P47" s="227"/>
      <c r="AG47" s="2"/>
      <c r="AH47" s="2"/>
      <c r="AI47" s="2"/>
      <c r="AJ47" s="2"/>
      <c r="AK47" s="2"/>
      <c r="AL47" s="2"/>
      <c r="AM47" s="247"/>
      <c r="AN47" s="247"/>
      <c r="AO47" s="279"/>
      <c r="AP47" s="222"/>
      <c r="AQ47" s="247"/>
      <c r="AR47" s="247"/>
      <c r="AT47" s="280"/>
    </row>
    <row r="48" ht="15.0" customHeight="1">
      <c r="A48" s="185" t="s">
        <v>146</v>
      </c>
      <c r="B48" s="289">
        <f>$G$76/1000 * $C$6</f>
        <v>0.08049311235</v>
      </c>
      <c r="P48" s="227"/>
      <c r="AG48" s="2"/>
      <c r="AH48" s="2"/>
      <c r="AI48" s="2"/>
      <c r="AJ48" s="2"/>
      <c r="AK48" s="2"/>
      <c r="AL48" s="2"/>
      <c r="AM48" s="247"/>
      <c r="AN48" s="247"/>
      <c r="AO48" s="279"/>
      <c r="AP48" s="222"/>
      <c r="AQ48" s="247"/>
      <c r="AR48" s="247"/>
      <c r="AT48" s="280"/>
    </row>
    <row r="49" ht="15.0" customHeight="1">
      <c r="A49" s="185" t="s">
        <v>147</v>
      </c>
      <c r="B49" s="271">
        <f>$B$46/$B$48</f>
        <v>203545.3658</v>
      </c>
      <c r="P49" s="227"/>
      <c r="AG49" s="2"/>
      <c r="AH49" s="2"/>
      <c r="AI49" s="2"/>
      <c r="AJ49" s="2"/>
      <c r="AK49" s="2"/>
      <c r="AL49" s="2"/>
      <c r="AM49" s="247"/>
      <c r="AN49" s="247"/>
      <c r="AO49" s="279"/>
      <c r="AP49" s="222"/>
      <c r="AQ49" s="247"/>
      <c r="AR49" s="247"/>
      <c r="AT49" s="280"/>
    </row>
    <row r="50" ht="15.0" customHeight="1">
      <c r="A50" s="185" t="s">
        <v>148</v>
      </c>
      <c r="B50" s="193">
        <f>B46/(B48*(1+C28))*C29</f>
        <v>203545.3658</v>
      </c>
      <c r="P50" s="227"/>
      <c r="AG50" s="2"/>
      <c r="AH50" s="2"/>
      <c r="AI50" s="2"/>
      <c r="AJ50" s="2"/>
      <c r="AK50" s="2"/>
      <c r="AL50" s="2"/>
      <c r="AM50" s="247"/>
      <c r="AN50" s="247"/>
      <c r="AO50" s="279"/>
      <c r="AP50" s="222"/>
      <c r="AQ50" s="247"/>
      <c r="AR50" s="247"/>
      <c r="AT50" s="280"/>
    </row>
    <row r="51" ht="15.0" customHeight="1">
      <c r="A51" s="185" t="s">
        <v>149</v>
      </c>
      <c r="B51" s="193">
        <f>B50/$G$11</f>
        <v>25443.17073</v>
      </c>
      <c r="P51" s="227"/>
      <c r="AG51" s="2"/>
      <c r="AH51" s="2"/>
      <c r="AI51" s="2"/>
      <c r="AJ51" s="2"/>
      <c r="AK51" s="2"/>
      <c r="AL51" s="2"/>
      <c r="AM51" s="247"/>
      <c r="AN51" s="247"/>
      <c r="AO51" s="279"/>
      <c r="AP51" s="222"/>
      <c r="AQ51" s="247"/>
      <c r="AR51" s="247"/>
      <c r="AT51" s="280"/>
    </row>
    <row r="52" ht="15.0" customHeight="1">
      <c r="P52" s="227"/>
      <c r="AG52" s="2"/>
      <c r="AH52" s="2"/>
      <c r="AI52" s="2"/>
      <c r="AJ52" s="2"/>
      <c r="AK52" s="2"/>
      <c r="AL52" s="2"/>
      <c r="AM52" s="247"/>
      <c r="AN52" s="247"/>
      <c r="AO52" s="279"/>
      <c r="AP52" s="222"/>
      <c r="AQ52" s="247"/>
      <c r="AR52" s="247"/>
      <c r="AT52" s="280"/>
    </row>
    <row r="53" ht="15.0" customHeight="1">
      <c r="P53" s="227"/>
      <c r="AG53" s="2"/>
      <c r="AH53" s="2"/>
      <c r="AI53" s="2"/>
      <c r="AJ53" s="2"/>
      <c r="AK53" s="2"/>
      <c r="AL53" s="2"/>
      <c r="AM53" s="247"/>
      <c r="AN53" s="247"/>
      <c r="AO53" s="279"/>
      <c r="AP53" s="222"/>
      <c r="AQ53" s="247"/>
      <c r="AR53" s="247"/>
      <c r="AT53" s="280"/>
    </row>
    <row r="54">
      <c r="A54" s="281"/>
      <c r="B54" s="281"/>
      <c r="D54" s="181"/>
      <c r="E54" s="181"/>
      <c r="F54" s="181"/>
      <c r="G54" s="181"/>
      <c r="AM54" s="222"/>
      <c r="AN54" s="218"/>
      <c r="AO54" s="218"/>
      <c r="AP54" s="218"/>
      <c r="AQ54" s="218"/>
      <c r="AR54" s="222"/>
      <c r="AT54" s="280"/>
    </row>
    <row r="55">
      <c r="A55" s="281" t="s">
        <v>244</v>
      </c>
      <c r="B55" s="281"/>
      <c r="D55" s="181"/>
      <c r="E55" s="181"/>
      <c r="F55" s="181"/>
      <c r="G55" s="181"/>
      <c r="AM55" s="222"/>
      <c r="AN55" s="218"/>
      <c r="AO55" s="218"/>
      <c r="AP55" s="218"/>
      <c r="AQ55" s="218"/>
      <c r="AR55" s="222"/>
      <c r="AT55" s="280"/>
    </row>
    <row r="56">
      <c r="A56" s="290" t="s">
        <v>245</v>
      </c>
      <c r="B56" s="290" t="s">
        <v>246</v>
      </c>
      <c r="C56" s="290" t="s">
        <v>247</v>
      </c>
      <c r="D56" s="290" t="s">
        <v>248</v>
      </c>
      <c r="E56" s="290" t="s">
        <v>249</v>
      </c>
      <c r="F56" s="290" t="s">
        <v>250</v>
      </c>
      <c r="G56" s="290" t="s">
        <v>251</v>
      </c>
      <c r="H56" s="290" t="s">
        <v>252</v>
      </c>
      <c r="I56" s="291"/>
      <c r="J56" s="290" t="s">
        <v>253</v>
      </c>
      <c r="K56" s="290" t="s">
        <v>254</v>
      </c>
      <c r="AG56" s="207"/>
      <c r="AH56" s="207"/>
      <c r="AI56" s="2"/>
      <c r="AJ56" s="2"/>
      <c r="AK56" s="2"/>
      <c r="AL56" s="2"/>
      <c r="AM56" s="247"/>
      <c r="AN56" s="279"/>
      <c r="AO56" s="279"/>
      <c r="AP56" s="292"/>
      <c r="AQ56" s="279"/>
      <c r="AR56" s="247"/>
      <c r="AS56" s="66"/>
      <c r="AT56" s="280"/>
    </row>
    <row r="57">
      <c r="A57" s="293" t="s">
        <v>29</v>
      </c>
      <c r="B57" s="294" t="s">
        <v>255</v>
      </c>
      <c r="C57" s="295">
        <f>$H$141</f>
        <v>0.004136827257</v>
      </c>
      <c r="D57" s="295">
        <f>$H$139</f>
        <v>0.01202590843</v>
      </c>
      <c r="E57" s="296">
        <f>$H$136</f>
        <v>0</v>
      </c>
      <c r="F57" s="295">
        <f>H134</f>
        <v>0</v>
      </c>
      <c r="G57" s="295">
        <f t="shared" ref="G57:G61" si="3">IF(K57,max(C57:F57),
max(C57:D57)+max(E57:F57))</f>
        <v>0.01202590843</v>
      </c>
      <c r="H57" s="297" t="str">
        <f t="shared" ref="H57:H73" si="4">LET(maxtime, MAX(C57:F57),
 IFS(maxtime=0, "", C57=maxtime, "HBM", D57=maxtime, "Compute", E57=maxtime, "ICI Lt", F57=maxtime, "ICI BW"))</f>
        <v>Compute</v>
      </c>
      <c r="I57" s="298"/>
      <c r="J57" s="299">
        <f t="shared" ref="J57:J63" si="5">G57/$G$74</f>
        <v>0.009113579941</v>
      </c>
      <c r="K57" s="300" t="b">
        <v>1</v>
      </c>
      <c r="P57" s="301"/>
      <c r="AG57" s="2"/>
      <c r="AH57" s="2"/>
      <c r="AI57" s="207"/>
      <c r="AJ57" s="2"/>
      <c r="AK57" s="2"/>
      <c r="AL57" s="2"/>
      <c r="AM57" s="247"/>
      <c r="AN57" s="218"/>
      <c r="AO57" s="218"/>
      <c r="AP57" s="218"/>
      <c r="AQ57" s="218"/>
      <c r="AR57" s="247"/>
      <c r="AT57" s="280"/>
    </row>
    <row r="58">
      <c r="A58" s="293" t="s">
        <v>29</v>
      </c>
      <c r="B58" s="294" t="s">
        <v>32</v>
      </c>
      <c r="C58" s="295">
        <f>$H$168</f>
        <v>0.01831054688</v>
      </c>
      <c r="D58" s="295">
        <f>$H$166</f>
        <v>0.04123168604</v>
      </c>
      <c r="E58" s="297"/>
      <c r="F58" s="295">
        <f>H163</f>
        <v>0</v>
      </c>
      <c r="G58" s="295">
        <f t="shared" si="3"/>
        <v>0.04123168604</v>
      </c>
      <c r="H58" s="297" t="str">
        <f t="shared" si="4"/>
        <v>Compute</v>
      </c>
      <c r="I58" s="298"/>
      <c r="J58" s="299">
        <f t="shared" si="5"/>
        <v>0.0312465598</v>
      </c>
      <c r="K58" s="300" t="b">
        <v>1</v>
      </c>
      <c r="P58" s="227"/>
      <c r="AG58" s="2"/>
      <c r="AH58" s="2"/>
      <c r="AI58" s="2"/>
      <c r="AJ58" s="2"/>
      <c r="AK58" s="2"/>
      <c r="AL58" s="2"/>
      <c r="AM58" s="247"/>
      <c r="AN58" s="247"/>
      <c r="AO58" s="279"/>
      <c r="AP58" s="222"/>
      <c r="AQ58" s="247"/>
      <c r="AR58" s="247"/>
      <c r="AT58" s="280"/>
    </row>
    <row r="59">
      <c r="A59" s="293" t="s">
        <v>29</v>
      </c>
      <c r="B59" s="294" t="s">
        <v>34</v>
      </c>
      <c r="C59" s="295">
        <f>$H$187</f>
        <v>0.04014756944</v>
      </c>
      <c r="D59" s="295">
        <f>$H$185</f>
        <v>0.009162596898</v>
      </c>
      <c r="E59" s="297"/>
      <c r="F59" s="295"/>
      <c r="G59" s="295">
        <f t="shared" si="3"/>
        <v>0.04014756944</v>
      </c>
      <c r="H59" s="297" t="str">
        <f t="shared" si="4"/>
        <v>HBM</v>
      </c>
      <c r="I59" s="298"/>
      <c r="J59" s="299">
        <f t="shared" si="5"/>
        <v>0.030424985</v>
      </c>
      <c r="K59" s="300"/>
      <c r="P59" s="227"/>
      <c r="AG59" s="2"/>
      <c r="AH59" s="2"/>
      <c r="AI59" s="2"/>
      <c r="AJ59" s="2"/>
      <c r="AK59" s="2"/>
      <c r="AL59" s="2"/>
      <c r="AM59" s="247"/>
      <c r="AN59" s="218"/>
      <c r="AO59" s="218"/>
      <c r="AP59" s="218"/>
      <c r="AQ59" s="218"/>
      <c r="AR59" s="247"/>
      <c r="AT59" s="280"/>
    </row>
    <row r="60">
      <c r="A60" s="293" t="s">
        <v>29</v>
      </c>
      <c r="B60" s="294" t="s">
        <v>256</v>
      </c>
      <c r="C60" s="295">
        <f>$H$206</f>
        <v>0.002738104926</v>
      </c>
      <c r="D60" s="295">
        <f>$H$204</f>
        <v>0.004509715661</v>
      </c>
      <c r="E60" s="297"/>
      <c r="F60" s="295"/>
      <c r="G60" s="295">
        <f t="shared" si="3"/>
        <v>0.004509715661</v>
      </c>
      <c r="H60" s="297" t="str">
        <f t="shared" si="4"/>
        <v>Compute</v>
      </c>
      <c r="I60" s="298"/>
      <c r="J60" s="299">
        <f t="shared" si="5"/>
        <v>0.003417592478</v>
      </c>
      <c r="K60" s="300"/>
      <c r="P60" s="227"/>
      <c r="AM60" s="222"/>
      <c r="AO60" s="222"/>
      <c r="AP60" s="222"/>
      <c r="AQ60" s="222"/>
      <c r="AR60" s="247"/>
      <c r="AS60" s="66"/>
      <c r="AT60" s="280"/>
    </row>
    <row r="61">
      <c r="A61" s="293" t="s">
        <v>29</v>
      </c>
      <c r="B61" s="294" t="s">
        <v>257</v>
      </c>
      <c r="C61" s="295"/>
      <c r="D61" s="295"/>
      <c r="E61" s="297"/>
      <c r="F61" s="295">
        <f>$H$236</f>
        <v>0</v>
      </c>
      <c r="G61" s="295">
        <f t="shared" si="3"/>
        <v>0</v>
      </c>
      <c r="H61" s="297" t="str">
        <f t="shared" si="4"/>
        <v/>
      </c>
      <c r="I61" s="298"/>
      <c r="J61" s="299">
        <f t="shared" si="5"/>
        <v>0</v>
      </c>
      <c r="K61" s="300"/>
      <c r="P61" s="227"/>
      <c r="R61" s="203"/>
      <c r="S61" s="203"/>
      <c r="T61" s="203"/>
      <c r="U61" s="203"/>
      <c r="V61" s="203"/>
      <c r="W61" s="2"/>
      <c r="AM61" s="222"/>
      <c r="AO61" s="218"/>
      <c r="AP61" s="218"/>
      <c r="AQ61" s="218"/>
      <c r="AR61" s="247"/>
      <c r="AT61" s="280"/>
    </row>
    <row r="62">
      <c r="A62" s="293" t="s">
        <v>29</v>
      </c>
      <c r="B62" s="302" t="s">
        <v>258</v>
      </c>
      <c r="C62" s="295">
        <f t="shared" ref="C62:D62" si="6">SUM(C64:C66)</f>
        <v>0.07393731011</v>
      </c>
      <c r="D62" s="295">
        <f t="shared" si="6"/>
        <v>0.6230565891</v>
      </c>
      <c r="E62" s="297"/>
      <c r="F62" s="295"/>
      <c r="G62" s="295">
        <f>IF(PARAMS("flash_attn"),MAX(C62:F62),0)</f>
        <v>0.6230565891</v>
      </c>
      <c r="H62" s="297" t="str">
        <f t="shared" si="4"/>
        <v>Compute</v>
      </c>
      <c r="I62" s="298"/>
      <c r="J62" s="299">
        <f t="shared" si="5"/>
        <v>0.472170237</v>
      </c>
      <c r="K62" s="300"/>
      <c r="P62" s="227"/>
      <c r="R62" s="203"/>
      <c r="S62" s="203"/>
      <c r="T62" s="203"/>
      <c r="U62" s="203"/>
      <c r="V62" s="203"/>
      <c r="W62" s="2"/>
      <c r="AM62" s="222"/>
      <c r="AO62" s="218"/>
      <c r="AP62" s="218"/>
      <c r="AQ62" s="218"/>
      <c r="AR62" s="247"/>
      <c r="AT62" s="280"/>
    </row>
    <row r="63">
      <c r="A63" s="293" t="s">
        <v>29</v>
      </c>
      <c r="B63" s="302" t="s">
        <v>259</v>
      </c>
      <c r="C63" s="295"/>
      <c r="D63" s="295"/>
      <c r="E63" s="297"/>
      <c r="F63" s="295"/>
      <c r="G63" s="295">
        <f>IF(PARAMS("flash_attn"),0,SUM(G64:G66))</f>
        <v>0</v>
      </c>
      <c r="H63" s="297" t="str">
        <f t="shared" si="4"/>
        <v/>
      </c>
      <c r="I63" s="298"/>
      <c r="J63" s="299">
        <f t="shared" si="5"/>
        <v>0</v>
      </c>
      <c r="K63" s="300"/>
      <c r="P63" s="227"/>
      <c r="R63" s="203"/>
      <c r="S63" s="203"/>
      <c r="T63" s="203"/>
      <c r="U63" s="203"/>
      <c r="V63" s="203"/>
      <c r="W63" s="2"/>
      <c r="AM63" s="222"/>
      <c r="AO63" s="218"/>
      <c r="AP63" s="218"/>
      <c r="AQ63" s="218"/>
      <c r="AR63" s="247"/>
      <c r="AT63" s="280"/>
    </row>
    <row r="64">
      <c r="A64" s="293" t="s">
        <v>29</v>
      </c>
      <c r="B64" s="294" t="s">
        <v>446</v>
      </c>
      <c r="C64" s="295">
        <f>$H$255</f>
        <v>0.0348578559</v>
      </c>
      <c r="D64" s="295">
        <f>$H$253</f>
        <v>0.2932031007</v>
      </c>
      <c r="E64" s="297"/>
      <c r="F64" s="295"/>
      <c r="G64" s="295">
        <f t="shared" ref="G64:G66" si="7">max(C64:F64)</f>
        <v>0.2932031007</v>
      </c>
      <c r="H64" s="297" t="str">
        <f t="shared" si="4"/>
        <v>Compute</v>
      </c>
      <c r="I64" s="298"/>
      <c r="J64" s="299"/>
      <c r="K64" s="300"/>
      <c r="P64" s="227"/>
      <c r="R64" s="203"/>
      <c r="S64" s="203"/>
      <c r="T64" s="203"/>
      <c r="U64" s="203"/>
      <c r="V64" s="203"/>
      <c r="W64" s="2"/>
      <c r="AM64" s="222"/>
      <c r="AO64" s="218"/>
      <c r="AP64" s="218"/>
      <c r="AQ64" s="218"/>
      <c r="AR64" s="247"/>
      <c r="AT64" s="280"/>
    </row>
    <row r="65">
      <c r="A65" s="293" t="s">
        <v>29</v>
      </c>
      <c r="B65" s="294" t="s">
        <v>447</v>
      </c>
      <c r="C65" s="295">
        <f>$H$274</f>
        <v>0.004357231988</v>
      </c>
      <c r="D65" s="295">
        <f>$H$272</f>
        <v>0.03665038759</v>
      </c>
      <c r="E65" s="297"/>
      <c r="F65" s="295"/>
      <c r="G65" s="295">
        <f t="shared" si="7"/>
        <v>0.03665038759</v>
      </c>
      <c r="H65" s="297" t="str">
        <f t="shared" si="4"/>
        <v>Compute</v>
      </c>
      <c r="I65" s="298"/>
      <c r="J65" s="299"/>
      <c r="K65" s="300"/>
      <c r="P65" s="227"/>
      <c r="R65" s="303"/>
      <c r="S65" s="303"/>
      <c r="T65" s="303"/>
      <c r="U65" s="303"/>
      <c r="V65" s="303"/>
      <c r="W65" s="2"/>
      <c r="AM65" s="222"/>
      <c r="AN65" s="218"/>
      <c r="AO65" s="222"/>
      <c r="AP65" s="222"/>
      <c r="AQ65" s="218"/>
      <c r="AR65" s="247"/>
      <c r="AT65" s="280"/>
    </row>
    <row r="66">
      <c r="A66" s="293" t="s">
        <v>29</v>
      </c>
      <c r="B66" s="294" t="s">
        <v>448</v>
      </c>
      <c r="C66" s="295">
        <f>$H$293</f>
        <v>0.03472222222</v>
      </c>
      <c r="D66" s="295">
        <f>$H$291</f>
        <v>0.2932031007</v>
      </c>
      <c r="E66" s="297"/>
      <c r="F66" s="295"/>
      <c r="G66" s="295">
        <f t="shared" si="7"/>
        <v>0.2932031007</v>
      </c>
      <c r="H66" s="297" t="str">
        <f t="shared" si="4"/>
        <v>Compute</v>
      </c>
      <c r="I66" s="298"/>
      <c r="J66" s="299"/>
      <c r="K66" s="300"/>
      <c r="P66" s="227"/>
      <c r="R66" s="303"/>
      <c r="S66" s="303"/>
      <c r="T66" s="303"/>
      <c r="U66" s="303"/>
      <c r="V66" s="303"/>
      <c r="W66" s="2"/>
      <c r="AM66" s="222"/>
      <c r="AN66" s="218"/>
      <c r="AO66" s="218"/>
      <c r="AP66" s="218"/>
      <c r="AQ66" s="218"/>
      <c r="AR66" s="247"/>
      <c r="AT66" s="280"/>
    </row>
    <row r="67">
      <c r="A67" s="293" t="s">
        <v>29</v>
      </c>
      <c r="B67" s="294" t="s">
        <v>38</v>
      </c>
      <c r="C67" s="295">
        <f>H312</f>
        <v>0.02712673611</v>
      </c>
      <c r="D67" s="295">
        <f>H310</f>
        <v>0.009162596898</v>
      </c>
      <c r="E67" s="297"/>
      <c r="F67" s="295"/>
      <c r="G67" s="295">
        <f t="shared" ref="G67:G73" si="8">IF(K67,max(C67:F67),
max(C67:D67)+max(E67:F67))</f>
        <v>0.02712673611</v>
      </c>
      <c r="H67" s="297" t="str">
        <f t="shared" si="4"/>
        <v>HBM</v>
      </c>
      <c r="I67" s="298"/>
      <c r="J67" s="299">
        <f t="shared" ref="J67:J74" si="9">G67/$G$74</f>
        <v>0.0205574223</v>
      </c>
      <c r="K67" s="300" t="b">
        <v>1</v>
      </c>
      <c r="P67" s="227"/>
      <c r="R67" s="303"/>
      <c r="S67" s="303"/>
      <c r="T67" s="303"/>
      <c r="U67" s="303"/>
      <c r="V67" s="303"/>
      <c r="W67" s="304"/>
      <c r="AK67" s="280"/>
      <c r="AM67" s="222"/>
      <c r="AN67" s="218"/>
      <c r="AO67" s="218"/>
      <c r="AP67" s="218"/>
      <c r="AQ67" s="218"/>
      <c r="AR67" s="247"/>
      <c r="AT67" s="280"/>
    </row>
    <row r="68">
      <c r="A68" s="293" t="s">
        <v>29</v>
      </c>
      <c r="B68" s="302" t="s">
        <v>263</v>
      </c>
      <c r="C68" s="295"/>
      <c r="D68" s="295"/>
      <c r="E68" s="297"/>
      <c r="F68" s="295">
        <f>$G$327</f>
        <v>0</v>
      </c>
      <c r="G68" s="295">
        <f t="shared" si="8"/>
        <v>0</v>
      </c>
      <c r="H68" s="297" t="str">
        <f t="shared" si="4"/>
        <v/>
      </c>
      <c r="I68" s="298"/>
      <c r="J68" s="299">
        <f t="shared" si="9"/>
        <v>0</v>
      </c>
      <c r="K68" s="300"/>
      <c r="P68" s="227"/>
      <c r="R68" s="303"/>
      <c r="S68" s="303"/>
      <c r="T68" s="303"/>
      <c r="U68" s="305"/>
      <c r="V68" s="305"/>
      <c r="W68" s="2"/>
      <c r="AK68" s="306"/>
      <c r="AL68" s="307"/>
      <c r="AM68" s="247"/>
      <c r="AN68" s="218"/>
      <c r="AO68" s="218"/>
      <c r="AP68" s="218"/>
      <c r="AQ68" s="218"/>
      <c r="AR68" s="247"/>
      <c r="AT68" s="280"/>
    </row>
    <row r="69">
      <c r="A69" s="293" t="s">
        <v>29</v>
      </c>
      <c r="B69" s="294" t="s">
        <v>40</v>
      </c>
      <c r="C69" s="295">
        <f>H354</f>
        <v>0.02332899306</v>
      </c>
      <c r="D69" s="295">
        <f>H352</f>
        <v>0.1282763566</v>
      </c>
      <c r="E69" s="297"/>
      <c r="F69" s="295">
        <f>$H$349</f>
        <v>0</v>
      </c>
      <c r="G69" s="295">
        <f t="shared" si="8"/>
        <v>0.1282763566</v>
      </c>
      <c r="H69" s="297" t="str">
        <f t="shared" si="4"/>
        <v>Compute</v>
      </c>
      <c r="I69" s="298"/>
      <c r="J69" s="299">
        <f t="shared" si="9"/>
        <v>0.09721151937</v>
      </c>
      <c r="K69" s="300" t="b">
        <v>1</v>
      </c>
      <c r="P69" s="227"/>
      <c r="R69" s="303"/>
      <c r="S69" s="303"/>
      <c r="T69" s="303"/>
      <c r="U69" s="305"/>
      <c r="V69" s="305"/>
      <c r="W69" s="2"/>
      <c r="AK69" s="306"/>
      <c r="AL69" s="307"/>
      <c r="AM69" s="247"/>
      <c r="AN69" s="218"/>
      <c r="AO69" s="218"/>
      <c r="AP69" s="218"/>
      <c r="AQ69" s="218"/>
      <c r="AR69" s="247"/>
      <c r="AT69" s="280"/>
    </row>
    <row r="70">
      <c r="A70" s="293" t="s">
        <v>264</v>
      </c>
      <c r="B70" s="308" t="s">
        <v>44</v>
      </c>
      <c r="C70" s="295"/>
      <c r="D70" s="295"/>
      <c r="E70" s="296">
        <f>$H$406</f>
        <v>0</v>
      </c>
      <c r="F70" s="295" t="str">
        <f>$H$404</f>
        <v>N/A</v>
      </c>
      <c r="G70" s="295">
        <f t="shared" si="8"/>
        <v>0</v>
      </c>
      <c r="H70" s="297" t="str">
        <f t="shared" si="4"/>
        <v/>
      </c>
      <c r="I70" s="298"/>
      <c r="J70" s="299">
        <f t="shared" si="9"/>
        <v>0</v>
      </c>
      <c r="K70" s="300"/>
      <c r="P70" s="227"/>
      <c r="R70" s="2"/>
      <c r="S70" s="2"/>
      <c r="T70" s="2"/>
      <c r="U70" s="2"/>
      <c r="V70" s="2"/>
      <c r="W70" s="2"/>
      <c r="AM70" s="222"/>
      <c r="AN70" s="218"/>
      <c r="AO70" s="222"/>
      <c r="AP70" s="222"/>
      <c r="AQ70" s="272"/>
      <c r="AR70" s="222"/>
    </row>
    <row r="71">
      <c r="A71" s="293" t="s">
        <v>264</v>
      </c>
      <c r="B71" s="308" t="s">
        <v>46</v>
      </c>
      <c r="C71" s="295">
        <f>$H$454</f>
        <v>0.1909722222</v>
      </c>
      <c r="D71" s="295">
        <f>$H$452</f>
        <v>0.2565527131</v>
      </c>
      <c r="E71" s="297"/>
      <c r="F71" s="295">
        <f>$H$444</f>
        <v>0</v>
      </c>
      <c r="G71" s="295">
        <f t="shared" si="8"/>
        <v>0.2565527131</v>
      </c>
      <c r="H71" s="297" t="str">
        <f t="shared" si="4"/>
        <v>Compute</v>
      </c>
      <c r="I71" s="298"/>
      <c r="J71" s="299">
        <f t="shared" si="9"/>
        <v>0.1944230387</v>
      </c>
      <c r="K71" s="300" t="b">
        <v>1</v>
      </c>
      <c r="P71" s="227"/>
      <c r="R71" s="2"/>
      <c r="S71" s="2"/>
      <c r="T71" s="2"/>
      <c r="U71" s="2"/>
      <c r="V71" s="2"/>
      <c r="W71" s="309"/>
      <c r="AM71" s="222"/>
      <c r="AN71" s="218"/>
      <c r="AO71" s="218"/>
      <c r="AP71" s="218"/>
      <c r="AQ71" s="218"/>
      <c r="AR71" s="222"/>
      <c r="AT71" s="228"/>
    </row>
    <row r="72">
      <c r="A72" s="293" t="s">
        <v>264</v>
      </c>
      <c r="B72" s="308" t="s">
        <v>48</v>
      </c>
      <c r="C72" s="295">
        <f>$H$490</f>
        <v>0.1866319444</v>
      </c>
      <c r="D72" s="295">
        <f>$H$488</f>
        <v>0.1282763566</v>
      </c>
      <c r="E72" s="297"/>
      <c r="F72" s="295">
        <f>$H$479</f>
        <v>0</v>
      </c>
      <c r="G72" s="295">
        <f t="shared" si="8"/>
        <v>0.1866319444</v>
      </c>
      <c r="H72" s="297" t="str">
        <f t="shared" si="4"/>
        <v>HBM</v>
      </c>
      <c r="I72" s="298"/>
      <c r="J72" s="299">
        <f t="shared" si="9"/>
        <v>0.1414350654</v>
      </c>
      <c r="K72" s="300" t="b">
        <v>1</v>
      </c>
      <c r="P72" s="227"/>
      <c r="R72" s="2"/>
      <c r="S72" s="2"/>
      <c r="T72" s="2"/>
      <c r="U72" s="2"/>
      <c r="V72" s="2"/>
      <c r="W72" s="309"/>
      <c r="AM72" s="222"/>
      <c r="AN72" s="218"/>
      <c r="AO72" s="218"/>
      <c r="AP72" s="222"/>
      <c r="AQ72" s="222"/>
      <c r="AR72" s="222"/>
    </row>
    <row r="73">
      <c r="A73" s="293" t="s">
        <v>264</v>
      </c>
      <c r="B73" s="308" t="s">
        <v>52</v>
      </c>
      <c r="C73" s="295"/>
      <c r="D73" s="295"/>
      <c r="E73" s="296">
        <f>$H$538</f>
        <v>0</v>
      </c>
      <c r="F73" s="295" t="str">
        <f>$H$536</f>
        <v>N/A</v>
      </c>
      <c r="G73" s="295">
        <f t="shared" si="8"/>
        <v>0</v>
      </c>
      <c r="H73" s="297" t="str">
        <f t="shared" si="4"/>
        <v/>
      </c>
      <c r="I73" s="298"/>
      <c r="J73" s="299">
        <f t="shared" si="9"/>
        <v>0</v>
      </c>
      <c r="K73" s="300"/>
      <c r="P73" s="227"/>
      <c r="AM73" s="222"/>
      <c r="AN73" s="218"/>
      <c r="AO73" s="218"/>
      <c r="AP73" s="218"/>
      <c r="AQ73" s="218"/>
      <c r="AR73" s="222"/>
      <c r="AT73" s="280"/>
    </row>
    <row r="74">
      <c r="A74" s="310"/>
      <c r="B74" s="311"/>
      <c r="C74" s="311"/>
      <c r="D74" s="311"/>
      <c r="E74" s="310" t="s">
        <v>265</v>
      </c>
      <c r="F74" s="312" t="s">
        <v>121</v>
      </c>
      <c r="G74" s="313">
        <f>SUM(G57:G63,G67:G73)</f>
        <v>1.319559219</v>
      </c>
      <c r="H74" s="311"/>
      <c r="I74" s="314"/>
      <c r="J74" s="315">
        <f t="shared" si="9"/>
        <v>1</v>
      </c>
      <c r="K74" s="298"/>
      <c r="P74" s="227"/>
      <c r="AG74" s="207"/>
      <c r="AH74" s="207"/>
      <c r="AI74" s="2"/>
      <c r="AJ74" s="2"/>
      <c r="AK74" s="2"/>
      <c r="AL74" s="2"/>
      <c r="AM74" s="247"/>
      <c r="AN74" s="279"/>
      <c r="AO74" s="279"/>
      <c r="AP74" s="292"/>
      <c r="AQ74" s="279"/>
      <c r="AR74" s="247"/>
      <c r="AT74" s="280"/>
    </row>
    <row r="75">
      <c r="A75" s="316"/>
      <c r="B75" s="311"/>
      <c r="C75" s="311"/>
      <c r="D75" s="311"/>
      <c r="E75" s="316"/>
      <c r="F75" s="312" t="s">
        <v>266</v>
      </c>
      <c r="G75" s="317">
        <f>SUM(G57:G63,G67:G69)+MAX(G70:G71)+MAX(G72:G73)</f>
        <v>1.319559219</v>
      </c>
      <c r="H75" s="311"/>
      <c r="I75" s="314"/>
      <c r="J75" s="315"/>
      <c r="K75" s="298"/>
      <c r="P75" s="227"/>
      <c r="AG75" s="207"/>
      <c r="AH75" s="207"/>
      <c r="AI75" s="2"/>
      <c r="AJ75" s="2"/>
      <c r="AK75" s="2"/>
      <c r="AL75" s="2"/>
      <c r="AM75" s="247"/>
      <c r="AN75" s="279"/>
      <c r="AO75" s="279"/>
      <c r="AP75" s="292"/>
      <c r="AQ75" s="279"/>
      <c r="AR75" s="247"/>
      <c r="AT75" s="280"/>
    </row>
    <row r="76">
      <c r="A76" s="318" t="s">
        <v>267</v>
      </c>
      <c r="B76" s="319"/>
      <c r="C76" s="319"/>
      <c r="D76" s="319"/>
      <c r="E76" s="318" t="s">
        <v>268</v>
      </c>
      <c r="F76" s="320" t="str">
        <f>'Config and Summary'!D24</f>
        <v>OptionA. No Overlapping</v>
      </c>
      <c r="G76" s="321">
        <f>IF(F76=F74,G74,G75)</f>
        <v>1.319559219</v>
      </c>
      <c r="H76" s="319"/>
      <c r="I76" s="322"/>
      <c r="J76" s="322"/>
      <c r="K76" s="322"/>
      <c r="P76" s="227"/>
      <c r="AG76" s="2"/>
      <c r="AH76" s="2"/>
      <c r="AI76" s="2"/>
      <c r="AJ76" s="2"/>
      <c r="AK76" s="2"/>
      <c r="AL76" s="2"/>
      <c r="AM76" s="247"/>
      <c r="AN76" s="247"/>
      <c r="AO76" s="279"/>
      <c r="AP76" s="222"/>
      <c r="AQ76" s="247"/>
      <c r="AR76" s="247"/>
      <c r="AT76" s="280"/>
    </row>
    <row r="77" ht="15.0" customHeight="1">
      <c r="P77" s="227"/>
      <c r="AG77" s="2"/>
      <c r="AH77" s="2"/>
      <c r="AI77" s="2"/>
      <c r="AJ77" s="2"/>
      <c r="AK77" s="2"/>
      <c r="AL77" s="2"/>
      <c r="AM77" s="247"/>
      <c r="AN77" s="247"/>
      <c r="AO77" s="279"/>
      <c r="AP77" s="222"/>
      <c r="AQ77" s="247"/>
      <c r="AR77" s="247"/>
      <c r="AT77" s="280"/>
    </row>
    <row r="78">
      <c r="P78" s="227"/>
      <c r="AG78" s="2"/>
      <c r="AH78" s="2"/>
      <c r="AI78" s="2"/>
      <c r="AJ78" s="2"/>
      <c r="AK78" s="2"/>
      <c r="AL78" s="2"/>
      <c r="AM78" s="247"/>
      <c r="AN78" s="247"/>
      <c r="AO78" s="279"/>
      <c r="AP78" s="222"/>
      <c r="AQ78" s="247"/>
      <c r="AR78" s="247"/>
      <c r="AT78" s="280"/>
    </row>
    <row r="79">
      <c r="A79" s="323" t="s">
        <v>269</v>
      </c>
      <c r="E79" s="281" t="s">
        <v>270</v>
      </c>
      <c r="P79" s="227"/>
      <c r="AG79" s="2"/>
      <c r="AH79" s="2"/>
      <c r="AI79" s="2"/>
      <c r="AJ79" s="2"/>
      <c r="AK79" s="2"/>
      <c r="AL79" s="2"/>
      <c r="AM79" s="247"/>
      <c r="AN79" s="218"/>
      <c r="AO79" s="218"/>
      <c r="AP79" s="218"/>
      <c r="AQ79" s="218"/>
      <c r="AR79" s="247"/>
      <c r="AT79" s="280"/>
    </row>
    <row r="80">
      <c r="A80" s="183" t="s">
        <v>271</v>
      </c>
      <c r="B80" s="183" t="s">
        <v>171</v>
      </c>
      <c r="C80" s="183" t="s">
        <v>174</v>
      </c>
      <c r="E80" s="324" t="s">
        <v>272</v>
      </c>
      <c r="F80" s="325" t="s">
        <v>273</v>
      </c>
      <c r="G80" s="326"/>
      <c r="H80" s="327"/>
      <c r="I80" s="325" t="s">
        <v>274</v>
      </c>
      <c r="J80" s="326"/>
      <c r="K80" s="326"/>
      <c r="L80" s="326"/>
      <c r="M80" s="326"/>
      <c r="N80" s="327"/>
      <c r="O80" s="328" t="s">
        <v>275</v>
      </c>
      <c r="P80" s="329" t="s">
        <v>276</v>
      </c>
      <c r="Q80" s="330" t="s">
        <v>277</v>
      </c>
      <c r="AM80" s="222"/>
      <c r="AO80" s="222"/>
      <c r="AP80" s="222"/>
      <c r="AQ80" s="222"/>
      <c r="AR80" s="247"/>
      <c r="AT80" s="280"/>
    </row>
    <row r="81">
      <c r="A81" s="185" t="s">
        <v>278</v>
      </c>
      <c r="B81" s="331">
        <f>SUM(P90,P147,P174,P193,P299,P333) * PARAMS("L") / 1024</f>
        <v>10.62957764</v>
      </c>
      <c r="C81" s="332"/>
      <c r="D81" s="2"/>
      <c r="E81" s="333" t="s">
        <v>279</v>
      </c>
      <c r="F81" s="334" t="s">
        <v>280</v>
      </c>
      <c r="G81" s="335"/>
      <c r="H81" s="336" t="s">
        <v>281</v>
      </c>
      <c r="I81" s="336" t="s">
        <v>282</v>
      </c>
      <c r="J81" s="336"/>
      <c r="K81" s="337" t="s">
        <v>104</v>
      </c>
      <c r="L81" s="337" t="s">
        <v>102</v>
      </c>
      <c r="M81" s="336" t="s">
        <v>178</v>
      </c>
      <c r="N81" s="336" t="s">
        <v>283</v>
      </c>
      <c r="O81" s="338" t="s">
        <v>125</v>
      </c>
      <c r="P81" s="339"/>
      <c r="Q81" s="337"/>
      <c r="AM81" s="222"/>
      <c r="AO81" s="218"/>
      <c r="AP81" s="218"/>
      <c r="AQ81" s="218"/>
      <c r="AR81" s="247"/>
      <c r="AT81" s="280"/>
    </row>
    <row r="82">
      <c r="A82" s="185" t="s">
        <v>284</v>
      </c>
      <c r="B82" s="340">
        <f>SUM($P$362,$P$460) * PARAMS("L") / 1024</f>
        <v>240.1875</v>
      </c>
      <c r="C82" s="11"/>
      <c r="D82" s="2"/>
      <c r="E82" s="341"/>
      <c r="F82" s="342"/>
      <c r="G82" s="343"/>
      <c r="H82" s="344" t="s">
        <v>285</v>
      </c>
      <c r="I82" s="345" t="s">
        <v>282</v>
      </c>
      <c r="J82" s="346"/>
      <c r="K82" s="345">
        <f t="shared" ref="K82:M82" si="10">PARAMS(K81)</f>
        <v>8</v>
      </c>
      <c r="L82" s="345">
        <f t="shared" si="10"/>
        <v>2048</v>
      </c>
      <c r="M82" s="345">
        <f t="shared" si="10"/>
        <v>7168</v>
      </c>
      <c r="N82" s="345" t="s">
        <v>283</v>
      </c>
      <c r="O82" s="347"/>
      <c r="P82" s="348">
        <f>SIZEOF_IN_MIB(J82:M82, $O81)</f>
        <v>112</v>
      </c>
      <c r="Q82" s="344"/>
      <c r="AM82" s="222"/>
      <c r="AN82" s="218"/>
      <c r="AO82" s="222"/>
      <c r="AP82" s="222"/>
      <c r="AQ82" s="218"/>
      <c r="AR82" s="247"/>
      <c r="AT82" s="280"/>
    </row>
    <row r="83">
      <c r="A83" s="9" t="s">
        <v>286</v>
      </c>
      <c r="B83" s="11"/>
      <c r="C83" s="11"/>
      <c r="D83" s="2"/>
      <c r="E83" s="341"/>
      <c r="F83" s="342"/>
      <c r="G83" s="343"/>
      <c r="H83" s="349" t="s">
        <v>287</v>
      </c>
      <c r="I83" s="349" t="s">
        <v>282</v>
      </c>
      <c r="J83" s="336"/>
      <c r="K83" s="337" t="s">
        <v>196</v>
      </c>
      <c r="L83" s="337"/>
      <c r="M83" s="337"/>
      <c r="N83" s="349" t="s">
        <v>283</v>
      </c>
      <c r="O83" s="350"/>
      <c r="P83" s="351"/>
      <c r="Q83" s="337"/>
      <c r="AM83" s="222"/>
      <c r="AN83" s="218"/>
      <c r="AO83" s="218"/>
      <c r="AP83" s="218"/>
      <c r="AQ83" s="218"/>
      <c r="AR83" s="247"/>
      <c r="AT83" s="280"/>
    </row>
    <row r="84">
      <c r="A84" s="185" t="s">
        <v>288</v>
      </c>
      <c r="B84" s="340">
        <f>SIZEOF_IN_MIB(PARAMS("B")*PARAMS("S")*PARAMS("L")*(PARAMS("c_kv")+PARAMS("h_rope")), PARAMS("kv_dtype"))/1024</f>
        <v>0.5361328125</v>
      </c>
      <c r="C84" s="11"/>
      <c r="D84" s="2"/>
      <c r="E84" s="352"/>
      <c r="F84" s="353"/>
      <c r="G84" s="354"/>
      <c r="H84" s="344" t="s">
        <v>289</v>
      </c>
      <c r="I84" s="346" t="s">
        <v>282</v>
      </c>
      <c r="J84" s="345"/>
      <c r="K84" s="346">
        <f t="shared" ref="K84:M84" si="11">K82/SHARDING(K83)</f>
        <v>1</v>
      </c>
      <c r="L84" s="346">
        <f t="shared" si="11"/>
        <v>2048</v>
      </c>
      <c r="M84" s="346">
        <f t="shared" si="11"/>
        <v>7168</v>
      </c>
      <c r="N84" s="346" t="s">
        <v>283</v>
      </c>
      <c r="O84" s="355"/>
      <c r="P84" s="348">
        <f>SIZEOF_IN_MIB(J84:M84, $O81)</f>
        <v>14</v>
      </c>
      <c r="Q84" s="344"/>
      <c r="AG84" s="181"/>
      <c r="AK84" s="280"/>
      <c r="AM84" s="222"/>
      <c r="AN84" s="218"/>
      <c r="AO84" s="218"/>
      <c r="AP84" s="218"/>
      <c r="AQ84" s="218"/>
      <c r="AR84" s="247"/>
      <c r="AT84" s="280"/>
    </row>
    <row r="85">
      <c r="A85" s="9" t="s">
        <v>290</v>
      </c>
      <c r="B85" s="356">
        <f>MAX(P90,P109,P139,P166,P185,P204,P253,P272,P291,P307,P369,P419,P504,P524)/1024</f>
        <v>0.01025390625</v>
      </c>
      <c r="C85" s="9"/>
      <c r="D85" s="2"/>
      <c r="E85" s="333" t="s">
        <v>291</v>
      </c>
      <c r="F85" s="357" t="s">
        <v>292</v>
      </c>
      <c r="G85" s="335"/>
      <c r="H85" s="336" t="s">
        <v>281</v>
      </c>
      <c r="I85" s="336" t="s">
        <v>282</v>
      </c>
      <c r="J85" s="336"/>
      <c r="K85" s="337" t="s">
        <v>104</v>
      </c>
      <c r="L85" s="337" t="s">
        <v>102</v>
      </c>
      <c r="M85" s="358" t="s">
        <v>178</v>
      </c>
      <c r="N85" s="336" t="s">
        <v>283</v>
      </c>
      <c r="O85" s="338" t="str">
        <f>EXTRACT_ACTIVATION_DTYPE(PARAMS("attn_proj_dtype"))</f>
        <v>fp8</v>
      </c>
      <c r="P85" s="339"/>
      <c r="Q85" s="338" t="b">
        <v>0</v>
      </c>
      <c r="AG85" s="181"/>
      <c r="AK85" s="306"/>
      <c r="AL85" s="307"/>
      <c r="AM85" s="247"/>
      <c r="AN85" s="218"/>
      <c r="AO85" s="218"/>
      <c r="AP85" s="218"/>
      <c r="AQ85" s="218"/>
      <c r="AR85" s="247"/>
      <c r="AT85" s="280"/>
    </row>
    <row r="86">
      <c r="A86" s="8" t="s">
        <v>293</v>
      </c>
      <c r="B86" s="359">
        <f>SUM(B81:B84)</f>
        <v>251.3532104</v>
      </c>
      <c r="C86" s="8" t="str">
        <f>"&lt;=" &amp; ($H$28 * PARAMS("num_devices")) &amp; " (Capacity)?"</f>
        <v>&lt;=1432 (Capacity)?</v>
      </c>
      <c r="D86" s="2"/>
      <c r="E86" s="341"/>
      <c r="F86" s="342"/>
      <c r="G86" s="343"/>
      <c r="H86" s="344" t="s">
        <v>285</v>
      </c>
      <c r="I86" s="345" t="s">
        <v>282</v>
      </c>
      <c r="J86" s="346"/>
      <c r="K86" s="345">
        <f t="shared" ref="K86:M86" si="12">PARAMS(K85)</f>
        <v>8</v>
      </c>
      <c r="L86" s="345">
        <f t="shared" si="12"/>
        <v>2048</v>
      </c>
      <c r="M86" s="345">
        <f t="shared" si="12"/>
        <v>7168</v>
      </c>
      <c r="N86" s="345" t="s">
        <v>283</v>
      </c>
      <c r="O86" s="347"/>
      <c r="P86" s="348">
        <f>SIZEOF_IN_MIB(J86:M86, $O85)</f>
        <v>112</v>
      </c>
      <c r="Q86" s="347"/>
      <c r="AG86" s="181"/>
      <c r="AM86" s="2"/>
      <c r="AR86" s="2"/>
    </row>
    <row r="87">
      <c r="A87" s="11"/>
      <c r="B87" s="11"/>
      <c r="C87" s="11"/>
      <c r="D87" s="161"/>
      <c r="E87" s="341"/>
      <c r="F87" s="342"/>
      <c r="G87" s="343"/>
      <c r="H87" s="349" t="s">
        <v>287</v>
      </c>
      <c r="I87" s="349" t="s">
        <v>282</v>
      </c>
      <c r="J87" s="336"/>
      <c r="K87" s="337" t="s">
        <v>196</v>
      </c>
      <c r="L87" s="337"/>
      <c r="M87" s="349"/>
      <c r="N87" s="349" t="s">
        <v>283</v>
      </c>
      <c r="O87" s="350"/>
      <c r="P87" s="351"/>
      <c r="Q87" s="350"/>
    </row>
    <row r="88">
      <c r="A88" s="185" t="s">
        <v>294</v>
      </c>
      <c r="B88" s="331">
        <f>SUM(P92,P149,P176,P195,P301,P335) * PARAMS("L") / 1024</f>
        <v>10.62957764</v>
      </c>
      <c r="C88" s="332"/>
      <c r="D88" s="161"/>
      <c r="E88" s="341"/>
      <c r="F88" s="353"/>
      <c r="G88" s="354"/>
      <c r="H88" s="344" t="s">
        <v>289</v>
      </c>
      <c r="I88" s="346" t="s">
        <v>282</v>
      </c>
      <c r="J88" s="345"/>
      <c r="K88" s="346">
        <f t="shared" ref="K88:M88" si="13">K86/SHARDING(K87)</f>
        <v>1</v>
      </c>
      <c r="L88" s="346">
        <f t="shared" si="13"/>
        <v>2048</v>
      </c>
      <c r="M88" s="346">
        <f t="shared" si="13"/>
        <v>7168</v>
      </c>
      <c r="N88" s="346" t="s">
        <v>283</v>
      </c>
      <c r="O88" s="355"/>
      <c r="P88" s="348">
        <f>SIZEOF_IN_MIB(J88:M88, $O85)</f>
        <v>14</v>
      </c>
      <c r="Q88" s="355"/>
      <c r="AG88" s="181"/>
    </row>
    <row r="89">
      <c r="A89" s="185" t="s">
        <v>295</v>
      </c>
      <c r="B89" s="340">
        <f>SUM(P414,P462) * PARAMS("L") / 1024</f>
        <v>80.0625</v>
      </c>
      <c r="C89" s="332"/>
      <c r="D89" s="161"/>
      <c r="E89" s="341"/>
      <c r="F89" s="334" t="s">
        <v>296</v>
      </c>
      <c r="G89" s="335"/>
      <c r="H89" s="349" t="s">
        <v>281</v>
      </c>
      <c r="I89" s="349" t="s">
        <v>282</v>
      </c>
      <c r="J89" s="336"/>
      <c r="K89" s="336"/>
      <c r="L89" s="360" t="s">
        <v>178</v>
      </c>
      <c r="M89" s="337" t="s">
        <v>195</v>
      </c>
      <c r="N89" s="349" t="s">
        <v>283</v>
      </c>
      <c r="O89" s="338" t="str">
        <f>EXTRACT_WEIGHT_DTYPE(PARAMS("attn_proj_dtype"))</f>
        <v>fp8</v>
      </c>
      <c r="P89" s="351"/>
      <c r="Q89" s="338" t="b">
        <v>0</v>
      </c>
      <c r="AP89" s="218"/>
      <c r="AQ89" s="218"/>
      <c r="AT89" s="228"/>
    </row>
    <row r="90">
      <c r="A90" s="9" t="s">
        <v>286</v>
      </c>
      <c r="B90" s="11"/>
      <c r="C90" s="332"/>
      <c r="D90" s="161"/>
      <c r="E90" s="341"/>
      <c r="F90" s="342"/>
      <c r="G90" s="343"/>
      <c r="H90" s="344" t="s">
        <v>285</v>
      </c>
      <c r="I90" s="346" t="s">
        <v>282</v>
      </c>
      <c r="J90" s="345"/>
      <c r="K90" s="345"/>
      <c r="L90" s="346">
        <f t="shared" ref="L90:M90" si="14">PARAMS(L89)</f>
        <v>7168</v>
      </c>
      <c r="M90" s="346">
        <f t="shared" si="14"/>
        <v>1536</v>
      </c>
      <c r="N90" s="346" t="s">
        <v>283</v>
      </c>
      <c r="O90" s="347"/>
      <c r="P90" s="348">
        <f>SIZEOF_IN_MIB(J90:M90, $O89)</f>
        <v>10.5</v>
      </c>
      <c r="Q90" s="347"/>
      <c r="AP90" s="222"/>
    </row>
    <row r="91">
      <c r="A91" s="185" t="s">
        <v>297</v>
      </c>
      <c r="B91" s="340">
        <f>B84/PARAMS("num_devices")</f>
        <v>0.06701660156</v>
      </c>
      <c r="C91" s="332"/>
      <c r="D91" s="161"/>
      <c r="E91" s="341"/>
      <c r="F91" s="342"/>
      <c r="G91" s="343"/>
      <c r="H91" s="349" t="s">
        <v>287</v>
      </c>
      <c r="I91" s="349" t="s">
        <v>282</v>
      </c>
      <c r="J91" s="336"/>
      <c r="K91" s="336"/>
      <c r="L91" s="349"/>
      <c r="M91" s="349"/>
      <c r="N91" s="349" t="s">
        <v>283</v>
      </c>
      <c r="O91" s="350"/>
      <c r="P91" s="351"/>
      <c r="Q91" s="350"/>
      <c r="AP91" s="218"/>
      <c r="AQ91" s="218"/>
      <c r="AT91" s="228"/>
    </row>
    <row r="92">
      <c r="A92" s="185" t="s">
        <v>298</v>
      </c>
      <c r="B92" s="340">
        <f>MAX(P92,P111,P141,P168,P187,P206,P255,P274,P293,P309,P371,P421,P506,P526)/1024</f>
        <v>0.01025390625</v>
      </c>
      <c r="C92" s="332"/>
      <c r="D92" s="161"/>
      <c r="E92" s="341"/>
      <c r="F92" s="353"/>
      <c r="G92" s="354"/>
      <c r="H92" s="346" t="s">
        <v>289</v>
      </c>
      <c r="I92" s="346" t="s">
        <v>282</v>
      </c>
      <c r="J92" s="345"/>
      <c r="K92" s="345"/>
      <c r="L92" s="346">
        <f t="shared" ref="L92:M92" si="15">L90/SHARDING(L91)</f>
        <v>7168</v>
      </c>
      <c r="M92" s="346">
        <f t="shared" si="15"/>
        <v>1536</v>
      </c>
      <c r="N92" s="346" t="s">
        <v>283</v>
      </c>
      <c r="O92" s="355"/>
      <c r="P92" s="348">
        <f>SIZEOF_IN_MIB(J92:M92, $O89)</f>
        <v>10.5</v>
      </c>
      <c r="Q92" s="355"/>
    </row>
    <row r="93">
      <c r="A93" s="199" t="s">
        <v>299</v>
      </c>
      <c r="B93" s="361">
        <f>SUM(B88:B91)</f>
        <v>90.75909424</v>
      </c>
      <c r="C93" s="362" t="str">
        <f>"&lt;=" &amp; ($H$28) &amp; " (Capacity)?"</f>
        <v>&lt;=179 (Capacity)?</v>
      </c>
      <c r="D93" s="161"/>
      <c r="E93" s="341"/>
      <c r="F93" s="334" t="s">
        <v>56</v>
      </c>
      <c r="G93" s="335"/>
      <c r="H93" s="363" t="s">
        <v>281</v>
      </c>
      <c r="I93" s="363" t="s">
        <v>282</v>
      </c>
      <c r="J93" s="364"/>
      <c r="K93" s="273" t="s">
        <v>104</v>
      </c>
      <c r="L93" s="273" t="s">
        <v>102</v>
      </c>
      <c r="M93" s="273" t="s">
        <v>195</v>
      </c>
      <c r="N93" s="363" t="s">
        <v>283</v>
      </c>
      <c r="O93" s="365" t="s">
        <v>133</v>
      </c>
      <c r="P93" s="366"/>
      <c r="Q93" s="365" t="b">
        <v>0</v>
      </c>
    </row>
    <row r="94">
      <c r="A94" s="367" t="s">
        <v>145</v>
      </c>
      <c r="B94" s="368" t="b">
        <f>if(B93 &lt;= HW_SPEC("Per-Core HBM Capacity (GiB)"), TRUE, FALSE)</f>
        <v>1</v>
      </c>
      <c r="C94" s="369"/>
      <c r="D94" s="161"/>
      <c r="E94" s="341"/>
      <c r="F94" s="342"/>
      <c r="G94" s="343"/>
      <c r="H94" s="273" t="s">
        <v>285</v>
      </c>
      <c r="I94" s="363" t="s">
        <v>282</v>
      </c>
      <c r="J94" s="364"/>
      <c r="K94" s="363">
        <f t="shared" ref="K94:M94" si="16">PARAMS(K93)</f>
        <v>8</v>
      </c>
      <c r="L94" s="364">
        <f t="shared" si="16"/>
        <v>2048</v>
      </c>
      <c r="M94" s="363">
        <f t="shared" si="16"/>
        <v>1536</v>
      </c>
      <c r="N94" s="363" t="s">
        <v>283</v>
      </c>
      <c r="O94" s="341"/>
      <c r="P94" s="366">
        <f>SIZEOF_IN_MIB(K94:M94, $O93)</f>
        <v>48</v>
      </c>
      <c r="Q94" s="341"/>
    </row>
    <row r="95">
      <c r="A95" s="161"/>
      <c r="B95" s="161"/>
      <c r="C95" s="161"/>
      <c r="D95" s="161"/>
      <c r="E95" s="341"/>
      <c r="F95" s="342"/>
      <c r="G95" s="343"/>
      <c r="H95" s="363" t="s">
        <v>287</v>
      </c>
      <c r="I95" s="363" t="s">
        <v>282</v>
      </c>
      <c r="J95" s="364"/>
      <c r="K95" s="273" t="s">
        <v>196</v>
      </c>
      <c r="L95" s="273"/>
      <c r="M95" s="363"/>
      <c r="N95" s="363" t="s">
        <v>283</v>
      </c>
      <c r="O95" s="341"/>
      <c r="P95" s="366"/>
      <c r="Q95" s="341"/>
    </row>
    <row r="96">
      <c r="A96" s="161"/>
      <c r="B96" s="161"/>
      <c r="C96" s="161"/>
      <c r="D96" s="161"/>
      <c r="E96" s="341"/>
      <c r="F96" s="353"/>
      <c r="G96" s="354"/>
      <c r="H96" s="363" t="s">
        <v>289</v>
      </c>
      <c r="I96" s="363" t="s">
        <v>282</v>
      </c>
      <c r="J96" s="364"/>
      <c r="K96" s="363">
        <f t="shared" ref="K96:M96" si="17">K94/SHARDING(K95)</f>
        <v>1</v>
      </c>
      <c r="L96" s="363">
        <f t="shared" si="17"/>
        <v>2048</v>
      </c>
      <c r="M96" s="363">
        <f t="shared" si="17"/>
        <v>1536</v>
      </c>
      <c r="N96" s="363" t="s">
        <v>283</v>
      </c>
      <c r="O96" s="352"/>
      <c r="P96" s="366">
        <f>SIZEOF_IN_MIB(K96:M96, $O93)</f>
        <v>6</v>
      </c>
      <c r="Q96" s="352"/>
    </row>
    <row r="97">
      <c r="A97" s="161"/>
      <c r="B97" s="161"/>
      <c r="C97" s="161"/>
      <c r="E97" s="341"/>
      <c r="F97" s="370" t="s">
        <v>300</v>
      </c>
      <c r="G97" s="371" t="s">
        <v>301</v>
      </c>
      <c r="H97" s="372" t="s">
        <v>281</v>
      </c>
      <c r="I97" s="364" t="s">
        <v>282</v>
      </c>
      <c r="J97" s="364" t="str">
        <f t="array" ref="J97:M100">J81:M84</f>
        <v/>
      </c>
      <c r="K97" s="273" t="s">
        <v>104</v>
      </c>
      <c r="L97" s="273" t="s">
        <v>102</v>
      </c>
      <c r="M97" s="373" t="s">
        <v>178</v>
      </c>
      <c r="N97" s="364" t="s">
        <v>283</v>
      </c>
      <c r="O97" s="365" t="str">
        <f>O85</f>
        <v>fp8</v>
      </c>
      <c r="P97" s="364"/>
      <c r="Q97" s="365"/>
    </row>
    <row r="98">
      <c r="A98" s="161"/>
      <c r="B98" s="161"/>
      <c r="C98" s="161"/>
      <c r="E98" s="341"/>
      <c r="F98" s="341"/>
      <c r="G98" s="341"/>
      <c r="H98" s="374" t="s">
        <v>285</v>
      </c>
      <c r="I98" s="364" t="s">
        <v>282</v>
      </c>
      <c r="J98" s="363"/>
      <c r="K98" s="364">
        <v>8.0</v>
      </c>
      <c r="L98" s="364">
        <v>2048.0</v>
      </c>
      <c r="M98" s="364">
        <v>7168.0</v>
      </c>
      <c r="N98" s="364" t="s">
        <v>283</v>
      </c>
      <c r="O98" s="341"/>
      <c r="P98" s="375">
        <f>SIZEOF_IN_MIB(J98:M98, O97)</f>
        <v>112</v>
      </c>
      <c r="Q98" s="341"/>
    </row>
    <row r="99">
      <c r="A99" s="161"/>
      <c r="B99" s="161"/>
      <c r="C99" s="161"/>
      <c r="E99" s="341"/>
      <c r="F99" s="341"/>
      <c r="G99" s="341"/>
      <c r="H99" s="374" t="s">
        <v>302</v>
      </c>
      <c r="I99" s="363" t="s">
        <v>282</v>
      </c>
      <c r="J99" s="364"/>
      <c r="K99" s="273" t="s">
        <v>196</v>
      </c>
      <c r="L99" s="273"/>
      <c r="M99" s="273"/>
      <c r="N99" s="363" t="s">
        <v>283</v>
      </c>
      <c r="O99" s="341"/>
      <c r="P99" s="375"/>
      <c r="Q99" s="341"/>
    </row>
    <row r="100">
      <c r="A100" s="161"/>
      <c r="B100" s="161"/>
      <c r="C100" s="161"/>
      <c r="E100" s="341"/>
      <c r="F100" s="341"/>
      <c r="G100" s="341"/>
      <c r="H100" s="376" t="s">
        <v>303</v>
      </c>
      <c r="I100" s="349" t="s">
        <v>282</v>
      </c>
      <c r="J100" s="336"/>
      <c r="K100" s="349">
        <v>1.0</v>
      </c>
      <c r="L100" s="349">
        <v>2048.0</v>
      </c>
      <c r="M100" s="349">
        <v>7168.0</v>
      </c>
      <c r="N100" s="337" t="s">
        <v>283</v>
      </c>
      <c r="O100" s="350"/>
      <c r="P100" s="377">
        <f>SIZEOF_IN_MIB(J100:M100, O97)</f>
        <v>14</v>
      </c>
      <c r="Q100" s="350"/>
    </row>
    <row r="101">
      <c r="A101" s="161"/>
      <c r="B101" s="161"/>
      <c r="C101" s="161"/>
      <c r="E101" s="341"/>
      <c r="F101" s="341"/>
      <c r="G101" s="352"/>
      <c r="H101" s="378" t="s">
        <v>304</v>
      </c>
      <c r="I101" s="346" t="s">
        <v>282</v>
      </c>
      <c r="J101" s="345"/>
      <c r="K101" s="344"/>
      <c r="L101" s="344"/>
      <c r="M101" s="344"/>
      <c r="N101" s="346" t="s">
        <v>283</v>
      </c>
      <c r="O101" s="355"/>
      <c r="P101" s="379"/>
      <c r="Q101" s="355"/>
      <c r="R101" s="2"/>
      <c r="S101" s="2"/>
      <c r="AG101" s="2"/>
      <c r="AH101" s="2"/>
      <c r="AI101" s="2"/>
      <c r="AJ101" s="2"/>
      <c r="AK101" s="2"/>
      <c r="AL101" s="2"/>
      <c r="AM101" s="2"/>
      <c r="AN101" s="2"/>
      <c r="AO101" s="2"/>
      <c r="AP101" s="2"/>
      <c r="AQ101" s="2"/>
      <c r="AR101" s="2"/>
      <c r="AS101" s="2"/>
      <c r="AT101" s="2"/>
    </row>
    <row r="102">
      <c r="A102" s="161"/>
      <c r="B102" s="161"/>
      <c r="C102" s="161"/>
      <c r="E102" s="341"/>
      <c r="F102" s="341"/>
      <c r="G102" s="380" t="s">
        <v>305</v>
      </c>
      <c r="H102" s="381"/>
      <c r="I102" s="382"/>
      <c r="J102" s="382"/>
      <c r="K102" s="382"/>
      <c r="L102" s="383"/>
      <c r="M102" s="383"/>
      <c r="N102" s="383"/>
      <c r="O102" s="382"/>
      <c r="P102" s="384"/>
      <c r="Q102" s="382"/>
      <c r="R102" s="2"/>
      <c r="S102" s="2"/>
      <c r="AG102" s="2"/>
      <c r="AH102" s="2"/>
      <c r="AI102" s="2"/>
      <c r="AJ102" s="2"/>
      <c r="AK102" s="2"/>
      <c r="AL102" s="2"/>
      <c r="AM102" s="2"/>
      <c r="AN102" s="2"/>
      <c r="AO102" s="2"/>
      <c r="AP102" s="2"/>
      <c r="AQ102" s="2"/>
      <c r="AR102" s="2"/>
      <c r="AS102" s="2"/>
      <c r="AT102" s="2"/>
    </row>
    <row r="103">
      <c r="A103" s="161"/>
      <c r="B103" s="161"/>
      <c r="C103" s="161"/>
      <c r="E103" s="341"/>
      <c r="F103" s="341"/>
      <c r="G103" s="385" t="s">
        <v>306</v>
      </c>
      <c r="H103" s="386">
        <f>SHARDING(K99)*SHARDING(L99)*SHARDING(M99)</f>
        <v>8</v>
      </c>
      <c r="I103" s="387"/>
      <c r="J103" s="387"/>
      <c r="K103" s="387"/>
      <c r="L103" s="388"/>
      <c r="M103" s="388"/>
      <c r="N103" s="388"/>
      <c r="O103" s="387"/>
      <c r="P103" s="389"/>
      <c r="Q103" s="387"/>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5" t="s">
        <v>307</v>
      </c>
      <c r="H104" s="390">
        <f>P100 * (H103-1)</f>
        <v>98</v>
      </c>
      <c r="I104" s="298"/>
      <c r="J104" s="391"/>
      <c r="K104" s="391"/>
      <c r="L104" s="392"/>
      <c r="M104" s="392"/>
      <c r="N104" s="392"/>
      <c r="O104" s="391"/>
      <c r="P104" s="393"/>
      <c r="Q104" s="391"/>
      <c r="R104" s="2"/>
      <c r="S104" s="2"/>
      <c r="AG104" s="2"/>
      <c r="AH104" s="2"/>
      <c r="AI104" s="2"/>
      <c r="AJ104" s="2"/>
      <c r="AK104" s="2"/>
      <c r="AL104" s="2"/>
      <c r="AM104" s="2"/>
      <c r="AN104" s="2"/>
      <c r="AO104" s="2"/>
      <c r="AP104" s="2"/>
      <c r="AQ104" s="2"/>
      <c r="AR104" s="2"/>
      <c r="AS104" s="2"/>
      <c r="AT104" s="2"/>
    </row>
    <row r="105">
      <c r="A105" s="161"/>
      <c r="B105" s="161"/>
      <c r="C105" s="161"/>
      <c r="E105" s="341"/>
      <c r="F105" s="341"/>
      <c r="G105" s="394" t="s">
        <v>308</v>
      </c>
      <c r="H105" s="395">
        <f>H104*H103</f>
        <v>784</v>
      </c>
      <c r="I105" s="387"/>
      <c r="J105" s="379"/>
      <c r="K105" s="379"/>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6" t="s">
        <v>309</v>
      </c>
      <c r="H106" s="397">
        <f>IFS(H103=8,12,
H103=4,4,
H103=2,1,
H103=1,0,
TRUE,NA())</f>
        <v>12</v>
      </c>
      <c r="I106" s="391"/>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9" t="s">
        <v>310</v>
      </c>
      <c r="H107" s="398">
        <v>1.0</v>
      </c>
      <c r="I107" s="399"/>
      <c r="J107" s="399"/>
      <c r="K107" s="399"/>
      <c r="L107" s="400"/>
      <c r="M107" s="400"/>
      <c r="N107" s="400"/>
      <c r="O107" s="399"/>
      <c r="P107" s="401"/>
      <c r="Q107" s="399"/>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2" t="s">
        <v>311</v>
      </c>
      <c r="H108" s="403">
        <f>ALL_GATHER_CHIP2CHIP_TIME_MS2(H105 * H107, H106)</f>
        <v>0.03544560185</v>
      </c>
      <c r="I108" s="404"/>
      <c r="J108" s="404"/>
      <c r="K108" s="404"/>
      <c r="L108" s="405"/>
      <c r="M108" s="405"/>
      <c r="N108" s="405"/>
      <c r="O108" s="404"/>
      <c r="P108" s="406"/>
      <c r="Q108" s="404"/>
      <c r="R108" s="2"/>
      <c r="S108" s="2"/>
      <c r="AG108" s="2"/>
      <c r="AH108" s="2"/>
      <c r="AI108" s="2"/>
      <c r="AJ108" s="2"/>
      <c r="AK108" s="2"/>
      <c r="AL108" s="2"/>
      <c r="AM108" s="2"/>
      <c r="AN108" s="2"/>
      <c r="AO108" s="2"/>
      <c r="AP108" s="2"/>
      <c r="AQ108" s="2"/>
      <c r="AR108" s="2"/>
      <c r="AS108" s="2"/>
      <c r="AT108" s="2"/>
    </row>
    <row r="109">
      <c r="A109" s="161"/>
      <c r="B109" s="161"/>
      <c r="C109" s="161"/>
      <c r="E109" s="341"/>
      <c r="F109" s="341"/>
      <c r="G109" s="394"/>
      <c r="H109" s="407"/>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380" t="s">
        <v>312</v>
      </c>
      <c r="H110" s="381"/>
      <c r="I110" s="382"/>
      <c r="J110" s="382"/>
      <c r="K110" s="382"/>
      <c r="L110" s="383"/>
      <c r="M110" s="383"/>
      <c r="N110" s="383"/>
      <c r="O110" s="382"/>
      <c r="P110" s="384"/>
      <c r="Q110" s="382"/>
      <c r="R110" s="2"/>
      <c r="S110" s="2"/>
      <c r="AG110" s="2"/>
      <c r="AH110" s="2"/>
      <c r="AI110" s="2"/>
      <c r="AJ110" s="2"/>
      <c r="AK110" s="2"/>
      <c r="AL110" s="2"/>
      <c r="AM110" s="2"/>
      <c r="AN110" s="2"/>
      <c r="AO110" s="2"/>
      <c r="AP110" s="2"/>
      <c r="AQ110" s="2"/>
      <c r="AR110" s="2"/>
      <c r="AS110" s="2"/>
      <c r="AT110" s="2"/>
    </row>
    <row r="111">
      <c r="A111" s="161"/>
      <c r="B111" s="161"/>
      <c r="C111" s="161"/>
      <c r="E111" s="341"/>
      <c r="F111" s="341"/>
      <c r="G111" s="408" t="s">
        <v>313</v>
      </c>
      <c r="H111" s="409" t="s">
        <v>306</v>
      </c>
      <c r="I111" s="379"/>
      <c r="J111" s="410">
        <f>SHARDING(K99)*SHARDING(L99)*SHARDING(M99)/HW_SPEC("# of TensorCore per Chip")</f>
        <v>8</v>
      </c>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385" t="s">
        <v>307</v>
      </c>
      <c r="I112" s="11"/>
      <c r="J112" s="411">
        <f>P100 * HW_SPEC("# of TensorCore per Chip") * (J111-1)</f>
        <v>98</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41"/>
      <c r="H113" s="394" t="s">
        <v>308</v>
      </c>
      <c r="I113" s="11"/>
      <c r="J113" s="411">
        <f>J112*J111</f>
        <v>784</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96" t="s">
        <v>309</v>
      </c>
      <c r="I114" s="11"/>
      <c r="J114" s="415">
        <f>IFS(J111=8,12,
J111=4,4,
J111=2,1,
J111=1,0,
TRUE,NA())</f>
        <v>12</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9" t="s">
        <v>310</v>
      </c>
      <c r="I115" s="11"/>
      <c r="J115" s="416">
        <v>2.0</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52"/>
      <c r="H116" s="385" t="s">
        <v>311</v>
      </c>
      <c r="I116" s="11"/>
      <c r="J116" s="417">
        <f>ALL_GATHER_CHIP2CHIP_TIME_MS2(J113 * J115, J114)</f>
        <v>0.0708912037</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408" t="s">
        <v>314</v>
      </c>
      <c r="H117" s="396" t="s">
        <v>306</v>
      </c>
      <c r="I117" s="418"/>
      <c r="J117" s="419">
        <f>HW_SPEC("# of TensorCore per Chip")</f>
        <v>1</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41"/>
      <c r="H118" s="396" t="s">
        <v>307</v>
      </c>
      <c r="I118" s="418"/>
      <c r="J118" s="411">
        <f>P84 / J117 * (J117-1)</f>
        <v>0</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341"/>
      <c r="H119" s="396" t="s">
        <v>308</v>
      </c>
      <c r="I119" s="418"/>
      <c r="J119" s="411">
        <f>J118*J117</f>
        <v>0</v>
      </c>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41"/>
      <c r="H120" s="396" t="s">
        <v>311</v>
      </c>
      <c r="I120" s="418"/>
      <c r="J120" s="421">
        <f>ALL_GATHER_CORE2CORE_TIME_MS(J119)</f>
        <v>0</v>
      </c>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352"/>
      <c r="H121" s="394" t="s">
        <v>315</v>
      </c>
      <c r="I121" s="11"/>
      <c r="J121" s="421">
        <f>J120/J111</f>
        <v>0</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402" t="s">
        <v>316</v>
      </c>
      <c r="H122" s="422">
        <f>J116+J121</f>
        <v>0.0708912037</v>
      </c>
      <c r="I122" s="11"/>
      <c r="J122" s="417"/>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94"/>
      <c r="H123" s="422"/>
      <c r="I123" s="11"/>
      <c r="J123" s="417"/>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23" t="s">
        <v>317</v>
      </c>
      <c r="H124" s="424"/>
      <c r="I124" s="382"/>
      <c r="J124" s="425" t="s">
        <v>318</v>
      </c>
      <c r="K124" s="382"/>
      <c r="L124" s="383"/>
      <c r="M124" s="383"/>
      <c r="N124" s="383"/>
      <c r="O124" s="382"/>
      <c r="P124" s="384"/>
      <c r="Q124" s="38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426" t="s">
        <v>319</v>
      </c>
      <c r="H125" s="427" t="s">
        <v>97</v>
      </c>
      <c r="I125" s="428"/>
      <c r="J125" s="429"/>
      <c r="K125" s="428"/>
      <c r="L125" s="430"/>
      <c r="M125" s="430"/>
      <c r="N125" s="430"/>
      <c r="O125" s="428"/>
      <c r="P125" s="431"/>
      <c r="Q125" s="428"/>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32" t="s">
        <v>320</v>
      </c>
      <c r="H126" s="433" t="s">
        <v>321</v>
      </c>
      <c r="I126" s="434"/>
      <c r="J126" s="435">
        <f>SHARDING(H125)</f>
        <v>8</v>
      </c>
      <c r="K126" s="434"/>
      <c r="L126" s="436"/>
      <c r="M126" s="436"/>
      <c r="N126" s="436"/>
      <c r="O126" s="434"/>
      <c r="P126" s="437"/>
      <c r="Q126" s="434"/>
      <c r="R126" s="420"/>
      <c r="S126" s="420"/>
      <c r="AG126" s="2"/>
      <c r="AH126" s="2"/>
      <c r="AI126" s="2"/>
      <c r="AJ126" s="2"/>
      <c r="AK126" s="2"/>
      <c r="AL126" s="2"/>
      <c r="AM126" s="2"/>
      <c r="AN126" s="2"/>
      <c r="AO126" s="2"/>
      <c r="AP126" s="2"/>
      <c r="AQ126" s="2"/>
      <c r="AR126" s="2"/>
      <c r="AS126" s="2"/>
      <c r="AT126" s="2"/>
    </row>
    <row r="127">
      <c r="A127" s="161"/>
      <c r="B127" s="161"/>
      <c r="C127" s="161"/>
      <c r="E127" s="341"/>
      <c r="F127" s="341"/>
      <c r="G127" s="341"/>
      <c r="H127" s="438" t="s">
        <v>307</v>
      </c>
      <c r="I127" s="428"/>
      <c r="J127" s="439">
        <f>P100 * (J126-1)</f>
        <v>98</v>
      </c>
      <c r="K127" s="428"/>
      <c r="L127" s="430"/>
      <c r="M127" s="430"/>
      <c r="N127" s="430"/>
      <c r="O127" s="428"/>
      <c r="P127" s="431"/>
      <c r="Q127" s="428"/>
      <c r="R127" s="420"/>
      <c r="S127" s="420"/>
      <c r="AG127" s="2"/>
      <c r="AH127" s="2"/>
      <c r="AI127" s="2"/>
      <c r="AJ127" s="2"/>
      <c r="AK127" s="2"/>
      <c r="AL127" s="2"/>
      <c r="AM127" s="2"/>
      <c r="AN127" s="2"/>
      <c r="AO127" s="2"/>
      <c r="AP127" s="2"/>
      <c r="AQ127" s="2"/>
      <c r="AR127" s="2"/>
      <c r="AS127" s="2"/>
      <c r="AT127" s="2"/>
    </row>
    <row r="128">
      <c r="A128" s="161"/>
      <c r="B128" s="161"/>
      <c r="C128" s="161"/>
      <c r="E128" s="341"/>
      <c r="F128" s="341"/>
      <c r="G128" s="341"/>
      <c r="H128" s="440" t="s">
        <v>308</v>
      </c>
      <c r="I128" s="434"/>
      <c r="J128" s="441">
        <f>J127*J126</f>
        <v>784</v>
      </c>
      <c r="K128" s="434"/>
      <c r="L128" s="436"/>
      <c r="M128" s="436"/>
      <c r="N128" s="436"/>
      <c r="O128" s="434"/>
      <c r="P128" s="437"/>
      <c r="Q128" s="434"/>
      <c r="R128" s="420"/>
      <c r="S128" s="420"/>
      <c r="AG128" s="2"/>
      <c r="AH128" s="2"/>
      <c r="AI128" s="2"/>
      <c r="AJ128" s="2"/>
      <c r="AK128" s="2"/>
      <c r="AL128" s="2"/>
      <c r="AM128" s="2"/>
      <c r="AN128" s="2"/>
      <c r="AO128" s="2"/>
      <c r="AP128" s="2"/>
      <c r="AQ128" s="2"/>
      <c r="AR128" s="2"/>
      <c r="AS128" s="2"/>
      <c r="AT128" s="2"/>
    </row>
    <row r="129">
      <c r="A129" s="161"/>
      <c r="B129" s="161"/>
      <c r="C129" s="161"/>
      <c r="E129" s="341"/>
      <c r="F129" s="341"/>
      <c r="G129" s="352"/>
      <c r="H129" s="438" t="s">
        <v>311</v>
      </c>
      <c r="I129" s="428"/>
      <c r="J129" s="442">
        <f>ALL_GATHER_CORE2CORE_TIME_MS(J128)</f>
        <v>0.4253472222</v>
      </c>
      <c r="K129" s="428"/>
      <c r="L129" s="430"/>
      <c r="M129" s="430"/>
      <c r="N129" s="430"/>
      <c r="O129" s="428"/>
      <c r="P129" s="431"/>
      <c r="Q129" s="428"/>
      <c r="R129" s="420"/>
      <c r="S129" s="420"/>
      <c r="AG129" s="2"/>
      <c r="AH129" s="2"/>
      <c r="AI129" s="2"/>
      <c r="AJ129" s="2"/>
      <c r="AK129" s="2"/>
      <c r="AL129" s="2"/>
      <c r="AM129" s="2"/>
      <c r="AN129" s="2"/>
      <c r="AO129" s="2"/>
      <c r="AP129" s="2"/>
      <c r="AQ129" s="2"/>
      <c r="AR129" s="2"/>
      <c r="AS129" s="2"/>
      <c r="AT129" s="2"/>
    </row>
    <row r="130">
      <c r="A130" s="161"/>
      <c r="B130" s="161"/>
      <c r="C130" s="161"/>
      <c r="E130" s="341"/>
      <c r="F130" s="341"/>
      <c r="G130" s="394"/>
      <c r="H130" s="422"/>
      <c r="I130" s="11"/>
      <c r="J130" s="417"/>
      <c r="K130" s="412"/>
      <c r="L130" s="413"/>
      <c r="M130" s="413"/>
      <c r="N130" s="413"/>
      <c r="O130" s="412"/>
      <c r="P130" s="414"/>
      <c r="Q130" s="412"/>
      <c r="R130" s="420"/>
      <c r="S130" s="420"/>
      <c r="AG130" s="2"/>
      <c r="AH130" s="2"/>
      <c r="AI130" s="2"/>
      <c r="AJ130" s="2"/>
      <c r="AK130" s="2"/>
      <c r="AL130" s="2"/>
      <c r="AM130" s="2"/>
      <c r="AN130" s="2"/>
      <c r="AO130" s="2"/>
      <c r="AP130" s="2"/>
      <c r="AQ130" s="2"/>
      <c r="AR130" s="2"/>
      <c r="AS130" s="2"/>
      <c r="AT130" s="2"/>
    </row>
    <row r="131">
      <c r="A131" s="161"/>
      <c r="B131" s="161"/>
      <c r="C131" s="161"/>
      <c r="E131" s="341"/>
      <c r="F131" s="341"/>
      <c r="G131" s="394"/>
      <c r="H131" s="422"/>
      <c r="I131" s="11"/>
      <c r="J131" s="417"/>
      <c r="K131" s="412"/>
      <c r="L131" s="413"/>
      <c r="M131" s="413"/>
      <c r="N131" s="413"/>
      <c r="O131" s="412"/>
      <c r="P131" s="414"/>
      <c r="Q131" s="412"/>
      <c r="R131" s="420"/>
      <c r="S131" s="420"/>
      <c r="AG131" s="2"/>
      <c r="AH131" s="2"/>
      <c r="AI131" s="2"/>
      <c r="AJ131" s="2"/>
      <c r="AK131" s="2"/>
      <c r="AL131" s="2"/>
      <c r="AM131" s="2"/>
      <c r="AN131" s="2"/>
      <c r="AO131" s="2"/>
      <c r="AP131" s="2"/>
      <c r="AQ131" s="2"/>
      <c r="AR131" s="2"/>
      <c r="AS131" s="2"/>
      <c r="AT131" s="2"/>
    </row>
    <row r="132">
      <c r="A132" s="161"/>
      <c r="B132" s="161"/>
      <c r="C132" s="161"/>
      <c r="E132" s="341"/>
      <c r="F132" s="341"/>
      <c r="G132" s="394"/>
      <c r="H132" s="422"/>
      <c r="I132" s="11"/>
      <c r="J132" s="417"/>
      <c r="K132" s="412"/>
      <c r="L132" s="413"/>
      <c r="M132" s="413"/>
      <c r="N132" s="413"/>
      <c r="O132" s="412"/>
      <c r="P132" s="414"/>
      <c r="Q132" s="412"/>
      <c r="R132" s="420"/>
      <c r="S132" s="420"/>
      <c r="AG132" s="2"/>
      <c r="AH132" s="2"/>
      <c r="AI132" s="2"/>
      <c r="AJ132" s="2"/>
      <c r="AK132" s="2"/>
      <c r="AL132" s="2"/>
      <c r="AM132" s="2"/>
      <c r="AN132" s="2"/>
      <c r="AO132" s="2"/>
      <c r="AP132" s="2"/>
      <c r="AQ132" s="2"/>
      <c r="AR132" s="2"/>
      <c r="AS132" s="2"/>
      <c r="AT132" s="2"/>
    </row>
    <row r="133">
      <c r="A133" s="161"/>
      <c r="B133" s="161"/>
      <c r="C133" s="161"/>
      <c r="E133" s="341"/>
      <c r="F133" s="341"/>
      <c r="G133" s="443" t="s">
        <v>322</v>
      </c>
      <c r="H133" s="444" t="s">
        <v>323</v>
      </c>
      <c r="I133" s="445"/>
      <c r="J133" s="445"/>
      <c r="K133" s="382"/>
      <c r="L133" s="383"/>
      <c r="M133" s="383"/>
      <c r="N133" s="383"/>
      <c r="O133" s="382"/>
      <c r="P133" s="384"/>
      <c r="Q133" s="382"/>
      <c r="R133" s="420"/>
      <c r="S133" s="420"/>
      <c r="AG133" s="2"/>
      <c r="AH133" s="2"/>
      <c r="AI133" s="2"/>
      <c r="AJ133" s="2"/>
      <c r="AK133" s="2"/>
      <c r="AL133" s="2"/>
      <c r="AM133" s="2"/>
      <c r="AN133" s="2"/>
      <c r="AO133" s="2"/>
      <c r="AP133" s="2"/>
      <c r="AQ133" s="2"/>
      <c r="AR133" s="2"/>
      <c r="AS133" s="2"/>
      <c r="AT133" s="2"/>
    </row>
    <row r="134">
      <c r="A134" s="161"/>
      <c r="B134" s="207"/>
      <c r="C134" s="161"/>
      <c r="E134" s="341"/>
      <c r="F134" s="341"/>
      <c r="G134" s="446" t="s">
        <v>324</v>
      </c>
      <c r="H134" s="447">
        <f>IFS(H133=G102,H108,
H133=G110,H122 ,
H133=G124,J129,
TRUE,0)</f>
        <v>0</v>
      </c>
      <c r="I134" s="448"/>
      <c r="J134" s="448"/>
      <c r="K134" s="448"/>
      <c r="L134" s="449"/>
      <c r="M134" s="449"/>
      <c r="N134" s="449"/>
      <c r="O134" s="450"/>
      <c r="P134" s="451"/>
      <c r="Q134" s="450"/>
      <c r="AG134" s="2"/>
      <c r="AH134" s="2"/>
      <c r="AI134" s="2"/>
      <c r="AJ134" s="2"/>
      <c r="AK134" s="2"/>
      <c r="AL134" s="2"/>
      <c r="AM134" s="2"/>
      <c r="AN134" s="2"/>
      <c r="AO134" s="2"/>
      <c r="AP134" s="2"/>
      <c r="AQ134" s="2"/>
      <c r="AR134" s="2"/>
      <c r="AS134" s="2"/>
      <c r="AT134" s="2"/>
    </row>
    <row r="135">
      <c r="A135" s="161"/>
      <c r="B135" s="161"/>
      <c r="C135" s="161"/>
      <c r="E135" s="341"/>
      <c r="F135" s="341"/>
      <c r="G135" s="452" t="s">
        <v>325</v>
      </c>
      <c r="H135" s="453">
        <f>IFS(PARAMS("topo")="2x2x2", (2+2+2)/2,
PARAMS("topo")="2x2", (2+2)/2,
TRUE, NA())</f>
        <v>3</v>
      </c>
      <c r="I135" s="454"/>
      <c r="J135" s="454"/>
      <c r="K135" s="454"/>
      <c r="L135" s="455"/>
      <c r="M135" s="455"/>
      <c r="N135" s="455"/>
      <c r="O135" s="456"/>
      <c r="P135" s="457"/>
      <c r="Q135" s="456"/>
      <c r="AG135" s="2"/>
      <c r="AH135" s="2"/>
      <c r="AI135" s="2"/>
      <c r="AJ135" s="2"/>
      <c r="AK135" s="2"/>
      <c r="AL135" s="2"/>
      <c r="AM135" s="2"/>
      <c r="AN135" s="2"/>
      <c r="AO135" s="2"/>
      <c r="AP135" s="2"/>
      <c r="AQ135" s="2"/>
      <c r="AR135" s="2"/>
      <c r="AS135" s="2"/>
      <c r="AT135" s="2"/>
    </row>
    <row r="136">
      <c r="A136" s="161"/>
      <c r="B136" s="161"/>
      <c r="C136" s="161"/>
      <c r="E136" s="341"/>
      <c r="F136" s="352"/>
      <c r="G136" s="446" t="s">
        <v>326</v>
      </c>
      <c r="H136" s="447">
        <f>IF(H133="No Collectives", 0, H135 * HW_SPEC("Chip-to-Chip ICI Latency (ms)"))</f>
        <v>0</v>
      </c>
      <c r="I136" s="448"/>
      <c r="J136" s="448"/>
      <c r="K136" s="448"/>
      <c r="L136" s="449"/>
      <c r="M136" s="449"/>
      <c r="N136" s="449"/>
      <c r="O136" s="450"/>
      <c r="P136" s="451"/>
      <c r="Q136" s="450"/>
      <c r="AG136" s="2"/>
      <c r="AH136" s="2"/>
      <c r="AI136" s="2"/>
      <c r="AJ136" s="2"/>
      <c r="AK136" s="2"/>
      <c r="AL136" s="2"/>
      <c r="AM136" s="2"/>
      <c r="AN136" s="2"/>
      <c r="AO136" s="2"/>
      <c r="AP136" s="2"/>
      <c r="AQ136" s="2"/>
      <c r="AR136" s="2"/>
      <c r="AS136" s="2"/>
      <c r="AT136" s="2"/>
    </row>
    <row r="137">
      <c r="A137" s="161"/>
      <c r="B137" s="161"/>
      <c r="C137" s="161"/>
      <c r="E137" s="341"/>
      <c r="F137" s="458" t="s">
        <v>327</v>
      </c>
      <c r="G137" s="459" t="s">
        <v>328</v>
      </c>
      <c r="H137" s="455" t="str">
        <f>VLOOKUP(O85&amp;","&amp;O89,$T$3:$W$12,4, FALSE)</f>
        <v>fp8</v>
      </c>
      <c r="I137" s="460"/>
      <c r="J137" s="454"/>
      <c r="K137" s="454"/>
      <c r="L137" s="455"/>
      <c r="M137" s="455"/>
      <c r="N137" s="455"/>
      <c r="O137" s="454"/>
      <c r="P137" s="457"/>
      <c r="Q137" s="11"/>
      <c r="AG137" s="2"/>
      <c r="AH137" s="2"/>
      <c r="AI137" s="2"/>
      <c r="AJ137" s="2"/>
      <c r="AK137" s="2"/>
      <c r="AL137" s="2"/>
      <c r="AM137" s="2"/>
      <c r="AN137" s="2"/>
      <c r="AO137" s="2"/>
      <c r="AP137" s="2"/>
      <c r="AQ137" s="2"/>
      <c r="AR137" s="2"/>
      <c r="AS137" s="2"/>
      <c r="AT137" s="2"/>
    </row>
    <row r="138">
      <c r="A138" s="161"/>
      <c r="B138" s="161"/>
      <c r="C138" s="161"/>
      <c r="E138" s="341"/>
      <c r="F138" s="341"/>
      <c r="G138" s="459" t="s">
        <v>329</v>
      </c>
      <c r="H138" s="461">
        <f>CALCULATE_FLOPS(J88:M88,J92:M92,L92,1,H137)</f>
        <v>45097156608</v>
      </c>
      <c r="I138" s="460"/>
      <c r="J138" s="454"/>
      <c r="K138" s="454"/>
      <c r="L138" s="455"/>
      <c r="M138" s="455"/>
      <c r="N138" s="455"/>
      <c r="O138" s="454"/>
      <c r="P138" s="457"/>
      <c r="Q138" s="11"/>
      <c r="AG138" s="2"/>
      <c r="AH138" s="2"/>
      <c r="AI138" s="2"/>
      <c r="AJ138" s="2"/>
      <c r="AK138" s="2"/>
      <c r="AL138" s="2"/>
      <c r="AM138" s="2"/>
      <c r="AN138" s="2"/>
      <c r="AO138" s="2"/>
      <c r="AP138" s="2"/>
      <c r="AQ138" s="2"/>
      <c r="AR138" s="2"/>
      <c r="AS138" s="2"/>
      <c r="AT138" s="2"/>
    </row>
    <row r="139">
      <c r="A139" s="161"/>
      <c r="B139" s="161"/>
      <c r="C139" s="161"/>
      <c r="E139" s="341"/>
      <c r="F139" s="352"/>
      <c r="G139" s="462" t="s">
        <v>330</v>
      </c>
      <c r="H139" s="463">
        <f>COMPUTE_TIME_MS(H138, H137)</f>
        <v>0.01202590843</v>
      </c>
      <c r="I139" s="464"/>
      <c r="J139" s="465"/>
      <c r="K139" s="465"/>
      <c r="L139" s="466"/>
      <c r="M139" s="466"/>
      <c r="N139" s="466"/>
      <c r="O139" s="465"/>
      <c r="P139" s="467"/>
      <c r="Q139" s="11"/>
      <c r="AG139" s="2"/>
      <c r="AH139" s="2"/>
      <c r="AI139" s="2"/>
      <c r="AJ139" s="2"/>
      <c r="AK139" s="2"/>
      <c r="AL139" s="2"/>
      <c r="AM139" s="2"/>
      <c r="AN139" s="2"/>
      <c r="AO139" s="2"/>
      <c r="AP139" s="2"/>
      <c r="AQ139" s="2"/>
      <c r="AR139" s="2"/>
      <c r="AS139" s="2"/>
      <c r="AT139" s="2"/>
    </row>
    <row r="140">
      <c r="A140" s="161"/>
      <c r="B140" s="161"/>
      <c r="C140" s="161"/>
      <c r="E140" s="341"/>
      <c r="F140" s="458" t="s">
        <v>331</v>
      </c>
      <c r="G140" s="455" t="s">
        <v>332</v>
      </c>
      <c r="H140" s="468">
        <f>IF(Q85,0,P88)+IF(Q89,0,P92)+IF(Q93,0,P96)</f>
        <v>30.5</v>
      </c>
      <c r="I140" s="454"/>
      <c r="J140" s="454"/>
      <c r="K140" s="454"/>
      <c r="L140" s="455"/>
      <c r="M140" s="455"/>
      <c r="N140" s="455"/>
      <c r="O140" s="454"/>
      <c r="P140" s="457"/>
      <c r="Q140" s="11"/>
      <c r="AG140" s="2"/>
      <c r="AH140" s="2"/>
      <c r="AI140" s="2"/>
      <c r="AJ140" s="2"/>
      <c r="AK140" s="2"/>
      <c r="AL140" s="2"/>
      <c r="AM140" s="2"/>
      <c r="AN140" s="2"/>
      <c r="AO140" s="2"/>
      <c r="AP140" s="2"/>
      <c r="AQ140" s="2"/>
      <c r="AR140" s="2"/>
      <c r="AS140" s="2"/>
      <c r="AT140" s="2"/>
    </row>
    <row r="141">
      <c r="A141" s="161"/>
      <c r="B141" s="161"/>
      <c r="C141" s="161"/>
      <c r="E141" s="352"/>
      <c r="F141" s="352"/>
      <c r="G141" s="469" t="s">
        <v>333</v>
      </c>
      <c r="H141" s="470">
        <f>HBM_TIME_MS(H140)</f>
        <v>0.004136827257</v>
      </c>
      <c r="I141" s="465"/>
      <c r="J141" s="465"/>
      <c r="K141" s="465"/>
      <c r="L141" s="466"/>
      <c r="M141" s="466"/>
      <c r="N141" s="466"/>
      <c r="O141" s="465"/>
      <c r="P141" s="467"/>
      <c r="Q141" s="11"/>
      <c r="AH141" s="471"/>
      <c r="AI141" s="471"/>
      <c r="AJ141" s="471"/>
      <c r="AK141" s="2"/>
      <c r="AL141" s="2"/>
      <c r="AM141" s="2"/>
      <c r="AN141" s="2"/>
      <c r="AO141" s="2"/>
      <c r="AP141" s="2"/>
      <c r="AQ141" s="2"/>
      <c r="AR141" s="2"/>
      <c r="AS141" s="2"/>
      <c r="AT141" s="2"/>
    </row>
    <row r="142">
      <c r="E142" s="333" t="s">
        <v>334</v>
      </c>
      <c r="F142" s="357" t="s">
        <v>292</v>
      </c>
      <c r="G142" s="335"/>
      <c r="H142" s="364" t="s">
        <v>281</v>
      </c>
      <c r="I142" s="364" t="s">
        <v>282</v>
      </c>
      <c r="J142" s="364"/>
      <c r="K142" s="273" t="s">
        <v>104</v>
      </c>
      <c r="L142" s="273" t="s">
        <v>102</v>
      </c>
      <c r="M142" s="472" t="s">
        <v>195</v>
      </c>
      <c r="N142" s="364" t="s">
        <v>283</v>
      </c>
      <c r="O142" s="365" t="str">
        <f>EXTRACT_ACTIVATION_DTYPE(PARAMS("attn_proj_dtype"))</f>
        <v>fp8</v>
      </c>
      <c r="P142" s="366"/>
      <c r="Q142" s="365" t="b">
        <v>0</v>
      </c>
      <c r="R142" s="2"/>
      <c r="S142" s="2"/>
      <c r="AH142" s="471"/>
      <c r="AI142" s="471"/>
      <c r="AJ142" s="471"/>
      <c r="AK142" s="2"/>
      <c r="AL142" s="2"/>
      <c r="AM142" s="2"/>
      <c r="AN142" s="2"/>
      <c r="AO142" s="2"/>
      <c r="AP142" s="2"/>
      <c r="AQ142" s="2"/>
      <c r="AR142" s="2"/>
      <c r="AS142" s="2"/>
      <c r="AT142" s="2"/>
    </row>
    <row r="143">
      <c r="E143" s="341"/>
      <c r="F143" s="342"/>
      <c r="G143" s="343"/>
      <c r="H143" s="273" t="s">
        <v>285</v>
      </c>
      <c r="I143" s="364" t="s">
        <v>282</v>
      </c>
      <c r="J143" s="363"/>
      <c r="K143" s="363">
        <f t="shared" ref="K143:M143" si="18">PARAMS(K142)</f>
        <v>8</v>
      </c>
      <c r="L143" s="364">
        <f t="shared" si="18"/>
        <v>2048</v>
      </c>
      <c r="M143" s="364">
        <f t="shared" si="18"/>
        <v>1536</v>
      </c>
      <c r="N143" s="364" t="s">
        <v>283</v>
      </c>
      <c r="O143" s="341"/>
      <c r="P143" s="366">
        <f>SIZEOF_IN_MIB(J143:M143, $O142)</f>
        <v>24</v>
      </c>
      <c r="Q143" s="341"/>
      <c r="R143" s="2"/>
      <c r="S143" s="2"/>
      <c r="AH143" s="471"/>
      <c r="AI143" s="471"/>
      <c r="AJ143" s="471"/>
      <c r="AK143" s="2"/>
      <c r="AL143" s="2"/>
      <c r="AM143" s="2"/>
      <c r="AN143" s="2"/>
      <c r="AO143" s="2"/>
      <c r="AP143" s="2"/>
      <c r="AQ143" s="2"/>
      <c r="AR143" s="2"/>
      <c r="AS143" s="2"/>
      <c r="AT143" s="2"/>
    </row>
    <row r="144">
      <c r="E144" s="341"/>
      <c r="F144" s="342"/>
      <c r="G144" s="343"/>
      <c r="H144" s="363" t="s">
        <v>287</v>
      </c>
      <c r="I144" s="363" t="s">
        <v>282</v>
      </c>
      <c r="J144" s="364"/>
      <c r="K144" s="273" t="s">
        <v>196</v>
      </c>
      <c r="L144" s="273"/>
      <c r="M144" s="363"/>
      <c r="N144" s="363" t="s">
        <v>283</v>
      </c>
      <c r="O144" s="341"/>
      <c r="P144" s="366"/>
      <c r="Q144" s="341"/>
      <c r="R144" s="2"/>
      <c r="S144" s="2"/>
      <c r="AH144" s="471"/>
      <c r="AI144" s="471"/>
      <c r="AJ144" s="471"/>
      <c r="AK144" s="2"/>
      <c r="AL144" s="2"/>
      <c r="AM144" s="2"/>
      <c r="AN144" s="2"/>
      <c r="AO144" s="2"/>
      <c r="AP144" s="2"/>
      <c r="AQ144" s="2"/>
      <c r="AR144" s="2"/>
      <c r="AS144" s="2"/>
      <c r="AT144" s="2"/>
    </row>
    <row r="145">
      <c r="E145" s="341"/>
      <c r="F145" s="353"/>
      <c r="G145" s="354"/>
      <c r="H145" s="273" t="s">
        <v>289</v>
      </c>
      <c r="I145" s="363" t="s">
        <v>282</v>
      </c>
      <c r="J145" s="364"/>
      <c r="K145" s="363">
        <f t="shared" ref="K145:M145" si="19">K143/SHARDING(K144)</f>
        <v>1</v>
      </c>
      <c r="L145" s="363">
        <f t="shared" si="19"/>
        <v>2048</v>
      </c>
      <c r="M145" s="363">
        <f t="shared" si="19"/>
        <v>1536</v>
      </c>
      <c r="N145" s="363" t="s">
        <v>283</v>
      </c>
      <c r="O145" s="352"/>
      <c r="P145" s="366">
        <f>SIZEOF_IN_MIB(J145:M145, $O142)</f>
        <v>3</v>
      </c>
      <c r="Q145" s="352"/>
      <c r="R145" s="2"/>
      <c r="S145" s="2"/>
      <c r="AK145" s="2"/>
      <c r="AL145" s="2"/>
      <c r="AM145" s="2"/>
      <c r="AN145" s="2"/>
      <c r="AO145" s="2"/>
      <c r="AP145" s="2"/>
      <c r="AQ145" s="2"/>
      <c r="AR145" s="2"/>
      <c r="AS145" s="2"/>
      <c r="AT145" s="2"/>
    </row>
    <row r="146">
      <c r="E146" s="341"/>
      <c r="F146" s="334" t="s">
        <v>296</v>
      </c>
      <c r="G146" s="335"/>
      <c r="H146" s="363" t="s">
        <v>281</v>
      </c>
      <c r="I146" s="363" t="s">
        <v>282</v>
      </c>
      <c r="J146" s="364"/>
      <c r="K146" s="472" t="s">
        <v>195</v>
      </c>
      <c r="L146" s="273" t="s">
        <v>207</v>
      </c>
      <c r="M146" s="273" t="s">
        <v>209</v>
      </c>
      <c r="N146" s="363" t="s">
        <v>283</v>
      </c>
      <c r="O146" s="365" t="str">
        <f>EXTRACT_WEIGHT_DTYPE(PARAMS("attn_proj_dtype"))</f>
        <v>fp8</v>
      </c>
      <c r="P146" s="366"/>
      <c r="Q146" s="365" t="b">
        <v>0</v>
      </c>
      <c r="R146" s="2"/>
      <c r="S146" s="2"/>
      <c r="AK146" s="2"/>
      <c r="AL146" s="2"/>
      <c r="AM146" s="2"/>
      <c r="AN146" s="2"/>
      <c r="AO146" s="2"/>
      <c r="AP146" s="2"/>
      <c r="AQ146" s="2"/>
      <c r="AR146" s="2"/>
      <c r="AS146" s="2"/>
      <c r="AT146" s="2"/>
    </row>
    <row r="147">
      <c r="E147" s="341"/>
      <c r="F147" s="342"/>
      <c r="G147" s="343"/>
      <c r="H147" s="273" t="s">
        <v>285</v>
      </c>
      <c r="I147" s="363" t="s">
        <v>282</v>
      </c>
      <c r="J147" s="364"/>
      <c r="K147" s="363">
        <f t="shared" ref="K147:M147" si="20">PARAMS(K146)</f>
        <v>1536</v>
      </c>
      <c r="L147" s="363">
        <f t="shared" si="20"/>
        <v>128</v>
      </c>
      <c r="M147" s="363">
        <f t="shared" si="20"/>
        <v>192</v>
      </c>
      <c r="N147" s="363" t="s">
        <v>283</v>
      </c>
      <c r="O147" s="341"/>
      <c r="P147" s="366">
        <f>SIZEOF_IN_MIB(J147:M147, $O146)</f>
        <v>36</v>
      </c>
      <c r="Q147" s="341"/>
      <c r="R147" s="2"/>
      <c r="S147" s="2"/>
      <c r="AK147" s="2"/>
      <c r="AL147" s="2"/>
      <c r="AM147" s="2"/>
      <c r="AN147" s="2"/>
      <c r="AO147" s="2"/>
      <c r="AP147" s="2"/>
      <c r="AQ147" s="2"/>
      <c r="AR147" s="2"/>
      <c r="AS147" s="2"/>
      <c r="AT147" s="2"/>
    </row>
    <row r="148">
      <c r="E148" s="341"/>
      <c r="F148" s="342"/>
      <c r="G148" s="343"/>
      <c r="H148" s="363" t="s">
        <v>287</v>
      </c>
      <c r="I148" s="363" t="s">
        <v>282</v>
      </c>
      <c r="J148" s="364"/>
      <c r="K148" s="364"/>
      <c r="L148" s="363"/>
      <c r="M148" s="363"/>
      <c r="N148" s="363" t="s">
        <v>283</v>
      </c>
      <c r="O148" s="341"/>
      <c r="P148" s="366"/>
      <c r="Q148" s="341"/>
      <c r="R148" s="2"/>
      <c r="S148" s="2"/>
      <c r="AK148" s="2"/>
      <c r="AL148" s="2"/>
      <c r="AM148" s="2"/>
      <c r="AN148" s="2"/>
      <c r="AO148" s="2"/>
      <c r="AP148" s="2"/>
      <c r="AQ148" s="2"/>
      <c r="AR148" s="2"/>
      <c r="AS148" s="2"/>
      <c r="AT148" s="2"/>
    </row>
    <row r="149">
      <c r="E149" s="341"/>
      <c r="F149" s="353"/>
      <c r="G149" s="354"/>
      <c r="H149" s="349" t="s">
        <v>289</v>
      </c>
      <c r="I149" s="349" t="s">
        <v>282</v>
      </c>
      <c r="J149" s="336"/>
      <c r="K149" s="349">
        <f t="shared" ref="K149:M149" si="21">K147/SHARDING(K148)</f>
        <v>1536</v>
      </c>
      <c r="L149" s="349">
        <f t="shared" si="21"/>
        <v>128</v>
      </c>
      <c r="M149" s="349">
        <f t="shared" si="21"/>
        <v>192</v>
      </c>
      <c r="N149" s="349" t="s">
        <v>283</v>
      </c>
      <c r="O149" s="316"/>
      <c r="P149" s="351">
        <f>SIZEOF_IN_MIB(J149:M149, $O146)</f>
        <v>36</v>
      </c>
      <c r="Q149" s="316"/>
      <c r="R149" s="2"/>
      <c r="S149" s="2"/>
      <c r="AK149" s="2"/>
      <c r="AL149" s="2"/>
      <c r="AM149" s="2"/>
      <c r="AN149" s="2"/>
      <c r="AO149" s="2"/>
      <c r="AP149" s="2"/>
      <c r="AQ149" s="2"/>
      <c r="AR149" s="2"/>
      <c r="AS149" s="2"/>
      <c r="AT149" s="2"/>
    </row>
    <row r="150">
      <c r="E150" s="341"/>
      <c r="F150" s="334" t="s">
        <v>56</v>
      </c>
      <c r="G150" s="335"/>
      <c r="H150" s="346" t="s">
        <v>281</v>
      </c>
      <c r="I150" s="346" t="s">
        <v>282</v>
      </c>
      <c r="J150" s="344" t="s">
        <v>104</v>
      </c>
      <c r="K150" s="344" t="s">
        <v>102</v>
      </c>
      <c r="L150" s="344" t="s">
        <v>207</v>
      </c>
      <c r="M150" s="344" t="s">
        <v>209</v>
      </c>
      <c r="N150" s="346" t="s">
        <v>283</v>
      </c>
      <c r="O150" s="473" t="s">
        <v>133</v>
      </c>
      <c r="P150" s="348"/>
      <c r="Q150" s="473" t="b">
        <v>0</v>
      </c>
      <c r="R150" s="2"/>
      <c r="S150" s="2"/>
      <c r="AK150" s="2"/>
      <c r="AL150" s="2"/>
      <c r="AM150" s="2"/>
      <c r="AN150" s="2"/>
      <c r="AO150" s="2"/>
      <c r="AP150" s="2"/>
      <c r="AQ150" s="2"/>
      <c r="AR150" s="2"/>
      <c r="AS150" s="2"/>
      <c r="AT150" s="2"/>
    </row>
    <row r="151">
      <c r="E151" s="341"/>
      <c r="F151" s="342"/>
      <c r="G151" s="343"/>
      <c r="H151" s="337" t="s">
        <v>285</v>
      </c>
      <c r="I151" s="349" t="s">
        <v>282</v>
      </c>
      <c r="J151" s="349">
        <f t="shared" ref="J151:M151" si="22">PARAMS(J150)</f>
        <v>8</v>
      </c>
      <c r="K151" s="349">
        <f t="shared" si="22"/>
        <v>2048</v>
      </c>
      <c r="L151" s="349">
        <f t="shared" si="22"/>
        <v>128</v>
      </c>
      <c r="M151" s="349">
        <f t="shared" si="22"/>
        <v>192</v>
      </c>
      <c r="N151" s="349" t="s">
        <v>283</v>
      </c>
      <c r="O151" s="350"/>
      <c r="P151" s="351">
        <f>SIZEOF_IN_MIB(J151:M151, $O150)</f>
        <v>768</v>
      </c>
      <c r="Q151" s="350"/>
      <c r="R151" s="2"/>
      <c r="S151" s="2"/>
      <c r="AK151" s="2"/>
      <c r="AL151" s="2"/>
      <c r="AM151" s="2"/>
      <c r="AN151" s="2"/>
      <c r="AO151" s="2"/>
      <c r="AP151" s="2"/>
      <c r="AQ151" s="2"/>
      <c r="AR151" s="2"/>
      <c r="AS151" s="2"/>
      <c r="AT151" s="2"/>
    </row>
    <row r="152">
      <c r="E152" s="341"/>
      <c r="F152" s="342"/>
      <c r="G152" s="343"/>
      <c r="H152" s="346" t="s">
        <v>287</v>
      </c>
      <c r="I152" s="346" t="s">
        <v>282</v>
      </c>
      <c r="J152" s="344" t="s">
        <v>196</v>
      </c>
      <c r="K152" s="344"/>
      <c r="L152" s="344"/>
      <c r="M152" s="346"/>
      <c r="N152" s="346" t="s">
        <v>283</v>
      </c>
      <c r="O152" s="347"/>
      <c r="P152" s="348"/>
      <c r="Q152" s="347"/>
      <c r="R152" s="2"/>
      <c r="S152" s="2"/>
      <c r="AK152" s="2"/>
      <c r="AL152" s="2"/>
      <c r="AM152" s="2"/>
      <c r="AN152" s="2"/>
      <c r="AO152" s="2"/>
      <c r="AP152" s="2"/>
      <c r="AQ152" s="2"/>
      <c r="AR152" s="2"/>
      <c r="AS152" s="2"/>
      <c r="AT152" s="2"/>
    </row>
    <row r="153">
      <c r="E153" s="341"/>
      <c r="F153" s="353"/>
      <c r="G153" s="354"/>
      <c r="H153" s="349" t="s">
        <v>289</v>
      </c>
      <c r="I153" s="349" t="s">
        <v>282</v>
      </c>
      <c r="J153" s="349">
        <f t="shared" ref="J153:M153" si="23">J151/SHARDING(J152)</f>
        <v>1</v>
      </c>
      <c r="K153" s="349">
        <f t="shared" si="23"/>
        <v>2048</v>
      </c>
      <c r="L153" s="349">
        <f t="shared" si="23"/>
        <v>128</v>
      </c>
      <c r="M153" s="349">
        <f t="shared" si="23"/>
        <v>192</v>
      </c>
      <c r="N153" s="349" t="s">
        <v>283</v>
      </c>
      <c r="O153" s="316"/>
      <c r="P153" s="351">
        <f>SIZEOF_IN_MIB(J153:M153, $O150)</f>
        <v>96</v>
      </c>
      <c r="Q153" s="316"/>
      <c r="R153" s="2"/>
      <c r="S153" s="2"/>
      <c r="AK153" s="2"/>
      <c r="AL153" s="2"/>
      <c r="AM153" s="2"/>
      <c r="AN153" s="2"/>
      <c r="AO153" s="2"/>
      <c r="AP153" s="2"/>
      <c r="AQ153" s="2"/>
      <c r="AR153" s="2"/>
      <c r="AS153" s="2"/>
      <c r="AT153" s="2"/>
    </row>
    <row r="154">
      <c r="E154" s="341"/>
      <c r="F154" s="474" t="s">
        <v>335</v>
      </c>
      <c r="G154" s="423" t="s">
        <v>336</v>
      </c>
      <c r="H154" s="475"/>
      <c r="I154" s="476" t="s">
        <v>337</v>
      </c>
      <c r="J154" s="477"/>
      <c r="K154" s="382"/>
      <c r="L154" s="383"/>
      <c r="M154" s="383"/>
      <c r="N154" s="383"/>
      <c r="O154" s="382"/>
      <c r="P154" s="384"/>
      <c r="Q154" s="382"/>
      <c r="R154" s="2"/>
      <c r="S154" s="2"/>
      <c r="AK154" s="2"/>
      <c r="AL154" s="2"/>
      <c r="AM154" s="2"/>
      <c r="AN154" s="2"/>
      <c r="AO154" s="2"/>
      <c r="AP154" s="2"/>
      <c r="AQ154" s="2"/>
      <c r="AR154" s="2"/>
      <c r="AS154" s="2"/>
      <c r="AT154" s="2"/>
    </row>
    <row r="155">
      <c r="E155" s="341"/>
      <c r="F155" s="341"/>
      <c r="G155" s="432" t="s">
        <v>338</v>
      </c>
      <c r="H155" s="478" t="str">
        <f>K148</f>
        <v/>
      </c>
      <c r="I155" s="479"/>
      <c r="J155" s="391"/>
      <c r="K155" s="404"/>
      <c r="L155" s="405"/>
      <c r="M155" s="405"/>
      <c r="N155" s="405"/>
      <c r="O155" s="404"/>
      <c r="P155" s="480"/>
      <c r="Q155" s="391"/>
      <c r="R155" s="2"/>
      <c r="S155" s="2"/>
      <c r="AK155" s="2"/>
      <c r="AL155" s="2"/>
      <c r="AM155" s="2"/>
      <c r="AN155" s="2"/>
      <c r="AO155" s="2"/>
      <c r="AP155" s="2"/>
      <c r="AQ155" s="2"/>
      <c r="AR155" s="2"/>
      <c r="AS155" s="2"/>
      <c r="AT155" s="2"/>
    </row>
    <row r="156">
      <c r="E156" s="341"/>
      <c r="F156" s="341"/>
      <c r="G156" s="432" t="s">
        <v>339</v>
      </c>
      <c r="H156" s="481" t="s">
        <v>306</v>
      </c>
      <c r="I156" s="482"/>
      <c r="J156" s="483">
        <v>2.0</v>
      </c>
      <c r="K156" s="399"/>
      <c r="L156" s="400"/>
      <c r="M156" s="400"/>
      <c r="N156" s="400"/>
      <c r="O156" s="399"/>
      <c r="P156" s="484"/>
      <c r="Q156" s="387"/>
      <c r="R156" s="2"/>
      <c r="S156" s="2"/>
      <c r="AK156" s="2"/>
      <c r="AL156" s="2"/>
      <c r="AM156" s="2"/>
      <c r="AN156" s="2"/>
      <c r="AO156" s="2"/>
      <c r="AP156" s="2"/>
      <c r="AQ156" s="2"/>
      <c r="AR156" s="2"/>
      <c r="AS156" s="2"/>
      <c r="AT156" s="2"/>
    </row>
    <row r="157">
      <c r="E157" s="341"/>
      <c r="F157" s="341"/>
      <c r="G157" s="341"/>
      <c r="H157" s="485" t="s">
        <v>307</v>
      </c>
      <c r="I157" s="479"/>
      <c r="J157" s="390">
        <f>P153/J156 * (J156-1)</f>
        <v>48</v>
      </c>
      <c r="K157" s="404"/>
      <c r="L157" s="405"/>
      <c r="M157" s="405"/>
      <c r="N157" s="405"/>
      <c r="O157" s="404"/>
      <c r="P157" s="480"/>
      <c r="Q157" s="391"/>
      <c r="R157" s="2"/>
      <c r="S157" s="2"/>
      <c r="AK157" s="2"/>
      <c r="AL157" s="2"/>
      <c r="AM157" s="2"/>
      <c r="AN157" s="2"/>
      <c r="AO157" s="2"/>
      <c r="AP157" s="2"/>
      <c r="AQ157" s="2"/>
      <c r="AR157" s="2"/>
      <c r="AS157" s="2"/>
      <c r="AT157" s="2"/>
    </row>
    <row r="158">
      <c r="E158" s="341"/>
      <c r="F158" s="341"/>
      <c r="G158" s="341"/>
      <c r="H158" s="481" t="s">
        <v>308</v>
      </c>
      <c r="I158" s="482"/>
      <c r="J158" s="395">
        <f>J157*J156</f>
        <v>96</v>
      </c>
      <c r="K158" s="399"/>
      <c r="L158" s="400"/>
      <c r="M158" s="400"/>
      <c r="N158" s="400"/>
      <c r="O158" s="399"/>
      <c r="P158" s="484"/>
      <c r="Q158" s="387"/>
      <c r="R158" s="2"/>
      <c r="S158" s="2"/>
      <c r="AK158" s="2"/>
      <c r="AL158" s="2"/>
      <c r="AM158" s="2"/>
      <c r="AN158" s="2"/>
      <c r="AO158" s="2"/>
      <c r="AP158" s="2"/>
      <c r="AQ158" s="2"/>
      <c r="AR158" s="2"/>
      <c r="AS158" s="2"/>
      <c r="AT158" s="2"/>
    </row>
    <row r="159">
      <c r="E159" s="341"/>
      <c r="F159" s="341"/>
      <c r="G159" s="352"/>
      <c r="H159" s="485" t="s">
        <v>311</v>
      </c>
      <c r="I159" s="479"/>
      <c r="J159" s="486">
        <f>ALL_GATHER_CORE2CORE_TIME_MS(J158)</f>
        <v>0.05208333333</v>
      </c>
      <c r="K159" s="404"/>
      <c r="L159" s="405"/>
      <c r="M159" s="405"/>
      <c r="N159" s="405"/>
      <c r="O159" s="404"/>
      <c r="P159" s="480"/>
      <c r="Q159" s="391"/>
      <c r="R159" s="2"/>
      <c r="S159" s="2"/>
      <c r="AK159" s="2"/>
      <c r="AL159" s="2"/>
      <c r="AM159" s="2"/>
      <c r="AN159" s="2"/>
      <c r="AO159" s="2"/>
      <c r="AP159" s="2"/>
      <c r="AQ159" s="2"/>
      <c r="AR159" s="2"/>
      <c r="AS159" s="2"/>
      <c r="AT159" s="2"/>
    </row>
    <row r="160">
      <c r="E160" s="341"/>
      <c r="F160" s="341"/>
      <c r="G160" s="487" t="s">
        <v>340</v>
      </c>
      <c r="H160" s="488">
        <f>J159</f>
        <v>0.05208333333</v>
      </c>
      <c r="I160" s="489"/>
      <c r="J160" s="399"/>
      <c r="K160" s="399"/>
      <c r="L160" s="400"/>
      <c r="M160" s="400"/>
      <c r="N160" s="400"/>
      <c r="O160" s="399"/>
      <c r="P160" s="484"/>
      <c r="Q160" s="387"/>
      <c r="R160" s="2"/>
      <c r="S160" s="2"/>
      <c r="AK160" s="2"/>
      <c r="AL160" s="2"/>
      <c r="AM160" s="2"/>
      <c r="AN160" s="2"/>
      <c r="AO160" s="2"/>
      <c r="AP160" s="2"/>
      <c r="AQ160" s="2"/>
      <c r="AR160" s="2"/>
      <c r="AS160" s="2"/>
      <c r="AT160" s="2"/>
    </row>
    <row r="161">
      <c r="E161" s="341"/>
      <c r="F161" s="341"/>
      <c r="G161" s="490"/>
      <c r="H161" s="491"/>
      <c r="I161" s="492"/>
      <c r="J161" s="336"/>
      <c r="K161" s="336"/>
      <c r="L161" s="349"/>
      <c r="M161" s="349"/>
      <c r="N161" s="349"/>
      <c r="O161" s="336"/>
      <c r="P161" s="351"/>
      <c r="Q161" s="298"/>
      <c r="R161" s="2"/>
      <c r="S161" s="2"/>
      <c r="AK161" s="2"/>
      <c r="AL161" s="2"/>
      <c r="AM161" s="2"/>
      <c r="AN161" s="2"/>
      <c r="AO161" s="2"/>
      <c r="AP161" s="2"/>
      <c r="AQ161" s="2"/>
      <c r="AR161" s="2"/>
      <c r="AS161" s="2"/>
      <c r="AT161" s="2"/>
    </row>
    <row r="162">
      <c r="E162" s="341"/>
      <c r="F162" s="341"/>
      <c r="G162" s="443" t="s">
        <v>322</v>
      </c>
      <c r="H162" s="444" t="s">
        <v>323</v>
      </c>
      <c r="I162" s="493"/>
      <c r="J162" s="345"/>
      <c r="K162" s="345"/>
      <c r="L162" s="346"/>
      <c r="M162" s="346"/>
      <c r="N162" s="346"/>
      <c r="O162" s="345"/>
      <c r="P162" s="348"/>
      <c r="Q162" s="379"/>
      <c r="R162" s="2"/>
      <c r="S162" s="2"/>
      <c r="AK162" s="2"/>
      <c r="AL162" s="2"/>
      <c r="AM162" s="2"/>
      <c r="AN162" s="2"/>
      <c r="AO162" s="2"/>
      <c r="AP162" s="2"/>
      <c r="AQ162" s="2"/>
      <c r="AR162" s="2"/>
      <c r="AS162" s="2"/>
      <c r="AT162" s="2"/>
    </row>
    <row r="163">
      <c r="E163" s="341"/>
      <c r="F163" s="352"/>
      <c r="G163" s="446" t="s">
        <v>324</v>
      </c>
      <c r="H163" s="447">
        <f>IF(H162=G154,H160,0)</f>
        <v>0</v>
      </c>
      <c r="I163" s="492"/>
      <c r="J163" s="336"/>
      <c r="K163" s="336"/>
      <c r="L163" s="349"/>
      <c r="M163" s="349"/>
      <c r="N163" s="349"/>
      <c r="O163" s="336"/>
      <c r="P163" s="351"/>
      <c r="Q163" s="298"/>
      <c r="R163" s="2"/>
      <c r="S163" s="2"/>
      <c r="AK163" s="2"/>
      <c r="AL163" s="2"/>
      <c r="AM163" s="2"/>
      <c r="AN163" s="2"/>
      <c r="AO163" s="2"/>
      <c r="AP163" s="2"/>
      <c r="AQ163" s="2"/>
      <c r="AR163" s="2"/>
      <c r="AS163" s="2"/>
      <c r="AT163" s="2"/>
    </row>
    <row r="164">
      <c r="E164" s="341"/>
      <c r="F164" s="458" t="s">
        <v>327</v>
      </c>
      <c r="G164" s="459" t="s">
        <v>328</v>
      </c>
      <c r="H164" s="346" t="str">
        <f>VLOOKUP(O142&amp;","&amp;O146,$T$3:$W$12,4, FALSE)</f>
        <v>fp8</v>
      </c>
      <c r="I164" s="493"/>
      <c r="J164" s="345"/>
      <c r="K164" s="345"/>
      <c r="L164" s="346"/>
      <c r="M164" s="346"/>
      <c r="N164" s="346"/>
      <c r="O164" s="345"/>
      <c r="P164" s="348"/>
      <c r="Q164" s="379"/>
      <c r="R164" s="2"/>
      <c r="S164" s="2"/>
      <c r="AK164" s="2"/>
      <c r="AL164" s="2"/>
      <c r="AM164" s="2"/>
      <c r="AN164" s="2"/>
      <c r="AO164" s="2"/>
      <c r="AP164" s="2"/>
      <c r="AQ164" s="2"/>
      <c r="AR164" s="2"/>
      <c r="AS164" s="2"/>
      <c r="AT164" s="2"/>
    </row>
    <row r="165">
      <c r="E165" s="341"/>
      <c r="F165" s="341"/>
      <c r="G165" s="455" t="s">
        <v>341</v>
      </c>
      <c r="H165" s="494">
        <f>CALCULATE_FLOPS(K145:M145,K149:M149,K149,1,H164)</f>
        <v>154618822656</v>
      </c>
      <c r="I165" s="492"/>
      <c r="J165" s="336"/>
      <c r="K165" s="336"/>
      <c r="L165" s="349"/>
      <c r="M165" s="349"/>
      <c r="N165" s="349"/>
      <c r="O165" s="336"/>
      <c r="P165" s="351"/>
      <c r="Q165" s="298"/>
      <c r="R165" s="2"/>
      <c r="S165" s="2"/>
      <c r="AK165" s="2"/>
      <c r="AL165" s="2"/>
      <c r="AM165" s="2"/>
      <c r="AN165" s="2"/>
      <c r="AO165" s="2"/>
      <c r="AP165" s="2"/>
      <c r="AQ165" s="2"/>
      <c r="AR165" s="2"/>
      <c r="AS165" s="2"/>
      <c r="AT165" s="2"/>
    </row>
    <row r="166">
      <c r="A166" s="207"/>
      <c r="B166" s="2"/>
      <c r="C166" s="2"/>
      <c r="D166" s="2"/>
      <c r="E166" s="341"/>
      <c r="F166" s="352"/>
      <c r="G166" s="462" t="s">
        <v>330</v>
      </c>
      <c r="H166" s="495">
        <f>COMPUTE_TIME_MS(H165, H164)</f>
        <v>0.04123168604</v>
      </c>
      <c r="I166" s="464"/>
      <c r="J166" s="465"/>
      <c r="K166" s="465"/>
      <c r="L166" s="466"/>
      <c r="M166" s="466"/>
      <c r="N166" s="466"/>
      <c r="O166" s="465"/>
      <c r="P166" s="467"/>
      <c r="Q166" s="379"/>
      <c r="R166" s="2"/>
      <c r="S166" s="2"/>
      <c r="AK166" s="2"/>
      <c r="AL166" s="2"/>
      <c r="AM166" s="2"/>
      <c r="AN166" s="2"/>
      <c r="AO166" s="2"/>
      <c r="AP166" s="2"/>
      <c r="AQ166" s="2"/>
      <c r="AR166" s="2"/>
      <c r="AS166" s="2"/>
      <c r="AT166" s="2"/>
    </row>
    <row r="167">
      <c r="A167" s="207"/>
      <c r="B167" s="2"/>
      <c r="C167" s="2"/>
      <c r="D167" s="2"/>
      <c r="E167" s="341"/>
      <c r="F167" s="458" t="s">
        <v>331</v>
      </c>
      <c r="G167" s="455" t="s">
        <v>332</v>
      </c>
      <c r="H167" s="377">
        <f>IF(Q142,0,P145)+IF(Q146,0,P149)+IF(Q150,0,P153)</f>
        <v>135</v>
      </c>
      <c r="I167" s="336"/>
      <c r="J167" s="336"/>
      <c r="K167" s="336"/>
      <c r="L167" s="349"/>
      <c r="M167" s="349"/>
      <c r="N167" s="349"/>
      <c r="O167" s="336"/>
      <c r="P167" s="351"/>
      <c r="Q167" s="298"/>
      <c r="R167" s="2"/>
      <c r="S167" s="2"/>
      <c r="AK167" s="2"/>
      <c r="AL167" s="2"/>
      <c r="AM167" s="2"/>
      <c r="AN167" s="2"/>
      <c r="AO167" s="2"/>
      <c r="AP167" s="2"/>
      <c r="AQ167" s="2"/>
      <c r="AR167" s="2"/>
      <c r="AS167" s="2"/>
      <c r="AT167" s="2"/>
    </row>
    <row r="168">
      <c r="A168" s="2"/>
      <c r="B168" s="2"/>
      <c r="C168" s="2"/>
      <c r="D168" s="2"/>
      <c r="E168" s="352"/>
      <c r="F168" s="352"/>
      <c r="G168" s="469" t="s">
        <v>333</v>
      </c>
      <c r="H168" s="496">
        <f>HBM_TIME_MS(H167)</f>
        <v>0.01831054688</v>
      </c>
      <c r="I168" s="465"/>
      <c r="J168" s="465"/>
      <c r="K168" s="465"/>
      <c r="L168" s="466"/>
      <c r="M168" s="466"/>
      <c r="N168" s="466"/>
      <c r="O168" s="465"/>
      <c r="P168" s="467"/>
      <c r="Q168" s="379"/>
      <c r="R168" s="2"/>
      <c r="S168" s="2"/>
      <c r="AK168" s="2"/>
      <c r="AL168" s="2"/>
      <c r="AM168" s="2"/>
      <c r="AN168" s="2"/>
      <c r="AO168" s="2"/>
      <c r="AP168" s="2"/>
      <c r="AQ168" s="2"/>
      <c r="AR168" s="2"/>
      <c r="AS168" s="2"/>
      <c r="AT168" s="2"/>
    </row>
    <row r="169">
      <c r="A169" s="161"/>
      <c r="B169" s="161"/>
      <c r="C169" s="161"/>
      <c r="D169" s="161"/>
      <c r="E169" s="333" t="s">
        <v>342</v>
      </c>
      <c r="F169" s="357" t="s">
        <v>292</v>
      </c>
      <c r="G169" s="335"/>
      <c r="H169" s="364" t="s">
        <v>281</v>
      </c>
      <c r="I169" s="364" t="s">
        <v>282</v>
      </c>
      <c r="J169" s="273" t="s">
        <v>104</v>
      </c>
      <c r="K169" s="273" t="s">
        <v>102</v>
      </c>
      <c r="L169" s="273" t="s">
        <v>207</v>
      </c>
      <c r="M169" s="472" t="s">
        <v>201</v>
      </c>
      <c r="N169" s="364" t="s">
        <v>283</v>
      </c>
      <c r="O169" s="365" t="str">
        <f>EXTRACT_ACTIVATION_DTYPE(PARAMS("attn_proj_dtype"))</f>
        <v>fp8</v>
      </c>
      <c r="P169" s="366"/>
      <c r="Q169" s="365" t="b">
        <v>0</v>
      </c>
      <c r="R169" s="2"/>
      <c r="S169" s="2"/>
      <c r="AK169" s="2"/>
      <c r="AL169" s="2"/>
      <c r="AM169" s="2"/>
      <c r="AN169" s="2"/>
      <c r="AO169" s="2"/>
      <c r="AP169" s="2"/>
      <c r="AQ169" s="2"/>
      <c r="AR169" s="2"/>
      <c r="AS169" s="2"/>
      <c r="AT169" s="2"/>
    </row>
    <row r="170">
      <c r="A170" s="161"/>
      <c r="B170" s="161"/>
      <c r="C170" s="161"/>
      <c r="D170" s="161"/>
      <c r="E170" s="341"/>
      <c r="F170" s="342"/>
      <c r="G170" s="343"/>
      <c r="H170" s="273" t="s">
        <v>285</v>
      </c>
      <c r="I170" s="364" t="s">
        <v>282</v>
      </c>
      <c r="J170" s="363">
        <f t="shared" ref="J170:M170" si="24">PARAMS(J169)</f>
        <v>8</v>
      </c>
      <c r="K170" s="364">
        <f t="shared" si="24"/>
        <v>2048</v>
      </c>
      <c r="L170" s="364">
        <f t="shared" si="24"/>
        <v>128</v>
      </c>
      <c r="M170" s="364">
        <f t="shared" si="24"/>
        <v>128</v>
      </c>
      <c r="N170" s="364" t="s">
        <v>283</v>
      </c>
      <c r="O170" s="341"/>
      <c r="P170" s="366">
        <f>SIZEOF_IN_MIB(J170:M170, $O169)</f>
        <v>256</v>
      </c>
      <c r="Q170" s="341"/>
      <c r="R170" s="2"/>
      <c r="S170" s="2"/>
      <c r="AK170" s="2"/>
      <c r="AL170" s="2"/>
      <c r="AM170" s="2"/>
      <c r="AN170" s="2"/>
      <c r="AO170" s="2"/>
      <c r="AP170" s="2"/>
      <c r="AQ170" s="2"/>
      <c r="AR170" s="2"/>
      <c r="AS170" s="2"/>
      <c r="AT170" s="2"/>
    </row>
    <row r="171">
      <c r="A171" s="161"/>
      <c r="B171" s="161"/>
      <c r="C171" s="161"/>
      <c r="D171" s="161"/>
      <c r="E171" s="341"/>
      <c r="F171" s="342"/>
      <c r="G171" s="343"/>
      <c r="H171" s="363" t="s">
        <v>287</v>
      </c>
      <c r="I171" s="363" t="s">
        <v>282</v>
      </c>
      <c r="J171" s="273" t="s">
        <v>196</v>
      </c>
      <c r="K171" s="273"/>
      <c r="L171" s="273"/>
      <c r="M171" s="363"/>
      <c r="N171" s="363" t="s">
        <v>283</v>
      </c>
      <c r="O171" s="341"/>
      <c r="P171" s="366"/>
      <c r="Q171" s="341"/>
      <c r="R171" s="2"/>
      <c r="S171" s="2"/>
      <c r="AG171" s="2"/>
      <c r="AH171" s="2"/>
      <c r="AI171" s="2"/>
      <c r="AJ171" s="2"/>
      <c r="AK171" s="2"/>
      <c r="AL171" s="2"/>
      <c r="AM171" s="2"/>
      <c r="AN171" s="2"/>
      <c r="AO171" s="2"/>
      <c r="AP171" s="2"/>
      <c r="AQ171" s="2"/>
      <c r="AR171" s="2"/>
      <c r="AS171" s="2"/>
      <c r="AT171" s="2"/>
    </row>
    <row r="172">
      <c r="A172" s="161"/>
      <c r="B172" s="161"/>
      <c r="C172" s="161"/>
      <c r="D172" s="161"/>
      <c r="E172" s="341"/>
      <c r="F172" s="353"/>
      <c r="G172" s="354"/>
      <c r="H172" s="273" t="s">
        <v>289</v>
      </c>
      <c r="I172" s="363" t="s">
        <v>282</v>
      </c>
      <c r="J172" s="363">
        <f t="shared" ref="J172:M172" si="25">J170/SHARDING(J171)</f>
        <v>1</v>
      </c>
      <c r="K172" s="363">
        <f t="shared" si="25"/>
        <v>2048</v>
      </c>
      <c r="L172" s="363">
        <f t="shared" si="25"/>
        <v>128</v>
      </c>
      <c r="M172" s="363">
        <f t="shared" si="25"/>
        <v>128</v>
      </c>
      <c r="N172" s="363" t="s">
        <v>283</v>
      </c>
      <c r="O172" s="352"/>
      <c r="P172" s="366">
        <f>SIZEOF_IN_MIB(J172:M172, $O169)</f>
        <v>32</v>
      </c>
      <c r="Q172" s="352"/>
      <c r="R172" s="2"/>
      <c r="S172" s="2"/>
      <c r="AG172" s="2"/>
      <c r="AH172" s="2"/>
      <c r="AI172" s="2"/>
      <c r="AJ172" s="2"/>
      <c r="AK172" s="2"/>
      <c r="AL172" s="2"/>
      <c r="AM172" s="2"/>
      <c r="AN172" s="2"/>
      <c r="AO172" s="2"/>
      <c r="AP172" s="2"/>
      <c r="AQ172" s="2"/>
      <c r="AR172" s="2"/>
      <c r="AS172" s="2"/>
      <c r="AT172" s="2"/>
    </row>
    <row r="173">
      <c r="A173" s="161"/>
      <c r="B173" s="161"/>
      <c r="C173" s="161"/>
      <c r="D173" s="161"/>
      <c r="E173" s="341"/>
      <c r="F173" s="334" t="s">
        <v>296</v>
      </c>
      <c r="G173" s="335"/>
      <c r="H173" s="363" t="s">
        <v>281</v>
      </c>
      <c r="I173" s="363" t="s">
        <v>282</v>
      </c>
      <c r="J173" s="364"/>
      <c r="K173" s="273" t="s">
        <v>207</v>
      </c>
      <c r="L173" s="472" t="s">
        <v>201</v>
      </c>
      <c r="M173" s="273" t="s">
        <v>198</v>
      </c>
      <c r="N173" s="363" t="s">
        <v>283</v>
      </c>
      <c r="O173" s="365" t="str">
        <f>EXTRACT_WEIGHT_DTYPE(PARAMS("attn_proj_dtype"))</f>
        <v>fp8</v>
      </c>
      <c r="P173" s="366"/>
      <c r="Q173" s="365" t="b">
        <v>0</v>
      </c>
      <c r="R173" s="2"/>
      <c r="S173" s="2"/>
      <c r="AG173" s="2"/>
      <c r="AH173" s="2"/>
      <c r="AI173" s="2"/>
      <c r="AJ173" s="2"/>
      <c r="AK173" s="2"/>
      <c r="AL173" s="2"/>
      <c r="AM173" s="2"/>
      <c r="AN173" s="2"/>
      <c r="AO173" s="2"/>
      <c r="AP173" s="2"/>
      <c r="AQ173" s="2"/>
      <c r="AR173" s="2"/>
      <c r="AS173" s="2"/>
      <c r="AT173" s="2"/>
    </row>
    <row r="174">
      <c r="A174" s="161"/>
      <c r="B174" s="161"/>
      <c r="C174" s="161"/>
      <c r="D174" s="161"/>
      <c r="E174" s="341"/>
      <c r="F174" s="342"/>
      <c r="G174" s="343"/>
      <c r="H174" s="273" t="s">
        <v>285</v>
      </c>
      <c r="I174" s="363" t="s">
        <v>282</v>
      </c>
      <c r="J174" s="364"/>
      <c r="K174" s="363">
        <f t="shared" ref="K174:M174" si="26">PARAMS(K173)</f>
        <v>128</v>
      </c>
      <c r="L174" s="363">
        <f t="shared" si="26"/>
        <v>128</v>
      </c>
      <c r="M174" s="363">
        <f t="shared" si="26"/>
        <v>512</v>
      </c>
      <c r="N174" s="363" t="s">
        <v>283</v>
      </c>
      <c r="O174" s="341"/>
      <c r="P174" s="366">
        <f>SIZEOF_IN_MIB(J174:M174, $O173)</f>
        <v>8</v>
      </c>
      <c r="Q174" s="341"/>
      <c r="R174" s="2"/>
      <c r="S174" s="2"/>
      <c r="AG174" s="2"/>
      <c r="AH174" s="2"/>
      <c r="AI174" s="2"/>
      <c r="AJ174" s="2"/>
      <c r="AK174" s="2"/>
      <c r="AL174" s="2"/>
      <c r="AM174" s="2"/>
      <c r="AN174" s="2"/>
      <c r="AO174" s="2"/>
      <c r="AP174" s="2"/>
      <c r="AQ174" s="2"/>
      <c r="AR174" s="2"/>
      <c r="AS174" s="2"/>
      <c r="AT174" s="2"/>
    </row>
    <row r="175">
      <c r="A175" s="161"/>
      <c r="B175" s="161"/>
      <c r="C175" s="161"/>
      <c r="D175" s="161"/>
      <c r="E175" s="341"/>
      <c r="F175" s="342"/>
      <c r="G175" s="343"/>
      <c r="H175" s="363" t="s">
        <v>287</v>
      </c>
      <c r="I175" s="363" t="s">
        <v>282</v>
      </c>
      <c r="J175" s="364"/>
      <c r="K175" s="364"/>
      <c r="L175" s="363"/>
      <c r="M175" s="363"/>
      <c r="N175" s="363" t="s">
        <v>283</v>
      </c>
      <c r="O175" s="341"/>
      <c r="P175" s="366"/>
      <c r="Q175" s="341"/>
      <c r="R175" s="2"/>
      <c r="S175" s="2"/>
      <c r="AG175" s="2"/>
      <c r="AH175" s="2"/>
      <c r="AI175" s="2"/>
      <c r="AJ175" s="2"/>
      <c r="AK175" s="2"/>
      <c r="AL175" s="2"/>
      <c r="AM175" s="2"/>
      <c r="AN175" s="2"/>
      <c r="AO175" s="2"/>
      <c r="AP175" s="2"/>
      <c r="AQ175" s="2"/>
      <c r="AR175" s="2"/>
      <c r="AS175" s="2"/>
      <c r="AT175" s="2"/>
    </row>
    <row r="176">
      <c r="A176" s="161"/>
      <c r="B176" s="161"/>
      <c r="C176" s="161"/>
      <c r="D176" s="161"/>
      <c r="E176" s="341"/>
      <c r="F176" s="353"/>
      <c r="G176" s="354"/>
      <c r="H176" s="349" t="s">
        <v>289</v>
      </c>
      <c r="I176" s="349" t="s">
        <v>282</v>
      </c>
      <c r="J176" s="336"/>
      <c r="K176" s="349">
        <f t="shared" ref="K176:M176" si="27">K174/SHARDING(K175)</f>
        <v>128</v>
      </c>
      <c r="L176" s="349">
        <f t="shared" si="27"/>
        <v>128</v>
      </c>
      <c r="M176" s="349">
        <f t="shared" si="27"/>
        <v>512</v>
      </c>
      <c r="N176" s="349" t="s">
        <v>283</v>
      </c>
      <c r="O176" s="316"/>
      <c r="P176" s="351">
        <f>SIZEOF_IN_MIB(J176:M176, $O173)</f>
        <v>8</v>
      </c>
      <c r="Q176" s="316"/>
      <c r="R176" s="2"/>
      <c r="S176" s="2"/>
      <c r="T176" s="284"/>
      <c r="U176" s="284"/>
      <c r="V176" s="284"/>
      <c r="W176" s="284"/>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34" t="s">
        <v>56</v>
      </c>
      <c r="G177" s="335"/>
      <c r="H177" s="346" t="s">
        <v>281</v>
      </c>
      <c r="I177" s="346" t="s">
        <v>282</v>
      </c>
      <c r="J177" s="344" t="s">
        <v>104</v>
      </c>
      <c r="K177" s="344" t="s">
        <v>102</v>
      </c>
      <c r="L177" s="344" t="s">
        <v>207</v>
      </c>
      <c r="M177" s="344" t="s">
        <v>198</v>
      </c>
      <c r="N177" s="346" t="s">
        <v>283</v>
      </c>
      <c r="O177" s="473" t="s">
        <v>133</v>
      </c>
      <c r="P177" s="348"/>
      <c r="Q177" s="473" t="b">
        <v>0</v>
      </c>
      <c r="R177" s="2"/>
      <c r="S177" s="2"/>
      <c r="T177" s="284"/>
      <c r="U177" s="284"/>
      <c r="V177" s="284"/>
      <c r="W177" s="284"/>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 r="A178" s="161"/>
      <c r="B178" s="161"/>
      <c r="C178" s="161"/>
      <c r="D178" s="161"/>
      <c r="E178" s="341"/>
      <c r="F178" s="342"/>
      <c r="G178" s="343"/>
      <c r="H178" s="337" t="s">
        <v>285</v>
      </c>
      <c r="I178" s="349" t="s">
        <v>282</v>
      </c>
      <c r="J178" s="349">
        <f t="shared" ref="J178:M178" si="28">PARAMS(J177)</f>
        <v>8</v>
      </c>
      <c r="K178" s="349">
        <f t="shared" si="28"/>
        <v>2048</v>
      </c>
      <c r="L178" s="349">
        <f t="shared" si="28"/>
        <v>128</v>
      </c>
      <c r="M178" s="349">
        <f t="shared" si="28"/>
        <v>512</v>
      </c>
      <c r="N178" s="349" t="s">
        <v>283</v>
      </c>
      <c r="O178" s="350"/>
      <c r="P178" s="351">
        <f>SIZEOF_IN_MIB(J178:M178, $O177)</f>
        <v>2048</v>
      </c>
      <c r="Q178" s="350"/>
      <c r="R178" s="2"/>
      <c r="S178" s="2"/>
      <c r="T178" s="284"/>
      <c r="U178" s="284"/>
      <c r="V178" s="284"/>
      <c r="W178" s="284"/>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61"/>
      <c r="B179" s="161"/>
      <c r="C179" s="161"/>
      <c r="D179" s="161"/>
      <c r="E179" s="341"/>
      <c r="F179" s="342"/>
      <c r="G179" s="343"/>
      <c r="H179" s="346" t="s">
        <v>287</v>
      </c>
      <c r="I179" s="346" t="s">
        <v>282</v>
      </c>
      <c r="J179" s="344" t="s">
        <v>196</v>
      </c>
      <c r="K179" s="344"/>
      <c r="L179" s="344"/>
      <c r="M179" s="346"/>
      <c r="N179" s="346" t="s">
        <v>283</v>
      </c>
      <c r="O179" s="347"/>
      <c r="P179" s="348"/>
      <c r="Q179" s="347"/>
      <c r="R179" s="2"/>
      <c r="S179" s="2"/>
      <c r="T179" s="284"/>
      <c r="U179" s="284"/>
      <c r="V179" s="284"/>
      <c r="W179" s="284"/>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61"/>
      <c r="B180" s="161"/>
      <c r="C180" s="161"/>
      <c r="D180" s="161"/>
      <c r="E180" s="341"/>
      <c r="F180" s="353"/>
      <c r="G180" s="354"/>
      <c r="H180" s="349" t="s">
        <v>289</v>
      </c>
      <c r="I180" s="349" t="s">
        <v>282</v>
      </c>
      <c r="J180" s="349">
        <f t="shared" ref="J180:M180" si="29">J178/SHARDING(J179)</f>
        <v>1</v>
      </c>
      <c r="K180" s="349">
        <f t="shared" si="29"/>
        <v>2048</v>
      </c>
      <c r="L180" s="349">
        <f t="shared" si="29"/>
        <v>128</v>
      </c>
      <c r="M180" s="349">
        <f t="shared" si="29"/>
        <v>512</v>
      </c>
      <c r="N180" s="349" t="s">
        <v>283</v>
      </c>
      <c r="O180" s="316"/>
      <c r="P180" s="351">
        <f>SIZEOF_IN_MIB(J180:M180, $O177)</f>
        <v>256</v>
      </c>
      <c r="Q180" s="316"/>
      <c r="R180" s="2"/>
      <c r="S180" s="2"/>
      <c r="T180" s="284"/>
      <c r="U180" s="284"/>
      <c r="V180" s="284"/>
      <c r="W180" s="284"/>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61"/>
      <c r="B181" s="161"/>
      <c r="C181" s="161"/>
      <c r="D181" s="161"/>
      <c r="E181" s="341"/>
      <c r="F181" s="474" t="s">
        <v>335</v>
      </c>
      <c r="G181" s="459" t="s">
        <v>109</v>
      </c>
      <c r="H181" s="497"/>
      <c r="I181" s="498"/>
      <c r="J181" s="345"/>
      <c r="K181" s="345"/>
      <c r="L181" s="346"/>
      <c r="M181" s="346"/>
      <c r="N181" s="346"/>
      <c r="O181" s="345"/>
      <c r="P181" s="348"/>
      <c r="Q181" s="379"/>
      <c r="T181" s="4"/>
      <c r="U181" s="4"/>
      <c r="V181" s="4"/>
      <c r="W181" s="4"/>
    </row>
    <row r="182">
      <c r="A182" s="161"/>
      <c r="B182" s="2"/>
      <c r="C182" s="2"/>
      <c r="D182" s="2"/>
      <c r="E182" s="341"/>
      <c r="F182" s="352"/>
      <c r="G182" s="459"/>
      <c r="H182" s="349"/>
      <c r="I182" s="492"/>
      <c r="J182" s="336"/>
      <c r="K182" s="336"/>
      <c r="L182" s="349"/>
      <c r="M182" s="349"/>
      <c r="N182" s="349"/>
      <c r="O182" s="336"/>
      <c r="P182" s="351"/>
      <c r="Q182" s="298"/>
      <c r="T182" s="4"/>
      <c r="U182" s="4"/>
      <c r="V182" s="4"/>
      <c r="W182" s="4"/>
    </row>
    <row r="183">
      <c r="A183" s="2"/>
      <c r="B183" s="2"/>
      <c r="C183" s="2"/>
      <c r="D183" s="2"/>
      <c r="E183" s="341"/>
      <c r="F183" s="458" t="s">
        <v>327</v>
      </c>
      <c r="G183" s="459" t="s">
        <v>328</v>
      </c>
      <c r="H183" s="346" t="str">
        <f>VLOOKUP(O169&amp;","&amp;O173,$T$3:$W$12,4, FALSE)</f>
        <v>fp8</v>
      </c>
      <c r="I183" s="493"/>
      <c r="J183" s="345"/>
      <c r="K183" s="345"/>
      <c r="L183" s="346"/>
      <c r="M183" s="346"/>
      <c r="N183" s="346"/>
      <c r="O183" s="345"/>
      <c r="P183" s="348"/>
      <c r="Q183" s="379"/>
      <c r="T183" s="4"/>
      <c r="U183" s="4"/>
      <c r="V183" s="4"/>
      <c r="W183" s="4"/>
    </row>
    <row r="184">
      <c r="A184" s="161"/>
      <c r="B184" s="161"/>
      <c r="C184" s="161"/>
      <c r="D184" s="161"/>
      <c r="E184" s="341"/>
      <c r="F184" s="341"/>
      <c r="G184" s="455" t="s">
        <v>341</v>
      </c>
      <c r="H184" s="494">
        <f>CALCULATE_FLOPS(J172:M172,J176:M176,L176,K176,H183)</f>
        <v>34359738368</v>
      </c>
      <c r="I184" s="492"/>
      <c r="J184" s="336"/>
      <c r="K184" s="336"/>
      <c r="L184" s="349"/>
      <c r="M184" s="349"/>
      <c r="N184" s="349"/>
      <c r="O184" s="336"/>
      <c r="P184" s="351"/>
      <c r="Q184" s="298"/>
      <c r="T184" s="4"/>
      <c r="U184" s="4"/>
      <c r="V184" s="4"/>
      <c r="W184" s="4"/>
    </row>
    <row r="185">
      <c r="A185" s="161"/>
      <c r="B185" s="161"/>
      <c r="C185" s="161"/>
      <c r="D185" s="161"/>
      <c r="E185" s="341"/>
      <c r="F185" s="352"/>
      <c r="G185" s="462" t="s">
        <v>330</v>
      </c>
      <c r="H185" s="463">
        <f>COMPUTE_TIME_MS(H184, H183)</f>
        <v>0.009162596898</v>
      </c>
      <c r="I185" s="464"/>
      <c r="J185" s="465"/>
      <c r="K185" s="465"/>
      <c r="L185" s="466"/>
      <c r="M185" s="466"/>
      <c r="N185" s="466"/>
      <c r="O185" s="465"/>
      <c r="P185" s="467"/>
      <c r="Q185" s="379"/>
      <c r="T185" s="4"/>
      <c r="U185" s="4"/>
      <c r="V185" s="4"/>
      <c r="W185" s="4"/>
    </row>
    <row r="186">
      <c r="A186" s="161"/>
      <c r="B186" s="161"/>
      <c r="C186" s="161"/>
      <c r="D186" s="161"/>
      <c r="E186" s="341"/>
      <c r="F186" s="458" t="s">
        <v>331</v>
      </c>
      <c r="G186" s="455" t="s">
        <v>332</v>
      </c>
      <c r="H186" s="377">
        <f>IF(Q169,0,P172)+IF(Q173,0,P176)+IF(Q177,0,P180)</f>
        <v>296</v>
      </c>
      <c r="I186" s="336"/>
      <c r="J186" s="336"/>
      <c r="K186" s="336"/>
      <c r="L186" s="349"/>
      <c r="M186" s="349"/>
      <c r="N186" s="349"/>
      <c r="O186" s="336"/>
      <c r="P186" s="351"/>
      <c r="Q186" s="298"/>
      <c r="R186" s="2"/>
      <c r="S186" s="2"/>
      <c r="T186" s="284"/>
      <c r="U186" s="284"/>
      <c r="V186" s="284"/>
      <c r="W186" s="284"/>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 r="A187" s="161"/>
      <c r="B187" s="161"/>
      <c r="C187" s="161"/>
      <c r="D187" s="161"/>
      <c r="E187" s="352"/>
      <c r="F187" s="352"/>
      <c r="G187" s="469" t="s">
        <v>333</v>
      </c>
      <c r="H187" s="496">
        <f>HBM_TIME_MS(H186)</f>
        <v>0.04014756944</v>
      </c>
      <c r="I187" s="465"/>
      <c r="J187" s="465"/>
      <c r="K187" s="465"/>
      <c r="L187" s="466"/>
      <c r="M187" s="466"/>
      <c r="N187" s="466"/>
      <c r="O187" s="465"/>
      <c r="P187" s="467"/>
      <c r="Q187" s="379"/>
      <c r="R187" s="2"/>
      <c r="S187" s="2"/>
      <c r="T187" s="284"/>
      <c r="U187" s="284"/>
      <c r="V187" s="284"/>
      <c r="W187" s="284"/>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 r="A188" s="161"/>
      <c r="B188" s="161"/>
      <c r="C188" s="161"/>
      <c r="D188" s="161"/>
      <c r="E188" s="333" t="s">
        <v>343</v>
      </c>
      <c r="F188" s="357" t="s">
        <v>292</v>
      </c>
      <c r="G188" s="335"/>
      <c r="H188" s="336" t="s">
        <v>281</v>
      </c>
      <c r="I188" s="336" t="s">
        <v>282</v>
      </c>
      <c r="J188" s="337"/>
      <c r="K188" s="337" t="s">
        <v>104</v>
      </c>
      <c r="L188" s="337" t="s">
        <v>102</v>
      </c>
      <c r="M188" s="499" t="s">
        <v>178</v>
      </c>
      <c r="N188" s="336" t="s">
        <v>283</v>
      </c>
      <c r="O188" s="338" t="str">
        <f>EXTRACT_ACTIVATION_DTYPE(PARAMS("attn_proj_dtype"))</f>
        <v>fp8</v>
      </c>
      <c r="P188" s="351"/>
      <c r="Q188" s="338" t="b">
        <v>0</v>
      </c>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 r="A189" s="161"/>
      <c r="B189" s="161"/>
      <c r="C189" s="161"/>
      <c r="D189" s="161"/>
      <c r="E189" s="341"/>
      <c r="F189" s="342"/>
      <c r="G189" s="343"/>
      <c r="H189" s="273" t="s">
        <v>285</v>
      </c>
      <c r="I189" s="364" t="s">
        <v>282</v>
      </c>
      <c r="J189" s="363"/>
      <c r="K189" s="363">
        <f t="shared" ref="K189:M189" si="30">PARAMS(K188)</f>
        <v>8</v>
      </c>
      <c r="L189" s="364">
        <f t="shared" si="30"/>
        <v>2048</v>
      </c>
      <c r="M189" s="364">
        <f t="shared" si="30"/>
        <v>7168</v>
      </c>
      <c r="N189" s="364" t="s">
        <v>283</v>
      </c>
      <c r="O189" s="341"/>
      <c r="P189" s="366">
        <f>SIZEOF_IN_MIB(J189:M189, $O188)</f>
        <v>112</v>
      </c>
      <c r="Q189" s="341"/>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 r="A190" s="161"/>
      <c r="B190" s="161"/>
      <c r="C190" s="161"/>
      <c r="D190" s="161"/>
      <c r="E190" s="341"/>
      <c r="F190" s="342"/>
      <c r="G190" s="343"/>
      <c r="H190" s="363" t="s">
        <v>287</v>
      </c>
      <c r="I190" s="363" t="s">
        <v>282</v>
      </c>
      <c r="J190" s="364"/>
      <c r="K190" s="273" t="s">
        <v>196</v>
      </c>
      <c r="L190" s="273"/>
      <c r="M190" s="363"/>
      <c r="N190" s="363" t="s">
        <v>283</v>
      </c>
      <c r="O190" s="341"/>
      <c r="P190" s="366"/>
      <c r="Q190" s="341"/>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 r="A191" s="161"/>
      <c r="B191" s="161"/>
      <c r="C191" s="161"/>
      <c r="D191" s="161"/>
      <c r="E191" s="341"/>
      <c r="F191" s="353"/>
      <c r="G191" s="354"/>
      <c r="H191" s="273" t="s">
        <v>289</v>
      </c>
      <c r="I191" s="363" t="s">
        <v>282</v>
      </c>
      <c r="J191" s="364"/>
      <c r="K191" s="363">
        <f t="shared" ref="K191:M191" si="31">K189/SHARDING(K190)</f>
        <v>1</v>
      </c>
      <c r="L191" s="363">
        <f t="shared" si="31"/>
        <v>2048</v>
      </c>
      <c r="M191" s="363">
        <f t="shared" si="31"/>
        <v>7168</v>
      </c>
      <c r="N191" s="363" t="s">
        <v>283</v>
      </c>
      <c r="O191" s="352"/>
      <c r="P191" s="366">
        <f>SIZEOF_IN_MIB(J191:M191, $O188)</f>
        <v>14</v>
      </c>
      <c r="Q191" s="35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 r="A192" s="161"/>
      <c r="B192" s="161"/>
      <c r="C192" s="161"/>
      <c r="D192" s="161"/>
      <c r="E192" s="341"/>
      <c r="F192" s="334" t="s">
        <v>296</v>
      </c>
      <c r="G192" s="335"/>
      <c r="H192" s="363" t="s">
        <v>281</v>
      </c>
      <c r="I192" s="363" t="s">
        <v>282</v>
      </c>
      <c r="J192" s="364"/>
      <c r="K192" s="273"/>
      <c r="L192" s="472" t="s">
        <v>178</v>
      </c>
      <c r="M192" s="273" t="s">
        <v>210</v>
      </c>
      <c r="N192" s="363" t="s">
        <v>283</v>
      </c>
      <c r="O192" s="365" t="str">
        <f>EXTRACT_WEIGHT_DTYPE(PARAMS("attn_proj_dtype"))</f>
        <v>fp8</v>
      </c>
      <c r="P192" s="366"/>
      <c r="Q192" s="365" t="b">
        <v>0</v>
      </c>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 r="A193" s="161"/>
      <c r="B193" s="161"/>
      <c r="C193" s="161"/>
      <c r="D193" s="161"/>
      <c r="E193" s="341"/>
      <c r="F193" s="342"/>
      <c r="G193" s="343"/>
      <c r="H193" s="273" t="s">
        <v>285</v>
      </c>
      <c r="I193" s="363" t="s">
        <v>282</v>
      </c>
      <c r="J193" s="364"/>
      <c r="K193" s="363"/>
      <c r="L193" s="363">
        <f t="shared" ref="L193:M193" si="32">PARAMS(L192)</f>
        <v>7168</v>
      </c>
      <c r="M193" s="363">
        <f t="shared" si="32"/>
        <v>576</v>
      </c>
      <c r="N193" s="363" t="s">
        <v>283</v>
      </c>
      <c r="O193" s="341"/>
      <c r="P193" s="366">
        <f>SIZEOF_IN_MIB(J193:M193, $O192)</f>
        <v>3.9375</v>
      </c>
      <c r="Q193" s="341"/>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 r="A194" s="161"/>
      <c r="B194" s="161"/>
      <c r="C194" s="161"/>
      <c r="D194" s="161"/>
      <c r="E194" s="341"/>
      <c r="F194" s="342"/>
      <c r="G194" s="343"/>
      <c r="H194" s="363" t="s">
        <v>287</v>
      </c>
      <c r="I194" s="363" t="s">
        <v>282</v>
      </c>
      <c r="J194" s="364"/>
      <c r="K194" s="364"/>
      <c r="L194" s="363"/>
      <c r="M194" s="363"/>
      <c r="N194" s="363" t="s">
        <v>283</v>
      </c>
      <c r="O194" s="341"/>
      <c r="P194" s="366"/>
      <c r="Q194" s="341"/>
    </row>
    <row r="195">
      <c r="A195" s="161"/>
      <c r="B195" s="161"/>
      <c r="C195" s="161"/>
      <c r="D195" s="161"/>
      <c r="E195" s="341"/>
      <c r="F195" s="353"/>
      <c r="G195" s="354"/>
      <c r="H195" s="349" t="s">
        <v>289</v>
      </c>
      <c r="I195" s="349" t="s">
        <v>282</v>
      </c>
      <c r="J195" s="336"/>
      <c r="K195" s="349"/>
      <c r="L195" s="349">
        <f t="shared" ref="L195:M195" si="33">L193/SHARDING(L194)</f>
        <v>7168</v>
      </c>
      <c r="M195" s="349">
        <f t="shared" si="33"/>
        <v>576</v>
      </c>
      <c r="N195" s="349" t="s">
        <v>283</v>
      </c>
      <c r="O195" s="316"/>
      <c r="P195" s="351">
        <f>SIZEOF_IN_MIB(J195:M195, $O192)</f>
        <v>3.9375</v>
      </c>
      <c r="Q195" s="316"/>
    </row>
    <row r="196">
      <c r="A196" s="161"/>
      <c r="B196" s="161"/>
      <c r="C196" s="161"/>
      <c r="D196" s="161"/>
      <c r="E196" s="341"/>
      <c r="F196" s="334" t="s">
        <v>56</v>
      </c>
      <c r="G196" s="335"/>
      <c r="H196" s="346" t="s">
        <v>281</v>
      </c>
      <c r="I196" s="346" t="s">
        <v>282</v>
      </c>
      <c r="J196" s="345"/>
      <c r="K196" s="344" t="s">
        <v>104</v>
      </c>
      <c r="L196" s="344" t="s">
        <v>102</v>
      </c>
      <c r="M196" s="344" t="s">
        <v>210</v>
      </c>
      <c r="N196" s="346" t="s">
        <v>283</v>
      </c>
      <c r="O196" s="473" t="s">
        <v>133</v>
      </c>
      <c r="P196" s="348"/>
      <c r="Q196" s="473" t="b">
        <v>0</v>
      </c>
    </row>
    <row r="197">
      <c r="A197" s="161"/>
      <c r="B197" s="2"/>
      <c r="C197" s="2"/>
      <c r="D197" s="2"/>
      <c r="E197" s="341"/>
      <c r="F197" s="342"/>
      <c r="G197" s="343"/>
      <c r="H197" s="337" t="s">
        <v>285</v>
      </c>
      <c r="I197" s="349" t="s">
        <v>282</v>
      </c>
      <c r="J197" s="336"/>
      <c r="K197" s="349">
        <f t="shared" ref="K197:M197" si="34">PARAMS(K196)</f>
        <v>8</v>
      </c>
      <c r="L197" s="349">
        <f t="shared" si="34"/>
        <v>2048</v>
      </c>
      <c r="M197" s="349">
        <f t="shared" si="34"/>
        <v>576</v>
      </c>
      <c r="N197" s="349" t="s">
        <v>283</v>
      </c>
      <c r="O197" s="350"/>
      <c r="P197" s="351">
        <f>SIZEOF_IN_MIB(K197:M197, $O196)</f>
        <v>18</v>
      </c>
      <c r="Q197" s="350"/>
    </row>
    <row r="198">
      <c r="A198" s="2"/>
      <c r="B198" s="2"/>
      <c r="C198" s="2"/>
      <c r="D198" s="2"/>
      <c r="E198" s="341"/>
      <c r="F198" s="342"/>
      <c r="G198" s="343"/>
      <c r="H198" s="346" t="s">
        <v>287</v>
      </c>
      <c r="I198" s="346" t="s">
        <v>282</v>
      </c>
      <c r="J198" s="345"/>
      <c r="K198" s="344" t="s">
        <v>196</v>
      </c>
      <c r="L198" s="344"/>
      <c r="M198" s="346"/>
      <c r="N198" s="346" t="s">
        <v>283</v>
      </c>
      <c r="O198" s="347"/>
      <c r="P198" s="348"/>
      <c r="Q198" s="347"/>
    </row>
    <row r="199">
      <c r="A199" s="161"/>
      <c r="B199" s="161"/>
      <c r="C199" s="161"/>
      <c r="D199" s="161"/>
      <c r="E199" s="341"/>
      <c r="F199" s="353"/>
      <c r="G199" s="354"/>
      <c r="H199" s="349" t="s">
        <v>289</v>
      </c>
      <c r="I199" s="349" t="s">
        <v>282</v>
      </c>
      <c r="J199" s="349"/>
      <c r="K199" s="349">
        <f t="shared" ref="K199:M199" si="35">K197/SHARDING(K198)</f>
        <v>1</v>
      </c>
      <c r="L199" s="349">
        <f t="shared" si="35"/>
        <v>2048</v>
      </c>
      <c r="M199" s="349">
        <f t="shared" si="35"/>
        <v>576</v>
      </c>
      <c r="N199" s="349" t="s">
        <v>283</v>
      </c>
      <c r="O199" s="316"/>
      <c r="P199" s="351">
        <f>SIZEOF_IN_MIB(K199:M199, $O196)</f>
        <v>2.25</v>
      </c>
      <c r="Q199" s="316"/>
    </row>
    <row r="200">
      <c r="A200" s="161"/>
      <c r="B200" s="161"/>
      <c r="C200" s="161"/>
      <c r="D200" s="161"/>
      <c r="E200" s="341"/>
      <c r="F200" s="474" t="s">
        <v>335</v>
      </c>
      <c r="G200" s="459" t="s">
        <v>109</v>
      </c>
      <c r="H200" s="497"/>
      <c r="I200" s="498"/>
      <c r="J200" s="345"/>
      <c r="K200" s="345"/>
      <c r="L200" s="346"/>
      <c r="M200" s="346"/>
      <c r="N200" s="346"/>
      <c r="O200" s="345"/>
      <c r="P200" s="348"/>
      <c r="Q200" s="379"/>
    </row>
    <row r="201">
      <c r="A201" s="161"/>
      <c r="B201" s="161"/>
      <c r="C201" s="161"/>
      <c r="D201" s="161"/>
      <c r="E201" s="341"/>
      <c r="F201" s="352"/>
      <c r="G201" s="459"/>
      <c r="H201" s="349"/>
      <c r="I201" s="492"/>
      <c r="J201" s="336"/>
      <c r="K201" s="336"/>
      <c r="L201" s="349"/>
      <c r="M201" s="349"/>
      <c r="N201" s="349"/>
      <c r="O201" s="336"/>
      <c r="P201" s="351"/>
      <c r="Q201" s="298"/>
    </row>
    <row r="202">
      <c r="A202" s="161"/>
      <c r="B202" s="161"/>
      <c r="C202" s="161"/>
      <c r="D202" s="161"/>
      <c r="E202" s="341"/>
      <c r="F202" s="458" t="s">
        <v>327</v>
      </c>
      <c r="G202" s="459" t="s">
        <v>328</v>
      </c>
      <c r="H202" s="346" t="str">
        <f>VLOOKUP(O188&amp;","&amp;O192,$T$3:$W$12,4, FALSE)</f>
        <v>fp8</v>
      </c>
      <c r="I202" s="493"/>
      <c r="J202" s="345"/>
      <c r="K202" s="345"/>
      <c r="L202" s="346"/>
      <c r="M202" s="346"/>
      <c r="N202" s="346"/>
      <c r="O202" s="345"/>
      <c r="P202" s="348"/>
      <c r="Q202" s="379"/>
    </row>
    <row r="203">
      <c r="A203" s="161"/>
      <c r="B203" s="161"/>
      <c r="C203" s="161"/>
      <c r="D203" s="161"/>
      <c r="E203" s="341"/>
      <c r="F203" s="341"/>
      <c r="G203" s="455" t="s">
        <v>341</v>
      </c>
      <c r="H203" s="494">
        <f>CALCULATE_FLOPS(J191:M191,J195:M195,L195,1,H202)</f>
        <v>16911433728</v>
      </c>
      <c r="I203" s="492"/>
      <c r="J203" s="336"/>
      <c r="K203" s="336"/>
      <c r="L203" s="349"/>
      <c r="M203" s="349"/>
      <c r="N203" s="349"/>
      <c r="O203" s="336"/>
      <c r="P203" s="351"/>
      <c r="Q203" s="298"/>
    </row>
    <row r="204">
      <c r="A204" s="161"/>
      <c r="B204" s="161"/>
      <c r="C204" s="161"/>
      <c r="D204" s="161"/>
      <c r="E204" s="341"/>
      <c r="F204" s="352"/>
      <c r="G204" s="462" t="s">
        <v>330</v>
      </c>
      <c r="H204" s="495">
        <f>COMPUTE_TIME_MS(H203, H202)</f>
        <v>0.004509715661</v>
      </c>
      <c r="I204" s="464"/>
      <c r="J204" s="465"/>
      <c r="K204" s="465"/>
      <c r="L204" s="466"/>
      <c r="M204" s="466"/>
      <c r="N204" s="466"/>
      <c r="O204" s="465"/>
      <c r="P204" s="467"/>
      <c r="Q204" s="379"/>
    </row>
    <row r="205">
      <c r="A205" s="161"/>
      <c r="B205" s="161"/>
      <c r="C205" s="161"/>
      <c r="D205" s="161"/>
      <c r="E205" s="341"/>
      <c r="F205" s="458" t="s">
        <v>331</v>
      </c>
      <c r="G205" s="455" t="s">
        <v>332</v>
      </c>
      <c r="H205" s="377">
        <f>IF(Q188,0,P191)+IF(Q192,0,P195)+IF(Q196,0,P199)</f>
        <v>20.1875</v>
      </c>
      <c r="I205" s="336"/>
      <c r="J205" s="336"/>
      <c r="K205" s="336"/>
      <c r="L205" s="349"/>
      <c r="M205" s="349"/>
      <c r="N205" s="349"/>
      <c r="O205" s="336"/>
      <c r="P205" s="351"/>
      <c r="Q205" s="298"/>
    </row>
    <row r="206">
      <c r="A206" s="161"/>
      <c r="B206" s="161"/>
      <c r="C206" s="161"/>
      <c r="D206" s="161"/>
      <c r="E206" s="352"/>
      <c r="F206" s="352"/>
      <c r="G206" s="469" t="s">
        <v>333</v>
      </c>
      <c r="H206" s="500">
        <f>HBM_TIME_MS(H205)</f>
        <v>0.002738104926</v>
      </c>
      <c r="I206" s="465"/>
      <c r="J206" s="465"/>
      <c r="K206" s="465"/>
      <c r="L206" s="466"/>
      <c r="M206" s="466"/>
      <c r="N206" s="466"/>
      <c r="O206" s="465"/>
      <c r="P206" s="467"/>
      <c r="Q206" s="379"/>
    </row>
    <row r="207">
      <c r="A207" s="161"/>
      <c r="B207" s="161"/>
      <c r="C207" s="161"/>
      <c r="D207" s="161"/>
      <c r="E207" s="501" t="s">
        <v>344</v>
      </c>
      <c r="F207" s="474" t="s">
        <v>345</v>
      </c>
      <c r="G207" s="502" t="s">
        <v>301</v>
      </c>
      <c r="H207" s="503" t="s">
        <v>281</v>
      </c>
      <c r="I207" s="336" t="s">
        <v>282</v>
      </c>
      <c r="J207" s="504" t="str">
        <f t="array" ref="J207:M210">J196:M199</f>
        <v/>
      </c>
      <c r="K207" s="337" t="s">
        <v>104</v>
      </c>
      <c r="L207" s="337" t="s">
        <v>102</v>
      </c>
      <c r="M207" s="337" t="s">
        <v>210</v>
      </c>
      <c r="N207" s="349" t="s">
        <v>283</v>
      </c>
      <c r="O207" s="338" t="s">
        <v>125</v>
      </c>
      <c r="P207" s="505"/>
      <c r="Q207" s="506"/>
    </row>
    <row r="208">
      <c r="A208" s="161"/>
      <c r="B208" s="161"/>
      <c r="C208" s="161"/>
      <c r="D208" s="161"/>
      <c r="E208" s="341"/>
      <c r="F208" s="341"/>
      <c r="G208" s="341"/>
      <c r="H208" s="507" t="s">
        <v>285</v>
      </c>
      <c r="I208" s="345" t="s">
        <v>282</v>
      </c>
      <c r="J208" s="508"/>
      <c r="K208" s="345">
        <v>8.0</v>
      </c>
      <c r="L208" s="346">
        <v>2048.0</v>
      </c>
      <c r="M208" s="346">
        <v>576.0</v>
      </c>
      <c r="N208" s="346" t="s">
        <v>283</v>
      </c>
      <c r="O208" s="347"/>
      <c r="P208" s="509">
        <f>SIZEOF_IN_MIB(J208:M208, O207)</f>
        <v>9</v>
      </c>
      <c r="Q208" s="347"/>
    </row>
    <row r="209">
      <c r="A209" s="161"/>
      <c r="B209" s="161"/>
      <c r="C209" s="161"/>
      <c r="D209" s="161"/>
      <c r="E209" s="341"/>
      <c r="F209" s="341"/>
      <c r="G209" s="341"/>
      <c r="H209" s="503" t="s">
        <v>302</v>
      </c>
      <c r="I209" s="336" t="s">
        <v>282</v>
      </c>
      <c r="J209" s="504"/>
      <c r="K209" s="504" t="s">
        <v>196</v>
      </c>
      <c r="L209" s="349"/>
      <c r="M209" s="510"/>
      <c r="N209" s="349" t="s">
        <v>283</v>
      </c>
      <c r="O209" s="350"/>
      <c r="P209" s="511"/>
      <c r="Q209" s="350"/>
    </row>
    <row r="210">
      <c r="A210" s="161"/>
      <c r="B210" s="161"/>
      <c r="C210" s="161"/>
      <c r="D210" s="161"/>
      <c r="E210" s="341"/>
      <c r="F210" s="341"/>
      <c r="G210" s="341"/>
      <c r="H210" s="507" t="s">
        <v>303</v>
      </c>
      <c r="I210" s="345" t="s">
        <v>282</v>
      </c>
      <c r="J210" s="508"/>
      <c r="K210" s="346">
        <v>1.0</v>
      </c>
      <c r="L210" s="346">
        <v>2048.0</v>
      </c>
      <c r="M210" s="346">
        <v>576.0</v>
      </c>
      <c r="N210" s="346" t="s">
        <v>283</v>
      </c>
      <c r="O210" s="347"/>
      <c r="P210" s="509">
        <f>SIZEOF_IN_MIB(J210:M210, O207)</f>
        <v>1.125</v>
      </c>
      <c r="Q210" s="347"/>
    </row>
    <row r="211">
      <c r="A211" s="161"/>
      <c r="B211" s="161"/>
      <c r="C211" s="161"/>
      <c r="D211" s="161"/>
      <c r="E211" s="341"/>
      <c r="F211" s="341"/>
      <c r="G211" s="341"/>
      <c r="H211" s="503" t="s">
        <v>304</v>
      </c>
      <c r="I211" s="336" t="s">
        <v>282</v>
      </c>
      <c r="J211" s="504"/>
      <c r="K211" s="504"/>
      <c r="L211" s="510"/>
      <c r="M211" s="510"/>
      <c r="N211" s="349" t="s">
        <v>283</v>
      </c>
      <c r="O211" s="350"/>
      <c r="P211" s="505"/>
      <c r="Q211" s="350"/>
    </row>
    <row r="212">
      <c r="A212" s="161"/>
      <c r="B212" s="161"/>
      <c r="C212" s="161"/>
      <c r="D212" s="161"/>
      <c r="E212" s="341"/>
      <c r="F212" s="341"/>
      <c r="G212" s="352"/>
      <c r="H212" s="507" t="s">
        <v>303</v>
      </c>
      <c r="I212" s="345" t="s">
        <v>282</v>
      </c>
      <c r="J212" s="508"/>
      <c r="K212" s="346">
        <f t="shared" ref="K212:M212" si="36">K208/SHARDING(K211)</f>
        <v>8</v>
      </c>
      <c r="L212" s="346">
        <f t="shared" si="36"/>
        <v>2048</v>
      </c>
      <c r="M212" s="346">
        <f t="shared" si="36"/>
        <v>576</v>
      </c>
      <c r="N212" s="346" t="s">
        <v>283</v>
      </c>
      <c r="O212" s="355"/>
      <c r="P212" s="509">
        <f>SIZEOF_IN_MIB(J212:M212, O207)</f>
        <v>9</v>
      </c>
      <c r="Q212" s="355"/>
    </row>
    <row r="213">
      <c r="A213" s="161"/>
      <c r="B213" s="161"/>
      <c r="C213" s="161"/>
      <c r="D213" s="161"/>
      <c r="E213" s="341"/>
      <c r="F213" s="341"/>
      <c r="G213" s="512" t="s">
        <v>305</v>
      </c>
      <c r="H213" s="513"/>
      <c r="I213" s="445"/>
      <c r="J213" s="445"/>
      <c r="K213" s="445"/>
      <c r="L213" s="514"/>
      <c r="M213" s="514"/>
      <c r="N213" s="514"/>
      <c r="O213" s="445"/>
      <c r="P213" s="515"/>
      <c r="Q213" s="445"/>
    </row>
    <row r="214">
      <c r="A214" s="161"/>
      <c r="B214" s="161"/>
      <c r="C214" s="161"/>
      <c r="D214" s="161"/>
      <c r="E214" s="341"/>
      <c r="F214" s="341"/>
      <c r="G214" s="516" t="s">
        <v>306</v>
      </c>
      <c r="H214" s="517">
        <f>SHARDING(K209)*SHARDING(L209)*SHARDING(M209)</f>
        <v>8</v>
      </c>
      <c r="I214" s="508"/>
      <c r="J214" s="508"/>
      <c r="K214" s="508"/>
      <c r="L214" s="518"/>
      <c r="M214" s="518"/>
      <c r="N214" s="518"/>
      <c r="O214" s="508"/>
      <c r="P214" s="519"/>
      <c r="Q214" s="508"/>
    </row>
    <row r="215">
      <c r="A215" s="161"/>
      <c r="B215" s="161"/>
      <c r="C215" s="161"/>
      <c r="D215" s="161"/>
      <c r="E215" s="341"/>
      <c r="F215" s="341"/>
      <c r="G215" s="516" t="s">
        <v>307</v>
      </c>
      <c r="H215" s="520">
        <f>P210 * (H214-1)</f>
        <v>7.875</v>
      </c>
      <c r="I215" s="504"/>
      <c r="J215" s="504"/>
      <c r="K215" s="504"/>
      <c r="L215" s="510"/>
      <c r="M215" s="510"/>
      <c r="N215" s="510"/>
      <c r="O215" s="504"/>
      <c r="P215" s="511"/>
      <c r="Q215" s="504"/>
    </row>
    <row r="216">
      <c r="A216" s="161"/>
      <c r="B216" s="161"/>
      <c r="C216" s="161"/>
      <c r="D216" s="161"/>
      <c r="E216" s="341"/>
      <c r="F216" s="341"/>
      <c r="G216" s="516" t="s">
        <v>308</v>
      </c>
      <c r="H216" s="521">
        <f>H215*H214</f>
        <v>63</v>
      </c>
      <c r="I216" s="508"/>
      <c r="J216" s="508"/>
      <c r="K216" s="508"/>
      <c r="L216" s="518"/>
      <c r="M216" s="518"/>
      <c r="N216" s="518"/>
      <c r="O216" s="508"/>
      <c r="P216" s="519"/>
      <c r="Q216" s="508"/>
    </row>
    <row r="217">
      <c r="A217" s="161"/>
      <c r="B217" s="161"/>
      <c r="C217" s="161"/>
      <c r="D217" s="161"/>
      <c r="E217" s="341"/>
      <c r="F217" s="341"/>
      <c r="G217" s="516" t="s">
        <v>309</v>
      </c>
      <c r="H217" s="503">
        <f>IFS(H214=8,12,
H214=4,4,
H214=2,1,
H214=1,0,
TRUE,NA())</f>
        <v>12</v>
      </c>
      <c r="I217" s="504"/>
      <c r="J217" s="504"/>
      <c r="K217" s="504"/>
      <c r="L217" s="510"/>
      <c r="M217" s="510"/>
      <c r="N217" s="510"/>
      <c r="O217" s="504"/>
      <c r="P217" s="511"/>
      <c r="Q217" s="504"/>
    </row>
    <row r="218">
      <c r="A218" s="161"/>
      <c r="B218" s="161"/>
      <c r="C218" s="161"/>
      <c r="D218" s="161"/>
      <c r="E218" s="341"/>
      <c r="F218" s="341"/>
      <c r="G218" s="522" t="s">
        <v>310</v>
      </c>
      <c r="H218" s="523">
        <v>1.0</v>
      </c>
      <c r="I218" s="508"/>
      <c r="J218" s="508"/>
      <c r="K218" s="508"/>
      <c r="L218" s="518"/>
      <c r="M218" s="518"/>
      <c r="N218" s="518"/>
      <c r="O218" s="508"/>
      <c r="P218" s="519"/>
      <c r="Q218" s="508"/>
    </row>
    <row r="219">
      <c r="A219" s="161"/>
      <c r="B219" s="161"/>
      <c r="C219" s="161"/>
      <c r="D219" s="161"/>
      <c r="E219" s="341"/>
      <c r="F219" s="341"/>
      <c r="G219" s="524" t="s">
        <v>311</v>
      </c>
      <c r="H219" s="525">
        <f>ALL_GATHER_CHIP2CHIP_TIME_MS2(H216 * H218, H217)</f>
        <v>0.002848307292</v>
      </c>
      <c r="I219" s="504"/>
      <c r="J219" s="504"/>
      <c r="K219" s="504"/>
      <c r="L219" s="510"/>
      <c r="M219" s="510"/>
      <c r="N219" s="510"/>
      <c r="O219" s="504"/>
      <c r="P219" s="511"/>
      <c r="Q219" s="504"/>
    </row>
    <row r="220">
      <c r="A220" s="161"/>
      <c r="B220" s="161"/>
      <c r="C220" s="161"/>
      <c r="D220" s="161"/>
      <c r="E220" s="341"/>
      <c r="F220" s="341"/>
      <c r="G220" s="522"/>
      <c r="H220" s="526"/>
      <c r="I220" s="508"/>
      <c r="J220" s="508"/>
      <c r="K220" s="508"/>
      <c r="L220" s="518"/>
      <c r="M220" s="518"/>
      <c r="N220" s="518"/>
      <c r="O220" s="508"/>
      <c r="P220" s="519"/>
      <c r="Q220" s="508"/>
    </row>
    <row r="221">
      <c r="A221" s="161"/>
      <c r="B221" s="161"/>
      <c r="C221" s="161"/>
      <c r="D221" s="161"/>
      <c r="E221" s="341"/>
      <c r="F221" s="341"/>
      <c r="G221" s="512" t="s">
        <v>312</v>
      </c>
      <c r="H221" s="513"/>
      <c r="I221" s="445"/>
      <c r="J221" s="445"/>
      <c r="K221" s="445"/>
      <c r="L221" s="514"/>
      <c r="M221" s="514"/>
      <c r="N221" s="514"/>
      <c r="O221" s="445"/>
      <c r="P221" s="515"/>
      <c r="Q221" s="445"/>
    </row>
    <row r="222">
      <c r="A222" s="161"/>
      <c r="B222" s="161"/>
      <c r="C222" s="161"/>
      <c r="D222" s="161"/>
      <c r="E222" s="341"/>
      <c r="F222" s="341"/>
      <c r="G222" s="527" t="s">
        <v>313</v>
      </c>
      <c r="H222" s="528" t="s">
        <v>306</v>
      </c>
      <c r="I222" s="508"/>
      <c r="J222" s="529">
        <f>SHARDING(K209)*SHARDING(L209)*SHARDING(M209)/HW_SPEC("# of TensorCore per Chip")</f>
        <v>8</v>
      </c>
      <c r="K222" s="508"/>
      <c r="L222" s="518"/>
      <c r="M222" s="518"/>
      <c r="N222" s="518"/>
      <c r="O222" s="508"/>
      <c r="P222" s="519"/>
      <c r="Q222" s="508"/>
    </row>
    <row r="223">
      <c r="A223" s="161"/>
      <c r="B223" s="161"/>
      <c r="C223" s="161"/>
      <c r="D223" s="161"/>
      <c r="E223" s="341"/>
      <c r="F223" s="341"/>
      <c r="G223" s="341"/>
      <c r="H223" s="530" t="s">
        <v>307</v>
      </c>
      <c r="I223" s="504"/>
      <c r="J223" s="520">
        <f>P210 * HW_SPEC("# of TensorCore per Chip") * (J222-1)</f>
        <v>7.875</v>
      </c>
      <c r="K223" s="504"/>
      <c r="L223" s="510"/>
      <c r="M223" s="510"/>
      <c r="N223" s="510"/>
      <c r="O223" s="504"/>
      <c r="P223" s="511"/>
      <c r="Q223" s="504"/>
    </row>
    <row r="224">
      <c r="A224" s="161"/>
      <c r="B224" s="161"/>
      <c r="C224" s="161"/>
      <c r="D224" s="161"/>
      <c r="E224" s="341"/>
      <c r="F224" s="341"/>
      <c r="G224" s="341"/>
      <c r="H224" s="528" t="s">
        <v>308</v>
      </c>
      <c r="I224" s="508"/>
      <c r="J224" s="521">
        <f>J223*J222</f>
        <v>63</v>
      </c>
      <c r="K224" s="508"/>
      <c r="L224" s="518"/>
      <c r="M224" s="518"/>
      <c r="N224" s="518"/>
      <c r="O224" s="508"/>
      <c r="P224" s="519"/>
      <c r="Q224" s="508"/>
    </row>
    <row r="225">
      <c r="A225" s="161"/>
      <c r="B225" s="161"/>
      <c r="C225" s="161"/>
      <c r="D225" s="161"/>
      <c r="E225" s="341"/>
      <c r="F225" s="341"/>
      <c r="G225" s="341"/>
      <c r="H225" s="530" t="s">
        <v>309</v>
      </c>
      <c r="I225" s="504"/>
      <c r="J225" s="531">
        <f>IFS(J222=8,12,
J222=4,4,
J222=2,1,
J222=1,0,
TRUE,NA())</f>
        <v>12</v>
      </c>
      <c r="K225" s="504"/>
      <c r="L225" s="510"/>
      <c r="M225" s="510"/>
      <c r="N225" s="510"/>
      <c r="O225" s="504"/>
      <c r="P225" s="511"/>
      <c r="Q225" s="504"/>
    </row>
    <row r="226">
      <c r="A226" s="161"/>
      <c r="B226" s="161"/>
      <c r="C226" s="161"/>
      <c r="D226" s="161"/>
      <c r="E226" s="341"/>
      <c r="F226" s="341"/>
      <c r="G226" s="341"/>
      <c r="H226" s="526" t="s">
        <v>310</v>
      </c>
      <c r="I226" s="508"/>
      <c r="J226" s="345">
        <v>2.0</v>
      </c>
      <c r="K226" s="508"/>
      <c r="L226" s="518"/>
      <c r="M226" s="518"/>
      <c r="N226" s="518"/>
      <c r="O226" s="508"/>
      <c r="P226" s="519"/>
      <c r="Q226" s="508"/>
    </row>
    <row r="227">
      <c r="A227" s="161"/>
      <c r="B227" s="161"/>
      <c r="C227" s="161"/>
      <c r="D227" s="161"/>
      <c r="E227" s="341"/>
      <c r="F227" s="341"/>
      <c r="G227" s="352"/>
      <c r="H227" s="530" t="s">
        <v>311</v>
      </c>
      <c r="I227" s="504"/>
      <c r="J227" s="532">
        <f>ALL_GATHER_CHIP2CHIP_TIME_MS2(J224 * J226, J225)</f>
        <v>0.005696614583</v>
      </c>
      <c r="K227" s="504"/>
      <c r="L227" s="510"/>
      <c r="M227" s="510"/>
      <c r="N227" s="510"/>
      <c r="O227" s="504"/>
      <c r="P227" s="511"/>
      <c r="Q227" s="504"/>
    </row>
    <row r="228">
      <c r="A228" s="161"/>
      <c r="B228" s="161"/>
      <c r="C228" s="161"/>
      <c r="D228" s="161"/>
      <c r="E228" s="341"/>
      <c r="F228" s="341"/>
      <c r="G228" s="527" t="s">
        <v>314</v>
      </c>
      <c r="H228" s="528" t="s">
        <v>306</v>
      </c>
      <c r="I228" s="508"/>
      <c r="J228" s="533">
        <f>HW_SPEC("# of TensorCore per Chip")</f>
        <v>1</v>
      </c>
      <c r="K228" s="508"/>
      <c r="L228" s="518"/>
      <c r="M228" s="518"/>
      <c r="N228" s="518"/>
      <c r="O228" s="508"/>
      <c r="P228" s="519"/>
      <c r="Q228" s="508"/>
    </row>
    <row r="229">
      <c r="A229" s="161"/>
      <c r="B229" s="161"/>
      <c r="C229" s="161"/>
      <c r="D229" s="161"/>
      <c r="E229" s="341"/>
      <c r="F229" s="341"/>
      <c r="G229" s="341"/>
      <c r="H229" s="530" t="s">
        <v>307</v>
      </c>
      <c r="I229" s="504"/>
      <c r="J229" s="520">
        <f>P210*J222 * (J228-1)</f>
        <v>0</v>
      </c>
      <c r="K229" s="504"/>
      <c r="L229" s="510"/>
      <c r="M229" s="510"/>
      <c r="N229" s="510"/>
      <c r="O229" s="504"/>
      <c r="P229" s="511"/>
      <c r="Q229" s="504"/>
    </row>
    <row r="230">
      <c r="A230" s="161"/>
      <c r="B230" s="161"/>
      <c r="C230" s="161"/>
      <c r="D230" s="161"/>
      <c r="E230" s="341"/>
      <c r="F230" s="341"/>
      <c r="G230" s="341"/>
      <c r="H230" s="528" t="s">
        <v>308</v>
      </c>
      <c r="I230" s="508"/>
      <c r="J230" s="521">
        <f>J229*J228</f>
        <v>0</v>
      </c>
      <c r="K230" s="508"/>
      <c r="L230" s="518"/>
      <c r="M230" s="518"/>
      <c r="N230" s="518"/>
      <c r="O230" s="508"/>
      <c r="P230" s="519"/>
      <c r="Q230" s="508"/>
    </row>
    <row r="231">
      <c r="A231" s="161"/>
      <c r="B231" s="161"/>
      <c r="C231" s="161"/>
      <c r="D231" s="161"/>
      <c r="E231" s="341"/>
      <c r="F231" s="341"/>
      <c r="G231" s="341"/>
      <c r="H231" s="530" t="s">
        <v>311</v>
      </c>
      <c r="I231" s="504"/>
      <c r="J231" s="534">
        <f>ALL_GATHER_CORE2CORE_TIME_MS(J230)</f>
        <v>0</v>
      </c>
      <c r="K231" s="504"/>
      <c r="L231" s="510"/>
      <c r="M231" s="510"/>
      <c r="N231" s="510"/>
      <c r="O231" s="504"/>
      <c r="P231" s="511"/>
      <c r="Q231" s="504"/>
    </row>
    <row r="232">
      <c r="A232" s="161"/>
      <c r="B232" s="161"/>
      <c r="C232" s="161"/>
      <c r="D232" s="161"/>
      <c r="E232" s="341"/>
      <c r="F232" s="341"/>
      <c r="G232" s="352"/>
      <c r="H232" s="535" t="s">
        <v>346</v>
      </c>
      <c r="I232" s="508"/>
      <c r="J232" s="536">
        <f>J231/J222</f>
        <v>0</v>
      </c>
      <c r="K232" s="508"/>
      <c r="L232" s="518"/>
      <c r="M232" s="518"/>
      <c r="N232" s="518"/>
      <c r="O232" s="508"/>
      <c r="P232" s="519"/>
      <c r="Q232" s="508"/>
    </row>
    <row r="233">
      <c r="A233" s="161"/>
      <c r="B233" s="161"/>
      <c r="C233" s="161"/>
      <c r="D233" s="161"/>
      <c r="E233" s="341"/>
      <c r="F233" s="341"/>
      <c r="G233" s="524" t="s">
        <v>316</v>
      </c>
      <c r="H233" s="537">
        <f>J227+J232</f>
        <v>0.005696614583</v>
      </c>
      <c r="I233" s="504"/>
      <c r="J233" s="538"/>
      <c r="K233" s="504"/>
      <c r="L233" s="510"/>
      <c r="M233" s="510"/>
      <c r="N233" s="510"/>
      <c r="O233" s="504"/>
      <c r="P233" s="511"/>
      <c r="Q233" s="504"/>
    </row>
    <row r="234">
      <c r="A234" s="161"/>
      <c r="B234" s="161"/>
      <c r="C234" s="161"/>
      <c r="D234" s="161"/>
      <c r="E234" s="341"/>
      <c r="F234" s="341"/>
      <c r="G234" s="522"/>
      <c r="H234" s="539"/>
      <c r="I234" s="508"/>
      <c r="J234" s="540"/>
      <c r="K234" s="508"/>
      <c r="L234" s="518"/>
      <c r="M234" s="518"/>
      <c r="N234" s="518"/>
      <c r="O234" s="508"/>
      <c r="P234" s="519"/>
      <c r="Q234" s="508"/>
    </row>
    <row r="235">
      <c r="A235" s="161"/>
      <c r="B235" s="161"/>
      <c r="C235" s="161"/>
      <c r="D235" s="161"/>
      <c r="E235" s="341"/>
      <c r="F235" s="341"/>
      <c r="G235" s="541" t="s">
        <v>322</v>
      </c>
      <c r="H235" s="444" t="s">
        <v>323</v>
      </c>
      <c r="I235" s="445"/>
      <c r="J235" s="445"/>
      <c r="K235" s="445"/>
      <c r="L235" s="514"/>
      <c r="M235" s="514"/>
      <c r="N235" s="514"/>
      <c r="O235" s="445"/>
      <c r="P235" s="515"/>
      <c r="Q235" s="445"/>
    </row>
    <row r="236">
      <c r="A236" s="161"/>
      <c r="B236" s="161"/>
      <c r="C236" s="161"/>
      <c r="D236" s="161"/>
      <c r="E236" s="341"/>
      <c r="F236" s="341"/>
      <c r="G236" s="541" t="s">
        <v>340</v>
      </c>
      <c r="H236" s="542">
        <f>IFS(H235=G213,H219,
H235=G221,H233 ,
TRUE,0)</f>
        <v>0</v>
      </c>
      <c r="I236" s="445"/>
      <c r="J236" s="445"/>
      <c r="K236" s="445"/>
      <c r="L236" s="514"/>
      <c r="M236" s="514"/>
      <c r="N236" s="514"/>
      <c r="O236" s="445"/>
      <c r="P236" s="543"/>
      <c r="Q236" s="445"/>
    </row>
    <row r="237">
      <c r="A237" s="161"/>
      <c r="B237" s="161"/>
      <c r="C237" s="161"/>
      <c r="D237" s="161"/>
      <c r="E237" s="333" t="s">
        <v>347</v>
      </c>
      <c r="F237" s="357" t="s">
        <v>292</v>
      </c>
      <c r="G237" s="335"/>
      <c r="H237" s="364" t="s">
        <v>281</v>
      </c>
      <c r="I237" s="364" t="s">
        <v>282</v>
      </c>
      <c r="J237" s="273" t="s">
        <v>104</v>
      </c>
      <c r="K237" s="273" t="s">
        <v>102</v>
      </c>
      <c r="L237" s="273" t="s">
        <v>207</v>
      </c>
      <c r="M237" s="472" t="s">
        <v>198</v>
      </c>
      <c r="N237" s="364" t="s">
        <v>283</v>
      </c>
      <c r="O237" s="365" t="str">
        <f>PARAMS("attn_kv_k_dtype")</f>
        <v>bf16</v>
      </c>
      <c r="P237" s="366"/>
      <c r="Q237" s="365" t="b">
        <v>0</v>
      </c>
    </row>
    <row r="238">
      <c r="A238" s="161"/>
      <c r="B238" s="161"/>
      <c r="C238" s="161"/>
      <c r="D238" s="161"/>
      <c r="E238" s="341"/>
      <c r="F238" s="342"/>
      <c r="G238" s="343"/>
      <c r="H238" s="273" t="s">
        <v>285</v>
      </c>
      <c r="I238" s="364" t="s">
        <v>282</v>
      </c>
      <c r="J238" s="363">
        <f t="shared" ref="J238:M238" si="37">PARAMS(J237)</f>
        <v>8</v>
      </c>
      <c r="K238" s="364">
        <f t="shared" si="37"/>
        <v>2048</v>
      </c>
      <c r="L238" s="364">
        <f t="shared" si="37"/>
        <v>128</v>
      </c>
      <c r="M238" s="364">
        <f t="shared" si="37"/>
        <v>512</v>
      </c>
      <c r="N238" s="364" t="s">
        <v>283</v>
      </c>
      <c r="O238" s="341"/>
      <c r="P238" s="366">
        <f>SIZEOF_IN_MIB(J238:M238, $O237)</f>
        <v>2048</v>
      </c>
      <c r="Q238" s="341"/>
    </row>
    <row r="239">
      <c r="A239" s="161"/>
      <c r="B239" s="161"/>
      <c r="C239" s="161"/>
      <c r="D239" s="161"/>
      <c r="E239" s="341"/>
      <c r="F239" s="342"/>
      <c r="G239" s="343"/>
      <c r="H239" s="363" t="s">
        <v>287</v>
      </c>
      <c r="I239" s="363" t="s">
        <v>282</v>
      </c>
      <c r="J239" s="273" t="s">
        <v>196</v>
      </c>
      <c r="K239" s="273"/>
      <c r="L239" s="273"/>
      <c r="M239" s="363"/>
      <c r="N239" s="363" t="s">
        <v>283</v>
      </c>
      <c r="O239" s="341"/>
      <c r="P239" s="366"/>
      <c r="Q239" s="341"/>
    </row>
    <row r="240">
      <c r="A240" s="161"/>
      <c r="B240" s="161"/>
      <c r="C240" s="161"/>
      <c r="D240" s="161"/>
      <c r="E240" s="341"/>
      <c r="F240" s="353"/>
      <c r="G240" s="354"/>
      <c r="H240" s="273" t="s">
        <v>289</v>
      </c>
      <c r="I240" s="363" t="s">
        <v>282</v>
      </c>
      <c r="J240" s="363">
        <f t="shared" ref="J240:M240" si="38">J238/SHARDING(J239)</f>
        <v>1</v>
      </c>
      <c r="K240" s="363">
        <f t="shared" si="38"/>
        <v>2048</v>
      </c>
      <c r="L240" s="363">
        <f t="shared" si="38"/>
        <v>128</v>
      </c>
      <c r="M240" s="363">
        <f t="shared" si="38"/>
        <v>512</v>
      </c>
      <c r="N240" s="363" t="s">
        <v>283</v>
      </c>
      <c r="O240" s="352"/>
      <c r="P240" s="366">
        <f>SIZEOF_IN_MIB(J240:M240, $O237)</f>
        <v>256</v>
      </c>
      <c r="Q240" s="352"/>
    </row>
    <row r="241">
      <c r="A241" s="161"/>
      <c r="B241" s="161"/>
      <c r="C241" s="161"/>
      <c r="D241" s="161"/>
      <c r="E241" s="341"/>
      <c r="F241" s="334" t="s">
        <v>296</v>
      </c>
      <c r="G241" s="335"/>
      <c r="H241" s="363" t="s">
        <v>281</v>
      </c>
      <c r="I241" s="363" t="s">
        <v>282</v>
      </c>
      <c r="J241" s="364"/>
      <c r="K241" s="273" t="s">
        <v>104</v>
      </c>
      <c r="L241" s="273" t="s">
        <v>106</v>
      </c>
      <c r="M241" s="472" t="s">
        <v>198</v>
      </c>
      <c r="N241" s="363" t="s">
        <v>283</v>
      </c>
      <c r="O241" s="365" t="str">
        <f>PARAMS("kv_dtype")</f>
        <v>fp8</v>
      </c>
      <c r="P241" s="366"/>
      <c r="Q241" s="365" t="b">
        <v>0</v>
      </c>
    </row>
    <row r="242">
      <c r="E242" s="341"/>
      <c r="F242" s="342"/>
      <c r="G242" s="343"/>
      <c r="H242" s="273" t="s">
        <v>285</v>
      </c>
      <c r="I242" s="363" t="s">
        <v>282</v>
      </c>
      <c r="J242" s="364"/>
      <c r="K242" s="363">
        <f t="shared" ref="K242:M242" si="39">PARAMS(K241)</f>
        <v>8</v>
      </c>
      <c r="L242" s="363">
        <f t="shared" si="39"/>
        <v>2048</v>
      </c>
      <c r="M242" s="363">
        <f t="shared" si="39"/>
        <v>512</v>
      </c>
      <c r="N242" s="363" t="s">
        <v>283</v>
      </c>
      <c r="O242" s="341"/>
      <c r="P242" s="366">
        <f>SIZEOF_IN_MIB(J242:M242, $O241)</f>
        <v>8</v>
      </c>
      <c r="Q242" s="341"/>
    </row>
    <row r="243">
      <c r="E243" s="341"/>
      <c r="F243" s="342"/>
      <c r="G243" s="343"/>
      <c r="H243" s="363" t="s">
        <v>287</v>
      </c>
      <c r="I243" s="363" t="s">
        <v>282</v>
      </c>
      <c r="J243" s="364"/>
      <c r="K243" s="273" t="s">
        <v>196</v>
      </c>
      <c r="L243" s="363"/>
      <c r="M243" s="363"/>
      <c r="N243" s="363" t="s">
        <v>283</v>
      </c>
      <c r="O243" s="341"/>
      <c r="P243" s="366"/>
      <c r="Q243" s="341"/>
    </row>
    <row r="244">
      <c r="E244" s="341"/>
      <c r="F244" s="353"/>
      <c r="G244" s="354"/>
      <c r="H244" s="349" t="s">
        <v>289</v>
      </c>
      <c r="I244" s="349" t="s">
        <v>282</v>
      </c>
      <c r="J244" s="336"/>
      <c r="K244" s="349">
        <f t="shared" ref="K244:M244" si="40">K242/SHARDING(K243)</f>
        <v>1</v>
      </c>
      <c r="L244" s="349">
        <f t="shared" si="40"/>
        <v>2048</v>
      </c>
      <c r="M244" s="349">
        <f t="shared" si="40"/>
        <v>512</v>
      </c>
      <c r="N244" s="349" t="s">
        <v>283</v>
      </c>
      <c r="O244" s="316"/>
      <c r="P244" s="351">
        <f>SIZEOF_IN_MIB(J244:M244, $O241)</f>
        <v>1</v>
      </c>
      <c r="Q244" s="316"/>
    </row>
    <row r="245">
      <c r="E245" s="341"/>
      <c r="F245" s="334" t="s">
        <v>56</v>
      </c>
      <c r="G245" s="335"/>
      <c r="H245" s="346" t="s">
        <v>281</v>
      </c>
      <c r="I245" s="346" t="s">
        <v>282</v>
      </c>
      <c r="J245" s="344" t="s">
        <v>104</v>
      </c>
      <c r="K245" s="344" t="s">
        <v>102</v>
      </c>
      <c r="L245" s="344" t="s">
        <v>106</v>
      </c>
      <c r="M245" s="344" t="s">
        <v>207</v>
      </c>
      <c r="N245" s="346" t="s">
        <v>283</v>
      </c>
      <c r="O245" s="473" t="s">
        <v>133</v>
      </c>
      <c r="P245" s="348"/>
      <c r="Q245" s="473" t="b">
        <v>1</v>
      </c>
    </row>
    <row r="246">
      <c r="E246" s="341"/>
      <c r="F246" s="342"/>
      <c r="G246" s="343"/>
      <c r="H246" s="337" t="s">
        <v>285</v>
      </c>
      <c r="I246" s="349" t="s">
        <v>282</v>
      </c>
      <c r="J246" s="349">
        <f t="shared" ref="J246:M246" si="41">PARAMS(J245)</f>
        <v>8</v>
      </c>
      <c r="K246" s="349">
        <f t="shared" si="41"/>
        <v>2048</v>
      </c>
      <c r="L246" s="349">
        <f t="shared" si="41"/>
        <v>2048</v>
      </c>
      <c r="M246" s="349">
        <f t="shared" si="41"/>
        <v>128</v>
      </c>
      <c r="N246" s="349" t="s">
        <v>283</v>
      </c>
      <c r="O246" s="350"/>
      <c r="P246" s="351">
        <f>SIZEOF_IN_MIB(J246:M246, $O245)</f>
        <v>8192</v>
      </c>
      <c r="Q246" s="350"/>
    </row>
    <row r="247">
      <c r="E247" s="341"/>
      <c r="F247" s="342"/>
      <c r="G247" s="343"/>
      <c r="H247" s="346" t="s">
        <v>287</v>
      </c>
      <c r="I247" s="346" t="s">
        <v>282</v>
      </c>
      <c r="J247" s="344" t="s">
        <v>196</v>
      </c>
      <c r="K247" s="344"/>
      <c r="L247" s="344"/>
      <c r="M247" s="346"/>
      <c r="N247" s="346" t="s">
        <v>283</v>
      </c>
      <c r="O247" s="347"/>
      <c r="P247" s="348"/>
      <c r="Q247" s="347"/>
    </row>
    <row r="248">
      <c r="E248" s="341"/>
      <c r="F248" s="353"/>
      <c r="G248" s="354"/>
      <c r="H248" s="349" t="s">
        <v>289</v>
      </c>
      <c r="I248" s="349" t="s">
        <v>282</v>
      </c>
      <c r="J248" s="349">
        <f t="shared" ref="J248:M248" si="42">J246/SHARDING(J247)</f>
        <v>1</v>
      </c>
      <c r="K248" s="349">
        <f t="shared" si="42"/>
        <v>2048</v>
      </c>
      <c r="L248" s="349">
        <f t="shared" si="42"/>
        <v>2048</v>
      </c>
      <c r="M248" s="349">
        <f t="shared" si="42"/>
        <v>128</v>
      </c>
      <c r="N248" s="349" t="s">
        <v>283</v>
      </c>
      <c r="O248" s="316"/>
      <c r="P248" s="351">
        <f>SIZEOF_IN_MIB(J248:M248, $O245)</f>
        <v>1024</v>
      </c>
      <c r="Q248" s="316"/>
    </row>
    <row r="249">
      <c r="E249" s="341"/>
      <c r="F249" s="474" t="s">
        <v>335</v>
      </c>
      <c r="G249" s="459" t="s">
        <v>109</v>
      </c>
      <c r="H249" s="544" t="s">
        <v>348</v>
      </c>
      <c r="I249" s="345"/>
      <c r="J249" s="345"/>
      <c r="K249" s="345"/>
      <c r="L249" s="346"/>
      <c r="M249" s="346"/>
      <c r="N249" s="346"/>
      <c r="O249" s="545"/>
      <c r="P249" s="348"/>
      <c r="Q249" s="545"/>
    </row>
    <row r="250">
      <c r="E250" s="341"/>
      <c r="F250" s="352"/>
      <c r="G250" s="459"/>
      <c r="H250" s="349"/>
      <c r="I250" s="492"/>
      <c r="J250" s="336"/>
      <c r="K250" s="336"/>
      <c r="L250" s="349"/>
      <c r="M250" s="349"/>
      <c r="N250" s="349"/>
      <c r="O250" s="336"/>
      <c r="P250" s="351"/>
      <c r="Q250" s="298"/>
    </row>
    <row r="251">
      <c r="E251" s="341"/>
      <c r="F251" s="458" t="s">
        <v>327</v>
      </c>
      <c r="G251" s="459" t="s">
        <v>328</v>
      </c>
      <c r="H251" s="346" t="str">
        <f>VLOOKUP(O237&amp;","&amp;O241,$T$3:$W$12,4, FALSE)</f>
        <v>bf16</v>
      </c>
      <c r="I251" s="493"/>
      <c r="J251" s="345"/>
      <c r="K251" s="345"/>
      <c r="L251" s="346"/>
      <c r="M251" s="346"/>
      <c r="N251" s="346"/>
      <c r="O251" s="345"/>
      <c r="P251" s="348"/>
      <c r="Q251" s="379"/>
    </row>
    <row r="252">
      <c r="E252" s="341"/>
      <c r="F252" s="341"/>
      <c r="G252" s="455" t="s">
        <v>341</v>
      </c>
      <c r="H252" s="494">
        <f>CALCULATE_FLOPS(J240:M240,J244:M244,M244,K244,H251)</f>
        <v>549755813888</v>
      </c>
      <c r="I252" s="492"/>
      <c r="J252" s="336"/>
      <c r="K252" s="336"/>
      <c r="L252" s="349"/>
      <c r="M252" s="349"/>
      <c r="N252" s="349"/>
      <c r="O252" s="336"/>
      <c r="P252" s="351"/>
      <c r="Q252" s="298"/>
    </row>
    <row r="253">
      <c r="E253" s="341"/>
      <c r="F253" s="352"/>
      <c r="G253" s="462" t="s">
        <v>330</v>
      </c>
      <c r="H253" s="463">
        <f>COMPUTE_TIME_MS(H252, H251)</f>
        <v>0.2932031007</v>
      </c>
      <c r="I253" s="464"/>
      <c r="J253" s="465"/>
      <c r="K253" s="465"/>
      <c r="L253" s="466"/>
      <c r="M253" s="466"/>
      <c r="N253" s="466"/>
      <c r="O253" s="465"/>
      <c r="P253" s="467"/>
      <c r="Q253" s="379"/>
    </row>
    <row r="254">
      <c r="E254" s="341"/>
      <c r="F254" s="458" t="s">
        <v>331</v>
      </c>
      <c r="G254" s="455" t="s">
        <v>332</v>
      </c>
      <c r="H254" s="377">
        <f>IF(Q237,0,P240)+IF(Q241,0,P244)+IF(Q245,0,P248)</f>
        <v>257</v>
      </c>
      <c r="I254" s="336"/>
      <c r="J254" s="336"/>
      <c r="K254" s="336"/>
      <c r="L254" s="349"/>
      <c r="M254" s="349"/>
      <c r="N254" s="349"/>
      <c r="O254" s="336"/>
      <c r="P254" s="351"/>
      <c r="Q254" s="298"/>
    </row>
    <row r="255">
      <c r="E255" s="352"/>
      <c r="F255" s="352"/>
      <c r="G255" s="469" t="s">
        <v>333</v>
      </c>
      <c r="H255" s="500">
        <f>HBM_TIME_MS(H254)</f>
        <v>0.0348578559</v>
      </c>
      <c r="I255" s="465"/>
      <c r="J255" s="465"/>
      <c r="K255" s="465"/>
      <c r="L255" s="466"/>
      <c r="M255" s="466"/>
      <c r="N255" s="466"/>
      <c r="O255" s="465"/>
      <c r="P255" s="467"/>
      <c r="Q255" s="379"/>
    </row>
    <row r="256">
      <c r="E256" s="333" t="s">
        <v>349</v>
      </c>
      <c r="F256" s="357" t="s">
        <v>292</v>
      </c>
      <c r="G256" s="335"/>
      <c r="H256" s="364" t="s">
        <v>281</v>
      </c>
      <c r="I256" s="364" t="s">
        <v>282</v>
      </c>
      <c r="J256" s="273" t="s">
        <v>104</v>
      </c>
      <c r="K256" s="273" t="s">
        <v>102</v>
      </c>
      <c r="L256" s="273" t="s">
        <v>207</v>
      </c>
      <c r="M256" s="472" t="s">
        <v>204</v>
      </c>
      <c r="N256" s="364" t="s">
        <v>283</v>
      </c>
      <c r="O256" s="365" t="str">
        <f>PARAMS("attn_kv_k_dtype")</f>
        <v>bf16</v>
      </c>
      <c r="P256" s="366"/>
      <c r="Q256" s="365" t="b">
        <v>0</v>
      </c>
    </row>
    <row r="257">
      <c r="E257" s="341"/>
      <c r="F257" s="342"/>
      <c r="G257" s="343"/>
      <c r="H257" s="273" t="s">
        <v>285</v>
      </c>
      <c r="I257" s="364" t="s">
        <v>282</v>
      </c>
      <c r="J257" s="363">
        <f t="shared" ref="J257:M257" si="43">PARAMS(J256)</f>
        <v>8</v>
      </c>
      <c r="K257" s="364">
        <f t="shared" si="43"/>
        <v>2048</v>
      </c>
      <c r="L257" s="364">
        <f t="shared" si="43"/>
        <v>128</v>
      </c>
      <c r="M257" s="364">
        <f t="shared" si="43"/>
        <v>64</v>
      </c>
      <c r="N257" s="364" t="s">
        <v>283</v>
      </c>
      <c r="O257" s="341"/>
      <c r="P257" s="366">
        <f>SIZEOF_IN_MIB(J257:M257, $O256)</f>
        <v>256</v>
      </c>
      <c r="Q257" s="341"/>
    </row>
    <row r="258">
      <c r="E258" s="341"/>
      <c r="F258" s="342"/>
      <c r="G258" s="343"/>
      <c r="H258" s="363" t="s">
        <v>287</v>
      </c>
      <c r="I258" s="363" t="s">
        <v>282</v>
      </c>
      <c r="J258" s="273" t="s">
        <v>196</v>
      </c>
      <c r="K258" s="273"/>
      <c r="L258" s="273"/>
      <c r="M258" s="363"/>
      <c r="N258" s="363" t="s">
        <v>283</v>
      </c>
      <c r="O258" s="341"/>
      <c r="P258" s="366"/>
      <c r="Q258" s="341"/>
    </row>
    <row r="259">
      <c r="E259" s="341"/>
      <c r="F259" s="353"/>
      <c r="G259" s="354"/>
      <c r="H259" s="273" t="s">
        <v>289</v>
      </c>
      <c r="I259" s="363" t="s">
        <v>282</v>
      </c>
      <c r="J259" s="363">
        <f t="shared" ref="J259:M259" si="44">J257/SHARDING(J258)</f>
        <v>1</v>
      </c>
      <c r="K259" s="363">
        <f t="shared" si="44"/>
        <v>2048</v>
      </c>
      <c r="L259" s="363">
        <f t="shared" si="44"/>
        <v>128</v>
      </c>
      <c r="M259" s="363">
        <f t="shared" si="44"/>
        <v>64</v>
      </c>
      <c r="N259" s="363" t="s">
        <v>283</v>
      </c>
      <c r="O259" s="352"/>
      <c r="P259" s="366">
        <f>SIZEOF_IN_MIB(J259:M259, $O256)</f>
        <v>32</v>
      </c>
      <c r="Q259" s="352"/>
    </row>
    <row r="260">
      <c r="E260" s="341"/>
      <c r="F260" s="334" t="s">
        <v>296</v>
      </c>
      <c r="G260" s="335"/>
      <c r="H260" s="363" t="s">
        <v>281</v>
      </c>
      <c r="I260" s="363" t="s">
        <v>282</v>
      </c>
      <c r="J260" s="364"/>
      <c r="K260" s="273" t="s">
        <v>104</v>
      </c>
      <c r="L260" s="273" t="s">
        <v>106</v>
      </c>
      <c r="M260" s="472" t="s">
        <v>204</v>
      </c>
      <c r="N260" s="363" t="s">
        <v>283</v>
      </c>
      <c r="O260" s="365" t="str">
        <f>PARAMS("kv_dtype")</f>
        <v>fp8</v>
      </c>
      <c r="P260" s="366"/>
      <c r="Q260" s="365" t="b">
        <v>0</v>
      </c>
    </row>
    <row r="261">
      <c r="E261" s="341"/>
      <c r="F261" s="342"/>
      <c r="G261" s="343"/>
      <c r="H261" s="273" t="s">
        <v>285</v>
      </c>
      <c r="I261" s="363" t="s">
        <v>282</v>
      </c>
      <c r="J261" s="364"/>
      <c r="K261" s="363">
        <f t="shared" ref="K261:M261" si="45">PARAMS(K260)</f>
        <v>8</v>
      </c>
      <c r="L261" s="363">
        <f t="shared" si="45"/>
        <v>2048</v>
      </c>
      <c r="M261" s="363">
        <f t="shared" si="45"/>
        <v>64</v>
      </c>
      <c r="N261" s="363" t="s">
        <v>283</v>
      </c>
      <c r="O261" s="341"/>
      <c r="P261" s="366">
        <f>SIZEOF_IN_MIB(J261:M261, $O260)</f>
        <v>1</v>
      </c>
      <c r="Q261" s="341"/>
    </row>
    <row r="262">
      <c r="E262" s="341"/>
      <c r="F262" s="342"/>
      <c r="G262" s="343"/>
      <c r="H262" s="363" t="s">
        <v>287</v>
      </c>
      <c r="I262" s="363" t="s">
        <v>282</v>
      </c>
      <c r="J262" s="364"/>
      <c r="K262" s="273" t="s">
        <v>196</v>
      </c>
      <c r="L262" s="363"/>
      <c r="M262" s="363"/>
      <c r="N262" s="363" t="s">
        <v>283</v>
      </c>
      <c r="O262" s="341"/>
      <c r="P262" s="366"/>
      <c r="Q262" s="341"/>
    </row>
    <row r="263">
      <c r="E263" s="341"/>
      <c r="F263" s="353"/>
      <c r="G263" s="354"/>
      <c r="H263" s="349" t="s">
        <v>289</v>
      </c>
      <c r="I263" s="349" t="s">
        <v>282</v>
      </c>
      <c r="J263" s="336"/>
      <c r="K263" s="349">
        <f t="shared" ref="K263:M263" si="46">K261/SHARDING(K262)</f>
        <v>1</v>
      </c>
      <c r="L263" s="349">
        <f t="shared" si="46"/>
        <v>2048</v>
      </c>
      <c r="M263" s="349">
        <f t="shared" si="46"/>
        <v>64</v>
      </c>
      <c r="N263" s="349" t="s">
        <v>283</v>
      </c>
      <c r="O263" s="316"/>
      <c r="P263" s="351">
        <f>SIZEOF_IN_MIB(J263:M263, $O260)</f>
        <v>0.125</v>
      </c>
      <c r="Q263" s="316"/>
    </row>
    <row r="264">
      <c r="E264" s="341"/>
      <c r="F264" s="334" t="s">
        <v>56</v>
      </c>
      <c r="G264" s="335"/>
      <c r="H264" s="346" t="s">
        <v>281</v>
      </c>
      <c r="I264" s="346" t="s">
        <v>282</v>
      </c>
      <c r="J264" s="344" t="s">
        <v>104</v>
      </c>
      <c r="K264" s="344" t="s">
        <v>102</v>
      </c>
      <c r="L264" s="344" t="s">
        <v>106</v>
      </c>
      <c r="M264" s="344" t="s">
        <v>207</v>
      </c>
      <c r="N264" s="346" t="s">
        <v>283</v>
      </c>
      <c r="O264" s="546" t="s">
        <v>133</v>
      </c>
      <c r="P264" s="348"/>
      <c r="Q264" s="473" t="b">
        <v>1</v>
      </c>
    </row>
    <row r="265">
      <c r="E265" s="341"/>
      <c r="F265" s="342"/>
      <c r="G265" s="343"/>
      <c r="H265" s="337" t="s">
        <v>285</v>
      </c>
      <c r="I265" s="349" t="s">
        <v>282</v>
      </c>
      <c r="J265" s="349">
        <f t="shared" ref="J265:M265" si="47">PARAMS(J264)</f>
        <v>8</v>
      </c>
      <c r="K265" s="349">
        <f t="shared" si="47"/>
        <v>2048</v>
      </c>
      <c r="L265" s="349">
        <f t="shared" si="47"/>
        <v>2048</v>
      </c>
      <c r="M265" s="349">
        <f t="shared" si="47"/>
        <v>128</v>
      </c>
      <c r="N265" s="349" t="s">
        <v>283</v>
      </c>
      <c r="O265" s="350"/>
      <c r="P265" s="351">
        <f>SIZEOF_IN_MIB(J265:M265, $O264)</f>
        <v>8192</v>
      </c>
      <c r="Q265" s="350"/>
    </row>
    <row r="266">
      <c r="E266" s="341"/>
      <c r="F266" s="342"/>
      <c r="G266" s="343"/>
      <c r="H266" s="346" t="s">
        <v>287</v>
      </c>
      <c r="I266" s="346" t="s">
        <v>282</v>
      </c>
      <c r="J266" s="344" t="s">
        <v>196</v>
      </c>
      <c r="K266" s="344"/>
      <c r="L266" s="344"/>
      <c r="M266" s="346"/>
      <c r="N266" s="346" t="s">
        <v>283</v>
      </c>
      <c r="O266" s="347"/>
      <c r="P266" s="348"/>
      <c r="Q266" s="347"/>
    </row>
    <row r="267">
      <c r="E267" s="341"/>
      <c r="F267" s="353"/>
      <c r="G267" s="354"/>
      <c r="H267" s="349" t="s">
        <v>289</v>
      </c>
      <c r="I267" s="349" t="s">
        <v>282</v>
      </c>
      <c r="J267" s="349">
        <f t="shared" ref="J267:M267" si="48">J265/SHARDING(J266)</f>
        <v>1</v>
      </c>
      <c r="K267" s="349">
        <f t="shared" si="48"/>
        <v>2048</v>
      </c>
      <c r="L267" s="349">
        <f t="shared" si="48"/>
        <v>2048</v>
      </c>
      <c r="M267" s="349">
        <f t="shared" si="48"/>
        <v>128</v>
      </c>
      <c r="N267" s="349" t="s">
        <v>283</v>
      </c>
      <c r="O267" s="316"/>
      <c r="P267" s="351">
        <f>SIZEOF_IN_MIB(J267:M267, $O264)</f>
        <v>1024</v>
      </c>
      <c r="Q267" s="316"/>
    </row>
    <row r="268">
      <c r="E268" s="341"/>
      <c r="F268" s="474" t="s">
        <v>335</v>
      </c>
      <c r="G268" s="459" t="s">
        <v>109</v>
      </c>
      <c r="H268" s="497"/>
      <c r="I268" s="498"/>
      <c r="J268" s="345"/>
      <c r="K268" s="345"/>
      <c r="L268" s="346"/>
      <c r="M268" s="346"/>
      <c r="N268" s="346"/>
      <c r="O268" s="345"/>
      <c r="P268" s="348"/>
      <c r="Q268" s="379"/>
    </row>
    <row r="269">
      <c r="E269" s="341"/>
      <c r="F269" s="352"/>
      <c r="G269" s="459"/>
      <c r="H269" s="349"/>
      <c r="I269" s="492"/>
      <c r="J269" s="336"/>
      <c r="K269" s="336"/>
      <c r="L269" s="349"/>
      <c r="M269" s="349"/>
      <c r="N269" s="349"/>
      <c r="O269" s="336"/>
      <c r="P269" s="351"/>
      <c r="Q269" s="298"/>
    </row>
    <row r="270">
      <c r="E270" s="341"/>
      <c r="F270" s="458" t="s">
        <v>327</v>
      </c>
      <c r="G270" s="459" t="s">
        <v>328</v>
      </c>
      <c r="H270" s="346" t="str">
        <f>VLOOKUP(O256&amp;","&amp;O260,$T$3:$W$12,4, FALSE)</f>
        <v>bf16</v>
      </c>
      <c r="I270" s="493"/>
      <c r="J270" s="345"/>
      <c r="K270" s="345"/>
      <c r="L270" s="346"/>
      <c r="M270" s="346"/>
      <c r="N270" s="346"/>
      <c r="O270" s="345"/>
      <c r="P270" s="348"/>
      <c r="Q270" s="379"/>
    </row>
    <row r="271">
      <c r="E271" s="341"/>
      <c r="F271" s="341"/>
      <c r="G271" s="455" t="s">
        <v>341</v>
      </c>
      <c r="H271" s="494">
        <f>CALCULATE_FLOPS(J259:M259,J263:M263,M263,K263,H270)</f>
        <v>68719476736</v>
      </c>
      <c r="I271" s="492"/>
      <c r="J271" s="336"/>
      <c r="K271" s="336"/>
      <c r="L271" s="349"/>
      <c r="M271" s="349"/>
      <c r="N271" s="349"/>
      <c r="O271" s="336"/>
      <c r="P271" s="351"/>
      <c r="Q271" s="298"/>
    </row>
    <row r="272">
      <c r="E272" s="341"/>
      <c r="F272" s="352"/>
      <c r="G272" s="462" t="s">
        <v>330</v>
      </c>
      <c r="H272" s="495">
        <f>COMPUTE_TIME_MS(H271, H270)</f>
        <v>0.03665038759</v>
      </c>
      <c r="I272" s="464"/>
      <c r="J272" s="465"/>
      <c r="K272" s="465"/>
      <c r="L272" s="466"/>
      <c r="M272" s="466"/>
      <c r="N272" s="466"/>
      <c r="O272" s="465"/>
      <c r="P272" s="467"/>
      <c r="Q272" s="379"/>
    </row>
    <row r="273">
      <c r="E273" s="341"/>
      <c r="F273" s="458" t="s">
        <v>331</v>
      </c>
      <c r="G273" s="455" t="s">
        <v>332</v>
      </c>
      <c r="H273" s="377">
        <f>IF(Q256,0,P259)+IF(Q260,0,P263)+IF(Q264,0,P267)</f>
        <v>32.125</v>
      </c>
      <c r="I273" s="336"/>
      <c r="J273" s="336"/>
      <c r="K273" s="336"/>
      <c r="L273" s="349"/>
      <c r="M273" s="349"/>
      <c r="N273" s="349"/>
      <c r="O273" s="336"/>
      <c r="P273" s="351"/>
      <c r="Q273" s="298"/>
    </row>
    <row r="274">
      <c r="E274" s="352"/>
      <c r="F274" s="352"/>
      <c r="G274" s="469" t="s">
        <v>333</v>
      </c>
      <c r="H274" s="500">
        <f>HBM_TIME_MS(H273)</f>
        <v>0.004357231988</v>
      </c>
      <c r="I274" s="465"/>
      <c r="J274" s="465"/>
      <c r="K274" s="465"/>
      <c r="L274" s="466"/>
      <c r="M274" s="466"/>
      <c r="N274" s="466"/>
      <c r="O274" s="465"/>
      <c r="P274" s="467"/>
      <c r="Q274" s="379"/>
    </row>
    <row r="275">
      <c r="E275" s="333" t="s">
        <v>350</v>
      </c>
      <c r="F275" s="357" t="s">
        <v>292</v>
      </c>
      <c r="G275" s="335"/>
      <c r="H275" s="364" t="s">
        <v>281</v>
      </c>
      <c r="I275" s="364" t="s">
        <v>282</v>
      </c>
      <c r="J275" s="273" t="s">
        <v>104</v>
      </c>
      <c r="K275" s="273" t="s">
        <v>102</v>
      </c>
      <c r="L275" s="472" t="s">
        <v>106</v>
      </c>
      <c r="M275" s="273" t="s">
        <v>207</v>
      </c>
      <c r="N275" s="364" t="s">
        <v>283</v>
      </c>
      <c r="O275" s="365" t="str">
        <f>PARAMS("attn_av_a_dtype")</f>
        <v>bf16</v>
      </c>
      <c r="P275" s="366"/>
      <c r="Q275" s="365" t="b">
        <v>1</v>
      </c>
    </row>
    <row r="276">
      <c r="E276" s="341"/>
      <c r="F276" s="342"/>
      <c r="G276" s="343"/>
      <c r="H276" s="273" t="s">
        <v>285</v>
      </c>
      <c r="I276" s="364" t="s">
        <v>282</v>
      </c>
      <c r="J276" s="363">
        <f t="shared" ref="J276:M276" si="49">PARAMS(J275)</f>
        <v>8</v>
      </c>
      <c r="K276" s="364">
        <f t="shared" si="49"/>
        <v>2048</v>
      </c>
      <c r="L276" s="364">
        <f t="shared" si="49"/>
        <v>2048</v>
      </c>
      <c r="M276" s="364">
        <f t="shared" si="49"/>
        <v>128</v>
      </c>
      <c r="N276" s="364" t="s">
        <v>283</v>
      </c>
      <c r="O276" s="341"/>
      <c r="P276" s="366">
        <f>SIZEOF_IN_MIB(J276:M276, $O275)</f>
        <v>8192</v>
      </c>
      <c r="Q276" s="341"/>
    </row>
    <row r="277">
      <c r="E277" s="341"/>
      <c r="F277" s="342"/>
      <c r="G277" s="343"/>
      <c r="H277" s="363" t="s">
        <v>287</v>
      </c>
      <c r="I277" s="363" t="s">
        <v>282</v>
      </c>
      <c r="J277" s="273" t="s">
        <v>196</v>
      </c>
      <c r="K277" s="273"/>
      <c r="L277" s="273"/>
      <c r="M277" s="363"/>
      <c r="N277" s="363" t="s">
        <v>283</v>
      </c>
      <c r="O277" s="341"/>
      <c r="P277" s="366"/>
      <c r="Q277" s="341"/>
    </row>
    <row r="278">
      <c r="E278" s="341"/>
      <c r="F278" s="353"/>
      <c r="G278" s="354"/>
      <c r="H278" s="273" t="s">
        <v>289</v>
      </c>
      <c r="I278" s="363" t="s">
        <v>282</v>
      </c>
      <c r="J278" s="363">
        <f t="shared" ref="J278:M278" si="50">J276/SHARDING(J277)</f>
        <v>1</v>
      </c>
      <c r="K278" s="363">
        <f t="shared" si="50"/>
        <v>2048</v>
      </c>
      <c r="L278" s="363">
        <f t="shared" si="50"/>
        <v>2048</v>
      </c>
      <c r="M278" s="363">
        <f t="shared" si="50"/>
        <v>128</v>
      </c>
      <c r="N278" s="363" t="s">
        <v>283</v>
      </c>
      <c r="O278" s="352"/>
      <c r="P278" s="366">
        <f>SIZEOF_IN_MIB(J278:M278, $O275)</f>
        <v>1024</v>
      </c>
      <c r="Q278" s="352"/>
    </row>
    <row r="279">
      <c r="E279" s="341"/>
      <c r="F279" s="334" t="s">
        <v>296</v>
      </c>
      <c r="G279" s="335"/>
      <c r="H279" s="363" t="s">
        <v>281</v>
      </c>
      <c r="I279" s="363" t="s">
        <v>282</v>
      </c>
      <c r="J279" s="273" t="s">
        <v>104</v>
      </c>
      <c r="K279" s="273"/>
      <c r="L279" s="472" t="s">
        <v>106</v>
      </c>
      <c r="M279" s="273" t="s">
        <v>198</v>
      </c>
      <c r="N279" s="363" t="s">
        <v>283</v>
      </c>
      <c r="O279" s="365" t="str">
        <f>PARAMS("kv_dtype")</f>
        <v>fp8</v>
      </c>
      <c r="P279" s="366"/>
      <c r="Q279" s="365" t="b">
        <v>1</v>
      </c>
    </row>
    <row r="280">
      <c r="E280" s="341"/>
      <c r="F280" s="342"/>
      <c r="G280" s="343"/>
      <c r="H280" s="273" t="s">
        <v>285</v>
      </c>
      <c r="I280" s="363" t="s">
        <v>282</v>
      </c>
      <c r="J280" s="363">
        <f>PARAMS(J279)</f>
        <v>8</v>
      </c>
      <c r="K280" s="363"/>
      <c r="L280" s="363">
        <f t="shared" ref="L280:M280" si="51">PARAMS(L279)</f>
        <v>2048</v>
      </c>
      <c r="M280" s="363">
        <f t="shared" si="51"/>
        <v>512</v>
      </c>
      <c r="N280" s="363" t="s">
        <v>283</v>
      </c>
      <c r="O280" s="341"/>
      <c r="P280" s="366">
        <f>SIZEOF_IN_MIB(J280:M280, $O279)</f>
        <v>8</v>
      </c>
      <c r="Q280" s="341"/>
    </row>
    <row r="281">
      <c r="E281" s="341"/>
      <c r="F281" s="342"/>
      <c r="G281" s="343"/>
      <c r="H281" s="363" t="s">
        <v>287</v>
      </c>
      <c r="I281" s="363" t="s">
        <v>282</v>
      </c>
      <c r="J281" s="273" t="s">
        <v>196</v>
      </c>
      <c r="K281" s="364"/>
      <c r="L281" s="363"/>
      <c r="M281" s="363"/>
      <c r="N281" s="363" t="s">
        <v>283</v>
      </c>
      <c r="O281" s="341"/>
      <c r="P281" s="366"/>
      <c r="Q281" s="341"/>
    </row>
    <row r="282">
      <c r="E282" s="341"/>
      <c r="F282" s="353"/>
      <c r="G282" s="354"/>
      <c r="H282" s="349" t="s">
        <v>289</v>
      </c>
      <c r="I282" s="349" t="s">
        <v>282</v>
      </c>
      <c r="J282" s="349">
        <f>J280/SHARDING(J281)</f>
        <v>1</v>
      </c>
      <c r="K282" s="349"/>
      <c r="L282" s="349">
        <f t="shared" ref="L282:M282" si="52">L280/SHARDING(L281)</f>
        <v>2048</v>
      </c>
      <c r="M282" s="349">
        <f t="shared" si="52"/>
        <v>512</v>
      </c>
      <c r="N282" s="349" t="s">
        <v>283</v>
      </c>
      <c r="O282" s="316"/>
      <c r="P282" s="351">
        <f>SIZEOF_IN_MIB(J282:M282, $O279)</f>
        <v>1</v>
      </c>
      <c r="Q282" s="316"/>
    </row>
    <row r="283">
      <c r="E283" s="341"/>
      <c r="F283" s="334" t="s">
        <v>56</v>
      </c>
      <c r="G283" s="335"/>
      <c r="H283" s="346" t="s">
        <v>281</v>
      </c>
      <c r="I283" s="346" t="s">
        <v>282</v>
      </c>
      <c r="J283" s="344" t="s">
        <v>104</v>
      </c>
      <c r="K283" s="344" t="s">
        <v>102</v>
      </c>
      <c r="L283" s="344" t="s">
        <v>207</v>
      </c>
      <c r="M283" s="344" t="s">
        <v>198</v>
      </c>
      <c r="N283" s="346" t="s">
        <v>283</v>
      </c>
      <c r="O283" s="546" t="s">
        <v>133</v>
      </c>
      <c r="P283" s="348"/>
      <c r="Q283" s="473" t="b">
        <v>0</v>
      </c>
    </row>
    <row r="284">
      <c r="E284" s="341"/>
      <c r="F284" s="342"/>
      <c r="G284" s="343"/>
      <c r="H284" s="337" t="s">
        <v>285</v>
      </c>
      <c r="I284" s="349" t="s">
        <v>282</v>
      </c>
      <c r="J284" s="349">
        <f t="shared" ref="J284:M284" si="53">PARAMS(J283)</f>
        <v>8</v>
      </c>
      <c r="K284" s="349">
        <f t="shared" si="53"/>
        <v>2048</v>
      </c>
      <c r="L284" s="349">
        <f t="shared" si="53"/>
        <v>128</v>
      </c>
      <c r="M284" s="349">
        <f t="shared" si="53"/>
        <v>512</v>
      </c>
      <c r="N284" s="349" t="s">
        <v>283</v>
      </c>
      <c r="O284" s="350"/>
      <c r="P284" s="351">
        <f>SIZEOF_IN_MIB(J284:M284, $O283)</f>
        <v>2048</v>
      </c>
      <c r="Q284" s="350"/>
    </row>
    <row r="285">
      <c r="E285" s="341"/>
      <c r="F285" s="342"/>
      <c r="G285" s="343"/>
      <c r="H285" s="346" t="s">
        <v>287</v>
      </c>
      <c r="I285" s="346" t="s">
        <v>282</v>
      </c>
      <c r="J285" s="344" t="s">
        <v>196</v>
      </c>
      <c r="K285" s="344"/>
      <c r="L285" s="344"/>
      <c r="M285" s="346"/>
      <c r="N285" s="346" t="s">
        <v>283</v>
      </c>
      <c r="O285" s="347"/>
      <c r="P285" s="348"/>
      <c r="Q285" s="347"/>
    </row>
    <row r="286">
      <c r="E286" s="341"/>
      <c r="F286" s="353"/>
      <c r="G286" s="354"/>
      <c r="H286" s="349" t="s">
        <v>289</v>
      </c>
      <c r="I286" s="349" t="s">
        <v>282</v>
      </c>
      <c r="J286" s="349">
        <f t="shared" ref="J286:M286" si="54">J284/SHARDING(J285)</f>
        <v>1</v>
      </c>
      <c r="K286" s="349">
        <f t="shared" si="54"/>
        <v>2048</v>
      </c>
      <c r="L286" s="349">
        <f t="shared" si="54"/>
        <v>128</v>
      </c>
      <c r="M286" s="349">
        <f t="shared" si="54"/>
        <v>512</v>
      </c>
      <c r="N286" s="349" t="s">
        <v>283</v>
      </c>
      <c r="O286" s="316"/>
      <c r="P286" s="351">
        <f>SIZEOF_IN_MIB(J286:M286, $O283)</f>
        <v>256</v>
      </c>
      <c r="Q286" s="316"/>
    </row>
    <row r="287">
      <c r="E287" s="341"/>
      <c r="F287" s="474" t="s">
        <v>335</v>
      </c>
      <c r="G287" s="459" t="s">
        <v>109</v>
      </c>
      <c r="H287" s="497"/>
      <c r="I287" s="498"/>
      <c r="J287" s="345"/>
      <c r="K287" s="345"/>
      <c r="L287" s="346"/>
      <c r="M287" s="346"/>
      <c r="N287" s="346"/>
      <c r="O287" s="345"/>
      <c r="P287" s="348"/>
      <c r="Q287" s="379"/>
    </row>
    <row r="288">
      <c r="E288" s="341"/>
      <c r="F288" s="352"/>
      <c r="G288" s="459"/>
      <c r="H288" s="349"/>
      <c r="I288" s="492"/>
      <c r="J288" s="336"/>
      <c r="K288" s="336"/>
      <c r="L288" s="349"/>
      <c r="M288" s="349"/>
      <c r="N288" s="349"/>
      <c r="O288" s="336"/>
      <c r="P288" s="351"/>
      <c r="Q288" s="298"/>
    </row>
    <row r="289">
      <c r="E289" s="341"/>
      <c r="F289" s="458" t="s">
        <v>327</v>
      </c>
      <c r="G289" s="459" t="s">
        <v>328</v>
      </c>
      <c r="H289" s="346" t="str">
        <f>VLOOKUP(O275&amp;","&amp;O279,$T$3:$W$12,4, FALSE)</f>
        <v>bf16</v>
      </c>
      <c r="I289" s="493"/>
      <c r="J289" s="345"/>
      <c r="K289" s="345"/>
      <c r="L289" s="346"/>
      <c r="M289" s="346"/>
      <c r="N289" s="346"/>
      <c r="O289" s="345"/>
      <c r="P289" s="348"/>
      <c r="Q289" s="379"/>
    </row>
    <row r="290">
      <c r="E290" s="341"/>
      <c r="F290" s="341"/>
      <c r="G290" s="455" t="s">
        <v>341</v>
      </c>
      <c r="H290" s="494">
        <f>CALCULATE_FLOPS(J278:M278,J282:M282,L282,J282,H289)</f>
        <v>549755813888</v>
      </c>
      <c r="I290" s="492"/>
      <c r="J290" s="336"/>
      <c r="K290" s="336"/>
      <c r="L290" s="349"/>
      <c r="M290" s="349"/>
      <c r="N290" s="349"/>
      <c r="O290" s="336"/>
      <c r="P290" s="351"/>
      <c r="Q290" s="298"/>
    </row>
    <row r="291">
      <c r="E291" s="341"/>
      <c r="F291" s="352"/>
      <c r="G291" s="462" t="s">
        <v>330</v>
      </c>
      <c r="H291" s="495">
        <f>COMPUTE_TIME_MS(H290, H289)</f>
        <v>0.2932031007</v>
      </c>
      <c r="I291" s="464"/>
      <c r="J291" s="465"/>
      <c r="K291" s="465"/>
      <c r="L291" s="466"/>
      <c r="M291" s="466"/>
      <c r="N291" s="466"/>
      <c r="O291" s="465"/>
      <c r="P291" s="467"/>
      <c r="Q291" s="379"/>
    </row>
    <row r="292">
      <c r="E292" s="341"/>
      <c r="F292" s="458" t="s">
        <v>331</v>
      </c>
      <c r="G292" s="455" t="s">
        <v>332</v>
      </c>
      <c r="H292" s="377">
        <f>IF(Q275,0,P278)+IF(Q279,0,P282)+IF(Q283,0,P286)</f>
        <v>256</v>
      </c>
      <c r="I292" s="336"/>
      <c r="J292" s="336"/>
      <c r="K292" s="336"/>
      <c r="L292" s="349"/>
      <c r="M292" s="349"/>
      <c r="N292" s="349"/>
      <c r="O292" s="336"/>
      <c r="P292" s="351"/>
      <c r="Q292" s="298"/>
    </row>
    <row r="293">
      <c r="E293" s="352"/>
      <c r="F293" s="352"/>
      <c r="G293" s="469" t="s">
        <v>333</v>
      </c>
      <c r="H293" s="547">
        <f>HBM_TIME_MS(H292)</f>
        <v>0.03472222222</v>
      </c>
      <c r="I293" s="465"/>
      <c r="J293" s="465"/>
      <c r="K293" s="465"/>
      <c r="L293" s="466"/>
      <c r="M293" s="466"/>
      <c r="N293" s="466"/>
      <c r="O293" s="465"/>
      <c r="P293" s="467"/>
      <c r="Q293" s="379"/>
    </row>
    <row r="294">
      <c r="E294" s="333" t="s">
        <v>351</v>
      </c>
      <c r="F294" s="357" t="s">
        <v>292</v>
      </c>
      <c r="G294" s="335"/>
      <c r="H294" s="336" t="s">
        <v>281</v>
      </c>
      <c r="I294" s="336" t="s">
        <v>282</v>
      </c>
      <c r="J294" s="337" t="s">
        <v>104</v>
      </c>
      <c r="K294" s="337" t="s">
        <v>102</v>
      </c>
      <c r="L294" s="337" t="s">
        <v>207</v>
      </c>
      <c r="M294" s="499" t="s">
        <v>198</v>
      </c>
      <c r="N294" s="336" t="s">
        <v>283</v>
      </c>
      <c r="O294" s="338" t="str">
        <f>EXTRACT_ACTIVATION_DTYPE(PARAMS("attn_proj_dtype"))</f>
        <v>fp8</v>
      </c>
      <c r="P294" s="351"/>
      <c r="Q294" s="338" t="b">
        <v>0</v>
      </c>
    </row>
    <row r="295">
      <c r="E295" s="341"/>
      <c r="F295" s="342"/>
      <c r="G295" s="343"/>
      <c r="H295" s="344" t="s">
        <v>285</v>
      </c>
      <c r="I295" s="345" t="s">
        <v>282</v>
      </c>
      <c r="J295" s="346">
        <f t="shared" ref="J295:M295" si="55">PARAMS(J294)</f>
        <v>8</v>
      </c>
      <c r="K295" s="345">
        <f t="shared" si="55"/>
        <v>2048</v>
      </c>
      <c r="L295" s="345">
        <f t="shared" si="55"/>
        <v>128</v>
      </c>
      <c r="M295" s="345">
        <f t="shared" si="55"/>
        <v>512</v>
      </c>
      <c r="N295" s="345" t="s">
        <v>283</v>
      </c>
      <c r="O295" s="347"/>
      <c r="P295" s="348">
        <f>SIZEOF_IN_MIB(J295:M295, $O294)</f>
        <v>1024</v>
      </c>
      <c r="Q295" s="347"/>
    </row>
    <row r="296">
      <c r="E296" s="341"/>
      <c r="F296" s="342"/>
      <c r="G296" s="343"/>
      <c r="H296" s="349" t="s">
        <v>287</v>
      </c>
      <c r="I296" s="349" t="s">
        <v>282</v>
      </c>
      <c r="J296" s="337" t="s">
        <v>196</v>
      </c>
      <c r="K296" s="337"/>
      <c r="L296" s="337"/>
      <c r="M296" s="349"/>
      <c r="N296" s="349" t="s">
        <v>283</v>
      </c>
      <c r="O296" s="350"/>
      <c r="P296" s="351"/>
      <c r="Q296" s="350"/>
    </row>
    <row r="297">
      <c r="E297" s="341"/>
      <c r="F297" s="353"/>
      <c r="G297" s="354"/>
      <c r="H297" s="344" t="s">
        <v>289</v>
      </c>
      <c r="I297" s="346" t="s">
        <v>282</v>
      </c>
      <c r="J297" s="346">
        <f t="shared" ref="J297:M297" si="56">J295/SHARDING(J296)</f>
        <v>1</v>
      </c>
      <c r="K297" s="346">
        <f t="shared" si="56"/>
        <v>2048</v>
      </c>
      <c r="L297" s="346">
        <f t="shared" si="56"/>
        <v>128</v>
      </c>
      <c r="M297" s="346">
        <f t="shared" si="56"/>
        <v>512</v>
      </c>
      <c r="N297" s="346" t="s">
        <v>283</v>
      </c>
      <c r="O297" s="355"/>
      <c r="P297" s="348">
        <f>SIZEOF_IN_MIB(J297:M297, $O294)</f>
        <v>128</v>
      </c>
      <c r="Q297" s="355"/>
    </row>
    <row r="298">
      <c r="E298" s="341"/>
      <c r="F298" s="334" t="s">
        <v>296</v>
      </c>
      <c r="G298" s="335"/>
      <c r="H298" s="349" t="s">
        <v>281</v>
      </c>
      <c r="I298" s="349" t="s">
        <v>282</v>
      </c>
      <c r="J298" s="336"/>
      <c r="K298" s="337" t="s">
        <v>207</v>
      </c>
      <c r="L298" s="337" t="s">
        <v>201</v>
      </c>
      <c r="M298" s="499" t="s">
        <v>198</v>
      </c>
      <c r="N298" s="349" t="s">
        <v>283</v>
      </c>
      <c r="O298" s="338" t="str">
        <f>EXTRACT_WEIGHT_DTYPE(PARAMS("attn_proj_dtype"))</f>
        <v>fp8</v>
      </c>
      <c r="P298" s="351"/>
      <c r="Q298" s="338" t="b">
        <v>0</v>
      </c>
    </row>
    <row r="299">
      <c r="E299" s="341"/>
      <c r="F299" s="342"/>
      <c r="G299" s="343"/>
      <c r="H299" s="344" t="s">
        <v>285</v>
      </c>
      <c r="I299" s="346" t="s">
        <v>282</v>
      </c>
      <c r="J299" s="345"/>
      <c r="K299" s="346">
        <f t="shared" ref="K299:M299" si="57">PARAMS(K298)</f>
        <v>128</v>
      </c>
      <c r="L299" s="346">
        <f t="shared" si="57"/>
        <v>128</v>
      </c>
      <c r="M299" s="346">
        <f t="shared" si="57"/>
        <v>512</v>
      </c>
      <c r="N299" s="346" t="s">
        <v>283</v>
      </c>
      <c r="O299" s="347"/>
      <c r="P299" s="348">
        <f>SIZEOF_IN_MIB(J299:M299, $O298)</f>
        <v>8</v>
      </c>
      <c r="Q299" s="347"/>
    </row>
    <row r="300">
      <c r="E300" s="341"/>
      <c r="F300" s="342"/>
      <c r="G300" s="343"/>
      <c r="H300" s="349" t="s">
        <v>287</v>
      </c>
      <c r="I300" s="349" t="s">
        <v>282</v>
      </c>
      <c r="J300" s="336"/>
      <c r="K300" s="336"/>
      <c r="L300" s="349"/>
      <c r="M300" s="349"/>
      <c r="N300" s="349" t="s">
        <v>283</v>
      </c>
      <c r="O300" s="350"/>
      <c r="P300" s="351"/>
      <c r="Q300" s="350"/>
    </row>
    <row r="301">
      <c r="E301" s="341"/>
      <c r="F301" s="353"/>
      <c r="G301" s="354"/>
      <c r="H301" s="346" t="s">
        <v>289</v>
      </c>
      <c r="I301" s="346" t="s">
        <v>282</v>
      </c>
      <c r="J301" s="345"/>
      <c r="K301" s="346">
        <f t="shared" ref="K301:M301" si="58">K299/SHARDING(K300)</f>
        <v>128</v>
      </c>
      <c r="L301" s="346">
        <f t="shared" si="58"/>
        <v>128</v>
      </c>
      <c r="M301" s="346">
        <f t="shared" si="58"/>
        <v>512</v>
      </c>
      <c r="N301" s="346" t="s">
        <v>283</v>
      </c>
      <c r="O301" s="355"/>
      <c r="P301" s="348">
        <f>SIZEOF_IN_MIB(J301:M301, $O298)</f>
        <v>8</v>
      </c>
      <c r="Q301" s="355"/>
    </row>
    <row r="302">
      <c r="E302" s="341"/>
      <c r="F302" s="334" t="s">
        <v>56</v>
      </c>
      <c r="G302" s="335"/>
      <c r="H302" s="349" t="s">
        <v>281</v>
      </c>
      <c r="I302" s="349" t="s">
        <v>282</v>
      </c>
      <c r="J302" s="337" t="s">
        <v>104</v>
      </c>
      <c r="K302" s="337" t="s">
        <v>102</v>
      </c>
      <c r="L302" s="337" t="s">
        <v>207</v>
      </c>
      <c r="M302" s="337" t="s">
        <v>201</v>
      </c>
      <c r="N302" s="349" t="s">
        <v>283</v>
      </c>
      <c r="O302" s="338" t="s">
        <v>133</v>
      </c>
      <c r="P302" s="351"/>
      <c r="Q302" s="338" t="b">
        <v>0</v>
      </c>
    </row>
    <row r="303">
      <c r="E303" s="341"/>
      <c r="F303" s="342"/>
      <c r="G303" s="343"/>
      <c r="H303" s="344" t="s">
        <v>285</v>
      </c>
      <c r="I303" s="346" t="s">
        <v>282</v>
      </c>
      <c r="J303" s="346">
        <f t="shared" ref="J303:M303" si="59">PARAMS(J302)</f>
        <v>8</v>
      </c>
      <c r="K303" s="346">
        <f t="shared" si="59"/>
        <v>2048</v>
      </c>
      <c r="L303" s="346">
        <f t="shared" si="59"/>
        <v>128</v>
      </c>
      <c r="M303" s="346">
        <f t="shared" si="59"/>
        <v>128</v>
      </c>
      <c r="N303" s="346" t="s">
        <v>283</v>
      </c>
      <c r="O303" s="347"/>
      <c r="P303" s="348">
        <f>SIZEOF_IN_MIB(J303:M303, $O302)</f>
        <v>512</v>
      </c>
      <c r="Q303" s="347"/>
    </row>
    <row r="304">
      <c r="E304" s="341"/>
      <c r="F304" s="342"/>
      <c r="G304" s="343"/>
      <c r="H304" s="349" t="s">
        <v>287</v>
      </c>
      <c r="I304" s="349" t="s">
        <v>282</v>
      </c>
      <c r="J304" s="337" t="s">
        <v>196</v>
      </c>
      <c r="K304" s="337"/>
      <c r="L304" s="337"/>
      <c r="M304" s="349"/>
      <c r="N304" s="349" t="s">
        <v>283</v>
      </c>
      <c r="O304" s="350"/>
      <c r="P304" s="351"/>
      <c r="Q304" s="350"/>
    </row>
    <row r="305">
      <c r="E305" s="341"/>
      <c r="F305" s="353"/>
      <c r="G305" s="354"/>
      <c r="H305" s="346" t="s">
        <v>289</v>
      </c>
      <c r="I305" s="346" t="s">
        <v>282</v>
      </c>
      <c r="J305" s="346">
        <f t="shared" ref="J305:M305" si="60">J303/SHARDING(J304)</f>
        <v>1</v>
      </c>
      <c r="K305" s="346">
        <f t="shared" si="60"/>
        <v>2048</v>
      </c>
      <c r="L305" s="346">
        <f t="shared" si="60"/>
        <v>128</v>
      </c>
      <c r="M305" s="346">
        <f t="shared" si="60"/>
        <v>128</v>
      </c>
      <c r="N305" s="346" t="s">
        <v>283</v>
      </c>
      <c r="O305" s="355"/>
      <c r="P305" s="348">
        <f>SIZEOF_IN_MIB(J305:M305, $O302)</f>
        <v>64</v>
      </c>
      <c r="Q305" s="355"/>
    </row>
    <row r="306">
      <c r="E306" s="341"/>
      <c r="F306" s="474" t="s">
        <v>335</v>
      </c>
      <c r="G306" s="459" t="s">
        <v>109</v>
      </c>
      <c r="H306" s="548"/>
      <c r="I306" s="549"/>
      <c r="J306" s="336"/>
      <c r="K306" s="336"/>
      <c r="L306" s="349"/>
      <c r="M306" s="349"/>
      <c r="N306" s="349"/>
      <c r="O306" s="336"/>
      <c r="P306" s="351"/>
      <c r="Q306" s="298"/>
    </row>
    <row r="307">
      <c r="E307" s="341"/>
      <c r="F307" s="352"/>
      <c r="G307" s="459"/>
      <c r="H307" s="346"/>
      <c r="I307" s="493"/>
      <c r="J307" s="345"/>
      <c r="K307" s="345"/>
      <c r="L307" s="346"/>
      <c r="M307" s="346"/>
      <c r="N307" s="346"/>
      <c r="O307" s="345"/>
      <c r="P307" s="348"/>
      <c r="Q307" s="379"/>
    </row>
    <row r="308">
      <c r="E308" s="341"/>
      <c r="F308" s="458" t="s">
        <v>327</v>
      </c>
      <c r="G308" s="459" t="s">
        <v>328</v>
      </c>
      <c r="H308" s="349" t="str">
        <f>VLOOKUP(O294&amp;","&amp;O298,$T$3:$W$12,4, FALSE)</f>
        <v>fp8</v>
      </c>
      <c r="I308" s="492"/>
      <c r="J308" s="336"/>
      <c r="K308" s="336"/>
      <c r="L308" s="349"/>
      <c r="M308" s="349"/>
      <c r="N308" s="349"/>
      <c r="O308" s="336"/>
      <c r="P308" s="351"/>
      <c r="Q308" s="298"/>
    </row>
    <row r="309">
      <c r="E309" s="341"/>
      <c r="F309" s="341"/>
      <c r="G309" s="455" t="s">
        <v>341</v>
      </c>
      <c r="H309" s="550">
        <f>CALCULATE_FLOPS(J297:M297,J301:M301,M301,K301,H308)</f>
        <v>34359738368</v>
      </c>
      <c r="I309" s="493"/>
      <c r="J309" s="345"/>
      <c r="K309" s="345"/>
      <c r="L309" s="346"/>
      <c r="M309" s="346"/>
      <c r="N309" s="346"/>
      <c r="O309" s="345"/>
      <c r="P309" s="348"/>
      <c r="Q309" s="379"/>
    </row>
    <row r="310">
      <c r="E310" s="341"/>
      <c r="F310" s="352"/>
      <c r="G310" s="462" t="s">
        <v>330</v>
      </c>
      <c r="H310" s="495">
        <f>COMPUTE_TIME_MS(H309, H308)</f>
        <v>0.009162596898</v>
      </c>
      <c r="I310" s="464"/>
      <c r="J310" s="465"/>
      <c r="K310" s="465"/>
      <c r="L310" s="466"/>
      <c r="M310" s="466"/>
      <c r="N310" s="466"/>
      <c r="O310" s="465"/>
      <c r="P310" s="467"/>
      <c r="Q310" s="298"/>
    </row>
    <row r="311">
      <c r="E311" s="341"/>
      <c r="F311" s="458" t="s">
        <v>331</v>
      </c>
      <c r="G311" s="455" t="s">
        <v>332</v>
      </c>
      <c r="H311" s="509">
        <f>IF(Q294,0,P297)+IF(Q298,0,P301)+IF(Q302,0,P305)</f>
        <v>200</v>
      </c>
      <c r="I311" s="345"/>
      <c r="J311" s="345"/>
      <c r="K311" s="345"/>
      <c r="L311" s="346"/>
      <c r="M311" s="346"/>
      <c r="N311" s="346"/>
      <c r="O311" s="345"/>
      <c r="P311" s="348"/>
      <c r="Q311" s="379"/>
    </row>
    <row r="312">
      <c r="E312" s="352"/>
      <c r="F312" s="352"/>
      <c r="G312" s="469" t="s">
        <v>333</v>
      </c>
      <c r="H312" s="500">
        <f>HBM_TIME_MS(H311)</f>
        <v>0.02712673611</v>
      </c>
      <c r="I312" s="465"/>
      <c r="J312" s="465"/>
      <c r="K312" s="465"/>
      <c r="L312" s="466"/>
      <c r="M312" s="466"/>
      <c r="N312" s="466"/>
      <c r="O312" s="465"/>
      <c r="P312" s="467"/>
      <c r="Q312" s="298"/>
    </row>
    <row r="313">
      <c r="E313" s="333" t="s">
        <v>352</v>
      </c>
      <c r="F313" s="551" t="s">
        <v>353</v>
      </c>
      <c r="G313" s="424"/>
      <c r="H313" s="552" t="s">
        <v>354</v>
      </c>
      <c r="I313" s="448"/>
      <c r="J313" s="553"/>
      <c r="K313" s="553"/>
      <c r="L313" s="553"/>
      <c r="M313" s="446"/>
      <c r="N313" s="448"/>
      <c r="O313" s="553"/>
      <c r="P313" s="451"/>
      <c r="Q313" s="553"/>
    </row>
    <row r="314">
      <c r="E314" s="341"/>
      <c r="F314" s="334" t="s">
        <v>301</v>
      </c>
      <c r="G314" s="335"/>
      <c r="H314" s="336" t="s">
        <v>281</v>
      </c>
      <c r="I314" s="336" t="s">
        <v>282</v>
      </c>
      <c r="J314" s="337" t="s">
        <v>104</v>
      </c>
      <c r="K314" s="337" t="s">
        <v>102</v>
      </c>
      <c r="L314" s="337" t="s">
        <v>207</v>
      </c>
      <c r="M314" s="499" t="s">
        <v>198</v>
      </c>
      <c r="N314" s="336" t="s">
        <v>283</v>
      </c>
      <c r="O314" s="338" t="str">
        <f>EXTRACT_ACTIVATION_DTYPE(PARAMS("attn_proj_dtype"))</f>
        <v>fp8</v>
      </c>
      <c r="P314" s="351"/>
      <c r="Q314" s="338"/>
    </row>
    <row r="315">
      <c r="E315" s="341"/>
      <c r="F315" s="342"/>
      <c r="G315" s="343"/>
      <c r="H315" s="344" t="s">
        <v>285</v>
      </c>
      <c r="I315" s="345" t="s">
        <v>282</v>
      </c>
      <c r="J315" s="346">
        <f t="shared" ref="J315:M315" si="61">PARAMS(J314)</f>
        <v>8</v>
      </c>
      <c r="K315" s="345">
        <f t="shared" si="61"/>
        <v>2048</v>
      </c>
      <c r="L315" s="345">
        <f t="shared" si="61"/>
        <v>128</v>
      </c>
      <c r="M315" s="345">
        <f t="shared" si="61"/>
        <v>512</v>
      </c>
      <c r="N315" s="345" t="s">
        <v>283</v>
      </c>
      <c r="O315" s="347"/>
      <c r="P315" s="348">
        <f>SIZEOF_IN_MIB(J315:M315, $O314)</f>
        <v>1024</v>
      </c>
      <c r="Q315" s="347"/>
    </row>
    <row r="316">
      <c r="E316" s="341"/>
      <c r="F316" s="342"/>
      <c r="G316" s="343"/>
      <c r="H316" s="349" t="s">
        <v>287</v>
      </c>
      <c r="I316" s="349" t="s">
        <v>282</v>
      </c>
      <c r="J316" s="337" t="s">
        <v>196</v>
      </c>
      <c r="K316" s="337"/>
      <c r="L316" s="337"/>
      <c r="M316" s="349"/>
      <c r="N316" s="349" t="s">
        <v>283</v>
      </c>
      <c r="O316" s="350"/>
      <c r="P316" s="351"/>
      <c r="Q316" s="350"/>
    </row>
    <row r="317">
      <c r="E317" s="341"/>
      <c r="F317" s="342"/>
      <c r="G317" s="343"/>
      <c r="H317" s="344" t="s">
        <v>289</v>
      </c>
      <c r="I317" s="346" t="s">
        <v>282</v>
      </c>
      <c r="J317" s="346">
        <f t="shared" ref="J317:M317" si="62">J315/SHARDING(J316)</f>
        <v>1</v>
      </c>
      <c r="K317" s="346">
        <f t="shared" si="62"/>
        <v>2048</v>
      </c>
      <c r="L317" s="346">
        <f t="shared" si="62"/>
        <v>128</v>
      </c>
      <c r="M317" s="346">
        <f t="shared" si="62"/>
        <v>512</v>
      </c>
      <c r="N317" s="346" t="s">
        <v>283</v>
      </c>
      <c r="O317" s="355"/>
      <c r="P317" s="348">
        <f>SIZEOF_IN_MIB(J317:M317, $O314)</f>
        <v>128</v>
      </c>
      <c r="Q317" s="355"/>
    </row>
    <row r="318">
      <c r="E318" s="341"/>
      <c r="F318" s="353"/>
      <c r="G318" s="354"/>
      <c r="H318" s="337" t="s">
        <v>304</v>
      </c>
      <c r="I318" s="349"/>
      <c r="J318" s="337" t="s">
        <v>96</v>
      </c>
      <c r="K318" s="337"/>
      <c r="L318" s="337"/>
      <c r="M318" s="499"/>
      <c r="N318" s="349"/>
      <c r="O318" s="337"/>
      <c r="P318" s="351"/>
      <c r="Q318" s="337"/>
    </row>
    <row r="319">
      <c r="E319" s="341"/>
      <c r="F319" s="426" t="s">
        <v>319</v>
      </c>
      <c r="G319" s="554" t="s">
        <v>97</v>
      </c>
      <c r="H319" s="388"/>
      <c r="I319" s="555"/>
      <c r="J319" s="345"/>
      <c r="K319" s="344"/>
      <c r="L319" s="344"/>
      <c r="M319" s="556"/>
      <c r="N319" s="346"/>
      <c r="O319" s="473"/>
      <c r="P319" s="348"/>
      <c r="Q319" s="473"/>
    </row>
    <row r="320">
      <c r="E320" s="341"/>
      <c r="F320" s="432" t="s">
        <v>320</v>
      </c>
      <c r="G320" s="557" t="s">
        <v>306</v>
      </c>
      <c r="H320" s="558">
        <f>HW_SPEC("# of TensorCore per Chip")</f>
        <v>1</v>
      </c>
      <c r="J320" s="336"/>
      <c r="K320" s="349"/>
      <c r="L320" s="349"/>
      <c r="M320" s="349"/>
      <c r="N320" s="349"/>
      <c r="O320" s="350"/>
      <c r="P320" s="351"/>
      <c r="Q320" s="350"/>
    </row>
    <row r="321">
      <c r="E321" s="341"/>
      <c r="F321" s="341"/>
      <c r="G321" s="559" t="s">
        <v>307</v>
      </c>
      <c r="H321" s="395">
        <f>P317*(H320-1)</f>
        <v>0</v>
      </c>
      <c r="J321" s="345"/>
      <c r="K321" s="345"/>
      <c r="L321" s="346"/>
      <c r="M321" s="346"/>
      <c r="N321" s="346"/>
      <c r="O321" s="347"/>
      <c r="P321" s="348"/>
      <c r="Q321" s="347"/>
    </row>
    <row r="322">
      <c r="E322" s="341"/>
      <c r="F322" s="341"/>
      <c r="G322" s="557" t="s">
        <v>308</v>
      </c>
      <c r="H322" s="390">
        <f>H321*H320</f>
        <v>0</v>
      </c>
      <c r="J322" s="336"/>
      <c r="K322" s="349"/>
      <c r="L322" s="349"/>
      <c r="M322" s="349"/>
      <c r="N322" s="349"/>
      <c r="O322" s="316"/>
      <c r="P322" s="351"/>
      <c r="Q322" s="316"/>
    </row>
    <row r="323">
      <c r="E323" s="341"/>
      <c r="F323" s="352"/>
      <c r="G323" s="559" t="s">
        <v>311</v>
      </c>
      <c r="H323" s="560">
        <f>ALL_GATHER_CORE2CORE_TIME_MS(H322)</f>
        <v>0</v>
      </c>
      <c r="J323" s="344"/>
      <c r="K323" s="344"/>
      <c r="L323" s="344"/>
      <c r="M323" s="344"/>
      <c r="N323" s="346"/>
      <c r="O323" s="473"/>
      <c r="P323" s="348"/>
      <c r="Q323" s="473"/>
    </row>
    <row r="324">
      <c r="E324" s="341"/>
      <c r="F324" s="487" t="s">
        <v>340</v>
      </c>
      <c r="G324" s="561">
        <f>H323</f>
        <v>0</v>
      </c>
      <c r="H324" s="562"/>
      <c r="I324" s="405"/>
      <c r="J324" s="349"/>
      <c r="K324" s="349"/>
      <c r="L324" s="349"/>
      <c r="M324" s="349"/>
      <c r="N324" s="349"/>
      <c r="O324" s="563"/>
      <c r="P324" s="351"/>
      <c r="Q324" s="316"/>
    </row>
    <row r="325">
      <c r="E325" s="341"/>
      <c r="F325" s="564"/>
      <c r="G325" s="565"/>
      <c r="H325" s="566"/>
      <c r="I325" s="465"/>
      <c r="J325" s="465"/>
      <c r="K325" s="465"/>
      <c r="L325" s="466"/>
      <c r="M325" s="466"/>
      <c r="N325" s="466"/>
      <c r="O325" s="567"/>
      <c r="P325" s="467"/>
      <c r="Q325" s="379"/>
    </row>
    <row r="326">
      <c r="E326" s="341"/>
      <c r="F326" s="568" t="s">
        <v>322</v>
      </c>
      <c r="G326" s="569" t="s">
        <v>323</v>
      </c>
      <c r="H326" s="570"/>
      <c r="I326" s="448"/>
      <c r="J326" s="448"/>
      <c r="K326" s="448"/>
      <c r="L326" s="449"/>
      <c r="M326" s="449"/>
      <c r="N326" s="449"/>
      <c r="O326" s="571"/>
      <c r="P326" s="451"/>
      <c r="Q326" s="572"/>
    </row>
    <row r="327">
      <c r="E327" s="352"/>
      <c r="F327" s="568" t="s">
        <v>340</v>
      </c>
      <c r="G327" s="573">
        <f>IF(G326=F313,G324,0)</f>
        <v>0</v>
      </c>
      <c r="H327" s="570"/>
      <c r="I327" s="448"/>
      <c r="J327" s="448"/>
      <c r="K327" s="448"/>
      <c r="L327" s="449"/>
      <c r="M327" s="449"/>
      <c r="N327" s="449"/>
      <c r="O327" s="448"/>
      <c r="P327" s="451"/>
      <c r="Q327" s="572"/>
    </row>
    <row r="328">
      <c r="E328" s="333" t="s">
        <v>355</v>
      </c>
      <c r="F328" s="357" t="s">
        <v>292</v>
      </c>
      <c r="G328" s="335"/>
      <c r="H328" s="336" t="s">
        <v>281</v>
      </c>
      <c r="I328" s="336" t="s">
        <v>282</v>
      </c>
      <c r="J328" s="337" t="s">
        <v>104</v>
      </c>
      <c r="K328" s="337" t="s">
        <v>102</v>
      </c>
      <c r="L328" s="499" t="s">
        <v>207</v>
      </c>
      <c r="M328" s="499" t="s">
        <v>201</v>
      </c>
      <c r="N328" s="336" t="s">
        <v>283</v>
      </c>
      <c r="O328" s="338" t="str">
        <f>EXTRACT_ACTIVATION_DTYPE(PARAMS("attn_oproj_dtype"))</f>
        <v>fp8</v>
      </c>
      <c r="P328" s="351"/>
      <c r="Q328" s="338" t="b">
        <v>0</v>
      </c>
    </row>
    <row r="329">
      <c r="E329" s="341"/>
      <c r="F329" s="342"/>
      <c r="G329" s="343"/>
      <c r="H329" s="344" t="s">
        <v>285</v>
      </c>
      <c r="I329" s="345" t="s">
        <v>282</v>
      </c>
      <c r="J329" s="346">
        <f t="shared" ref="J329:M329" si="63">PARAMS(J328)</f>
        <v>8</v>
      </c>
      <c r="K329" s="345">
        <f t="shared" si="63"/>
        <v>2048</v>
      </c>
      <c r="L329" s="345">
        <f t="shared" si="63"/>
        <v>128</v>
      </c>
      <c r="M329" s="345">
        <f t="shared" si="63"/>
        <v>128</v>
      </c>
      <c r="N329" s="345" t="s">
        <v>283</v>
      </c>
      <c r="O329" s="347"/>
      <c r="P329" s="348">
        <f>SIZEOF_IN_MIB(J329:M329, $O328)</f>
        <v>256</v>
      </c>
      <c r="Q329" s="347"/>
    </row>
    <row r="330">
      <c r="E330" s="341"/>
      <c r="F330" s="342"/>
      <c r="G330" s="343"/>
      <c r="H330" s="349" t="s">
        <v>287</v>
      </c>
      <c r="I330" s="349" t="s">
        <v>282</v>
      </c>
      <c r="J330" s="337" t="s">
        <v>196</v>
      </c>
      <c r="K330" s="337"/>
      <c r="L330" s="337"/>
      <c r="M330" s="349"/>
      <c r="N330" s="349" t="s">
        <v>283</v>
      </c>
      <c r="O330" s="350"/>
      <c r="P330" s="351"/>
      <c r="Q330" s="350"/>
    </row>
    <row r="331">
      <c r="E331" s="341"/>
      <c r="F331" s="353"/>
      <c r="G331" s="354"/>
      <c r="H331" s="344" t="s">
        <v>289</v>
      </c>
      <c r="I331" s="346" t="s">
        <v>282</v>
      </c>
      <c r="J331" s="346">
        <f t="shared" ref="J331:M331" si="64">J329/SHARDING(J330)</f>
        <v>1</v>
      </c>
      <c r="K331" s="346">
        <f t="shared" si="64"/>
        <v>2048</v>
      </c>
      <c r="L331" s="346">
        <f t="shared" si="64"/>
        <v>128</v>
      </c>
      <c r="M331" s="346">
        <f t="shared" si="64"/>
        <v>128</v>
      </c>
      <c r="N331" s="346" t="s">
        <v>283</v>
      </c>
      <c r="O331" s="355"/>
      <c r="P331" s="348">
        <f>SIZEOF_IN_MIB(J331:M331, $O328)</f>
        <v>32</v>
      </c>
      <c r="Q331" s="355"/>
    </row>
    <row r="332">
      <c r="E332" s="341"/>
      <c r="F332" s="334" t="s">
        <v>296</v>
      </c>
      <c r="G332" s="335"/>
      <c r="H332" s="349" t="s">
        <v>281</v>
      </c>
      <c r="I332" s="349" t="s">
        <v>282</v>
      </c>
      <c r="J332" s="336"/>
      <c r="K332" s="499" t="s">
        <v>207</v>
      </c>
      <c r="L332" s="499" t="s">
        <v>201</v>
      </c>
      <c r="M332" s="337" t="s">
        <v>178</v>
      </c>
      <c r="N332" s="349" t="s">
        <v>283</v>
      </c>
      <c r="O332" s="338" t="str">
        <f>EXTRACT_WEIGHT_DTYPE(PARAMS("attn_oproj_dtype"))</f>
        <v>fp8</v>
      </c>
      <c r="P332" s="351"/>
      <c r="Q332" s="338" t="b">
        <v>0</v>
      </c>
    </row>
    <row r="333">
      <c r="E333" s="341"/>
      <c r="F333" s="342"/>
      <c r="G333" s="343"/>
      <c r="H333" s="344" t="s">
        <v>285</v>
      </c>
      <c r="I333" s="346" t="s">
        <v>282</v>
      </c>
      <c r="J333" s="345"/>
      <c r="K333" s="346">
        <f t="shared" ref="K333:M333" si="65">PARAMS(K332)</f>
        <v>128</v>
      </c>
      <c r="L333" s="346">
        <f t="shared" si="65"/>
        <v>128</v>
      </c>
      <c r="M333" s="346">
        <f t="shared" si="65"/>
        <v>7168</v>
      </c>
      <c r="N333" s="346" t="s">
        <v>283</v>
      </c>
      <c r="O333" s="347"/>
      <c r="P333" s="348">
        <f>SIZEOF_IN_MIB(J333:M333, $O332)</f>
        <v>112</v>
      </c>
      <c r="Q333" s="347"/>
    </row>
    <row r="334">
      <c r="E334" s="341"/>
      <c r="F334" s="342"/>
      <c r="G334" s="343"/>
      <c r="H334" s="349" t="s">
        <v>287</v>
      </c>
      <c r="I334" s="349" t="s">
        <v>282</v>
      </c>
      <c r="J334" s="336"/>
      <c r="K334" s="336"/>
      <c r="L334" s="349"/>
      <c r="M334" s="349"/>
      <c r="N334" s="349" t="s">
        <v>283</v>
      </c>
      <c r="O334" s="350"/>
      <c r="P334" s="351"/>
      <c r="Q334" s="350"/>
    </row>
    <row r="335">
      <c r="E335" s="341"/>
      <c r="F335" s="353"/>
      <c r="G335" s="354"/>
      <c r="H335" s="346" t="s">
        <v>289</v>
      </c>
      <c r="I335" s="346" t="s">
        <v>282</v>
      </c>
      <c r="J335" s="345"/>
      <c r="K335" s="346">
        <f t="shared" ref="K335:M335" si="66">K333/SHARDING(K334)</f>
        <v>128</v>
      </c>
      <c r="L335" s="346">
        <f t="shared" si="66"/>
        <v>128</v>
      </c>
      <c r="M335" s="346">
        <f t="shared" si="66"/>
        <v>7168</v>
      </c>
      <c r="N335" s="346" t="s">
        <v>283</v>
      </c>
      <c r="O335" s="355"/>
      <c r="P335" s="348">
        <f>SIZEOF_IN_MIB(J335:M335, $O332)</f>
        <v>112</v>
      </c>
      <c r="Q335" s="355"/>
    </row>
    <row r="336">
      <c r="E336" s="341"/>
      <c r="F336" s="334" t="s">
        <v>56</v>
      </c>
      <c r="G336" s="335"/>
      <c r="H336" s="349" t="s">
        <v>281</v>
      </c>
      <c r="I336" s="349" t="s">
        <v>282</v>
      </c>
      <c r="J336" s="336"/>
      <c r="K336" s="337" t="s">
        <v>104</v>
      </c>
      <c r="L336" s="337" t="s">
        <v>102</v>
      </c>
      <c r="M336" s="337" t="s">
        <v>178</v>
      </c>
      <c r="N336" s="349" t="s">
        <v>283</v>
      </c>
      <c r="O336" s="338" t="s">
        <v>133</v>
      </c>
      <c r="P336" s="351"/>
      <c r="Q336" s="338" t="b">
        <v>0</v>
      </c>
    </row>
    <row r="337">
      <c r="E337" s="341"/>
      <c r="F337" s="342"/>
      <c r="G337" s="343"/>
      <c r="H337" s="344" t="s">
        <v>285</v>
      </c>
      <c r="I337" s="346" t="s">
        <v>282</v>
      </c>
      <c r="J337" s="345"/>
      <c r="K337" s="346">
        <f t="shared" ref="K337:M337" si="67">PARAMS(K336)</f>
        <v>8</v>
      </c>
      <c r="L337" s="346">
        <f t="shared" si="67"/>
        <v>2048</v>
      </c>
      <c r="M337" s="346">
        <f t="shared" si="67"/>
        <v>7168</v>
      </c>
      <c r="N337" s="346" t="s">
        <v>283</v>
      </c>
      <c r="O337" s="347"/>
      <c r="P337" s="348">
        <f>SIZEOF_IN_MIB(K337:M337, $O336)</f>
        <v>224</v>
      </c>
      <c r="Q337" s="347"/>
    </row>
    <row r="338">
      <c r="E338" s="341"/>
      <c r="F338" s="342"/>
      <c r="G338" s="343"/>
      <c r="H338" s="349" t="s">
        <v>287</v>
      </c>
      <c r="I338" s="349" t="s">
        <v>282</v>
      </c>
      <c r="J338" s="336"/>
      <c r="K338" s="337" t="s">
        <v>196</v>
      </c>
      <c r="L338" s="337"/>
      <c r="M338" s="349"/>
      <c r="N338" s="349" t="s">
        <v>283</v>
      </c>
      <c r="O338" s="350"/>
      <c r="P338" s="351"/>
      <c r="Q338" s="350"/>
    </row>
    <row r="339">
      <c r="E339" s="341"/>
      <c r="F339" s="353"/>
      <c r="G339" s="354"/>
      <c r="H339" s="346" t="s">
        <v>289</v>
      </c>
      <c r="I339" s="346" t="s">
        <v>282</v>
      </c>
      <c r="J339" s="346"/>
      <c r="K339" s="346">
        <f t="shared" ref="K339:M339" si="68">K337/SHARDING(K338)</f>
        <v>1</v>
      </c>
      <c r="L339" s="346">
        <f t="shared" si="68"/>
        <v>2048</v>
      </c>
      <c r="M339" s="346">
        <f t="shared" si="68"/>
        <v>7168</v>
      </c>
      <c r="N339" s="346" t="s">
        <v>283</v>
      </c>
      <c r="O339" s="355"/>
      <c r="P339" s="348">
        <f>SIZEOF_IN_MIB(K339:M339, $O336)</f>
        <v>28</v>
      </c>
      <c r="Q339" s="355"/>
    </row>
    <row r="340">
      <c r="E340" s="341"/>
      <c r="F340" s="474" t="s">
        <v>335</v>
      </c>
      <c r="G340" s="423" t="s">
        <v>356</v>
      </c>
      <c r="H340" s="424"/>
      <c r="I340" s="382"/>
      <c r="J340" s="574" t="s">
        <v>357</v>
      </c>
      <c r="K340" s="382"/>
      <c r="L340" s="383"/>
      <c r="M340" s="383"/>
      <c r="N340" s="383"/>
      <c r="O340" s="382"/>
      <c r="P340" s="384"/>
      <c r="Q340" s="382"/>
    </row>
    <row r="341">
      <c r="E341" s="341"/>
      <c r="F341" s="341"/>
      <c r="G341" s="426" t="s">
        <v>319</v>
      </c>
      <c r="H341" s="575" t="s">
        <v>97</v>
      </c>
      <c r="I341" s="482"/>
      <c r="J341" s="555"/>
      <c r="K341" s="387"/>
      <c r="L341" s="388"/>
      <c r="M341" s="388"/>
      <c r="N341" s="388"/>
      <c r="O341" s="387"/>
      <c r="P341" s="389"/>
      <c r="Q341" s="387"/>
    </row>
    <row r="342">
      <c r="E342" s="341"/>
      <c r="F342" s="341"/>
      <c r="G342" s="432" t="s">
        <v>320</v>
      </c>
      <c r="H342" s="576" t="s">
        <v>358</v>
      </c>
      <c r="I342" s="479"/>
      <c r="J342" s="558">
        <f>SHARDING(H341)</f>
        <v>8</v>
      </c>
      <c r="K342" s="391"/>
      <c r="L342" s="392"/>
      <c r="M342" s="392"/>
      <c r="N342" s="392"/>
      <c r="O342" s="391"/>
      <c r="P342" s="393"/>
      <c r="Q342" s="391"/>
    </row>
    <row r="343">
      <c r="E343" s="341"/>
      <c r="F343" s="341"/>
      <c r="G343" s="341"/>
      <c r="H343" s="481" t="s">
        <v>307</v>
      </c>
      <c r="I343" s="482"/>
      <c r="J343" s="395">
        <f>P331 * (J342-1)</f>
        <v>224</v>
      </c>
      <c r="K343" s="387"/>
      <c r="L343" s="388"/>
      <c r="M343" s="388"/>
      <c r="N343" s="388"/>
      <c r="O343" s="387"/>
      <c r="P343" s="389"/>
      <c r="Q343" s="387"/>
    </row>
    <row r="344">
      <c r="E344" s="341"/>
      <c r="F344" s="341"/>
      <c r="G344" s="341"/>
      <c r="H344" s="485" t="s">
        <v>308</v>
      </c>
      <c r="I344" s="479"/>
      <c r="J344" s="390">
        <f>J343*J342</f>
        <v>1792</v>
      </c>
      <c r="K344" s="391"/>
      <c r="L344" s="392"/>
      <c r="M344" s="392"/>
      <c r="N344" s="392"/>
      <c r="O344" s="391"/>
      <c r="P344" s="393"/>
      <c r="Q344" s="391"/>
    </row>
    <row r="345">
      <c r="E345" s="341"/>
      <c r="F345" s="341"/>
      <c r="G345" s="352"/>
      <c r="H345" s="481" t="s">
        <v>311</v>
      </c>
      <c r="I345" s="482"/>
      <c r="J345" s="560">
        <f>ALL_GATHER_CORE2CORE_TIME_MS(J344)</f>
        <v>0.9722222222</v>
      </c>
      <c r="K345" s="387"/>
      <c r="L345" s="388"/>
      <c r="M345" s="388"/>
      <c r="N345" s="388"/>
      <c r="O345" s="387"/>
      <c r="P345" s="389"/>
      <c r="Q345" s="387"/>
    </row>
    <row r="346">
      <c r="E346" s="341"/>
      <c r="F346" s="341"/>
      <c r="G346" s="487" t="s">
        <v>340</v>
      </c>
      <c r="H346" s="577">
        <f>J345</f>
        <v>0.9722222222</v>
      </c>
      <c r="I346" s="562"/>
      <c r="J346" s="404"/>
      <c r="K346" s="404"/>
      <c r="L346" s="405"/>
      <c r="M346" s="405"/>
      <c r="N346" s="405"/>
      <c r="O346" s="404"/>
      <c r="P346" s="480"/>
      <c r="Q346" s="391"/>
    </row>
    <row r="347">
      <c r="E347" s="341"/>
      <c r="F347" s="341"/>
      <c r="G347" s="459"/>
      <c r="H347" s="346"/>
      <c r="I347" s="493"/>
      <c r="J347" s="345"/>
      <c r="K347" s="345"/>
      <c r="L347" s="346"/>
      <c r="M347" s="346"/>
      <c r="N347" s="346"/>
      <c r="O347" s="345"/>
      <c r="P347" s="578"/>
      <c r="Q347" s="379"/>
    </row>
    <row r="348">
      <c r="E348" s="341"/>
      <c r="F348" s="341"/>
      <c r="G348" s="579" t="s">
        <v>322</v>
      </c>
      <c r="H348" s="580" t="s">
        <v>323</v>
      </c>
      <c r="I348" s="581"/>
      <c r="J348" s="448"/>
      <c r="K348" s="448"/>
      <c r="L348" s="449"/>
      <c r="M348" s="449"/>
      <c r="N348" s="449"/>
      <c r="O348" s="448"/>
      <c r="P348" s="582"/>
      <c r="Q348" s="572"/>
    </row>
    <row r="349">
      <c r="E349" s="341"/>
      <c r="F349" s="352"/>
      <c r="G349" s="579" t="s">
        <v>340</v>
      </c>
      <c r="H349" s="583">
        <f>IF(G340=H348,H346,0)</f>
        <v>0</v>
      </c>
      <c r="I349" s="581"/>
      <c r="J349" s="448"/>
      <c r="K349" s="448"/>
      <c r="L349" s="449"/>
      <c r="M349" s="449"/>
      <c r="N349" s="449"/>
      <c r="O349" s="448"/>
      <c r="P349" s="582"/>
      <c r="Q349" s="572"/>
    </row>
    <row r="350">
      <c r="E350" s="341"/>
      <c r="F350" s="458" t="s">
        <v>327</v>
      </c>
      <c r="G350" s="459" t="s">
        <v>328</v>
      </c>
      <c r="H350" s="349" t="str">
        <f>VLOOKUP(O328&amp;","&amp;O332,$T$3:$W$12,4, FALSE)</f>
        <v>fp8</v>
      </c>
      <c r="I350" s="492"/>
      <c r="J350" s="336"/>
      <c r="K350" s="336"/>
      <c r="L350" s="349"/>
      <c r="M350" s="349"/>
      <c r="N350" s="349"/>
      <c r="O350" s="336"/>
      <c r="P350" s="339"/>
      <c r="Q350" s="298"/>
    </row>
    <row r="351">
      <c r="E351" s="341"/>
      <c r="F351" s="341"/>
      <c r="G351" s="455" t="s">
        <v>341</v>
      </c>
      <c r="H351" s="550">
        <f>CALCULATE_FLOPS(J331:M331,J335:M335,K335:L335,1,H350)</f>
        <v>481036337152</v>
      </c>
      <c r="I351" s="584" t="s">
        <v>359</v>
      </c>
      <c r="J351" s="345"/>
      <c r="K351" s="345"/>
      <c r="L351" s="346"/>
      <c r="M351" s="346"/>
      <c r="N351" s="346"/>
      <c r="O351" s="345"/>
      <c r="P351" s="578"/>
      <c r="Q351" s="379"/>
    </row>
    <row r="352">
      <c r="E352" s="341"/>
      <c r="F352" s="352"/>
      <c r="G352" s="462" t="s">
        <v>330</v>
      </c>
      <c r="H352" s="585">
        <f>COMPUTE_TIME_MS(H351, H350)</f>
        <v>0.1282763566</v>
      </c>
      <c r="I352" s="464"/>
      <c r="J352" s="465"/>
      <c r="K352" s="465"/>
      <c r="L352" s="466"/>
      <c r="M352" s="466"/>
      <c r="N352" s="466"/>
      <c r="O352" s="465"/>
      <c r="P352" s="586"/>
      <c r="Q352" s="298"/>
    </row>
    <row r="353">
      <c r="E353" s="341"/>
      <c r="F353" s="458" t="s">
        <v>331</v>
      </c>
      <c r="G353" s="455" t="s">
        <v>332</v>
      </c>
      <c r="H353" s="509">
        <f>IF(Q328,0,P331)+IF(Q332,0,P335)+IF(Q336,0,P339)</f>
        <v>172</v>
      </c>
      <c r="I353" s="345"/>
      <c r="J353" s="345"/>
      <c r="K353" s="345"/>
      <c r="L353" s="346"/>
      <c r="M353" s="346"/>
      <c r="N353" s="346"/>
      <c r="O353" s="345"/>
      <c r="P353" s="578"/>
      <c r="Q353" s="379"/>
    </row>
    <row r="354">
      <c r="E354" s="352"/>
      <c r="F354" s="352"/>
      <c r="G354" s="469" t="s">
        <v>333</v>
      </c>
      <c r="H354" s="547">
        <f>HBM_TIME_MS(H353)</f>
        <v>0.02332899306</v>
      </c>
      <c r="I354" s="465"/>
      <c r="J354" s="465"/>
      <c r="K354" s="465"/>
      <c r="L354" s="466"/>
      <c r="M354" s="466"/>
      <c r="N354" s="466"/>
      <c r="O354" s="465"/>
      <c r="P354" s="586"/>
      <c r="Q354" s="11"/>
    </row>
    <row r="358">
      <c r="E358" s="281" t="s">
        <v>360</v>
      </c>
    </row>
    <row r="359">
      <c r="E359" s="324" t="s">
        <v>272</v>
      </c>
      <c r="F359" s="587" t="s">
        <v>273</v>
      </c>
      <c r="G359" s="326"/>
      <c r="H359" s="588"/>
      <c r="I359" s="325" t="s">
        <v>274</v>
      </c>
      <c r="J359" s="589"/>
      <c r="K359" s="589"/>
      <c r="L359" s="589"/>
      <c r="M359" s="589"/>
      <c r="N359" s="588"/>
      <c r="O359" s="328" t="s">
        <v>275</v>
      </c>
      <c r="P359" s="328" t="s">
        <v>361</v>
      </c>
      <c r="Q359" s="330" t="s">
        <v>277</v>
      </c>
    </row>
    <row r="360">
      <c r="E360" s="333" t="s">
        <v>362</v>
      </c>
      <c r="F360" s="590" t="s">
        <v>335</v>
      </c>
      <c r="G360" s="591" t="s">
        <v>363</v>
      </c>
      <c r="H360" s="592" t="s">
        <v>364</v>
      </c>
      <c r="I360" s="448"/>
      <c r="J360" s="448"/>
      <c r="K360" s="553"/>
      <c r="L360" s="553"/>
      <c r="M360" s="593"/>
      <c r="N360" s="448"/>
      <c r="O360" s="553"/>
      <c r="P360" s="448"/>
      <c r="Q360" s="553"/>
    </row>
    <row r="361">
      <c r="E361" s="341"/>
      <c r="F361" s="341"/>
      <c r="G361" s="371" t="s">
        <v>301</v>
      </c>
      <c r="H361" s="531" t="s">
        <v>281</v>
      </c>
      <c r="I361" s="336" t="s">
        <v>282</v>
      </c>
      <c r="J361" s="336"/>
      <c r="K361" s="337" t="s">
        <v>104</v>
      </c>
      <c r="L361" s="337" t="s">
        <v>212</v>
      </c>
      <c r="M361" s="358" t="s">
        <v>178</v>
      </c>
      <c r="N361" s="336" t="s">
        <v>283</v>
      </c>
      <c r="O361" s="338" t="str">
        <f>PARAMS("expert_dispatch_dtype")</f>
        <v>fp8</v>
      </c>
      <c r="P361" s="336"/>
      <c r="Q361" s="338"/>
    </row>
    <row r="362">
      <c r="E362" s="341"/>
      <c r="F362" s="341"/>
      <c r="G362" s="341"/>
      <c r="H362" s="378" t="s">
        <v>285</v>
      </c>
      <c r="I362" s="345" t="s">
        <v>282</v>
      </c>
      <c r="J362" s="346"/>
      <c r="K362" s="345">
        <f t="shared" ref="K362:M362" si="69">PARAMS(K361)</f>
        <v>8</v>
      </c>
      <c r="L362" s="345">
        <f t="shared" si="69"/>
        <v>8192</v>
      </c>
      <c r="M362" s="345">
        <f t="shared" si="69"/>
        <v>7168</v>
      </c>
      <c r="N362" s="345" t="s">
        <v>283</v>
      </c>
      <c r="O362" s="347"/>
      <c r="P362" s="509">
        <f>SIZEOF_IN_MIB(J362:M362, O361)</f>
        <v>448</v>
      </c>
      <c r="Q362" s="347"/>
    </row>
    <row r="363">
      <c r="E363" s="341"/>
      <c r="F363" s="341"/>
      <c r="G363" s="341"/>
      <c r="H363" s="376" t="s">
        <v>302</v>
      </c>
      <c r="I363" s="349" t="s">
        <v>282</v>
      </c>
      <c r="J363" s="336"/>
      <c r="K363" s="337" t="s">
        <v>196</v>
      </c>
      <c r="L363" s="337"/>
      <c r="M363" s="337"/>
      <c r="N363" s="349" t="s">
        <v>283</v>
      </c>
      <c r="O363" s="350"/>
      <c r="P363" s="377"/>
      <c r="Q363" s="350"/>
    </row>
    <row r="364">
      <c r="E364" s="341"/>
      <c r="F364" s="341"/>
      <c r="G364" s="341"/>
      <c r="H364" s="378" t="s">
        <v>303</v>
      </c>
      <c r="I364" s="346" t="s">
        <v>282</v>
      </c>
      <c r="J364" s="345"/>
      <c r="K364" s="346">
        <f t="shared" ref="K364:M364" si="70">K362/SHARDING(K363)</f>
        <v>1</v>
      </c>
      <c r="L364" s="346">
        <f t="shared" si="70"/>
        <v>8192</v>
      </c>
      <c r="M364" s="346">
        <f t="shared" si="70"/>
        <v>7168</v>
      </c>
      <c r="N364" s="344" t="s">
        <v>283</v>
      </c>
      <c r="O364" s="347"/>
      <c r="P364" s="509"/>
      <c r="Q364" s="347"/>
    </row>
    <row r="365">
      <c r="E365" s="341"/>
      <c r="F365" s="341"/>
      <c r="G365" s="352"/>
      <c r="H365" s="376" t="s">
        <v>304</v>
      </c>
      <c r="I365" s="349" t="s">
        <v>282</v>
      </c>
      <c r="J365" s="336"/>
      <c r="K365" s="337" t="s">
        <v>196</v>
      </c>
      <c r="L365" s="337"/>
      <c r="M365" s="337"/>
      <c r="N365" s="349" t="s">
        <v>283</v>
      </c>
      <c r="O365" s="316"/>
      <c r="P365" s="377">
        <f>SIZEOF_IN_MIB(J364:M364, O361)</f>
        <v>56</v>
      </c>
      <c r="Q365" s="316"/>
    </row>
    <row r="366">
      <c r="E366" s="341"/>
      <c r="F366" s="341"/>
      <c r="G366" s="594" t="s">
        <v>365</v>
      </c>
      <c r="H366" s="595">
        <f>vlookup(SHARDING(K363)*SHARDING(L363)/HW_SPEC("# of TensorCore per Chip"), DB!$A$26:$D$31, 3, FALSE)</f>
        <v>4</v>
      </c>
      <c r="I366" s="379"/>
      <c r="J366" s="379"/>
      <c r="K366" s="379"/>
      <c r="L366" s="379"/>
      <c r="M366" s="379"/>
      <c r="N366" s="379"/>
      <c r="O366" s="379"/>
      <c r="P366" s="596"/>
      <c r="Q366" s="379"/>
    </row>
    <row r="367">
      <c r="E367" s="341"/>
      <c r="F367" s="341"/>
      <c r="G367" s="594" t="s">
        <v>366</v>
      </c>
      <c r="H367" s="597">
        <f>COLLECTIVE_TIME_GPU("GB200", "ALL_TO_ALL", SHARDING(K363)*SHARDING(L363), P365*1024*1024)/1000</f>
        <v>0.12364</v>
      </c>
      <c r="I367" s="298"/>
      <c r="J367" s="298"/>
      <c r="K367" s="298"/>
      <c r="L367" s="298"/>
      <c r="M367" s="298"/>
      <c r="N367" s="298"/>
      <c r="O367" s="298"/>
      <c r="P367" s="598"/>
      <c r="Q367" s="298"/>
    </row>
    <row r="368">
      <c r="E368" s="341"/>
      <c r="F368" s="341"/>
      <c r="G368" s="599" t="s">
        <v>367</v>
      </c>
      <c r="H368" s="600">
        <f>IF(PARAMS("use_nccl_lookup")=TRUE, H367, ALL2ALL_CHIP2CHIP_TIME_MS(P362, H366))</f>
        <v>0.12364</v>
      </c>
      <c r="I368" s="379"/>
      <c r="J368" s="379"/>
      <c r="K368" s="379"/>
      <c r="L368" s="379"/>
      <c r="M368" s="379"/>
      <c r="N368" s="379"/>
      <c r="O368" s="379"/>
      <c r="P368" s="596"/>
      <c r="Q368" s="379"/>
    </row>
    <row r="369">
      <c r="E369" s="341"/>
      <c r="F369" s="341"/>
      <c r="G369" s="601"/>
      <c r="H369" s="602"/>
      <c r="I369" s="349"/>
      <c r="J369" s="336"/>
      <c r="K369" s="337"/>
      <c r="L369" s="499"/>
      <c r="M369" s="337"/>
      <c r="N369" s="349"/>
      <c r="O369" s="337"/>
      <c r="P369" s="377"/>
      <c r="Q369" s="337"/>
    </row>
    <row r="370">
      <c r="E370" s="341"/>
      <c r="F370" s="341"/>
      <c r="G370" s="591" t="s">
        <v>368</v>
      </c>
      <c r="H370" s="603" t="s">
        <v>449</v>
      </c>
      <c r="I370" s="449"/>
      <c r="J370" s="448"/>
      <c r="K370" s="553"/>
      <c r="L370" s="446"/>
      <c r="M370" s="553"/>
      <c r="N370" s="449"/>
      <c r="O370" s="553"/>
      <c r="P370" s="604"/>
      <c r="Q370" s="553"/>
    </row>
    <row r="371">
      <c r="E371" s="341"/>
      <c r="F371" s="341"/>
      <c r="G371" s="371" t="s">
        <v>301</v>
      </c>
      <c r="H371" s="602" t="s">
        <v>281</v>
      </c>
      <c r="I371" s="349" t="s">
        <v>282</v>
      </c>
      <c r="J371" s="336"/>
      <c r="K371" s="337" t="s">
        <v>104</v>
      </c>
      <c r="L371" s="499" t="s">
        <v>102</v>
      </c>
      <c r="M371" s="337" t="s">
        <v>178</v>
      </c>
      <c r="N371" s="349" t="s">
        <v>283</v>
      </c>
      <c r="O371" s="338" t="str">
        <f>PARAMS("expert_dispatch_dtype")</f>
        <v>fp8</v>
      </c>
      <c r="P371" s="377"/>
      <c r="Q371" s="338"/>
    </row>
    <row r="372">
      <c r="E372" s="341"/>
      <c r="F372" s="341"/>
      <c r="G372" s="341"/>
      <c r="H372" s="378" t="s">
        <v>285</v>
      </c>
      <c r="I372" s="346" t="s">
        <v>282</v>
      </c>
      <c r="J372" s="345"/>
      <c r="K372" s="346">
        <f t="shared" ref="K372:M372" si="71">PARAMS(K371)</f>
        <v>8</v>
      </c>
      <c r="L372" s="346">
        <f t="shared" si="71"/>
        <v>2048</v>
      </c>
      <c r="M372" s="346">
        <f t="shared" si="71"/>
        <v>7168</v>
      </c>
      <c r="N372" s="346" t="s">
        <v>283</v>
      </c>
      <c r="O372" s="347"/>
      <c r="P372" s="509">
        <f>SIZEOF_IN_MIB(J372:M372, O371)</f>
        <v>112</v>
      </c>
      <c r="Q372" s="347"/>
    </row>
    <row r="373">
      <c r="E373" s="341"/>
      <c r="F373" s="341"/>
      <c r="G373" s="341"/>
      <c r="H373" s="376" t="s">
        <v>302</v>
      </c>
      <c r="I373" s="349" t="s">
        <v>282</v>
      </c>
      <c r="J373" s="336"/>
      <c r="K373" s="337" t="s">
        <v>196</v>
      </c>
      <c r="L373" s="337"/>
      <c r="M373" s="337"/>
      <c r="N373" s="349" t="s">
        <v>283</v>
      </c>
      <c r="O373" s="350"/>
      <c r="P373" s="377"/>
      <c r="Q373" s="350"/>
    </row>
    <row r="374">
      <c r="E374" s="341"/>
      <c r="F374" s="341"/>
      <c r="G374" s="341"/>
      <c r="H374" s="517" t="s">
        <v>289</v>
      </c>
      <c r="I374" s="346" t="s">
        <v>282</v>
      </c>
      <c r="J374" s="345"/>
      <c r="K374" s="346">
        <f t="shared" ref="K374:M374" si="72">K372/SHARDING(K373)</f>
        <v>1</v>
      </c>
      <c r="L374" s="346">
        <f t="shared" si="72"/>
        <v>2048</v>
      </c>
      <c r="M374" s="346">
        <f t="shared" si="72"/>
        <v>7168</v>
      </c>
      <c r="N374" s="346" t="s">
        <v>283</v>
      </c>
      <c r="O374" s="347"/>
      <c r="P374" s="509">
        <f>SIZEOF_IN_MIB(J374:M374, O371)</f>
        <v>14</v>
      </c>
      <c r="Q374" s="355"/>
    </row>
    <row r="375">
      <c r="E375" s="341"/>
      <c r="F375" s="341"/>
      <c r="G375" s="352"/>
      <c r="H375" s="605" t="s">
        <v>304</v>
      </c>
      <c r="I375" s="349" t="s">
        <v>282</v>
      </c>
      <c r="J375" s="298"/>
      <c r="K375" s="298"/>
      <c r="L375" s="298"/>
      <c r="M375" s="337"/>
      <c r="N375" s="349" t="s">
        <v>283</v>
      </c>
      <c r="O375" s="316"/>
      <c r="P375" s="598"/>
      <c r="Q375" s="298"/>
    </row>
    <row r="376">
      <c r="E376" s="341"/>
      <c r="F376" s="341"/>
      <c r="G376" s="385" t="s">
        <v>306</v>
      </c>
      <c r="H376" s="386">
        <f>SHARDING(K373)*SHARDING(L373)</f>
        <v>8</v>
      </c>
      <c r="I376" s="379"/>
      <c r="J376" s="379"/>
      <c r="K376" s="379"/>
      <c r="L376" s="379"/>
      <c r="M376" s="379"/>
      <c r="N376" s="379"/>
      <c r="O376" s="379"/>
      <c r="P376" s="596"/>
      <c r="Q376" s="379"/>
    </row>
    <row r="377">
      <c r="E377" s="341"/>
      <c r="F377" s="341"/>
      <c r="G377" s="385" t="s">
        <v>307</v>
      </c>
      <c r="H377" s="390">
        <f>P374 * (H376-1)</f>
        <v>98</v>
      </c>
      <c r="I377" s="298"/>
      <c r="J377" s="298"/>
      <c r="K377" s="298"/>
      <c r="L377" s="298"/>
      <c r="M377" s="298"/>
      <c r="N377" s="298"/>
      <c r="O377" s="298"/>
      <c r="P377" s="598"/>
      <c r="Q377" s="298"/>
    </row>
    <row r="378">
      <c r="E378" s="341"/>
      <c r="F378" s="341"/>
      <c r="G378" s="394" t="s">
        <v>308</v>
      </c>
      <c r="H378" s="395">
        <f>H377*H376</f>
        <v>784</v>
      </c>
      <c r="I378" s="346"/>
      <c r="J378" s="345"/>
      <c r="K378" s="345"/>
      <c r="L378" s="344"/>
      <c r="M378" s="346"/>
      <c r="N378" s="346"/>
      <c r="O378" s="344"/>
      <c r="P378" s="509"/>
      <c r="Q378" s="344"/>
    </row>
    <row r="379">
      <c r="E379" s="341"/>
      <c r="F379" s="341"/>
      <c r="G379" s="396" t="s">
        <v>309</v>
      </c>
      <c r="H379" s="397">
        <f>IFS(H376=8,12,
H376=4,4,
H376=2,1,
H376=1,0,
TRUE,NA())</f>
        <v>12</v>
      </c>
      <c r="I379" s="349"/>
      <c r="J379" s="336"/>
      <c r="K379" s="336"/>
      <c r="L379" s="337"/>
      <c r="M379" s="349"/>
      <c r="N379" s="349"/>
      <c r="O379" s="337"/>
      <c r="P379" s="377"/>
      <c r="Q379" s="337"/>
    </row>
    <row r="380">
      <c r="E380" s="341"/>
      <c r="F380" s="341"/>
      <c r="G380" s="9" t="s">
        <v>310</v>
      </c>
      <c r="H380" s="606">
        <v>1.0</v>
      </c>
      <c r="I380" s="346"/>
      <c r="J380" s="345"/>
      <c r="K380" s="345"/>
      <c r="L380" s="344"/>
      <c r="M380" s="346"/>
      <c r="N380" s="346"/>
      <c r="O380" s="344"/>
      <c r="P380" s="509"/>
      <c r="Q380" s="344"/>
    </row>
    <row r="381">
      <c r="E381" s="341"/>
      <c r="F381" s="341"/>
      <c r="G381" s="385" t="s">
        <v>370</v>
      </c>
      <c r="H381" s="607">
        <f>COLLECTIVE_TIME_GPU("GB200", "ALL_GATHER", H376, P372*1024*1024)/1000</f>
        <v>0.20498</v>
      </c>
      <c r="I381" s="349"/>
      <c r="J381" s="336"/>
      <c r="K381" s="336"/>
      <c r="L381" s="337"/>
      <c r="M381" s="349"/>
      <c r="N381" s="349"/>
      <c r="O381" s="337"/>
      <c r="P381" s="377"/>
      <c r="Q381" s="337"/>
    </row>
    <row r="382">
      <c r="E382" s="341"/>
      <c r="F382" s="341"/>
      <c r="G382" s="402" t="s">
        <v>311</v>
      </c>
      <c r="H382" s="608">
        <f>IF(PARAMS("use_nccl_lookup")=TRUE, H381, ALL_GATHER_CHIP2CHIP_TIME_MS2(H378 * H380, H379))</f>
        <v>0.20498</v>
      </c>
      <c r="I382" s="346"/>
      <c r="J382" s="345"/>
      <c r="K382" s="345"/>
      <c r="L382" s="344"/>
      <c r="M382" s="346"/>
      <c r="N382" s="346"/>
      <c r="O382" s="344"/>
      <c r="P382" s="509"/>
      <c r="Q382" s="344"/>
    </row>
    <row r="383">
      <c r="E383" s="341"/>
      <c r="F383" s="341"/>
      <c r="G383" s="601"/>
      <c r="H383" s="602"/>
      <c r="I383" s="349"/>
      <c r="J383" s="336"/>
      <c r="K383" s="337"/>
      <c r="L383" s="499"/>
      <c r="M383" s="337"/>
      <c r="N383" s="349"/>
      <c r="O383" s="337"/>
      <c r="P383" s="377"/>
      <c r="Q383" s="337"/>
    </row>
    <row r="384">
      <c r="E384" s="341"/>
      <c r="F384" s="341"/>
      <c r="G384" s="591" t="s">
        <v>117</v>
      </c>
      <c r="H384" s="592" t="s">
        <v>371</v>
      </c>
      <c r="I384" s="449"/>
      <c r="J384" s="448"/>
      <c r="K384" s="553"/>
      <c r="L384" s="446"/>
      <c r="M384" s="553"/>
      <c r="N384" s="449"/>
      <c r="O384" s="553"/>
      <c r="P384" s="604"/>
      <c r="Q384" s="553"/>
    </row>
    <row r="385">
      <c r="E385" s="341"/>
      <c r="F385" s="341"/>
      <c r="G385" s="609" t="s">
        <v>301</v>
      </c>
      <c r="H385" s="602" t="s">
        <v>281</v>
      </c>
      <c r="I385" s="349" t="s">
        <v>282</v>
      </c>
      <c r="J385" s="336"/>
      <c r="K385" s="337" t="s">
        <v>104</v>
      </c>
      <c r="L385" s="499" t="s">
        <v>102</v>
      </c>
      <c r="M385" s="337" t="s">
        <v>178</v>
      </c>
      <c r="N385" s="349" t="s">
        <v>283</v>
      </c>
      <c r="O385" s="338" t="str">
        <f>PARAMS("expert_dispatch_dtype")</f>
        <v>fp8</v>
      </c>
      <c r="P385" s="377"/>
      <c r="Q385" s="337"/>
    </row>
    <row r="386">
      <c r="E386" s="341"/>
      <c r="F386" s="341"/>
      <c r="G386" s="341"/>
      <c r="H386" s="378" t="s">
        <v>285</v>
      </c>
      <c r="I386" s="346" t="s">
        <v>282</v>
      </c>
      <c r="J386" s="345"/>
      <c r="K386" s="346">
        <f t="shared" ref="K386:M386" si="73">PARAMS(K385)</f>
        <v>8</v>
      </c>
      <c r="L386" s="346">
        <f t="shared" si="73"/>
        <v>2048</v>
      </c>
      <c r="M386" s="346">
        <f t="shared" si="73"/>
        <v>7168</v>
      </c>
      <c r="N386" s="346" t="s">
        <v>283</v>
      </c>
      <c r="O386" s="347"/>
      <c r="P386" s="509">
        <f>SIZEOF_IN_MIB(J386:M386, O385)</f>
        <v>112</v>
      </c>
      <c r="Q386" s="344"/>
    </row>
    <row r="387">
      <c r="E387" s="341"/>
      <c r="F387" s="341"/>
      <c r="G387" s="341"/>
      <c r="H387" s="376" t="s">
        <v>302</v>
      </c>
      <c r="I387" s="349" t="s">
        <v>282</v>
      </c>
      <c r="J387" s="336"/>
      <c r="K387" s="337" t="s">
        <v>196</v>
      </c>
      <c r="L387" s="337"/>
      <c r="M387" s="337"/>
      <c r="N387" s="349" t="s">
        <v>283</v>
      </c>
      <c r="O387" s="350"/>
      <c r="P387" s="377"/>
      <c r="Q387" s="337"/>
    </row>
    <row r="388">
      <c r="E388" s="341"/>
      <c r="F388" s="341"/>
      <c r="G388" s="341"/>
      <c r="H388" s="378" t="s">
        <v>303</v>
      </c>
      <c r="I388" s="346" t="s">
        <v>282</v>
      </c>
      <c r="J388" s="345"/>
      <c r="K388" s="346">
        <f t="shared" ref="K388:M388" si="74">K386/SHARDING(K387)</f>
        <v>1</v>
      </c>
      <c r="L388" s="346">
        <f t="shared" si="74"/>
        <v>2048</v>
      </c>
      <c r="M388" s="346">
        <f t="shared" si="74"/>
        <v>7168</v>
      </c>
      <c r="N388" s="346" t="s">
        <v>283</v>
      </c>
      <c r="O388" s="347"/>
      <c r="P388" s="509">
        <f>SIZEOF_IN_MIB(J388:M388, O385)</f>
        <v>14</v>
      </c>
      <c r="Q388" s="344"/>
    </row>
    <row r="389">
      <c r="E389" s="341"/>
      <c r="F389" s="341"/>
      <c r="G389" s="352"/>
      <c r="H389" s="605" t="s">
        <v>304</v>
      </c>
      <c r="I389" s="349" t="s">
        <v>282</v>
      </c>
      <c r="J389" s="298"/>
      <c r="K389" s="298"/>
      <c r="L389" s="298"/>
      <c r="M389" s="337"/>
      <c r="N389" s="349" t="s">
        <v>283</v>
      </c>
      <c r="O389" s="316"/>
      <c r="P389" s="298"/>
      <c r="Q389" s="337"/>
    </row>
    <row r="390">
      <c r="E390" s="341"/>
      <c r="F390" s="341"/>
      <c r="G390" s="458" t="s">
        <v>372</v>
      </c>
      <c r="H390" s="610" t="s">
        <v>306</v>
      </c>
      <c r="I390" s="379"/>
      <c r="J390" s="410">
        <f>SHARDING(K387) * SHARDING(L387) / HW_SPEC("# of TensorCore per Chip")</f>
        <v>8</v>
      </c>
      <c r="K390" s="345"/>
      <c r="L390" s="344"/>
      <c r="M390" s="346"/>
      <c r="N390" s="346"/>
      <c r="O390" s="344"/>
      <c r="P390" s="509"/>
      <c r="Q390" s="344"/>
    </row>
    <row r="391">
      <c r="E391" s="341"/>
      <c r="F391" s="341"/>
      <c r="G391" s="341"/>
      <c r="H391" s="605" t="s">
        <v>307</v>
      </c>
      <c r="I391" s="298"/>
      <c r="J391" s="390">
        <f>P388 * (J390-1)</f>
        <v>98</v>
      </c>
      <c r="K391" s="336"/>
      <c r="L391" s="337"/>
      <c r="M391" s="349"/>
      <c r="N391" s="349"/>
      <c r="O391" s="337"/>
      <c r="P391" s="377"/>
      <c r="Q391" s="337"/>
    </row>
    <row r="392">
      <c r="E392" s="341"/>
      <c r="F392" s="341"/>
      <c r="G392" s="341"/>
      <c r="H392" s="410" t="s">
        <v>308</v>
      </c>
      <c r="I392" s="379"/>
      <c r="J392" s="395">
        <f>J391*J390</f>
        <v>784</v>
      </c>
      <c r="K392" s="345"/>
      <c r="L392" s="344"/>
      <c r="M392" s="346"/>
      <c r="N392" s="346"/>
      <c r="O392" s="344"/>
      <c r="P392" s="509"/>
      <c r="Q392" s="344"/>
    </row>
    <row r="393">
      <c r="E393" s="341"/>
      <c r="F393" s="341"/>
      <c r="G393" s="341"/>
      <c r="H393" s="478" t="s">
        <v>309</v>
      </c>
      <c r="I393" s="298"/>
      <c r="J393" s="397">
        <f>vlookup(J390, DB!$A$26:$G$31, 6, False)</f>
        <v>12</v>
      </c>
      <c r="K393" s="336"/>
      <c r="L393" s="337"/>
      <c r="M393" s="349"/>
      <c r="N393" s="349"/>
      <c r="O393" s="337"/>
      <c r="P393" s="377"/>
      <c r="Q393" s="337"/>
    </row>
    <row r="394">
      <c r="E394" s="341"/>
      <c r="F394" s="341"/>
      <c r="G394" s="341"/>
      <c r="H394" s="606" t="s">
        <v>310</v>
      </c>
      <c r="I394" s="379"/>
      <c r="J394" s="611">
        <f>HW_SPEC("# of TensorCore per Chip")</f>
        <v>1</v>
      </c>
      <c r="K394" s="345"/>
      <c r="L394" s="344"/>
      <c r="M394" s="346"/>
      <c r="N394" s="346"/>
      <c r="O394" s="344"/>
      <c r="P394" s="509"/>
      <c r="Q394" s="344"/>
    </row>
    <row r="395">
      <c r="E395" s="341"/>
      <c r="F395" s="341"/>
      <c r="G395" s="352"/>
      <c r="H395" s="612" t="s">
        <v>311</v>
      </c>
      <c r="I395" s="613"/>
      <c r="J395" s="403">
        <f>ALL_GATHER_CHIP2CHIP_TIME_MS2(J392 * J394, J393)</f>
        <v>0.03544560185</v>
      </c>
      <c r="K395" s="336"/>
      <c r="L395" s="337"/>
      <c r="M395" s="349"/>
      <c r="N395" s="349"/>
      <c r="O395" s="337"/>
      <c r="P395" s="377"/>
      <c r="Q395" s="337"/>
    </row>
    <row r="396">
      <c r="E396" s="341"/>
      <c r="F396" s="341"/>
      <c r="G396" s="458" t="s">
        <v>373</v>
      </c>
      <c r="H396" s="410" t="s">
        <v>306</v>
      </c>
      <c r="I396" s="387"/>
      <c r="J396" s="483">
        <f>HW_SPEC("# of TensorCore per Chip")</f>
        <v>1</v>
      </c>
      <c r="K396" s="345"/>
      <c r="L396" s="344"/>
      <c r="M396" s="346"/>
      <c r="N396" s="346"/>
      <c r="O396" s="344"/>
      <c r="P396" s="509"/>
      <c r="Q396" s="344"/>
    </row>
    <row r="397">
      <c r="E397" s="341"/>
      <c r="F397" s="341"/>
      <c r="G397" s="341"/>
      <c r="H397" s="478" t="s">
        <v>307</v>
      </c>
      <c r="I397" s="391"/>
      <c r="J397" s="390">
        <f> P386 / J396 * (J396-1)</f>
        <v>0</v>
      </c>
      <c r="K397" s="336"/>
      <c r="L397" s="337"/>
      <c r="M397" s="349"/>
      <c r="N397" s="349"/>
      <c r="O397" s="337"/>
      <c r="P397" s="377"/>
      <c r="Q397" s="337"/>
    </row>
    <row r="398">
      <c r="E398" s="341"/>
      <c r="F398" s="341"/>
      <c r="G398" s="341"/>
      <c r="H398" s="410" t="s">
        <v>308</v>
      </c>
      <c r="I398" s="387"/>
      <c r="J398" s="395">
        <f>J397*J396</f>
        <v>0</v>
      </c>
      <c r="K398" s="345"/>
      <c r="L398" s="344"/>
      <c r="M398" s="346"/>
      <c r="N398" s="346"/>
      <c r="O398" s="344"/>
      <c r="P398" s="509"/>
      <c r="Q398" s="344"/>
    </row>
    <row r="399">
      <c r="E399" s="341"/>
      <c r="F399" s="341"/>
      <c r="G399" s="341"/>
      <c r="H399" s="614" t="s">
        <v>311</v>
      </c>
      <c r="I399" s="615"/>
      <c r="J399" s="616">
        <f>ALL_GATHER_CORE2CORE_TIME_MS(J398)</f>
        <v>0</v>
      </c>
      <c r="K399" s="336"/>
      <c r="L399" s="337"/>
      <c r="M399" s="349"/>
      <c r="N399" s="349"/>
      <c r="O399" s="337"/>
      <c r="P399" s="377"/>
      <c r="Q399" s="337"/>
    </row>
    <row r="400">
      <c r="E400" s="341"/>
      <c r="F400" s="341"/>
      <c r="G400" s="352"/>
      <c r="H400" s="617" t="s">
        <v>374</v>
      </c>
      <c r="I400" s="618"/>
      <c r="J400" s="619">
        <f>J399/J390</f>
        <v>0</v>
      </c>
      <c r="K400" s="345"/>
      <c r="L400" s="344"/>
      <c r="M400" s="346"/>
      <c r="N400" s="346"/>
      <c r="O400" s="344"/>
      <c r="P400" s="509"/>
      <c r="Q400" s="344"/>
    </row>
    <row r="401">
      <c r="E401" s="341"/>
      <c r="F401" s="341"/>
      <c r="G401" s="402" t="s">
        <v>316</v>
      </c>
      <c r="H401" s="620" t="str">
        <f>IF(PARAMS("use_nccl_lookup")=TRUE, "N/A", J395+J400)</f>
        <v>N/A</v>
      </c>
      <c r="I401" s="298"/>
      <c r="J401" s="621"/>
      <c r="K401" s="336"/>
      <c r="L401" s="337"/>
      <c r="M401" s="349"/>
      <c r="N401" s="349"/>
      <c r="O401" s="337"/>
      <c r="P401" s="377"/>
      <c r="Q401" s="337"/>
    </row>
    <row r="402">
      <c r="E402" s="341"/>
      <c r="F402" s="341"/>
      <c r="G402" s="601"/>
      <c r="H402" s="622"/>
      <c r="I402" s="493"/>
      <c r="J402" s="345"/>
      <c r="K402" s="345"/>
      <c r="L402" s="346"/>
      <c r="M402" s="346"/>
      <c r="N402" s="346"/>
      <c r="O402" s="345"/>
      <c r="P402" s="509"/>
      <c r="Q402" s="379"/>
    </row>
    <row r="403">
      <c r="E403" s="341"/>
      <c r="F403" s="341"/>
      <c r="G403" s="623" t="s">
        <v>375</v>
      </c>
      <c r="H403" s="624" t="str">
        <f>'Config and Summary'!C22</f>
        <v>Strategy C: Hirarachical All-Gather</v>
      </c>
      <c r="I403" s="581"/>
      <c r="J403" s="448"/>
      <c r="K403" s="448"/>
      <c r="L403" s="449"/>
      <c r="M403" s="449"/>
      <c r="N403" s="449"/>
      <c r="O403" s="448"/>
      <c r="P403" s="604"/>
      <c r="Q403" s="572"/>
    </row>
    <row r="404">
      <c r="E404" s="341"/>
      <c r="F404" s="341"/>
      <c r="G404" s="591" t="s">
        <v>340</v>
      </c>
      <c r="H404" s="625" t="str">
        <f>IFS(H403=G360,H368,H403=G370,H382,H403=G384,H401, TRUE,0)</f>
        <v>N/A</v>
      </c>
      <c r="I404" s="581"/>
      <c r="J404" s="448"/>
      <c r="K404" s="448"/>
      <c r="L404" s="449"/>
      <c r="M404" s="449"/>
      <c r="N404" s="449"/>
      <c r="O404" s="448"/>
      <c r="P404" s="604"/>
      <c r="Q404" s="572"/>
    </row>
    <row r="405">
      <c r="E405" s="341"/>
      <c r="F405" s="341"/>
      <c r="G405" s="452" t="s">
        <v>376</v>
      </c>
      <c r="H405" s="626">
        <f>vlookup(PARAMS("topo"), DB!$E$26:$G$31, 3, FALSE)</f>
        <v>3</v>
      </c>
      <c r="I405" s="460"/>
      <c r="J405" s="454"/>
      <c r="K405" s="454"/>
      <c r="L405" s="455"/>
      <c r="M405" s="455"/>
      <c r="N405" s="455"/>
      <c r="O405" s="454"/>
      <c r="P405" s="468"/>
      <c r="Q405" s="11"/>
    </row>
    <row r="406">
      <c r="E406" s="352"/>
      <c r="F406" s="352"/>
      <c r="G406" s="446" t="s">
        <v>326</v>
      </c>
      <c r="H406" s="447">
        <f>IF(H403="No Collectives", 0, H405 * HW_SPEC("Chip-to-Chip ICI Latency (ms)"))</f>
        <v>0</v>
      </c>
      <c r="I406" s="581"/>
      <c r="J406" s="448"/>
      <c r="K406" s="448"/>
      <c r="L406" s="449"/>
      <c r="M406" s="449"/>
      <c r="N406" s="449"/>
      <c r="O406" s="448"/>
      <c r="P406" s="604"/>
      <c r="Q406" s="572"/>
    </row>
    <row r="407">
      <c r="E407" s="333" t="s">
        <v>377</v>
      </c>
      <c r="F407" s="627" t="s">
        <v>292</v>
      </c>
      <c r="G407" s="335"/>
      <c r="H407" s="372" t="s">
        <v>281</v>
      </c>
      <c r="I407" s="364" t="s">
        <v>282</v>
      </c>
      <c r="J407" s="364"/>
      <c r="K407" s="273" t="s">
        <v>104</v>
      </c>
      <c r="L407" s="273" t="s">
        <v>212</v>
      </c>
      <c r="M407" s="472" t="s">
        <v>178</v>
      </c>
      <c r="N407" s="364" t="s">
        <v>283</v>
      </c>
      <c r="O407" s="628" t="str">
        <f>EXTRACT_ACTIVATION_DTYPE(PARAMS("moe_dtype"))</f>
        <v>fp8</v>
      </c>
      <c r="P407" s="375"/>
      <c r="Q407" s="365" t="b">
        <v>0</v>
      </c>
    </row>
    <row r="408">
      <c r="E408" s="341"/>
      <c r="F408" s="342"/>
      <c r="G408" s="343"/>
      <c r="H408" s="374" t="s">
        <v>285</v>
      </c>
      <c r="I408" s="364" t="s">
        <v>282</v>
      </c>
      <c r="J408" s="363"/>
      <c r="K408" s="364">
        <f t="shared" ref="K408:M408" si="75">PARAMS(K407)</f>
        <v>8</v>
      </c>
      <c r="L408" s="364">
        <f t="shared" si="75"/>
        <v>8192</v>
      </c>
      <c r="M408" s="364">
        <f t="shared" si="75"/>
        <v>7168</v>
      </c>
      <c r="N408" s="364" t="s">
        <v>283</v>
      </c>
      <c r="O408" s="341"/>
      <c r="P408" s="375">
        <f>SIZEOF_IN_MIB(J408:M408, O407)</f>
        <v>448</v>
      </c>
      <c r="Q408" s="341"/>
    </row>
    <row r="409">
      <c r="E409" s="341"/>
      <c r="F409" s="342"/>
      <c r="G409" s="343"/>
      <c r="H409" s="629" t="s">
        <v>287</v>
      </c>
      <c r="I409" s="363" t="s">
        <v>282</v>
      </c>
      <c r="J409" s="364"/>
      <c r="K409" s="273"/>
      <c r="L409" s="273"/>
      <c r="M409" s="273"/>
      <c r="N409" s="363" t="s">
        <v>283</v>
      </c>
      <c r="O409" s="341"/>
      <c r="P409" s="375"/>
      <c r="Q409" s="341"/>
    </row>
    <row r="410">
      <c r="E410" s="341"/>
      <c r="F410" s="353"/>
      <c r="G410" s="354"/>
      <c r="H410" s="376" t="s">
        <v>289</v>
      </c>
      <c r="I410" s="349" t="s">
        <v>282</v>
      </c>
      <c r="J410" s="336"/>
      <c r="K410" s="349">
        <f t="shared" ref="K410:M410" si="76">K408/SHARDING(K409)</f>
        <v>8</v>
      </c>
      <c r="L410" s="349">
        <f t="shared" si="76"/>
        <v>8192</v>
      </c>
      <c r="M410" s="349">
        <f t="shared" si="76"/>
        <v>7168</v>
      </c>
      <c r="N410" s="349" t="s">
        <v>283</v>
      </c>
      <c r="O410" s="316"/>
      <c r="P410" s="377">
        <f>SIZEOF_IN_MIB(J410:M410, O407)</f>
        <v>448</v>
      </c>
      <c r="Q410" s="316"/>
    </row>
    <row r="411">
      <c r="E411" s="341"/>
      <c r="F411" s="630" t="s">
        <v>296</v>
      </c>
      <c r="G411" s="335"/>
      <c r="H411" s="517" t="s">
        <v>281</v>
      </c>
      <c r="I411" s="346" t="s">
        <v>282</v>
      </c>
      <c r="J411" s="344">
        <v>2.0</v>
      </c>
      <c r="K411" s="344" t="s">
        <v>184</v>
      </c>
      <c r="L411" s="556" t="s">
        <v>178</v>
      </c>
      <c r="M411" s="344" t="s">
        <v>182</v>
      </c>
      <c r="N411" s="346" t="s">
        <v>283</v>
      </c>
      <c r="O411" s="631" t="str">
        <f>EXTRACT_WEIGHT_DTYPE(PARAMS("moe_dtype"))</f>
        <v>fp8</v>
      </c>
      <c r="P411" s="509"/>
      <c r="Q411" s="473" t="b">
        <v>0</v>
      </c>
    </row>
    <row r="412">
      <c r="E412" s="341"/>
      <c r="F412" s="342"/>
      <c r="G412" s="343"/>
      <c r="H412" s="376" t="s">
        <v>285</v>
      </c>
      <c r="I412" s="349" t="s">
        <v>282</v>
      </c>
      <c r="J412" s="349">
        <f t="shared" ref="J412:M412" si="77">PARAMS(J411)</f>
        <v>2</v>
      </c>
      <c r="K412" s="349">
        <f t="shared" si="77"/>
        <v>128</v>
      </c>
      <c r="L412" s="349">
        <f t="shared" si="77"/>
        <v>7168</v>
      </c>
      <c r="M412" s="349">
        <f t="shared" si="77"/>
        <v>4096</v>
      </c>
      <c r="N412" s="349" t="s">
        <v>283</v>
      </c>
      <c r="O412" s="350"/>
      <c r="P412" s="377">
        <f>SIZEOF_IN_MIB(J412:M412, O411)</f>
        <v>7168</v>
      </c>
      <c r="Q412" s="350"/>
    </row>
    <row r="413">
      <c r="E413" s="341"/>
      <c r="F413" s="342"/>
      <c r="G413" s="343"/>
      <c r="H413" s="517" t="s">
        <v>287</v>
      </c>
      <c r="I413" s="346"/>
      <c r="J413" s="345"/>
      <c r="K413" s="344"/>
      <c r="L413" s="344"/>
      <c r="M413" s="344" t="s">
        <v>196</v>
      </c>
      <c r="N413" s="346" t="s">
        <v>283</v>
      </c>
      <c r="O413" s="347"/>
      <c r="P413" s="509"/>
      <c r="Q413" s="347"/>
    </row>
    <row r="414">
      <c r="E414" s="341"/>
      <c r="F414" s="353"/>
      <c r="G414" s="354"/>
      <c r="H414" s="602" t="s">
        <v>289</v>
      </c>
      <c r="I414" s="349" t="s">
        <v>282</v>
      </c>
      <c r="J414" s="349">
        <f t="shared" ref="J414:M414" si="78">J412/SHARDING(J413)</f>
        <v>2</v>
      </c>
      <c r="K414" s="349">
        <f t="shared" si="78"/>
        <v>128</v>
      </c>
      <c r="L414" s="349">
        <f t="shared" si="78"/>
        <v>7168</v>
      </c>
      <c r="M414" s="349">
        <f t="shared" si="78"/>
        <v>512</v>
      </c>
      <c r="N414" s="349" t="s">
        <v>283</v>
      </c>
      <c r="O414" s="316"/>
      <c r="P414" s="377">
        <f>SIZEOF_IN_MIB(J414:M414, O411)</f>
        <v>896</v>
      </c>
      <c r="Q414" s="316"/>
    </row>
    <row r="415">
      <c r="E415" s="341"/>
      <c r="F415" s="630" t="s">
        <v>56</v>
      </c>
      <c r="G415" s="335"/>
      <c r="H415" s="517" t="s">
        <v>281</v>
      </c>
      <c r="I415" s="346" t="s">
        <v>282</v>
      </c>
      <c r="J415" s="344">
        <v>2.0</v>
      </c>
      <c r="K415" s="344" t="s">
        <v>104</v>
      </c>
      <c r="L415" s="344" t="s">
        <v>212</v>
      </c>
      <c r="M415" s="344" t="s">
        <v>182</v>
      </c>
      <c r="N415" s="346" t="s">
        <v>283</v>
      </c>
      <c r="O415" s="546" t="s">
        <v>133</v>
      </c>
      <c r="P415" s="509"/>
      <c r="Q415" s="473" t="b">
        <v>0</v>
      </c>
    </row>
    <row r="416">
      <c r="E416" s="341"/>
      <c r="F416" s="342"/>
      <c r="G416" s="343"/>
      <c r="H416" s="376" t="s">
        <v>285</v>
      </c>
      <c r="I416" s="349" t="s">
        <v>282</v>
      </c>
      <c r="J416" s="349">
        <f t="shared" ref="J416:M416" si="79">PARAMS(J415)</f>
        <v>2</v>
      </c>
      <c r="K416" s="349">
        <f t="shared" si="79"/>
        <v>8</v>
      </c>
      <c r="L416" s="349">
        <f t="shared" si="79"/>
        <v>8192</v>
      </c>
      <c r="M416" s="349">
        <f t="shared" si="79"/>
        <v>4096</v>
      </c>
      <c r="N416" s="349" t="s">
        <v>283</v>
      </c>
      <c r="O416" s="350"/>
      <c r="P416" s="377">
        <f>SIZEOF_IN_MIB(J416:M416, O415)</f>
        <v>1024</v>
      </c>
      <c r="Q416" s="350"/>
    </row>
    <row r="417">
      <c r="E417" s="341"/>
      <c r="F417" s="342"/>
      <c r="G417" s="343"/>
      <c r="H417" s="517" t="s">
        <v>287</v>
      </c>
      <c r="I417" s="346" t="s">
        <v>282</v>
      </c>
      <c r="J417" s="345"/>
      <c r="K417" s="344"/>
      <c r="L417" s="344"/>
      <c r="M417" s="344" t="s">
        <v>196</v>
      </c>
      <c r="N417" s="346" t="s">
        <v>283</v>
      </c>
      <c r="O417" s="347"/>
      <c r="P417" s="509"/>
      <c r="Q417" s="347"/>
    </row>
    <row r="418">
      <c r="E418" s="341"/>
      <c r="F418" s="353"/>
      <c r="G418" s="354"/>
      <c r="H418" s="602" t="s">
        <v>289</v>
      </c>
      <c r="I418" s="349" t="s">
        <v>282</v>
      </c>
      <c r="J418" s="349">
        <f t="shared" ref="J418:M418" si="80">J416/SHARDING(J417)</f>
        <v>2</v>
      </c>
      <c r="K418" s="349">
        <f t="shared" si="80"/>
        <v>8</v>
      </c>
      <c r="L418" s="349">
        <f t="shared" si="80"/>
        <v>8192</v>
      </c>
      <c r="M418" s="349">
        <f t="shared" si="80"/>
        <v>512</v>
      </c>
      <c r="N418" s="349" t="s">
        <v>283</v>
      </c>
      <c r="O418" s="316"/>
      <c r="P418" s="377">
        <f>SIZEOF_IN_MIB(J418:M418, O415)</f>
        <v>128</v>
      </c>
      <c r="Q418" s="316"/>
    </row>
    <row r="419">
      <c r="E419" s="341"/>
      <c r="F419" s="370" t="s">
        <v>378</v>
      </c>
      <c r="G419" s="601" t="s">
        <v>450</v>
      </c>
      <c r="H419" s="498" t="str">
        <f>L413</f>
        <v/>
      </c>
      <c r="I419" s="632" t="s">
        <v>451</v>
      </c>
      <c r="J419" s="345"/>
      <c r="K419" s="345"/>
      <c r="L419" s="346"/>
      <c r="M419" s="346"/>
      <c r="N419" s="346"/>
      <c r="O419" s="345"/>
      <c r="P419" s="509"/>
      <c r="Q419" s="379"/>
    </row>
    <row r="420">
      <c r="E420" s="341"/>
      <c r="F420" s="341"/>
      <c r="G420" s="591" t="s">
        <v>381</v>
      </c>
      <c r="H420" s="633" t="s">
        <v>382</v>
      </c>
      <c r="I420" s="633"/>
      <c r="J420" s="448"/>
      <c r="K420" s="448"/>
      <c r="L420" s="449"/>
      <c r="M420" s="449"/>
      <c r="N420" s="449"/>
      <c r="O420" s="448"/>
      <c r="P420" s="604"/>
      <c r="Q420" s="572"/>
    </row>
    <row r="421">
      <c r="E421" s="341"/>
      <c r="F421" s="341"/>
      <c r="G421" s="594" t="s">
        <v>306</v>
      </c>
      <c r="H421" s="634">
        <f>SHARDING(H419)</f>
        <v>1</v>
      </c>
      <c r="I421" s="498"/>
      <c r="J421" s="345"/>
      <c r="K421" s="345"/>
      <c r="L421" s="346"/>
      <c r="M421" s="346"/>
      <c r="N421" s="346"/>
      <c r="O421" s="345"/>
      <c r="P421" s="509"/>
      <c r="Q421" s="379"/>
    </row>
    <row r="422">
      <c r="E422" s="341"/>
      <c r="F422" s="341"/>
      <c r="G422" s="594" t="s">
        <v>383</v>
      </c>
      <c r="H422" s="635">
        <f>P418/H421*(H421-1)</f>
        <v>0</v>
      </c>
      <c r="I422" s="549"/>
      <c r="J422" s="336"/>
      <c r="K422" s="336"/>
      <c r="L422" s="349"/>
      <c r="M422" s="349"/>
      <c r="N422" s="349"/>
      <c r="O422" s="336"/>
      <c r="P422" s="377"/>
      <c r="Q422" s="298"/>
    </row>
    <row r="423">
      <c r="E423" s="341"/>
      <c r="F423" s="341"/>
      <c r="G423" s="594" t="s">
        <v>384</v>
      </c>
      <c r="H423" s="636">
        <f>H422*H421</f>
        <v>0</v>
      </c>
      <c r="I423" s="498"/>
      <c r="J423" s="345"/>
      <c r="K423" s="345"/>
      <c r="L423" s="346"/>
      <c r="M423" s="346"/>
      <c r="N423" s="346"/>
      <c r="O423" s="345"/>
      <c r="P423" s="509"/>
      <c r="Q423" s="379"/>
    </row>
    <row r="424">
      <c r="E424" s="341"/>
      <c r="F424" s="341"/>
      <c r="G424" s="637" t="s">
        <v>385</v>
      </c>
      <c r="H424" s="638" t="s">
        <v>309</v>
      </c>
      <c r="I424" s="549"/>
      <c r="J424" s="639">
        <f>IFS(H421=8,12,
H421=4,4,
H421=2,1,
H421=1,0,
TRUE,NA())</f>
        <v>0</v>
      </c>
      <c r="K424" s="336"/>
      <c r="L424" s="349"/>
      <c r="M424" s="349"/>
      <c r="N424" s="349"/>
      <c r="O424" s="336"/>
      <c r="P424" s="377"/>
      <c r="Q424" s="298"/>
    </row>
    <row r="425">
      <c r="E425" s="341"/>
      <c r="F425" s="341"/>
      <c r="G425" s="341"/>
      <c r="H425" s="640" t="s">
        <v>386</v>
      </c>
      <c r="I425" s="379"/>
      <c r="J425" s="641">
        <f>HW_SPEC("# of TensorCore per Chip")</f>
        <v>1</v>
      </c>
      <c r="K425" s="345"/>
      <c r="L425" s="346"/>
      <c r="M425" s="346"/>
      <c r="N425" s="346"/>
      <c r="O425" s="345"/>
      <c r="P425" s="509"/>
      <c r="Q425" s="379"/>
    </row>
    <row r="426">
      <c r="E426" s="341"/>
      <c r="F426" s="341"/>
      <c r="G426" s="352"/>
      <c r="H426" s="642" t="s">
        <v>311</v>
      </c>
      <c r="I426" s="549"/>
      <c r="J426" s="643">
        <f>REDUCE_SCATTER_CHIP2CHIP_TIME_MS2(H423*J425,J424)</f>
        <v>0</v>
      </c>
      <c r="K426" s="336"/>
      <c r="L426" s="349"/>
      <c r="M426" s="349"/>
      <c r="N426" s="349"/>
      <c r="O426" s="336"/>
      <c r="P426" s="377"/>
      <c r="Q426" s="298"/>
    </row>
    <row r="427">
      <c r="E427" s="341"/>
      <c r="F427" s="341"/>
      <c r="G427" s="644" t="s">
        <v>387</v>
      </c>
      <c r="H427" s="645" t="s">
        <v>311</v>
      </c>
      <c r="I427" s="379"/>
      <c r="J427" s="646">
        <f>REDUCE_SCATTER_CORE2CORE_TIME_MS(H423)</f>
        <v>0</v>
      </c>
      <c r="K427" s="345"/>
      <c r="L427" s="346"/>
      <c r="M427" s="346"/>
      <c r="N427" s="346"/>
      <c r="O427" s="345"/>
      <c r="P427" s="509"/>
      <c r="Q427" s="379"/>
    </row>
    <row r="428">
      <c r="E428" s="341"/>
      <c r="F428" s="341"/>
      <c r="G428" s="11"/>
      <c r="H428" s="298"/>
      <c r="I428" s="549"/>
      <c r="J428" s="336"/>
      <c r="K428" s="336"/>
      <c r="L428" s="349"/>
      <c r="M428" s="349"/>
      <c r="N428" s="349"/>
      <c r="O428" s="336"/>
      <c r="P428" s="377"/>
      <c r="Q428" s="298"/>
    </row>
    <row r="429">
      <c r="E429" s="341"/>
      <c r="F429" s="341"/>
      <c r="G429" s="591" t="s">
        <v>388</v>
      </c>
      <c r="H429" s="647" t="s">
        <v>389</v>
      </c>
      <c r="I429" s="648"/>
      <c r="J429" s="448"/>
      <c r="K429" s="448"/>
      <c r="L429" s="449"/>
      <c r="M429" s="449"/>
      <c r="N429" s="449"/>
      <c r="O429" s="448"/>
      <c r="P429" s="604"/>
      <c r="Q429" s="572"/>
    </row>
    <row r="430">
      <c r="E430" s="341"/>
      <c r="F430" s="341"/>
      <c r="G430" s="601" t="s">
        <v>390</v>
      </c>
      <c r="H430" s="649">
        <f>P418/2</f>
        <v>64</v>
      </c>
      <c r="I430" s="650"/>
      <c r="J430" s="454"/>
      <c r="K430" s="454"/>
      <c r="L430" s="455"/>
      <c r="M430" s="455"/>
      <c r="N430" s="455"/>
      <c r="O430" s="454"/>
      <c r="P430" s="468"/>
      <c r="Q430" s="11"/>
    </row>
    <row r="431">
      <c r="E431" s="341"/>
      <c r="F431" s="341"/>
      <c r="G431" s="11"/>
      <c r="H431" s="11"/>
      <c r="I431" s="650"/>
      <c r="J431" s="454"/>
      <c r="K431" s="454"/>
      <c r="L431" s="455"/>
      <c r="M431" s="455"/>
      <c r="N431" s="455"/>
      <c r="O431" s="454"/>
      <c r="P431" s="468"/>
      <c r="Q431" s="11"/>
    </row>
    <row r="432">
      <c r="E432" s="341"/>
      <c r="F432" s="341"/>
      <c r="G432" s="591" t="s">
        <v>263</v>
      </c>
      <c r="H432" s="647" t="s">
        <v>391</v>
      </c>
      <c r="I432" s="648"/>
      <c r="J432" s="448"/>
      <c r="K432" s="448"/>
      <c r="L432" s="449"/>
      <c r="M432" s="449"/>
      <c r="N432" s="449"/>
      <c r="O432" s="448"/>
      <c r="P432" s="604"/>
      <c r="Q432" s="572"/>
    </row>
    <row r="433">
      <c r="E433" s="341"/>
      <c r="F433" s="341"/>
      <c r="G433" s="594" t="s">
        <v>306</v>
      </c>
      <c r="H433" s="651">
        <f>H421</f>
        <v>1</v>
      </c>
      <c r="I433" s="650"/>
      <c r="J433" s="454"/>
      <c r="K433" s="454"/>
      <c r="L433" s="455"/>
      <c r="M433" s="455"/>
      <c r="N433" s="455"/>
      <c r="O433" s="454"/>
      <c r="P433" s="468"/>
      <c r="Q433" s="11"/>
    </row>
    <row r="434">
      <c r="E434" s="341"/>
      <c r="F434" s="341"/>
      <c r="G434" s="594" t="s">
        <v>392</v>
      </c>
      <c r="H434" s="652">
        <f>H430/H433 * (H433-1)</f>
        <v>0</v>
      </c>
      <c r="I434" s="650"/>
      <c r="J434" s="454"/>
      <c r="K434" s="454"/>
      <c r="L434" s="455"/>
      <c r="M434" s="455"/>
      <c r="N434" s="455"/>
      <c r="O434" s="454"/>
      <c r="P434" s="468"/>
      <c r="Q434" s="11"/>
    </row>
    <row r="435">
      <c r="E435" s="341"/>
      <c r="F435" s="341"/>
      <c r="G435" s="594" t="s">
        <v>308</v>
      </c>
      <c r="H435" s="652">
        <f>H434*H433</f>
        <v>0</v>
      </c>
      <c r="I435" s="650"/>
      <c r="J435" s="454"/>
      <c r="K435" s="454"/>
      <c r="L435" s="455"/>
      <c r="M435" s="455"/>
      <c r="N435" s="455"/>
      <c r="O435" s="454"/>
      <c r="P435" s="468"/>
      <c r="Q435" s="11"/>
    </row>
    <row r="436">
      <c r="E436" s="341"/>
      <c r="F436" s="341"/>
      <c r="G436" s="653" t="s">
        <v>385</v>
      </c>
      <c r="H436" s="385" t="s">
        <v>309</v>
      </c>
      <c r="I436" s="11"/>
      <c r="J436" s="654" t="str">
        <f>IFS(H433=8,12,
H433=4,4,
H433=2,1,
TRUE,NA())</f>
        <v>#N/A</v>
      </c>
      <c r="K436" s="454"/>
      <c r="L436" s="455"/>
      <c r="M436" s="455"/>
      <c r="N436" s="455"/>
      <c r="O436" s="454"/>
      <c r="P436" s="468"/>
      <c r="Q436" s="11"/>
      <c r="S436" s="655"/>
    </row>
    <row r="437">
      <c r="E437" s="341"/>
      <c r="F437" s="341"/>
      <c r="G437" s="341"/>
      <c r="H437" s="385" t="s">
        <v>386</v>
      </c>
      <c r="I437" s="11"/>
      <c r="J437" s="656">
        <f>HW_SPEC("# of TensorCore per Chip")</f>
        <v>1</v>
      </c>
      <c r="K437" s="454"/>
      <c r="L437" s="455"/>
      <c r="M437" s="455"/>
      <c r="N437" s="455"/>
      <c r="O437" s="454"/>
      <c r="P437" s="468"/>
      <c r="Q437" s="11"/>
    </row>
    <row r="438">
      <c r="E438" s="341"/>
      <c r="F438" s="341"/>
      <c r="G438" s="352"/>
      <c r="H438" s="402" t="s">
        <v>311</v>
      </c>
      <c r="I438" s="650"/>
      <c r="J438" s="657">
        <f>REDUCE_SCATTER_CHIP2CHIP_TIME_MS2(H435*J437,J436)</f>
        <v>0</v>
      </c>
      <c r="K438" s="454"/>
      <c r="L438" s="455"/>
      <c r="M438" s="455"/>
      <c r="N438" s="455"/>
      <c r="O438" s="454"/>
      <c r="P438" s="468"/>
      <c r="Q438" s="11"/>
    </row>
    <row r="439">
      <c r="E439" s="341"/>
      <c r="F439" s="341"/>
      <c r="G439" s="658" t="s">
        <v>387</v>
      </c>
      <c r="H439" s="402" t="s">
        <v>311</v>
      </c>
      <c r="I439" s="650"/>
      <c r="J439" s="657">
        <f>REDUCE_SCATTER_CORE2CORE_TIME_MS(H435)</f>
        <v>0</v>
      </c>
      <c r="K439" s="454"/>
      <c r="L439" s="455"/>
      <c r="M439" s="455"/>
      <c r="N439" s="455"/>
      <c r="O439" s="454"/>
      <c r="P439" s="468"/>
      <c r="Q439" s="11"/>
    </row>
    <row r="440">
      <c r="E440" s="341"/>
      <c r="F440" s="341"/>
      <c r="G440" s="594"/>
      <c r="H440" s="659"/>
      <c r="I440" s="650"/>
      <c r="J440" s="454"/>
      <c r="K440" s="454"/>
      <c r="L440" s="455"/>
      <c r="M440" s="455"/>
      <c r="N440" s="455"/>
      <c r="O440" s="454"/>
      <c r="P440" s="468"/>
      <c r="Q440" s="11"/>
    </row>
    <row r="441">
      <c r="E441" s="341"/>
      <c r="F441" s="341"/>
      <c r="G441" s="591" t="s">
        <v>393</v>
      </c>
      <c r="H441" s="660" t="s">
        <v>394</v>
      </c>
      <c r="I441" s="648"/>
      <c r="J441" s="448"/>
      <c r="K441" s="448"/>
      <c r="L441" s="449"/>
      <c r="M441" s="449"/>
      <c r="N441" s="449"/>
      <c r="O441" s="448"/>
      <c r="P441" s="604"/>
      <c r="Q441" s="572"/>
    </row>
    <row r="442">
      <c r="E442" s="341"/>
      <c r="F442" s="341"/>
      <c r="G442" s="661" t="s">
        <v>395</v>
      </c>
      <c r="H442" s="662">
        <f>IFS(H441=G424,J426,
H441=G427,J427 ,
TRUE,0)</f>
        <v>0</v>
      </c>
      <c r="I442" s="650"/>
      <c r="J442" s="454"/>
      <c r="K442" s="454"/>
      <c r="L442" s="455"/>
      <c r="M442" s="455"/>
      <c r="N442" s="455"/>
      <c r="O442" s="454"/>
      <c r="P442" s="468"/>
      <c r="Q442" s="11"/>
    </row>
    <row r="443">
      <c r="E443" s="341"/>
      <c r="F443" s="341"/>
      <c r="G443" s="661" t="s">
        <v>396</v>
      </c>
      <c r="H443" s="662">
        <f>IFS(H441=G436,J438,
H441=G439,J439 ,
TRUE,0)</f>
        <v>0</v>
      </c>
      <c r="I443" s="650"/>
      <c r="J443" s="454"/>
      <c r="K443" s="454"/>
      <c r="L443" s="455"/>
      <c r="M443" s="455"/>
      <c r="N443" s="455"/>
      <c r="O443" s="454"/>
      <c r="P443" s="468"/>
      <c r="Q443" s="11"/>
    </row>
    <row r="444">
      <c r="E444" s="341"/>
      <c r="F444" s="352"/>
      <c r="G444" s="591" t="s">
        <v>340</v>
      </c>
      <c r="H444" s="625">
        <f>SUM(H442:H443)</f>
        <v>0</v>
      </c>
      <c r="I444" s="581"/>
      <c r="J444" s="448"/>
      <c r="K444" s="448"/>
      <c r="L444" s="449"/>
      <c r="M444" s="449"/>
      <c r="N444" s="449"/>
      <c r="O444" s="448"/>
      <c r="P444" s="604"/>
      <c r="Q444" s="572"/>
    </row>
    <row r="445">
      <c r="E445" s="341"/>
      <c r="F445" s="609" t="s">
        <v>327</v>
      </c>
      <c r="G445" s="601" t="s">
        <v>328</v>
      </c>
      <c r="H445" s="663" t="str">
        <f>VLOOKUP(O407&amp;","&amp;O411,$T$3:$W$12,4, FALSE)</f>
        <v>fp8</v>
      </c>
      <c r="I445" s="460"/>
      <c r="J445" s="454"/>
      <c r="K445" s="454"/>
      <c r="L445" s="455"/>
      <c r="M445" s="455"/>
      <c r="N445" s="455"/>
      <c r="O445" s="454"/>
      <c r="P445" s="468"/>
      <c r="Q445" s="11"/>
    </row>
    <row r="446">
      <c r="E446" s="341"/>
      <c r="F446" s="341"/>
      <c r="G446" s="664" t="s">
        <v>397</v>
      </c>
      <c r="H446" s="664">
        <v>128.0</v>
      </c>
      <c r="I446" s="460"/>
      <c r="J446" s="454"/>
      <c r="K446" s="454"/>
      <c r="L446" s="455"/>
      <c r="M446" s="455"/>
      <c r="N446" s="455"/>
      <c r="O446" s="454"/>
      <c r="P446" s="468"/>
      <c r="Q446" s="11"/>
    </row>
    <row r="447">
      <c r="E447" s="341"/>
      <c r="F447" s="341"/>
      <c r="G447" s="664" t="s">
        <v>398</v>
      </c>
      <c r="H447" s="665">
        <f t="array" ref="H447">CALCULATE_FLOPS(HSTACK(H446,M410),J414:M414,L414,K414,H445)</f>
        <v>1879048192</v>
      </c>
      <c r="I447" s="460"/>
      <c r="J447" s="454"/>
      <c r="K447" s="454"/>
      <c r="L447" s="455"/>
      <c r="M447" s="455"/>
      <c r="N447" s="455"/>
      <c r="O447" s="454"/>
      <c r="P447" s="468"/>
      <c r="Q447" s="11"/>
    </row>
    <row r="448">
      <c r="E448" s="341"/>
      <c r="F448" s="341"/>
      <c r="G448" s="664" t="s">
        <v>399</v>
      </c>
      <c r="H448" s="664">
        <f>CEILING(PRODUCT(K410:L410)/H446,1)</f>
        <v>512</v>
      </c>
      <c r="I448" s="460"/>
      <c r="J448" s="454"/>
      <c r="K448" s="454"/>
      <c r="L448" s="455"/>
      <c r="M448" s="455"/>
      <c r="N448" s="455"/>
      <c r="O448" s="454"/>
      <c r="P448" s="468"/>
      <c r="Q448" s="11"/>
    </row>
    <row r="449">
      <c r="E449" s="341"/>
      <c r="F449" s="341"/>
      <c r="G449" s="664" t="s">
        <v>400</v>
      </c>
      <c r="H449" s="664">
        <f>PARAMS("E")/SHARDING(K413)</f>
        <v>128</v>
      </c>
      <c r="I449" s="460"/>
      <c r="J449" s="454"/>
      <c r="K449" s="454"/>
      <c r="L449" s="455"/>
      <c r="M449" s="455"/>
      <c r="N449" s="455"/>
      <c r="O449" s="454"/>
      <c r="P449" s="468"/>
      <c r="Q449" s="11"/>
    </row>
    <row r="450">
      <c r="E450" s="341"/>
      <c r="F450" s="341"/>
      <c r="G450" s="664" t="s">
        <v>401</v>
      </c>
      <c r="H450" s="663">
        <f>H448 + IF(PARAMS("enforce_perfect_expert_routing"),0,H449-1)</f>
        <v>512</v>
      </c>
      <c r="I450" s="666" t="s">
        <v>402</v>
      </c>
      <c r="J450" s="454"/>
      <c r="K450" s="454"/>
      <c r="L450" s="455"/>
      <c r="M450" s="455"/>
      <c r="N450" s="455"/>
      <c r="O450" s="454"/>
      <c r="P450" s="468"/>
      <c r="Q450" s="11"/>
    </row>
    <row r="451">
      <c r="E451" s="341"/>
      <c r="F451" s="341"/>
      <c r="G451" s="601" t="s">
        <v>403</v>
      </c>
      <c r="H451" s="667">
        <f>H450*H447</f>
        <v>962072674304</v>
      </c>
      <c r="I451" s="460"/>
      <c r="J451" s="668">
        <f>product(J418:M418)*L412*2/1000/1000/1000</f>
        <v>962.0726743</v>
      </c>
      <c r="K451" s="454"/>
      <c r="L451" s="455"/>
      <c r="M451" s="455"/>
      <c r="N451" s="455"/>
      <c r="O451" s="454"/>
      <c r="P451" s="468"/>
      <c r="Q451" s="11"/>
    </row>
    <row r="452">
      <c r="E452" s="341"/>
      <c r="F452" s="352"/>
      <c r="G452" s="669" t="s">
        <v>330</v>
      </c>
      <c r="H452" s="670">
        <f>COMPUTE_TIME_MS(H451, H445)</f>
        <v>0.2565527131</v>
      </c>
      <c r="I452" s="464"/>
      <c r="J452" s="465"/>
      <c r="K452" s="465"/>
      <c r="L452" s="466"/>
      <c r="M452" s="466"/>
      <c r="N452" s="466"/>
      <c r="O452" s="465"/>
      <c r="P452" s="671"/>
      <c r="Q452" s="11"/>
    </row>
    <row r="453">
      <c r="E453" s="341"/>
      <c r="F453" s="609" t="s">
        <v>331</v>
      </c>
      <c r="G453" s="663" t="s">
        <v>332</v>
      </c>
      <c r="H453" s="672">
        <f>IF(Q407,0,P410)+IF(Q411,0,P414)+IF(Q415,0,P418 / 2)</f>
        <v>1408</v>
      </c>
      <c r="I453" s="454"/>
      <c r="J453" s="454"/>
      <c r="K453" s="454"/>
      <c r="L453" s="455"/>
      <c r="M453" s="455"/>
      <c r="N453" s="455"/>
      <c r="O453" s="454"/>
      <c r="P453" s="468"/>
      <c r="Q453" s="11"/>
    </row>
    <row r="454">
      <c r="E454" s="352"/>
      <c r="F454" s="352"/>
      <c r="G454" s="673" t="s">
        <v>333</v>
      </c>
      <c r="H454" s="670">
        <f>HBM_TIME_MS(H453)</f>
        <v>0.1909722222</v>
      </c>
      <c r="I454" s="465"/>
      <c r="J454" s="465"/>
      <c r="K454" s="465"/>
      <c r="L454" s="466"/>
      <c r="M454" s="466"/>
      <c r="N454" s="466"/>
      <c r="O454" s="465"/>
      <c r="P454" s="671"/>
      <c r="Q454" s="11"/>
    </row>
    <row r="455">
      <c r="E455" s="333" t="s">
        <v>404</v>
      </c>
      <c r="F455" s="627" t="s">
        <v>292</v>
      </c>
      <c r="G455" s="335"/>
      <c r="H455" s="372" t="s">
        <v>281</v>
      </c>
      <c r="I455" s="364" t="s">
        <v>282</v>
      </c>
      <c r="J455" s="273"/>
      <c r="K455" s="273" t="s">
        <v>104</v>
      </c>
      <c r="L455" s="273" t="s">
        <v>212</v>
      </c>
      <c r="M455" s="472" t="s">
        <v>182</v>
      </c>
      <c r="N455" s="364" t="s">
        <v>283</v>
      </c>
      <c r="O455" s="628" t="str">
        <f>EXTRACT_ACTIVATION_DTYPE(PARAMS("moe_dtype"))</f>
        <v>fp8</v>
      </c>
      <c r="P455" s="375"/>
      <c r="Q455" s="365" t="b">
        <v>0</v>
      </c>
    </row>
    <row r="456">
      <c r="E456" s="341"/>
      <c r="F456" s="342"/>
      <c r="G456" s="343"/>
      <c r="H456" s="374" t="s">
        <v>285</v>
      </c>
      <c r="I456" s="364" t="s">
        <v>282</v>
      </c>
      <c r="J456" s="363"/>
      <c r="K456" s="364">
        <f t="shared" ref="K456:M456" si="81">PARAMS(K455)</f>
        <v>8</v>
      </c>
      <c r="L456" s="364">
        <f t="shared" si="81"/>
        <v>8192</v>
      </c>
      <c r="M456" s="364">
        <f t="shared" si="81"/>
        <v>4096</v>
      </c>
      <c r="N456" s="364" t="s">
        <v>283</v>
      </c>
      <c r="O456" s="341"/>
      <c r="P456" s="375">
        <f>SIZEOF_IN_MIB(J456:M456, O455)</f>
        <v>256</v>
      </c>
      <c r="Q456" s="341"/>
      <c r="R456" s="66">
        <f>16*2048</f>
        <v>32768</v>
      </c>
    </row>
    <row r="457">
      <c r="E457" s="341"/>
      <c r="F457" s="342"/>
      <c r="G457" s="343"/>
      <c r="H457" s="629" t="s">
        <v>287</v>
      </c>
      <c r="I457" s="363" t="s">
        <v>282</v>
      </c>
      <c r="J457" s="364"/>
      <c r="K457" s="273"/>
      <c r="L457" s="273"/>
      <c r="M457" s="273" t="s">
        <v>196</v>
      </c>
      <c r="N457" s="363" t="s">
        <v>283</v>
      </c>
      <c r="O457" s="341"/>
      <c r="P457" s="375"/>
      <c r="Q457" s="341"/>
    </row>
    <row r="458">
      <c r="E458" s="341"/>
      <c r="F458" s="353"/>
      <c r="G458" s="354"/>
      <c r="H458" s="374" t="s">
        <v>289</v>
      </c>
      <c r="I458" s="363" t="s">
        <v>282</v>
      </c>
      <c r="J458" s="364"/>
      <c r="K458" s="363">
        <f t="shared" ref="K458:M458" si="82">K456/SHARDING(K457)</f>
        <v>8</v>
      </c>
      <c r="L458" s="363">
        <f t="shared" si="82"/>
        <v>8192</v>
      </c>
      <c r="M458" s="363">
        <f t="shared" si="82"/>
        <v>512</v>
      </c>
      <c r="N458" s="363" t="s">
        <v>283</v>
      </c>
      <c r="O458" s="316"/>
      <c r="P458" s="375">
        <f>SIZEOF_IN_MIB(J458:M458, O455)</f>
        <v>32</v>
      </c>
      <c r="Q458" s="352"/>
    </row>
    <row r="459">
      <c r="E459" s="341"/>
      <c r="F459" s="630" t="s">
        <v>296</v>
      </c>
      <c r="G459" s="335"/>
      <c r="H459" s="629" t="s">
        <v>281</v>
      </c>
      <c r="I459" s="363" t="s">
        <v>282</v>
      </c>
      <c r="J459" s="364"/>
      <c r="K459" s="273" t="s">
        <v>184</v>
      </c>
      <c r="L459" s="472" t="s">
        <v>182</v>
      </c>
      <c r="M459" s="273" t="s">
        <v>178</v>
      </c>
      <c r="N459" s="363" t="s">
        <v>283</v>
      </c>
      <c r="O459" s="631" t="str">
        <f>EXTRACT_WEIGHT_DTYPE(PARAMS("moe_dtype"))</f>
        <v>fp8</v>
      </c>
      <c r="P459" s="375"/>
      <c r="Q459" s="365" t="b">
        <v>0</v>
      </c>
    </row>
    <row r="460">
      <c r="E460" s="341"/>
      <c r="F460" s="342"/>
      <c r="G460" s="343"/>
      <c r="H460" s="374" t="s">
        <v>285</v>
      </c>
      <c r="I460" s="363" t="s">
        <v>282</v>
      </c>
      <c r="J460" s="364"/>
      <c r="K460" s="363">
        <f t="shared" ref="K460:M460" si="83">PARAMS(K459)</f>
        <v>128</v>
      </c>
      <c r="L460" s="363">
        <f t="shared" si="83"/>
        <v>4096</v>
      </c>
      <c r="M460" s="363">
        <f t="shared" si="83"/>
        <v>7168</v>
      </c>
      <c r="N460" s="363" t="s">
        <v>283</v>
      </c>
      <c r="O460" s="350"/>
      <c r="P460" s="375">
        <f>SIZEOF_IN_MIB(J460:M460, O459)</f>
        <v>3584</v>
      </c>
      <c r="Q460" s="341"/>
    </row>
    <row r="461">
      <c r="E461" s="341"/>
      <c r="F461" s="342"/>
      <c r="G461" s="343"/>
      <c r="H461" s="629" t="s">
        <v>287</v>
      </c>
      <c r="I461" s="363" t="s">
        <v>282</v>
      </c>
      <c r="J461" s="364"/>
      <c r="K461" s="273"/>
      <c r="L461" s="273" t="s">
        <v>196</v>
      </c>
      <c r="M461" s="273"/>
      <c r="N461" s="363" t="s">
        <v>283</v>
      </c>
      <c r="O461" s="347"/>
      <c r="P461" s="375"/>
      <c r="Q461" s="341"/>
    </row>
    <row r="462">
      <c r="E462" s="341"/>
      <c r="F462" s="353"/>
      <c r="G462" s="354"/>
      <c r="H462" s="629" t="s">
        <v>289</v>
      </c>
      <c r="I462" s="363" t="s">
        <v>282</v>
      </c>
      <c r="J462" s="364"/>
      <c r="K462" s="363">
        <f t="shared" ref="K462:M462" si="84">K460/SHARDING(K461)</f>
        <v>128</v>
      </c>
      <c r="L462" s="363">
        <f t="shared" si="84"/>
        <v>512</v>
      </c>
      <c r="M462" s="363">
        <f t="shared" si="84"/>
        <v>7168</v>
      </c>
      <c r="N462" s="363" t="s">
        <v>283</v>
      </c>
      <c r="O462" s="316"/>
      <c r="P462" s="375">
        <f>SIZEOF_IN_MIB(J462:M462, O459)</f>
        <v>448</v>
      </c>
      <c r="Q462" s="352"/>
    </row>
    <row r="463">
      <c r="E463" s="341"/>
      <c r="F463" s="630" t="s">
        <v>56</v>
      </c>
      <c r="G463" s="335"/>
      <c r="H463" s="629" t="s">
        <v>281</v>
      </c>
      <c r="I463" s="363" t="s">
        <v>282</v>
      </c>
      <c r="J463" s="364"/>
      <c r="K463" s="273" t="s">
        <v>104</v>
      </c>
      <c r="L463" s="273" t="s">
        <v>212</v>
      </c>
      <c r="M463" s="273" t="s">
        <v>178</v>
      </c>
      <c r="N463" s="363" t="s">
        <v>283</v>
      </c>
      <c r="O463" s="674" t="s">
        <v>133</v>
      </c>
      <c r="P463" s="375"/>
      <c r="Q463" s="365" t="b">
        <v>0</v>
      </c>
    </row>
    <row r="464">
      <c r="E464" s="341"/>
      <c r="F464" s="342"/>
      <c r="G464" s="343"/>
      <c r="H464" s="374" t="s">
        <v>285</v>
      </c>
      <c r="I464" s="363" t="s">
        <v>282</v>
      </c>
      <c r="J464" s="364"/>
      <c r="K464" s="363">
        <f t="shared" ref="K464:M464" si="85">PARAMS(K463)</f>
        <v>8</v>
      </c>
      <c r="L464" s="363">
        <f t="shared" si="85"/>
        <v>8192</v>
      </c>
      <c r="M464" s="363">
        <f t="shared" si="85"/>
        <v>7168</v>
      </c>
      <c r="N464" s="363" t="s">
        <v>283</v>
      </c>
      <c r="O464" s="341"/>
      <c r="P464" s="375">
        <f>SIZEOF_IN_MIB(J464:M464, O463)</f>
        <v>896</v>
      </c>
      <c r="Q464" s="341"/>
    </row>
    <row r="465">
      <c r="E465" s="341"/>
      <c r="F465" s="342"/>
      <c r="G465" s="343"/>
      <c r="H465" s="629" t="s">
        <v>287</v>
      </c>
      <c r="I465" s="363" t="s">
        <v>282</v>
      </c>
      <c r="J465" s="364"/>
      <c r="K465" s="273"/>
      <c r="L465" s="273"/>
      <c r="M465" s="273"/>
      <c r="N465" s="363" t="s">
        <v>283</v>
      </c>
      <c r="O465" s="341"/>
      <c r="P465" s="375"/>
      <c r="Q465" s="341"/>
    </row>
    <row r="466">
      <c r="E466" s="341"/>
      <c r="F466" s="353"/>
      <c r="G466" s="354"/>
      <c r="H466" s="629" t="s">
        <v>289</v>
      </c>
      <c r="I466" s="363" t="s">
        <v>282</v>
      </c>
      <c r="J466" s="363"/>
      <c r="K466" s="363">
        <f t="shared" ref="K466:M466" si="86">K464/SHARDING(K465)</f>
        <v>8</v>
      </c>
      <c r="L466" s="363">
        <f t="shared" si="86"/>
        <v>8192</v>
      </c>
      <c r="M466" s="363">
        <f t="shared" si="86"/>
        <v>7168</v>
      </c>
      <c r="N466" s="363" t="s">
        <v>283</v>
      </c>
      <c r="O466" s="352"/>
      <c r="P466" s="375">
        <f>SIZEOF_IN_MIB(J466:M466, O463)</f>
        <v>896</v>
      </c>
      <c r="Q466" s="352"/>
    </row>
    <row r="467">
      <c r="E467" s="341"/>
      <c r="F467" s="370" t="s">
        <v>378</v>
      </c>
      <c r="G467" s="675" t="s">
        <v>452</v>
      </c>
      <c r="H467" s="676" t="str">
        <f>L461</f>
        <v>data,model</v>
      </c>
      <c r="I467" s="364"/>
      <c r="J467" s="11"/>
      <c r="K467" s="364"/>
      <c r="L467" s="363"/>
      <c r="M467" s="363"/>
      <c r="N467" s="363"/>
      <c r="O467" s="364"/>
      <c r="P467" s="375"/>
      <c r="Q467" s="677"/>
    </row>
    <row r="468">
      <c r="E468" s="341"/>
      <c r="F468" s="341"/>
      <c r="G468" s="678" t="s">
        <v>406</v>
      </c>
      <c r="H468" s="679" t="s">
        <v>453</v>
      </c>
      <c r="I468" s="448"/>
      <c r="J468" s="448"/>
      <c r="K468" s="448"/>
      <c r="L468" s="449"/>
      <c r="M468" s="449"/>
      <c r="N468" s="449"/>
      <c r="O468" s="448"/>
      <c r="P468" s="604"/>
      <c r="Q468" s="450"/>
    </row>
    <row r="469">
      <c r="E469" s="341"/>
      <c r="F469" s="341"/>
      <c r="G469" s="680" t="s">
        <v>306</v>
      </c>
      <c r="H469" s="374">
        <f>SHARDING(H467)</f>
        <v>8</v>
      </c>
      <c r="I469" s="364"/>
      <c r="J469" s="364"/>
      <c r="K469" s="364"/>
      <c r="L469" s="363"/>
      <c r="M469" s="363"/>
      <c r="N469" s="363"/>
      <c r="O469" s="364"/>
      <c r="P469" s="375"/>
      <c r="Q469" s="677"/>
    </row>
    <row r="470">
      <c r="E470" s="341"/>
      <c r="F470" s="341"/>
      <c r="G470" s="680" t="s">
        <v>392</v>
      </c>
      <c r="H470" s="681">
        <f>P466 / H469 * (H469-1)</f>
        <v>784</v>
      </c>
      <c r="I470" s="364"/>
      <c r="J470" s="364"/>
      <c r="K470" s="364"/>
      <c r="L470" s="363"/>
      <c r="M470" s="363"/>
      <c r="N470" s="363"/>
      <c r="O470" s="364"/>
      <c r="P470" s="375"/>
      <c r="Q470" s="677"/>
    </row>
    <row r="471">
      <c r="E471" s="341"/>
      <c r="F471" s="341"/>
      <c r="G471" s="680" t="s">
        <v>308</v>
      </c>
      <c r="H471" s="681">
        <f>H470*H469</f>
        <v>6272</v>
      </c>
      <c r="I471" s="364"/>
      <c r="J471" s="364"/>
      <c r="K471" s="364"/>
      <c r="L471" s="363"/>
      <c r="M471" s="363"/>
      <c r="N471" s="363"/>
      <c r="O471" s="364"/>
      <c r="P471" s="375"/>
      <c r="Q471" s="677"/>
    </row>
    <row r="472">
      <c r="E472" s="341"/>
      <c r="F472" s="341"/>
      <c r="G472" s="385" t="s">
        <v>309</v>
      </c>
      <c r="H472" s="654">
        <f>IFS(H469=8,12,
H469=4,4,
H469=2,1,
TRUE,NA())</f>
        <v>12</v>
      </c>
      <c r="I472" s="11"/>
      <c r="J472" s="364"/>
      <c r="K472" s="364"/>
      <c r="L472" s="363"/>
      <c r="M472" s="363"/>
      <c r="N472" s="363"/>
      <c r="O472" s="364"/>
      <c r="P472" s="375"/>
      <c r="Q472" s="677"/>
    </row>
    <row r="473">
      <c r="E473" s="341"/>
      <c r="F473" s="341"/>
      <c r="G473" s="682" t="s">
        <v>340</v>
      </c>
      <c r="H473" s="683">
        <f>ALL_REDUCE_CHIP2CHIP_TIME_MS(H471,H472)</f>
        <v>0.5671296296</v>
      </c>
      <c r="I473" s="364"/>
      <c r="J473" s="364"/>
      <c r="K473" s="364"/>
      <c r="L473" s="363"/>
      <c r="M473" s="363"/>
      <c r="N473" s="363"/>
      <c r="O473" s="364"/>
      <c r="P473" s="375"/>
      <c r="Q473" s="677"/>
    </row>
    <row r="474">
      <c r="E474" s="341"/>
      <c r="F474" s="341"/>
      <c r="G474" s="682"/>
      <c r="H474" s="683"/>
      <c r="I474" s="364"/>
      <c r="J474" s="364"/>
      <c r="K474" s="364"/>
      <c r="L474" s="363"/>
      <c r="M474" s="363"/>
      <c r="N474" s="363"/>
      <c r="O474" s="364"/>
      <c r="P474" s="375"/>
      <c r="Q474" s="677"/>
    </row>
    <row r="475">
      <c r="E475" s="341"/>
      <c r="F475" s="341"/>
      <c r="G475" s="678" t="s">
        <v>408</v>
      </c>
      <c r="H475" s="684" t="s">
        <v>409</v>
      </c>
      <c r="I475" s="448"/>
      <c r="J475" s="448"/>
      <c r="K475" s="448"/>
      <c r="L475" s="449"/>
      <c r="M475" s="449"/>
      <c r="N475" s="449"/>
      <c r="O475" s="448"/>
      <c r="P475" s="604"/>
      <c r="Q475" s="450"/>
    </row>
    <row r="476">
      <c r="E476" s="341"/>
      <c r="F476" s="341"/>
      <c r="G476" s="8" t="s">
        <v>340</v>
      </c>
      <c r="H476" s="670">
        <f>0</f>
        <v>0</v>
      </c>
      <c r="I476" s="364"/>
      <c r="J476" s="364"/>
      <c r="K476" s="364"/>
      <c r="L476" s="363"/>
      <c r="M476" s="363"/>
      <c r="N476" s="363"/>
      <c r="O476" s="364"/>
      <c r="P476" s="375"/>
      <c r="Q476" s="677"/>
    </row>
    <row r="477">
      <c r="E477" s="341"/>
      <c r="F477" s="341"/>
      <c r="G477" s="8"/>
      <c r="H477" s="670"/>
      <c r="I477" s="364"/>
      <c r="J477" s="364"/>
      <c r="K477" s="364"/>
      <c r="L477" s="363"/>
      <c r="M477" s="363"/>
      <c r="N477" s="363"/>
      <c r="O477" s="364"/>
      <c r="P477" s="375"/>
      <c r="Q477" s="677"/>
    </row>
    <row r="478">
      <c r="E478" s="341"/>
      <c r="F478" s="341"/>
      <c r="G478" s="591" t="s">
        <v>393</v>
      </c>
      <c r="H478" s="685" t="s">
        <v>408</v>
      </c>
      <c r="I478" s="448"/>
      <c r="J478" s="448"/>
      <c r="K478" s="448"/>
      <c r="L478" s="449"/>
      <c r="M478" s="449"/>
      <c r="N478" s="449"/>
      <c r="O478" s="448"/>
      <c r="P478" s="604"/>
      <c r="Q478" s="450"/>
    </row>
    <row r="479">
      <c r="E479" s="341"/>
      <c r="F479" s="352"/>
      <c r="G479" s="669" t="s">
        <v>340</v>
      </c>
      <c r="H479" s="670">
        <f>IFS(H478=G468,H473,H478=G475,H476,TRUE,0)</f>
        <v>0</v>
      </c>
      <c r="I479" s="686"/>
      <c r="J479" s="364"/>
      <c r="K479" s="364"/>
      <c r="L479" s="363"/>
      <c r="M479" s="363"/>
      <c r="N479" s="363"/>
      <c r="O479" s="364"/>
      <c r="P479" s="375"/>
      <c r="Q479" s="677"/>
    </row>
    <row r="480">
      <c r="E480" s="341"/>
      <c r="F480" s="609" t="s">
        <v>327</v>
      </c>
      <c r="G480" s="601" t="s">
        <v>328</v>
      </c>
      <c r="H480" s="663" t="str">
        <f>VLOOKUP(O455&amp;","&amp;O459,$T$3:$W$12,4, FALSE)</f>
        <v>fp8</v>
      </c>
      <c r="I480" s="460"/>
      <c r="J480" s="454"/>
      <c r="K480" s="454"/>
      <c r="L480" s="455"/>
      <c r="M480" s="455"/>
      <c r="N480" s="455"/>
      <c r="O480" s="454"/>
      <c r="P480" s="468"/>
      <c r="Q480" s="11"/>
    </row>
    <row r="481">
      <c r="E481" s="341"/>
      <c r="F481" s="341"/>
      <c r="G481" s="601" t="s">
        <v>397</v>
      </c>
      <c r="H481" s="601">
        <v>128.0</v>
      </c>
      <c r="I481" s="460"/>
      <c r="J481" s="454"/>
      <c r="K481" s="454"/>
      <c r="L481" s="455"/>
      <c r="M481" s="455"/>
      <c r="N481" s="455"/>
      <c r="O481" s="454"/>
      <c r="P481" s="468"/>
      <c r="Q481" s="11"/>
    </row>
    <row r="482">
      <c r="E482" s="341"/>
      <c r="F482" s="341"/>
      <c r="G482" s="601" t="s">
        <v>398</v>
      </c>
      <c r="H482" s="667">
        <f t="array" ref="H482">CALCULATE_FLOPS(HSTACK(H481,M458),J462:M462,L462,K462,H480)</f>
        <v>939524096</v>
      </c>
      <c r="I482" s="460"/>
      <c r="J482" s="454"/>
      <c r="K482" s="454"/>
      <c r="L482" s="455"/>
      <c r="M482" s="455"/>
      <c r="N482" s="455"/>
      <c r="O482" s="454"/>
      <c r="P482" s="468"/>
      <c r="Q482" s="11"/>
    </row>
    <row r="483">
      <c r="E483" s="341"/>
      <c r="F483" s="341"/>
      <c r="G483" s="601" t="s">
        <v>399</v>
      </c>
      <c r="H483" s="601">
        <f>CEILING(PRODUCT(K458:L458)/H481,1)</f>
        <v>512</v>
      </c>
      <c r="I483" s="460"/>
      <c r="J483" s="454"/>
      <c r="K483" s="454"/>
      <c r="L483" s="455"/>
      <c r="M483" s="455"/>
      <c r="N483" s="455"/>
      <c r="O483" s="454"/>
      <c r="P483" s="468"/>
      <c r="Q483" s="11"/>
    </row>
    <row r="484">
      <c r="E484" s="341"/>
      <c r="F484" s="341"/>
      <c r="G484" s="601" t="s">
        <v>400</v>
      </c>
      <c r="H484" s="601">
        <f>PARAMS("E")/SHARDING(K461)</f>
        <v>128</v>
      </c>
      <c r="I484" s="460"/>
      <c r="J484" s="454"/>
      <c r="K484" s="454"/>
      <c r="L484" s="455"/>
      <c r="M484" s="455"/>
      <c r="N484" s="455"/>
      <c r="O484" s="454"/>
      <c r="P484" s="468"/>
      <c r="Q484" s="11"/>
    </row>
    <row r="485">
      <c r="E485" s="341"/>
      <c r="F485" s="341"/>
      <c r="G485" s="601" t="s">
        <v>410</v>
      </c>
      <c r="H485" s="663">
        <f>H483 + IF(PARAMS("enforce_perfect_expert_routing"),0,H484-1)</f>
        <v>512</v>
      </c>
      <c r="I485" s="666" t="s">
        <v>402</v>
      </c>
      <c r="J485" s="454"/>
      <c r="K485" s="454"/>
      <c r="L485" s="455"/>
      <c r="M485" s="455"/>
      <c r="N485" s="455"/>
      <c r="O485" s="454"/>
      <c r="P485" s="468"/>
      <c r="Q485" s="11"/>
    </row>
    <row r="486">
      <c r="E486" s="341"/>
      <c r="F486" s="341"/>
      <c r="G486" s="601" t="s">
        <v>341</v>
      </c>
      <c r="H486" s="667">
        <f>H482*H485</f>
        <v>481036337152</v>
      </c>
      <c r="I486" s="460"/>
      <c r="J486" s="454"/>
      <c r="K486" s="454"/>
      <c r="L486" s="455"/>
      <c r="M486" s="455"/>
      <c r="N486" s="455"/>
      <c r="O486" s="454"/>
      <c r="P486" s="468"/>
      <c r="Q486" s="11"/>
    </row>
    <row r="487">
      <c r="E487" s="341"/>
      <c r="F487" s="341"/>
      <c r="G487" s="663" t="s">
        <v>341</v>
      </c>
      <c r="H487" s="687">
        <f>H482*H485</f>
        <v>481036337152</v>
      </c>
      <c r="I487" s="492"/>
      <c r="J487" s="336"/>
      <c r="K487" s="336"/>
      <c r="L487" s="349"/>
      <c r="M487" s="349"/>
      <c r="N487" s="349"/>
      <c r="O487" s="336"/>
      <c r="P487" s="377"/>
      <c r="Q487" s="298"/>
    </row>
    <row r="488">
      <c r="E488" s="341"/>
      <c r="F488" s="352"/>
      <c r="G488" s="669" t="s">
        <v>330</v>
      </c>
      <c r="H488" s="688">
        <f>COMPUTE_TIME_MS(H487, H480)</f>
        <v>0.1282763566</v>
      </c>
      <c r="I488" s="464"/>
      <c r="J488" s="465"/>
      <c r="K488" s="465"/>
      <c r="L488" s="466"/>
      <c r="M488" s="466"/>
      <c r="N488" s="466"/>
      <c r="O488" s="465"/>
      <c r="P488" s="671"/>
      <c r="Q488" s="379"/>
    </row>
    <row r="489">
      <c r="E489" s="341"/>
      <c r="F489" s="609" t="s">
        <v>331</v>
      </c>
      <c r="G489" s="663" t="s">
        <v>332</v>
      </c>
      <c r="H489" s="689">
        <f>IF(Q455,0,P458)+IF(Q459,0,P462)+IF(Q463,0,P466)</f>
        <v>1376</v>
      </c>
      <c r="I489" s="336"/>
      <c r="J489" s="336"/>
      <c r="K489" s="336"/>
      <c r="L489" s="349"/>
      <c r="M489" s="349"/>
      <c r="N489" s="349"/>
      <c r="O489" s="336"/>
      <c r="P489" s="377"/>
      <c r="Q489" s="298"/>
    </row>
    <row r="490">
      <c r="E490" s="352"/>
      <c r="F490" s="352"/>
      <c r="G490" s="673" t="s">
        <v>333</v>
      </c>
      <c r="H490" s="690">
        <f>HBM_TIME_MS(H489)</f>
        <v>0.1866319444</v>
      </c>
      <c r="I490" s="465"/>
      <c r="J490" s="465"/>
      <c r="K490" s="465"/>
      <c r="L490" s="466"/>
      <c r="M490" s="466"/>
      <c r="N490" s="466"/>
      <c r="O490" s="465"/>
      <c r="P490" s="671"/>
      <c r="Q490" s="379"/>
    </row>
    <row r="491">
      <c r="E491" s="333" t="s">
        <v>411</v>
      </c>
      <c r="F491" s="691" t="s">
        <v>412</v>
      </c>
      <c r="G491" s="371" t="s">
        <v>301</v>
      </c>
      <c r="H491" s="531" t="s">
        <v>281</v>
      </c>
      <c r="I491" s="336" t="s">
        <v>282</v>
      </c>
      <c r="J491" s="337"/>
      <c r="K491" s="337" t="s">
        <v>104</v>
      </c>
      <c r="L491" s="337" t="s">
        <v>212</v>
      </c>
      <c r="M491" s="499" t="s">
        <v>178</v>
      </c>
      <c r="N491" s="336" t="s">
        <v>283</v>
      </c>
      <c r="O491" s="338" t="str">
        <f>PARAMS("expert_collect_dtype")</f>
        <v>bf16</v>
      </c>
      <c r="P491" s="377"/>
      <c r="Q491" s="337"/>
    </row>
    <row r="492">
      <c r="E492" s="341"/>
      <c r="F492" s="341"/>
      <c r="G492" s="341"/>
      <c r="H492" s="378" t="s">
        <v>285</v>
      </c>
      <c r="I492" s="345" t="s">
        <v>282</v>
      </c>
      <c r="J492" s="346"/>
      <c r="K492" s="345">
        <f t="shared" ref="K492:M492" si="87">PARAMS(K491)</f>
        <v>8</v>
      </c>
      <c r="L492" s="345">
        <f t="shared" si="87"/>
        <v>8192</v>
      </c>
      <c r="M492" s="345">
        <f t="shared" si="87"/>
        <v>7168</v>
      </c>
      <c r="N492" s="345" t="s">
        <v>283</v>
      </c>
      <c r="O492" s="347"/>
      <c r="P492" s="509">
        <f>SIZEOF_IN_MIB(J492:M492, O491)</f>
        <v>896</v>
      </c>
      <c r="Q492" s="344"/>
    </row>
    <row r="493">
      <c r="E493" s="341"/>
      <c r="F493" s="341"/>
      <c r="G493" s="341"/>
      <c r="H493" s="376" t="s">
        <v>287</v>
      </c>
      <c r="I493" s="349" t="s">
        <v>282</v>
      </c>
      <c r="J493" s="336"/>
      <c r="K493" s="337" t="s">
        <v>196</v>
      </c>
      <c r="L493" s="337"/>
      <c r="M493" s="337"/>
      <c r="N493" s="349" t="s">
        <v>283</v>
      </c>
      <c r="O493" s="350"/>
      <c r="P493" s="377"/>
      <c r="Q493" s="337"/>
    </row>
    <row r="494">
      <c r="E494" s="341"/>
      <c r="F494" s="341"/>
      <c r="G494" s="341"/>
      <c r="H494" s="378" t="s">
        <v>289</v>
      </c>
      <c r="I494" s="346" t="s">
        <v>282</v>
      </c>
      <c r="J494" s="345"/>
      <c r="K494" s="346">
        <f t="shared" ref="K494:M494" si="88">K492/SHARDING(K493)</f>
        <v>1</v>
      </c>
      <c r="L494" s="346">
        <f t="shared" si="88"/>
        <v>8192</v>
      </c>
      <c r="M494" s="346">
        <f t="shared" si="88"/>
        <v>7168</v>
      </c>
      <c r="N494" s="346" t="s">
        <v>283</v>
      </c>
      <c r="O494" s="355"/>
      <c r="P494" s="509">
        <f>SIZEOF_IN_MIB(J494:M494, O491)</f>
        <v>112</v>
      </c>
      <c r="Q494" s="344"/>
    </row>
    <row r="495">
      <c r="E495" s="341"/>
      <c r="F495" s="341"/>
      <c r="G495" s="352"/>
      <c r="H495" s="376" t="s">
        <v>304</v>
      </c>
      <c r="I495" s="349"/>
      <c r="J495" s="336"/>
      <c r="K495" s="337" t="s">
        <v>196</v>
      </c>
      <c r="L495" s="349"/>
      <c r="M495" s="349"/>
      <c r="N495" s="349"/>
      <c r="O495" s="337"/>
      <c r="P495" s="377"/>
      <c r="Q495" s="337"/>
    </row>
    <row r="496">
      <c r="E496" s="341"/>
      <c r="F496" s="341"/>
      <c r="G496" s="692" t="s">
        <v>413</v>
      </c>
      <c r="H496" s="693" t="s">
        <v>414</v>
      </c>
      <c r="I496" s="379"/>
      <c r="J496" s="634">
        <f>SHARDING(K493)*SHARDING(L493)/HW_SPEC("# of TensorCore per Chip")</f>
        <v>8</v>
      </c>
      <c r="K496" s="346"/>
      <c r="L496" s="346"/>
      <c r="M496" s="346"/>
      <c r="N496" s="346"/>
      <c r="O496" s="344"/>
      <c r="P496" s="509"/>
      <c r="Q496" s="344"/>
    </row>
    <row r="497">
      <c r="E497" s="341"/>
      <c r="F497" s="341"/>
      <c r="H497" s="694" t="s">
        <v>365</v>
      </c>
      <c r="I497" s="298"/>
      <c r="J497" s="695">
        <f>vlookup(J496, DB!$A$26:$D$31, 3, FALSE)</f>
        <v>4</v>
      </c>
      <c r="K497" s="349"/>
      <c r="L497" s="349"/>
      <c r="M497" s="349"/>
      <c r="N497" s="349"/>
      <c r="O497" s="337"/>
      <c r="P497" s="377"/>
      <c r="Q497" s="337"/>
    </row>
    <row r="498">
      <c r="E498" s="341"/>
      <c r="F498" s="341"/>
      <c r="H498" s="696" t="s">
        <v>366</v>
      </c>
      <c r="I498" s="697"/>
      <c r="J498" s="698">
        <f>COLLECTIVE_TIME_GPU("GB200", "ALL_TO_ALL", J496, P494*1024*1024)/1000</f>
        <v>0.2105025</v>
      </c>
      <c r="K498" s="346"/>
      <c r="L498" s="346"/>
      <c r="M498" s="346"/>
      <c r="N498" s="346"/>
      <c r="O498" s="344"/>
      <c r="P498" s="509"/>
      <c r="Q498" s="344"/>
    </row>
    <row r="499">
      <c r="E499" s="341"/>
      <c r="F499" s="341"/>
      <c r="H499" s="300" t="s">
        <v>311</v>
      </c>
      <c r="I499" s="298"/>
      <c r="J499" s="699">
        <f>IF(PARAMS("use_nccl_lookup")=TRUE, J498, ALL2ALL_CHIP2CHIP_TIME_MS(P492,J497))</f>
        <v>0.2105025</v>
      </c>
      <c r="K499" s="349"/>
      <c r="L499" s="349"/>
      <c r="M499" s="349"/>
      <c r="N499" s="349"/>
      <c r="O499" s="337"/>
      <c r="P499" s="377"/>
      <c r="Q499" s="337"/>
      <c r="T499" s="700"/>
    </row>
    <row r="500">
      <c r="E500" s="341"/>
      <c r="F500" s="341"/>
      <c r="G500" s="408" t="s">
        <v>415</v>
      </c>
      <c r="H500" s="398" t="s">
        <v>306</v>
      </c>
      <c r="I500" s="379"/>
      <c r="J500" s="701">
        <f>HW_SPEC("# of TensorCore per Chip")</f>
        <v>1</v>
      </c>
      <c r="K500" s="346"/>
      <c r="L500" s="346"/>
      <c r="M500" s="346"/>
      <c r="N500" s="346"/>
      <c r="O500" s="344"/>
      <c r="P500" s="509"/>
      <c r="Q500" s="344"/>
    </row>
    <row r="501">
      <c r="E501" s="341"/>
      <c r="F501" s="341"/>
      <c r="G501" s="341"/>
      <c r="H501" s="300" t="s">
        <v>416</v>
      </c>
      <c r="I501" s="298"/>
      <c r="J501" s="598">
        <f>P494 /J496 * (J500-1)</f>
        <v>0</v>
      </c>
      <c r="K501" s="349"/>
      <c r="L501" s="349"/>
      <c r="M501" s="349"/>
      <c r="N501" s="349"/>
      <c r="O501" s="337"/>
      <c r="P501" s="377"/>
      <c r="Q501" s="337"/>
    </row>
    <row r="502">
      <c r="E502" s="341"/>
      <c r="F502" s="341"/>
      <c r="G502" s="341"/>
      <c r="H502" s="398" t="s">
        <v>384</v>
      </c>
      <c r="I502" s="379"/>
      <c r="J502" s="596">
        <f>J501*J500</f>
        <v>0</v>
      </c>
      <c r="K502" s="346"/>
      <c r="L502" s="346"/>
      <c r="M502" s="346"/>
      <c r="N502" s="346"/>
      <c r="O502" s="344"/>
      <c r="P502" s="509"/>
      <c r="Q502" s="344"/>
    </row>
    <row r="503">
      <c r="E503" s="341"/>
      <c r="F503" s="341"/>
      <c r="G503" s="352"/>
      <c r="H503" s="300" t="s">
        <v>311</v>
      </c>
      <c r="I503" s="298"/>
      <c r="J503" s="298">
        <f>ALL2ALL_CORE2CORE_TIME_MS(J502)</f>
        <v>0</v>
      </c>
      <c r="K503" s="349"/>
      <c r="L503" s="349"/>
      <c r="M503" s="349"/>
      <c r="N503" s="349"/>
      <c r="O503" s="337"/>
      <c r="P503" s="377"/>
      <c r="Q503" s="337"/>
    </row>
    <row r="504">
      <c r="E504" s="341"/>
      <c r="F504" s="352"/>
      <c r="G504" s="594" t="s">
        <v>311</v>
      </c>
      <c r="H504" s="646">
        <f>J499+J503</f>
        <v>0.2105025</v>
      </c>
      <c r="I504" s="346"/>
      <c r="J504" s="345"/>
      <c r="K504" s="346"/>
      <c r="L504" s="346"/>
      <c r="M504" s="346"/>
      <c r="N504" s="346"/>
      <c r="O504" s="344"/>
      <c r="P504" s="509"/>
      <c r="Q504" s="344"/>
    </row>
    <row r="505">
      <c r="E505" s="341"/>
      <c r="F505" s="702" t="s">
        <v>417</v>
      </c>
      <c r="G505" s="661" t="s">
        <v>169</v>
      </c>
      <c r="H505" s="703" t="s">
        <v>418</v>
      </c>
      <c r="I505" s="336"/>
      <c r="J505" s="337"/>
      <c r="K505" s="337"/>
      <c r="L505" s="337"/>
      <c r="M505" s="337"/>
      <c r="N505" s="349"/>
      <c r="O505" s="337"/>
      <c r="P505" s="377"/>
      <c r="Q505" s="337"/>
    </row>
    <row r="506">
      <c r="E506" s="341"/>
      <c r="F506" s="341"/>
      <c r="G506" s="371" t="s">
        <v>301</v>
      </c>
      <c r="H506" s="529" t="s">
        <v>281</v>
      </c>
      <c r="I506" s="345" t="s">
        <v>282</v>
      </c>
      <c r="J506" s="344"/>
      <c r="K506" s="344" t="s">
        <v>104</v>
      </c>
      <c r="L506" s="344" t="s">
        <v>102</v>
      </c>
      <c r="M506" s="344" t="s">
        <v>178</v>
      </c>
      <c r="N506" s="346"/>
      <c r="O506" s="473" t="str">
        <f>PARAMS("expert_collect_dtype")</f>
        <v>bf16</v>
      </c>
      <c r="P506" s="509"/>
      <c r="Q506" s="344"/>
    </row>
    <row r="507">
      <c r="E507" s="341"/>
      <c r="F507" s="341"/>
      <c r="G507" s="341"/>
      <c r="H507" s="376" t="s">
        <v>285</v>
      </c>
      <c r="I507" s="336" t="s">
        <v>282</v>
      </c>
      <c r="J507" s="349"/>
      <c r="K507" s="336">
        <f t="shared" ref="K507:M507" si="89">PARAMS(K506)</f>
        <v>8</v>
      </c>
      <c r="L507" s="336">
        <f t="shared" si="89"/>
        <v>2048</v>
      </c>
      <c r="M507" s="336">
        <f t="shared" si="89"/>
        <v>7168</v>
      </c>
      <c r="N507" s="349"/>
      <c r="O507" s="350"/>
      <c r="P507" s="377">
        <f>SIZEOF_IN_MIB(J507:M507, O506)</f>
        <v>224</v>
      </c>
      <c r="Q507" s="337"/>
    </row>
    <row r="508">
      <c r="E508" s="341"/>
      <c r="F508" s="341"/>
      <c r="G508" s="341"/>
      <c r="H508" s="517" t="s">
        <v>287</v>
      </c>
      <c r="I508" s="346" t="s">
        <v>282</v>
      </c>
      <c r="J508" s="345"/>
      <c r="K508" s="344"/>
      <c r="L508" s="344"/>
      <c r="M508" s="344"/>
      <c r="N508" s="346"/>
      <c r="O508" s="347"/>
      <c r="P508" s="509"/>
      <c r="Q508" s="344"/>
    </row>
    <row r="509">
      <c r="E509" s="341"/>
      <c r="F509" s="341"/>
      <c r="G509" s="341"/>
      <c r="H509" s="374" t="s">
        <v>289</v>
      </c>
      <c r="I509" s="363" t="s">
        <v>282</v>
      </c>
      <c r="J509" s="364"/>
      <c r="K509" s="363">
        <f t="shared" ref="K509:M509" si="90">K507/SHARDING(K508)</f>
        <v>8</v>
      </c>
      <c r="L509" s="363">
        <f t="shared" si="90"/>
        <v>2048</v>
      </c>
      <c r="M509" s="363">
        <f t="shared" si="90"/>
        <v>7168</v>
      </c>
      <c r="N509" s="363"/>
      <c r="O509" s="352"/>
      <c r="P509" s="375">
        <f>SIZEOF_IN_MIB(J509:M509, O506)</f>
        <v>224</v>
      </c>
      <c r="Q509" s="273"/>
    </row>
    <row r="510">
      <c r="E510" s="341"/>
      <c r="F510" s="341"/>
      <c r="G510" s="352"/>
      <c r="H510" s="704" t="s">
        <v>419</v>
      </c>
      <c r="I510" s="705"/>
      <c r="J510" s="273"/>
      <c r="K510" s="363"/>
      <c r="L510" s="363"/>
      <c r="M510" s="363"/>
      <c r="N510" s="363"/>
      <c r="O510" s="273"/>
      <c r="P510" s="706"/>
      <c r="Q510" s="273"/>
    </row>
    <row r="511">
      <c r="E511" s="341"/>
      <c r="F511" s="341"/>
      <c r="G511" s="385" t="s">
        <v>306</v>
      </c>
      <c r="H511" s="707">
        <f>SHARDING(J510) * SHARDING(H467)</f>
        <v>8</v>
      </c>
      <c r="I511" s="363"/>
      <c r="J511" s="364"/>
      <c r="K511" s="363"/>
      <c r="L511" s="363"/>
      <c r="M511" s="363"/>
      <c r="N511" s="363"/>
      <c r="O511" s="273"/>
      <c r="P511" s="706"/>
      <c r="Q511" s="273"/>
    </row>
    <row r="512">
      <c r="E512" s="341"/>
      <c r="F512" s="341"/>
      <c r="G512" s="594" t="s">
        <v>383</v>
      </c>
      <c r="H512" s="652">
        <f>P509 / H511 * (H511-1)</f>
        <v>196</v>
      </c>
      <c r="I512" s="363"/>
      <c r="J512" s="364"/>
      <c r="K512" s="363"/>
      <c r="L512" s="363"/>
      <c r="M512" s="363"/>
      <c r="N512" s="363"/>
      <c r="O512" s="273"/>
      <c r="P512" s="706"/>
      <c r="Q512" s="273"/>
    </row>
    <row r="513">
      <c r="E513" s="341"/>
      <c r="F513" s="341"/>
      <c r="G513" s="594" t="s">
        <v>384</v>
      </c>
      <c r="H513" s="708">
        <f>H512*H511</f>
        <v>1568</v>
      </c>
      <c r="I513" s="601"/>
      <c r="J513" s="364"/>
      <c r="K513" s="363"/>
      <c r="L513" s="363"/>
      <c r="M513" s="363"/>
      <c r="N513" s="363"/>
      <c r="O513" s="273"/>
      <c r="P513" s="706"/>
      <c r="Q513" s="273"/>
    </row>
    <row r="514">
      <c r="E514" s="341"/>
      <c r="F514" s="341"/>
      <c r="G514" s="594" t="s">
        <v>420</v>
      </c>
      <c r="H514" s="709">
        <f>HW_SPEC("# of TensorCore per Chip")</f>
        <v>1</v>
      </c>
      <c r="I514" s="703" t="s">
        <v>421</v>
      </c>
      <c r="J514" s="336"/>
      <c r="K514" s="349"/>
      <c r="L514" s="349"/>
      <c r="M514" s="349"/>
      <c r="N514" s="349"/>
      <c r="O514" s="337"/>
      <c r="P514" s="710"/>
      <c r="Q514" s="337"/>
    </row>
    <row r="515">
      <c r="E515" s="341"/>
      <c r="F515" s="341"/>
      <c r="G515" s="385" t="s">
        <v>309</v>
      </c>
      <c r="H515" s="410">
        <f>IFS(H511=8,12,
H511=4,4,
H511=2,1,
TRUE,NA())</f>
        <v>12</v>
      </c>
      <c r="I515" s="711"/>
      <c r="J515" s="345"/>
      <c r="K515" s="346"/>
      <c r="L515" s="346"/>
      <c r="M515" s="346"/>
      <c r="N515" s="346"/>
      <c r="O515" s="344"/>
      <c r="P515" s="712"/>
      <c r="Q515" s="344"/>
    </row>
    <row r="516">
      <c r="E516" s="341"/>
      <c r="F516" s="341"/>
      <c r="G516" s="594" t="s">
        <v>422</v>
      </c>
      <c r="H516" s="643">
        <f>COLLECTIVE_TIME_GPU("GB200", "REDUCE_SCATTER", H511, P507*1024*1024)/1000</f>
        <v>0.36176</v>
      </c>
      <c r="I516" s="602"/>
      <c r="J516" s="336"/>
      <c r="K516" s="349"/>
      <c r="L516" s="349"/>
      <c r="M516" s="349"/>
      <c r="N516" s="349"/>
      <c r="O516" s="337"/>
      <c r="P516" s="710"/>
      <c r="Q516" s="337"/>
    </row>
    <row r="517">
      <c r="E517" s="341"/>
      <c r="F517" s="352"/>
      <c r="G517" s="594" t="s">
        <v>423</v>
      </c>
      <c r="H517" s="646">
        <f>IF(PARAMS("use_nccl_lookup")=TRUE, H516, REDUCE_SCATTER_CHIP2CHIP_TIME_MS2(H513*H514,H515))</f>
        <v>0.36176</v>
      </c>
      <c r="I517" s="517"/>
      <c r="J517" s="345"/>
      <c r="K517" s="346"/>
      <c r="L517" s="346"/>
      <c r="M517" s="346"/>
      <c r="N517" s="346"/>
      <c r="O517" s="344"/>
      <c r="P517" s="712"/>
      <c r="Q517" s="344"/>
    </row>
    <row r="518">
      <c r="E518" s="341"/>
      <c r="F518" s="702" t="s">
        <v>119</v>
      </c>
      <c r="G518" s="713" t="s">
        <v>169</v>
      </c>
      <c r="H518" s="300" t="s">
        <v>454</v>
      </c>
      <c r="I518" s="337"/>
      <c r="J518" s="336"/>
      <c r="K518" s="337"/>
      <c r="L518" s="499"/>
      <c r="M518" s="337"/>
      <c r="N518" s="349"/>
      <c r="O518" s="337"/>
      <c r="P518" s="377"/>
      <c r="Q518" s="337"/>
    </row>
    <row r="519">
      <c r="E519" s="341"/>
      <c r="F519" s="341"/>
      <c r="G519" s="609" t="s">
        <v>301</v>
      </c>
      <c r="H519" s="517" t="s">
        <v>281</v>
      </c>
      <c r="I519" s="517"/>
      <c r="J519" s="345"/>
      <c r="K519" s="344" t="s">
        <v>104</v>
      </c>
      <c r="L519" s="556" t="s">
        <v>102</v>
      </c>
      <c r="M519" s="344" t="s">
        <v>178</v>
      </c>
      <c r="N519" s="346"/>
      <c r="O519" s="473" t="str">
        <f>PARAMS("expert_collect_dtype")</f>
        <v>bf16</v>
      </c>
      <c r="P519" s="509"/>
      <c r="Q519" s="344"/>
    </row>
    <row r="520">
      <c r="E520" s="341"/>
      <c r="F520" s="341"/>
      <c r="G520" s="341"/>
      <c r="H520" s="376" t="s">
        <v>285</v>
      </c>
      <c r="I520" s="376"/>
      <c r="J520" s="336"/>
      <c r="K520" s="349">
        <f t="shared" ref="K520:M520" si="91">PARAMS(K519)</f>
        <v>8</v>
      </c>
      <c r="L520" s="349">
        <f t="shared" si="91"/>
        <v>2048</v>
      </c>
      <c r="M520" s="349">
        <f t="shared" si="91"/>
        <v>7168</v>
      </c>
      <c r="N520" s="349"/>
      <c r="O520" s="350"/>
      <c r="P520" s="377">
        <f>SIZEOF_IN_MIB(J520:M520, O519)</f>
        <v>224</v>
      </c>
      <c r="Q520" s="337"/>
    </row>
    <row r="521">
      <c r="E521" s="341"/>
      <c r="F521" s="341"/>
      <c r="G521" s="341"/>
      <c r="H521" s="517" t="s">
        <v>287</v>
      </c>
      <c r="I521" s="517"/>
      <c r="J521" s="345"/>
      <c r="K521" s="344"/>
      <c r="L521" s="344"/>
      <c r="M521" s="344"/>
      <c r="N521" s="346"/>
      <c r="O521" s="347"/>
      <c r="P521" s="509"/>
      <c r="Q521" s="344"/>
    </row>
    <row r="522">
      <c r="E522" s="341"/>
      <c r="F522" s="341"/>
      <c r="G522" s="341"/>
      <c r="H522" s="602" t="s">
        <v>289</v>
      </c>
      <c r="I522" s="602"/>
      <c r="J522" s="336"/>
      <c r="K522" s="349">
        <f t="shared" ref="K522:M522" si="92">K520/SHARDING(K521)</f>
        <v>8</v>
      </c>
      <c r="L522" s="349">
        <f t="shared" si="92"/>
        <v>2048</v>
      </c>
      <c r="M522" s="349">
        <f t="shared" si="92"/>
        <v>7168</v>
      </c>
      <c r="N522" s="349"/>
      <c r="O522" s="316"/>
      <c r="P522" s="377">
        <f>SIZEOF_IN_MIB(J522:M522, O519)</f>
        <v>224</v>
      </c>
      <c r="Q522" s="337"/>
    </row>
    <row r="523">
      <c r="E523" s="341"/>
      <c r="F523" s="341"/>
      <c r="G523" s="352"/>
      <c r="H523" s="634" t="s">
        <v>419</v>
      </c>
      <c r="I523" s="378"/>
      <c r="J523" s="634"/>
      <c r="K523" s="345"/>
      <c r="L523" s="344"/>
      <c r="M523" s="346"/>
      <c r="N523" s="346"/>
      <c r="O523" s="344"/>
      <c r="P523" s="509"/>
      <c r="Q523" s="344"/>
    </row>
    <row r="524">
      <c r="E524" s="341"/>
      <c r="F524" s="341"/>
      <c r="G524" s="458" t="s">
        <v>425</v>
      </c>
      <c r="H524" s="293" t="s">
        <v>306</v>
      </c>
      <c r="I524" s="298"/>
      <c r="J524" s="714">
        <f>SHARDING(J523)*SHARDING(H467)/HW_SPEC("# of TensorCore per Chip")</f>
        <v>8</v>
      </c>
      <c r="K524" s="336"/>
      <c r="L524" s="337"/>
      <c r="M524" s="349"/>
      <c r="N524" s="349"/>
      <c r="O524" s="337"/>
      <c r="P524" s="377"/>
      <c r="Q524" s="337"/>
    </row>
    <row r="525">
      <c r="E525" s="341"/>
      <c r="F525" s="341"/>
      <c r="G525" s="341"/>
      <c r="H525" s="634" t="s">
        <v>426</v>
      </c>
      <c r="I525" s="379"/>
      <c r="J525" s="715">
        <f>P522 / J524 * (J524-1)</f>
        <v>196</v>
      </c>
      <c r="K525" s="345"/>
      <c r="L525" s="344"/>
      <c r="M525" s="346"/>
      <c r="N525" s="346"/>
      <c r="O525" s="344"/>
      <c r="P525" s="509"/>
      <c r="Q525" s="344"/>
    </row>
    <row r="526">
      <c r="E526" s="341"/>
      <c r="F526" s="341"/>
      <c r="G526" s="341"/>
      <c r="H526" s="639" t="s">
        <v>384</v>
      </c>
      <c r="I526" s="298"/>
      <c r="J526" s="716">
        <f>J525*J524</f>
        <v>1568</v>
      </c>
      <c r="K526" s="336"/>
      <c r="L526" s="337"/>
      <c r="M526" s="349"/>
      <c r="N526" s="349"/>
      <c r="O526" s="337"/>
      <c r="P526" s="377"/>
      <c r="Q526" s="337"/>
    </row>
    <row r="527">
      <c r="E527" s="341"/>
      <c r="F527" s="341"/>
      <c r="G527" s="341"/>
      <c r="H527" s="634" t="s">
        <v>309</v>
      </c>
      <c r="I527" s="379"/>
      <c r="J527" s="595">
        <f>vlookup(J524, DB!$A$26:$G$31, 6, False)</f>
        <v>12</v>
      </c>
      <c r="K527" s="345"/>
      <c r="L527" s="344"/>
      <c r="M527" s="346"/>
      <c r="N527" s="346"/>
      <c r="O527" s="344"/>
      <c r="P527" s="509"/>
      <c r="Q527" s="344"/>
    </row>
    <row r="528">
      <c r="E528" s="341"/>
      <c r="F528" s="341"/>
      <c r="G528" s="352"/>
      <c r="H528" s="639" t="s">
        <v>311</v>
      </c>
      <c r="I528" s="298"/>
      <c r="J528" s="597">
        <f>IF(J526=0,0, REDUCE_SCATTER_CHIP2CHIP_TIME_MS2(J526,J527))</f>
        <v>0.0708912037</v>
      </c>
      <c r="K528" s="336"/>
      <c r="L528" s="337"/>
      <c r="M528" s="349"/>
      <c r="N528" s="349"/>
      <c r="O528" s="337"/>
      <c r="P528" s="377"/>
      <c r="Q528" s="337"/>
    </row>
    <row r="529">
      <c r="E529" s="341"/>
      <c r="F529" s="341"/>
      <c r="G529" s="609" t="s">
        <v>427</v>
      </c>
      <c r="H529" s="416" t="s">
        <v>306</v>
      </c>
      <c r="I529" s="601"/>
      <c r="J529" s="717">
        <f>HW_SPEC("# of TensorCore per Chip")</f>
        <v>1</v>
      </c>
      <c r="K529" s="364"/>
      <c r="L529" s="273"/>
      <c r="M529" s="363"/>
      <c r="N529" s="363"/>
      <c r="O529" s="273"/>
      <c r="P529" s="375"/>
      <c r="Q529" s="273"/>
    </row>
    <row r="530">
      <c r="E530" s="341"/>
      <c r="F530" s="341"/>
      <c r="G530" s="341"/>
      <c r="H530" s="704" t="s">
        <v>416</v>
      </c>
      <c r="I530" s="11"/>
      <c r="J530" s="718">
        <f>P522 * (J529-1)/J529</f>
        <v>0</v>
      </c>
      <c r="K530" s="364"/>
      <c r="L530" s="273"/>
      <c r="M530" s="363"/>
      <c r="N530" s="363"/>
      <c r="O530" s="273"/>
      <c r="P530" s="375"/>
      <c r="Q530" s="273"/>
    </row>
    <row r="531">
      <c r="E531" s="341"/>
      <c r="F531" s="341"/>
      <c r="G531" s="341"/>
      <c r="H531" s="704" t="s">
        <v>384</v>
      </c>
      <c r="I531" s="11"/>
      <c r="J531" s="718">
        <f>J530*J529</f>
        <v>0</v>
      </c>
      <c r="K531" s="364"/>
      <c r="L531" s="273"/>
      <c r="M531" s="363"/>
      <c r="N531" s="363"/>
      <c r="O531" s="273"/>
      <c r="P531" s="375"/>
      <c r="Q531" s="273"/>
    </row>
    <row r="532">
      <c r="E532" s="341"/>
      <c r="F532" s="341"/>
      <c r="G532" s="341"/>
      <c r="H532" s="704" t="s">
        <v>311</v>
      </c>
      <c r="I532" s="11"/>
      <c r="J532" s="719">
        <f>REDUCE_SCATTER_CORE2CORE_TIME_MS(J531)</f>
        <v>0</v>
      </c>
      <c r="K532" s="364"/>
      <c r="L532" s="273"/>
      <c r="M532" s="363"/>
      <c r="N532" s="363"/>
      <c r="O532" s="273"/>
      <c r="P532" s="375"/>
      <c r="Q532" s="273"/>
    </row>
    <row r="533">
      <c r="E533" s="341"/>
      <c r="F533" s="341"/>
      <c r="G533" s="352"/>
      <c r="H533" s="704" t="s">
        <v>428</v>
      </c>
      <c r="I533" s="11"/>
      <c r="J533" s="719">
        <f>J532/J524</f>
        <v>0</v>
      </c>
      <c r="K533" s="364"/>
      <c r="L533" s="273"/>
      <c r="M533" s="363"/>
      <c r="N533" s="363"/>
      <c r="O533" s="273"/>
      <c r="P533" s="375"/>
      <c r="Q533" s="273"/>
    </row>
    <row r="534">
      <c r="E534" s="341"/>
      <c r="F534" s="352"/>
      <c r="G534" s="599" t="s">
        <v>429</v>
      </c>
      <c r="H534" s="676" t="str">
        <f>IF(PARAMS("use_nccl_lookup")=TRUE, "N/A", SUM(J528+J533))</f>
        <v>N/A</v>
      </c>
      <c r="I534" s="719"/>
      <c r="J534" s="364"/>
      <c r="K534" s="364"/>
      <c r="L534" s="273"/>
      <c r="M534" s="363"/>
      <c r="N534" s="363"/>
      <c r="O534" s="273"/>
      <c r="P534" s="375"/>
      <c r="Q534" s="273"/>
    </row>
    <row r="535">
      <c r="E535" s="341"/>
      <c r="F535" s="370" t="s">
        <v>335</v>
      </c>
      <c r="G535" s="720" t="s">
        <v>322</v>
      </c>
      <c r="H535" s="721" t="str">
        <f>'Config and Summary'!C23</f>
        <v>Option C: Hierachical RS</v>
      </c>
      <c r="I535" s="650"/>
      <c r="J535" s="454"/>
      <c r="K535" s="454"/>
      <c r="L535" s="455"/>
      <c r="M535" s="455"/>
      <c r="N535" s="455"/>
      <c r="O535" s="454"/>
      <c r="P535" s="722"/>
      <c r="Q535" s="11"/>
    </row>
    <row r="536">
      <c r="E536" s="341"/>
      <c r="F536" s="341"/>
      <c r="G536" s="591" t="s">
        <v>340</v>
      </c>
      <c r="H536" s="723" t="str">
        <f>IFS(H535=F491,H504,H535=F505,H517,F518=H535,H534, TRUE,0)</f>
        <v>N/A</v>
      </c>
      <c r="I536" s="581"/>
      <c r="J536" s="448"/>
      <c r="K536" s="448"/>
      <c r="L536" s="449"/>
      <c r="M536" s="449"/>
      <c r="N536" s="449"/>
      <c r="O536" s="448"/>
      <c r="P536" s="724"/>
      <c r="Q536" s="450"/>
    </row>
    <row r="537">
      <c r="E537" s="341"/>
      <c r="F537" s="341"/>
      <c r="G537" s="452" t="s">
        <v>376</v>
      </c>
      <c r="H537" s="626">
        <f>vlookup(PARAMS("topo"), DB!$E$26:$G$31, 3, FALSE)</f>
        <v>3</v>
      </c>
      <c r="I537" s="650"/>
      <c r="J537" s="454"/>
      <c r="K537" s="454"/>
      <c r="L537" s="455"/>
      <c r="M537" s="455"/>
      <c r="N537" s="455"/>
      <c r="O537" s="454"/>
      <c r="P537" s="722"/>
      <c r="Q537" s="11"/>
    </row>
    <row r="538">
      <c r="E538" s="352"/>
      <c r="F538" s="352"/>
      <c r="G538" s="446" t="s">
        <v>326</v>
      </c>
      <c r="H538" s="447">
        <f>IF(H535="No Collectives", 0, H537 * HW_SPEC("Chip-to-Chip ICI Latency (ms)"))</f>
        <v>0</v>
      </c>
      <c r="I538" s="648"/>
      <c r="J538" s="448"/>
      <c r="K538" s="448"/>
      <c r="L538" s="449"/>
      <c r="M538" s="449"/>
      <c r="N538" s="449"/>
      <c r="O538" s="448"/>
      <c r="P538" s="724"/>
      <c r="Q538" s="572"/>
    </row>
    <row r="539">
      <c r="E539" s="333" t="s">
        <v>430</v>
      </c>
      <c r="F539" s="725" t="s">
        <v>292</v>
      </c>
      <c r="G539" s="335"/>
      <c r="H539" s="531" t="s">
        <v>281</v>
      </c>
      <c r="I539" s="336" t="s">
        <v>282</v>
      </c>
      <c r="J539" s="337"/>
      <c r="K539" s="337" t="s">
        <v>104</v>
      </c>
      <c r="L539" s="337" t="s">
        <v>102</v>
      </c>
      <c r="M539" s="499" t="s">
        <v>178</v>
      </c>
      <c r="N539" s="336" t="s">
        <v>283</v>
      </c>
      <c r="O539" s="338" t="s">
        <v>125</v>
      </c>
      <c r="P539" s="377"/>
      <c r="Q539" s="338" t="b">
        <v>0</v>
      </c>
    </row>
    <row r="540">
      <c r="E540" s="341"/>
      <c r="F540" s="342"/>
      <c r="G540" s="343"/>
      <c r="H540" s="378" t="s">
        <v>285</v>
      </c>
      <c r="I540" s="345" t="s">
        <v>282</v>
      </c>
      <c r="J540" s="346"/>
      <c r="K540" s="345">
        <f t="shared" ref="K540:M540" si="93">PARAMS(K539)</f>
        <v>8</v>
      </c>
      <c r="L540" s="345">
        <f t="shared" si="93"/>
        <v>2048</v>
      </c>
      <c r="M540" s="345">
        <f t="shared" si="93"/>
        <v>7168</v>
      </c>
      <c r="N540" s="345" t="s">
        <v>283</v>
      </c>
      <c r="O540" s="347"/>
      <c r="P540" s="509">
        <f>SIZEOF_IN_MIB(J540:M540, O539)</f>
        <v>112</v>
      </c>
      <c r="Q540" s="347"/>
    </row>
    <row r="541">
      <c r="E541" s="341"/>
      <c r="F541" s="342"/>
      <c r="G541" s="343"/>
      <c r="H541" s="602" t="s">
        <v>287</v>
      </c>
      <c r="I541" s="349" t="s">
        <v>282</v>
      </c>
      <c r="J541" s="336"/>
      <c r="K541" s="337" t="s">
        <v>196</v>
      </c>
      <c r="L541" s="337"/>
      <c r="M541" s="337"/>
      <c r="N541" s="349" t="s">
        <v>283</v>
      </c>
      <c r="O541" s="350"/>
      <c r="P541" s="377"/>
      <c r="Q541" s="350"/>
    </row>
    <row r="542">
      <c r="E542" s="341"/>
      <c r="F542" s="353"/>
      <c r="G542" s="354"/>
      <c r="H542" s="378" t="s">
        <v>289</v>
      </c>
      <c r="I542" s="346" t="s">
        <v>282</v>
      </c>
      <c r="J542" s="345"/>
      <c r="K542" s="346">
        <f t="shared" ref="K542:M542" si="94">K540/SHARDING(K541)</f>
        <v>1</v>
      </c>
      <c r="L542" s="346">
        <f t="shared" si="94"/>
        <v>2048</v>
      </c>
      <c r="M542" s="346">
        <f t="shared" si="94"/>
        <v>7168</v>
      </c>
      <c r="N542" s="346" t="s">
        <v>283</v>
      </c>
      <c r="O542" s="355"/>
      <c r="P542" s="509">
        <f>SIZEOF_IN_MIB(J542:M542, O539)</f>
        <v>14</v>
      </c>
      <c r="Q542" s="355"/>
    </row>
    <row r="543">
      <c r="E543" s="341"/>
      <c r="F543" s="726" t="s">
        <v>296</v>
      </c>
      <c r="G543" s="335"/>
      <c r="H543" s="602" t="s">
        <v>281</v>
      </c>
      <c r="I543" s="349" t="s">
        <v>282</v>
      </c>
      <c r="J543" s="336"/>
      <c r="K543" s="499">
        <v>2.0</v>
      </c>
      <c r="L543" s="499" t="s">
        <v>178</v>
      </c>
      <c r="M543" s="337" t="s">
        <v>182</v>
      </c>
      <c r="N543" s="349" t="s">
        <v>283</v>
      </c>
      <c r="O543" s="338" t="s">
        <v>125</v>
      </c>
      <c r="P543" s="377"/>
      <c r="Q543" s="338" t="b">
        <v>0</v>
      </c>
    </row>
    <row r="544">
      <c r="E544" s="341"/>
      <c r="F544" s="342"/>
      <c r="G544" s="343"/>
      <c r="H544" s="378" t="s">
        <v>285</v>
      </c>
      <c r="I544" s="346" t="s">
        <v>282</v>
      </c>
      <c r="J544" s="345"/>
      <c r="K544" s="346">
        <f t="shared" ref="K544:M544" si="95">PARAMS(K543)</f>
        <v>2</v>
      </c>
      <c r="L544" s="346">
        <f t="shared" si="95"/>
        <v>7168</v>
      </c>
      <c r="M544" s="346">
        <f t="shared" si="95"/>
        <v>4096</v>
      </c>
      <c r="N544" s="346" t="s">
        <v>283</v>
      </c>
      <c r="O544" s="347"/>
      <c r="P544" s="509">
        <f>SIZEOF_IN_MIB(J544:M544, O543)</f>
        <v>56</v>
      </c>
      <c r="Q544" s="347"/>
    </row>
    <row r="545">
      <c r="E545" s="341"/>
      <c r="F545" s="342"/>
      <c r="G545" s="343"/>
      <c r="H545" s="602" t="s">
        <v>287</v>
      </c>
      <c r="I545" s="349" t="s">
        <v>282</v>
      </c>
      <c r="J545" s="336"/>
      <c r="K545" s="298"/>
      <c r="L545" s="337"/>
      <c r="M545" s="337"/>
      <c r="N545" s="349" t="s">
        <v>283</v>
      </c>
      <c r="O545" s="350"/>
      <c r="P545" s="377"/>
      <c r="Q545" s="350"/>
    </row>
    <row r="546">
      <c r="E546" s="341"/>
      <c r="F546" s="353"/>
      <c r="G546" s="354"/>
      <c r="H546" s="517" t="s">
        <v>289</v>
      </c>
      <c r="I546" s="346" t="s">
        <v>282</v>
      </c>
      <c r="J546" s="345"/>
      <c r="K546" s="346">
        <f t="shared" ref="K546:M546" si="96">K544/SHARDING(K545)</f>
        <v>2</v>
      </c>
      <c r="L546" s="346">
        <f t="shared" si="96"/>
        <v>7168</v>
      </c>
      <c r="M546" s="346">
        <f t="shared" si="96"/>
        <v>4096</v>
      </c>
      <c r="N546" s="346" t="s">
        <v>283</v>
      </c>
      <c r="O546" s="355"/>
      <c r="P546" s="509">
        <f>SIZEOF_IN_MIB(J546:M546, O543)</f>
        <v>56</v>
      </c>
      <c r="Q546" s="355"/>
    </row>
    <row r="547">
      <c r="E547" s="341"/>
      <c r="F547" s="726" t="s">
        <v>56</v>
      </c>
      <c r="G547" s="335"/>
      <c r="H547" s="602" t="s">
        <v>281</v>
      </c>
      <c r="I547" s="349" t="s">
        <v>282</v>
      </c>
      <c r="J547" s="337">
        <v>2.0</v>
      </c>
      <c r="K547" s="337" t="s">
        <v>104</v>
      </c>
      <c r="L547" s="337" t="s">
        <v>102</v>
      </c>
      <c r="M547" s="337" t="s">
        <v>182</v>
      </c>
      <c r="N547" s="349" t="s">
        <v>283</v>
      </c>
      <c r="O547" s="727" t="s">
        <v>133</v>
      </c>
      <c r="P547" s="377"/>
      <c r="Q547" s="338" t="b">
        <v>0</v>
      </c>
    </row>
    <row r="548">
      <c r="E548" s="341"/>
      <c r="F548" s="342"/>
      <c r="G548" s="343"/>
      <c r="H548" s="378" t="s">
        <v>285</v>
      </c>
      <c r="I548" s="346" t="s">
        <v>282</v>
      </c>
      <c r="J548" s="346">
        <f t="shared" ref="J548:M548" si="97">PARAMS(J547)</f>
        <v>2</v>
      </c>
      <c r="K548" s="346">
        <f t="shared" si="97"/>
        <v>8</v>
      </c>
      <c r="L548" s="346">
        <f t="shared" si="97"/>
        <v>2048</v>
      </c>
      <c r="M548" s="346">
        <f t="shared" si="97"/>
        <v>4096</v>
      </c>
      <c r="N548" s="346" t="s">
        <v>283</v>
      </c>
      <c r="O548" s="347"/>
      <c r="P548" s="509">
        <f>SIZEOF_IN_MIB(J548:M548, O547)</f>
        <v>256</v>
      </c>
      <c r="Q548" s="347"/>
    </row>
    <row r="549">
      <c r="E549" s="341"/>
      <c r="F549" s="342"/>
      <c r="G549" s="343"/>
      <c r="H549" s="602" t="s">
        <v>287</v>
      </c>
      <c r="I549" s="349" t="s">
        <v>282</v>
      </c>
      <c r="J549" s="336"/>
      <c r="K549" s="337" t="s">
        <v>196</v>
      </c>
      <c r="L549" s="337"/>
      <c r="M549" s="337"/>
      <c r="N549" s="349" t="s">
        <v>283</v>
      </c>
      <c r="O549" s="350"/>
      <c r="P549" s="377"/>
      <c r="Q549" s="350"/>
    </row>
    <row r="550">
      <c r="E550" s="341"/>
      <c r="F550" s="353"/>
      <c r="G550" s="354"/>
      <c r="H550" s="517" t="s">
        <v>289</v>
      </c>
      <c r="I550" s="346" t="s">
        <v>282</v>
      </c>
      <c r="J550" s="346">
        <f t="shared" ref="J550:M550" si="98">J548/SHARDING(J549)</f>
        <v>2</v>
      </c>
      <c r="K550" s="346">
        <f t="shared" si="98"/>
        <v>1</v>
      </c>
      <c r="L550" s="346">
        <f t="shared" si="98"/>
        <v>2048</v>
      </c>
      <c r="M550" s="346">
        <f t="shared" si="98"/>
        <v>4096</v>
      </c>
      <c r="N550" s="346" t="s">
        <v>283</v>
      </c>
      <c r="O550" s="355"/>
      <c r="P550" s="509">
        <f>SIZEOF_IN_MIB(J550:M550, O547)</f>
        <v>32</v>
      </c>
      <c r="Q550" s="355"/>
    </row>
    <row r="551">
      <c r="E551" s="341"/>
      <c r="F551" s="371" t="s">
        <v>335</v>
      </c>
      <c r="G551" s="601"/>
      <c r="H551" s="728"/>
      <c r="I551" s="336"/>
      <c r="J551" s="336"/>
      <c r="K551" s="336"/>
      <c r="L551" s="349"/>
      <c r="M551" s="349"/>
      <c r="N551" s="349"/>
      <c r="O551" s="336"/>
      <c r="P551" s="377"/>
      <c r="Q551" s="729"/>
    </row>
    <row r="552">
      <c r="E552" s="341"/>
      <c r="F552" s="352"/>
      <c r="G552" s="669" t="s">
        <v>340</v>
      </c>
      <c r="H552" s="730"/>
      <c r="I552" s="493"/>
      <c r="J552" s="345"/>
      <c r="K552" s="345"/>
      <c r="L552" s="346"/>
      <c r="M552" s="346"/>
      <c r="N552" s="346"/>
      <c r="O552" s="345"/>
      <c r="P552" s="509"/>
      <c r="Q552" s="545"/>
      <c r="T552" s="66">
        <f>(H554*1000000000)/(H556*1000000)</f>
        <v>1179010630275</v>
      </c>
    </row>
    <row r="553">
      <c r="E553" s="341"/>
      <c r="F553" s="731" t="s">
        <v>327</v>
      </c>
      <c r="G553" s="601" t="s">
        <v>328</v>
      </c>
      <c r="H553" s="663" t="str">
        <f>VLOOKUP(O539&amp;","&amp;O543,$T$3:$W$12,4, FALSE)</f>
        <v>fp8</v>
      </c>
      <c r="I553" s="460"/>
      <c r="J553" s="454"/>
      <c r="K553" s="454"/>
      <c r="L553" s="455"/>
      <c r="M553" s="455"/>
      <c r="N553" s="455"/>
      <c r="O553" s="454"/>
      <c r="P553" s="468"/>
      <c r="Q553" s="11"/>
    </row>
    <row r="554">
      <c r="E554" s="341"/>
      <c r="F554" s="341"/>
      <c r="G554" s="663" t="s">
        <v>341</v>
      </c>
      <c r="H554" s="667">
        <f>CALCULATE_FLOPS(J542:M542,J546:M546,L546,K546,H553)</f>
        <v>120259084288</v>
      </c>
      <c r="I554" s="460"/>
      <c r="J554" s="454"/>
      <c r="K554" s="454"/>
      <c r="L554" s="455"/>
      <c r="M554" s="455"/>
      <c r="N554" s="455"/>
      <c r="O554" s="454"/>
      <c r="P554" s="468"/>
      <c r="Q554" s="11"/>
    </row>
    <row r="555">
      <c r="E555" s="341"/>
      <c r="F555" s="352"/>
      <c r="G555" s="669" t="s">
        <v>330</v>
      </c>
      <c r="H555" s="732">
        <f>COMPUTE_TIME_MS(H554, H553)</f>
        <v>0.03206908914</v>
      </c>
      <c r="I555" s="464"/>
      <c r="J555" s="465"/>
      <c r="K555" s="465"/>
      <c r="L555" s="466"/>
      <c r="M555" s="466"/>
      <c r="N555" s="466"/>
      <c r="O555" s="465"/>
      <c r="P555" s="671"/>
      <c r="Q555" s="11"/>
    </row>
    <row r="556">
      <c r="E556" s="341"/>
      <c r="F556" s="731" t="s">
        <v>331</v>
      </c>
      <c r="G556" s="663" t="s">
        <v>332</v>
      </c>
      <c r="H556" s="672">
        <f>IF(Q539,0,P542)+IF(Q543,0,P546)+IF(Q547,0,P550)</f>
        <v>102</v>
      </c>
      <c r="I556" s="454"/>
      <c r="J556" s="454"/>
      <c r="K556" s="454"/>
      <c r="L556" s="455"/>
      <c r="M556" s="455"/>
      <c r="N556" s="455"/>
      <c r="O556" s="454"/>
      <c r="P556" s="468"/>
      <c r="Q556" s="11"/>
    </row>
    <row r="557">
      <c r="E557" s="352"/>
      <c r="F557" s="352"/>
      <c r="G557" s="673" t="s">
        <v>333</v>
      </c>
      <c r="H557" s="733">
        <f>HBM_TIME_MS(H556)</f>
        <v>0.01383463542</v>
      </c>
      <c r="I557" s="465"/>
      <c r="J557" s="465"/>
      <c r="K557" s="465"/>
      <c r="L557" s="466"/>
      <c r="M557" s="466"/>
      <c r="N557" s="466"/>
      <c r="O557" s="465"/>
      <c r="P557" s="671"/>
      <c r="Q557" s="11"/>
      <c r="R557" s="23" t="s">
        <v>455</v>
      </c>
    </row>
    <row r="558">
      <c r="E558" s="333" t="s">
        <v>456</v>
      </c>
      <c r="F558" s="725" t="s">
        <v>292</v>
      </c>
      <c r="G558" s="335"/>
      <c r="H558" s="531" t="s">
        <v>281</v>
      </c>
      <c r="I558" s="336" t="s">
        <v>282</v>
      </c>
      <c r="J558" s="405"/>
      <c r="K558" s="734" t="s">
        <v>104</v>
      </c>
      <c r="L558" s="734" t="s">
        <v>102</v>
      </c>
      <c r="M558" s="735" t="s">
        <v>182</v>
      </c>
      <c r="N558" s="336" t="s">
        <v>283</v>
      </c>
      <c r="O558" s="338" t="s">
        <v>125</v>
      </c>
      <c r="P558" s="377"/>
      <c r="Q558" s="338" t="b">
        <v>0</v>
      </c>
    </row>
    <row r="559">
      <c r="E559" s="341"/>
      <c r="F559" s="342"/>
      <c r="G559" s="343"/>
      <c r="H559" s="378" t="s">
        <v>285</v>
      </c>
      <c r="I559" s="345" t="s">
        <v>282</v>
      </c>
      <c r="J559" s="400"/>
      <c r="K559" s="736">
        <f t="shared" ref="K559:M559" si="99">PARAMS(K558)</f>
        <v>8</v>
      </c>
      <c r="L559" s="737">
        <f t="shared" si="99"/>
        <v>2048</v>
      </c>
      <c r="M559" s="737">
        <f t="shared" si="99"/>
        <v>4096</v>
      </c>
      <c r="N559" s="345" t="s">
        <v>283</v>
      </c>
      <c r="O559" s="347"/>
      <c r="P559" s="509">
        <f>SIZEOF_IN_MIB(J559:M559, O558)</f>
        <v>64</v>
      </c>
      <c r="Q559" s="347"/>
    </row>
    <row r="560">
      <c r="E560" s="341"/>
      <c r="F560" s="342"/>
      <c r="G560" s="343"/>
      <c r="H560" s="602" t="s">
        <v>287</v>
      </c>
      <c r="I560" s="349" t="s">
        <v>282</v>
      </c>
      <c r="J560" s="404"/>
      <c r="K560" s="738" t="s">
        <v>196</v>
      </c>
      <c r="L560" s="405"/>
      <c r="M560" s="738"/>
      <c r="N560" s="349" t="s">
        <v>283</v>
      </c>
      <c r="O560" s="350"/>
      <c r="P560" s="377"/>
      <c r="Q560" s="350"/>
    </row>
    <row r="561">
      <c r="E561" s="341"/>
      <c r="F561" s="353"/>
      <c r="G561" s="354"/>
      <c r="H561" s="378" t="s">
        <v>289</v>
      </c>
      <c r="I561" s="346" t="s">
        <v>282</v>
      </c>
      <c r="J561" s="399"/>
      <c r="K561" s="736">
        <f t="shared" ref="K561:M561" si="100">K559/SHARDING(K560)</f>
        <v>1</v>
      </c>
      <c r="L561" s="736">
        <f t="shared" si="100"/>
        <v>2048</v>
      </c>
      <c r="M561" s="736">
        <f t="shared" si="100"/>
        <v>4096</v>
      </c>
      <c r="N561" s="346" t="s">
        <v>283</v>
      </c>
      <c r="O561" s="355"/>
      <c r="P561" s="509">
        <f>SIZEOF_IN_MIB(J561:M561, O558)</f>
        <v>8</v>
      </c>
      <c r="Q561" s="355"/>
    </row>
    <row r="562">
      <c r="E562" s="341"/>
      <c r="F562" s="726" t="s">
        <v>296</v>
      </c>
      <c r="G562" s="335"/>
      <c r="H562" s="602" t="s">
        <v>281</v>
      </c>
      <c r="I562" s="349" t="s">
        <v>282</v>
      </c>
      <c r="J562" s="404"/>
      <c r="K562" s="391"/>
      <c r="L562" s="735" t="s">
        <v>182</v>
      </c>
      <c r="M562" s="734" t="s">
        <v>178</v>
      </c>
      <c r="N562" s="349" t="s">
        <v>283</v>
      </c>
      <c r="O562" s="338" t="s">
        <v>125</v>
      </c>
      <c r="P562" s="377"/>
      <c r="Q562" s="338" t="b">
        <v>0</v>
      </c>
    </row>
    <row r="563">
      <c r="E563" s="341"/>
      <c r="F563" s="342"/>
      <c r="G563" s="343"/>
      <c r="H563" s="378" t="s">
        <v>285</v>
      </c>
      <c r="I563" s="346" t="s">
        <v>282</v>
      </c>
      <c r="J563" s="399"/>
      <c r="K563" s="388"/>
      <c r="L563" s="736">
        <f t="shared" ref="L563:M563" si="101">PARAMS(L562)</f>
        <v>4096</v>
      </c>
      <c r="M563" s="736">
        <f t="shared" si="101"/>
        <v>7168</v>
      </c>
      <c r="N563" s="346" t="s">
        <v>283</v>
      </c>
      <c r="O563" s="347"/>
      <c r="P563" s="509">
        <f>SIZEOF_IN_MIB(J563:M563, O562)</f>
        <v>28</v>
      </c>
      <c r="Q563" s="347"/>
    </row>
    <row r="564">
      <c r="E564" s="341"/>
      <c r="F564" s="342"/>
      <c r="G564" s="343"/>
      <c r="H564" s="602" t="s">
        <v>287</v>
      </c>
      <c r="I564" s="349" t="s">
        <v>282</v>
      </c>
      <c r="J564" s="404"/>
      <c r="K564" s="391"/>
      <c r="L564" s="738"/>
      <c r="M564" s="405"/>
      <c r="N564" s="349" t="s">
        <v>283</v>
      </c>
      <c r="O564" s="350"/>
      <c r="P564" s="377"/>
      <c r="Q564" s="350"/>
    </row>
    <row r="565">
      <c r="E565" s="341"/>
      <c r="F565" s="353"/>
      <c r="G565" s="354"/>
      <c r="H565" s="517" t="s">
        <v>289</v>
      </c>
      <c r="I565" s="346" t="s">
        <v>282</v>
      </c>
      <c r="J565" s="399"/>
      <c r="K565" s="388"/>
      <c r="L565" s="736">
        <f t="shared" ref="L565:M565" si="102">L563/SHARDING(L564)</f>
        <v>4096</v>
      </c>
      <c r="M565" s="736">
        <f t="shared" si="102"/>
        <v>7168</v>
      </c>
      <c r="N565" s="346" t="s">
        <v>283</v>
      </c>
      <c r="O565" s="355"/>
      <c r="P565" s="509">
        <f>SIZEOF_IN_MIB(J565:M565, O562)</f>
        <v>28</v>
      </c>
      <c r="Q565" s="355"/>
    </row>
    <row r="566">
      <c r="E566" s="341"/>
      <c r="F566" s="726" t="s">
        <v>56</v>
      </c>
      <c r="G566" s="335"/>
      <c r="H566" s="602" t="s">
        <v>281</v>
      </c>
      <c r="I566" s="349" t="s">
        <v>282</v>
      </c>
      <c r="J566" s="404"/>
      <c r="K566" s="734" t="s">
        <v>104</v>
      </c>
      <c r="L566" s="734" t="s">
        <v>102</v>
      </c>
      <c r="M566" s="734" t="s">
        <v>178</v>
      </c>
      <c r="N566" s="349" t="s">
        <v>283</v>
      </c>
      <c r="O566" s="727" t="s">
        <v>133</v>
      </c>
      <c r="P566" s="377"/>
      <c r="Q566" s="338" t="b">
        <v>0</v>
      </c>
    </row>
    <row r="567">
      <c r="E567" s="341"/>
      <c r="F567" s="342"/>
      <c r="G567" s="343"/>
      <c r="H567" s="378" t="s">
        <v>285</v>
      </c>
      <c r="I567" s="346" t="s">
        <v>282</v>
      </c>
      <c r="J567" s="400"/>
      <c r="K567" s="739">
        <f t="shared" ref="K567:M567" si="103">PARAMS(K566)</f>
        <v>8</v>
      </c>
      <c r="L567" s="736">
        <f t="shared" si="103"/>
        <v>2048</v>
      </c>
      <c r="M567" s="736">
        <f t="shared" si="103"/>
        <v>7168</v>
      </c>
      <c r="N567" s="346" t="s">
        <v>283</v>
      </c>
      <c r="O567" s="347"/>
      <c r="P567" s="509">
        <f>SIZEOF_IN_MIB(J567:M567, O566)</f>
        <v>224</v>
      </c>
      <c r="Q567" s="347"/>
    </row>
    <row r="568">
      <c r="E568" s="341"/>
      <c r="F568" s="342"/>
      <c r="G568" s="343"/>
      <c r="H568" s="602" t="s">
        <v>287</v>
      </c>
      <c r="I568" s="349" t="s">
        <v>282</v>
      </c>
      <c r="J568" s="404"/>
      <c r="K568" s="738" t="s">
        <v>196</v>
      </c>
      <c r="L568" s="405"/>
      <c r="M568" s="405"/>
      <c r="N568" s="349" t="s">
        <v>283</v>
      </c>
      <c r="O568" s="350"/>
      <c r="P568" s="377"/>
      <c r="Q568" s="350"/>
    </row>
    <row r="569">
      <c r="E569" s="341"/>
      <c r="F569" s="353"/>
      <c r="G569" s="354"/>
      <c r="H569" s="517" t="s">
        <v>289</v>
      </c>
      <c r="I569" s="346" t="s">
        <v>282</v>
      </c>
      <c r="J569" s="400"/>
      <c r="K569" s="736">
        <f t="shared" ref="K569:M569" si="104">K567/SHARDING(K568)</f>
        <v>1</v>
      </c>
      <c r="L569" s="736">
        <f t="shared" si="104"/>
        <v>2048</v>
      </c>
      <c r="M569" s="736">
        <f t="shared" si="104"/>
        <v>7168</v>
      </c>
      <c r="N569" s="346" t="s">
        <v>283</v>
      </c>
      <c r="O569" s="355"/>
      <c r="P569" s="509">
        <f>SIZEOF_IN_MIB(J569:M569, O566)</f>
        <v>28</v>
      </c>
      <c r="Q569" s="355"/>
    </row>
    <row r="570">
      <c r="E570" s="341"/>
      <c r="F570" s="740" t="s">
        <v>119</v>
      </c>
      <c r="G570" s="741" t="s">
        <v>169</v>
      </c>
      <c r="H570" s="742" t="s">
        <v>457</v>
      </c>
      <c r="I570" s="404"/>
      <c r="J570" s="404"/>
      <c r="K570" s="404"/>
      <c r="L570" s="405"/>
      <c r="M570" s="405"/>
      <c r="N570" s="405"/>
      <c r="O570" s="404"/>
      <c r="P570" s="406"/>
      <c r="Q570" s="404"/>
    </row>
    <row r="571">
      <c r="E571" s="341"/>
      <c r="F571" s="341"/>
      <c r="G571" s="743" t="s">
        <v>301</v>
      </c>
      <c r="H571" s="744" t="s">
        <v>281</v>
      </c>
      <c r="I571" s="489"/>
      <c r="J571" s="399"/>
      <c r="K571" s="737" t="s">
        <v>104</v>
      </c>
      <c r="L571" s="745" t="s">
        <v>102</v>
      </c>
      <c r="M571" s="736" t="s">
        <v>178</v>
      </c>
      <c r="N571" s="400"/>
      <c r="O571" s="746" t="str">
        <f>PARAMS("expert_collect_dtype")</f>
        <v>bf16</v>
      </c>
      <c r="P571" s="401"/>
      <c r="Q571" s="399"/>
    </row>
    <row r="572">
      <c r="E572" s="341"/>
      <c r="F572" s="341"/>
      <c r="G572" s="341"/>
      <c r="H572" s="747" t="s">
        <v>285</v>
      </c>
      <c r="I572" s="748"/>
      <c r="J572" s="749"/>
      <c r="K572" s="750">
        <f t="shared" ref="K572:M572" si="105">PARAMS(K571)</f>
        <v>8</v>
      </c>
      <c r="L572" s="751">
        <f t="shared" si="105"/>
        <v>2048</v>
      </c>
      <c r="M572" s="751">
        <f t="shared" si="105"/>
        <v>7168</v>
      </c>
      <c r="N572" s="752"/>
      <c r="O572" s="341"/>
      <c r="P572" s="753">
        <f>SIZEOF_IN_MIB(J572:M572, O571)</f>
        <v>224</v>
      </c>
      <c r="Q572" s="749"/>
    </row>
    <row r="573">
      <c r="E573" s="341"/>
      <c r="F573" s="341"/>
      <c r="G573" s="341"/>
      <c r="H573" s="754" t="s">
        <v>287</v>
      </c>
      <c r="I573" s="755"/>
      <c r="J573" s="756"/>
      <c r="K573" s="756"/>
      <c r="L573" s="757"/>
      <c r="M573" s="757"/>
      <c r="N573" s="757"/>
      <c r="O573" s="341"/>
      <c r="P573" s="758"/>
      <c r="Q573" s="756"/>
    </row>
    <row r="574">
      <c r="E574" s="341"/>
      <c r="F574" s="341"/>
      <c r="G574" s="341"/>
      <c r="H574" s="759" t="s">
        <v>289</v>
      </c>
      <c r="I574" s="748"/>
      <c r="J574" s="749"/>
      <c r="K574" s="750">
        <f t="shared" ref="K574:M574" si="106">K572/SHARDING(K573)</f>
        <v>8</v>
      </c>
      <c r="L574" s="751">
        <f t="shared" si="106"/>
        <v>2048</v>
      </c>
      <c r="M574" s="751">
        <f t="shared" si="106"/>
        <v>7168</v>
      </c>
      <c r="N574" s="752"/>
      <c r="O574" s="352"/>
      <c r="P574" s="753">
        <f>SIZEOF_IN_MIB(J574:M574, O571)</f>
        <v>224</v>
      </c>
      <c r="Q574" s="749"/>
    </row>
    <row r="575">
      <c r="E575" s="341"/>
      <c r="F575" s="341"/>
      <c r="G575" s="352"/>
      <c r="H575" s="760" t="s">
        <v>419</v>
      </c>
      <c r="I575" s="756"/>
      <c r="J575" s="761" t="s">
        <v>196</v>
      </c>
      <c r="K575" s="756"/>
      <c r="L575" s="757"/>
      <c r="M575" s="757"/>
      <c r="N575" s="757"/>
      <c r="O575" s="756"/>
      <c r="P575" s="758"/>
      <c r="Q575" s="756"/>
    </row>
    <row r="576">
      <c r="E576" s="341"/>
      <c r="F576" s="341"/>
      <c r="G576" s="432" t="s">
        <v>425</v>
      </c>
      <c r="H576" s="762" t="s">
        <v>306</v>
      </c>
      <c r="I576" s="428"/>
      <c r="J576" s="763">
        <f>SHARDING(J575)/HW_SPEC("# of TensorCore per Chip")</f>
        <v>8</v>
      </c>
      <c r="K576" s="749"/>
      <c r="L576" s="752"/>
      <c r="M576" s="752"/>
      <c r="N576" s="752"/>
      <c r="O576" s="749"/>
      <c r="P576" s="764"/>
      <c r="Q576" s="749"/>
    </row>
    <row r="577">
      <c r="E577" s="341"/>
      <c r="F577" s="341"/>
      <c r="G577" s="341"/>
      <c r="H577" s="765" t="s">
        <v>426</v>
      </c>
      <c r="I577" s="434"/>
      <c r="J577" s="441">
        <f>P574 / J576 * (J576-1)</f>
        <v>196</v>
      </c>
      <c r="K577" s="756"/>
      <c r="L577" s="756"/>
      <c r="M577" s="756"/>
      <c r="N577" s="756"/>
      <c r="O577" s="756"/>
      <c r="P577" s="758"/>
      <c r="Q577" s="756"/>
    </row>
    <row r="578">
      <c r="E578" s="341"/>
      <c r="F578" s="341"/>
      <c r="G578" s="341"/>
      <c r="H578" s="766" t="s">
        <v>384</v>
      </c>
      <c r="I578" s="428"/>
      <c r="J578" s="439">
        <f>J577*J576</f>
        <v>1568</v>
      </c>
      <c r="K578" s="749"/>
      <c r="L578" s="749"/>
      <c r="M578" s="749"/>
      <c r="N578" s="749"/>
      <c r="O578" s="749"/>
      <c r="P578" s="764"/>
      <c r="Q578" s="749"/>
    </row>
    <row r="579">
      <c r="E579" s="341"/>
      <c r="F579" s="341"/>
      <c r="G579" s="341"/>
      <c r="H579" s="765" t="s">
        <v>309</v>
      </c>
      <c r="I579" s="434"/>
      <c r="J579" s="767">
        <f>IFS(J576=8,12,
J576=4,4,
J576=2,1,
TRUE,NA())</f>
        <v>12</v>
      </c>
      <c r="K579" s="756"/>
      <c r="L579" s="756"/>
      <c r="M579" s="756"/>
      <c r="N579" s="756"/>
      <c r="O579" s="756"/>
      <c r="P579" s="758"/>
      <c r="Q579" s="756"/>
    </row>
    <row r="580">
      <c r="E580" s="341"/>
      <c r="F580" s="341"/>
      <c r="G580" s="352"/>
      <c r="H580" s="768" t="s">
        <v>311</v>
      </c>
      <c r="I580" s="428"/>
      <c r="J580" s="769">
        <f>IF(J578=0,0, REDUCE_SCATTER_CHIP2CHIP_TIME_MS2(J578,J579))</f>
        <v>0.0708912037</v>
      </c>
      <c r="K580" s="749"/>
      <c r="L580" s="749"/>
      <c r="M580" s="749"/>
      <c r="N580" s="749"/>
      <c r="O580" s="749"/>
      <c r="P580" s="764"/>
      <c r="Q580" s="749"/>
    </row>
    <row r="581">
      <c r="E581" s="341"/>
      <c r="F581" s="341"/>
      <c r="G581" s="770" t="s">
        <v>427</v>
      </c>
      <c r="H581" s="771" t="s">
        <v>306</v>
      </c>
      <c r="I581" s="772"/>
      <c r="J581" s="773">
        <f>HW_SPEC("# of TensorCore per Chip")</f>
        <v>1</v>
      </c>
      <c r="K581" s="772"/>
      <c r="L581" s="772"/>
      <c r="M581" s="772"/>
      <c r="N581" s="772"/>
      <c r="O581" s="772"/>
      <c r="P581" s="774"/>
      <c r="Q581" s="772"/>
    </row>
    <row r="582">
      <c r="E582" s="341"/>
      <c r="F582" s="341"/>
      <c r="G582" s="341"/>
      <c r="H582" s="775" t="s">
        <v>416</v>
      </c>
      <c r="I582" s="81"/>
      <c r="J582" s="776">
        <f>P574 * (J581-1)/J581</f>
        <v>0</v>
      </c>
      <c r="K582" s="772"/>
      <c r="L582" s="772"/>
      <c r="M582" s="772"/>
      <c r="N582" s="772"/>
      <c r="O582" s="772"/>
      <c r="P582" s="774"/>
      <c r="Q582" s="772"/>
    </row>
    <row r="583">
      <c r="E583" s="341"/>
      <c r="F583" s="341"/>
      <c r="G583" s="341"/>
      <c r="H583" s="775" t="s">
        <v>384</v>
      </c>
      <c r="I583" s="81"/>
      <c r="J583" s="776">
        <f>J582*J581</f>
        <v>0</v>
      </c>
      <c r="K583" s="772"/>
      <c r="L583" s="772"/>
      <c r="M583" s="772"/>
      <c r="N583" s="772"/>
      <c r="O583" s="772"/>
      <c r="P583" s="774"/>
      <c r="Q583" s="772"/>
    </row>
    <row r="584">
      <c r="E584" s="341"/>
      <c r="F584" s="341"/>
      <c r="G584" s="341"/>
      <c r="H584" s="775" t="s">
        <v>311</v>
      </c>
      <c r="I584" s="81"/>
      <c r="J584" s="777">
        <f>REDUCE_SCATTER_CORE2CORE_TIME_MS(J583)</f>
        <v>0</v>
      </c>
      <c r="K584" s="772"/>
      <c r="L584" s="772"/>
      <c r="M584" s="772"/>
      <c r="N584" s="772"/>
      <c r="O584" s="772"/>
      <c r="P584" s="774"/>
      <c r="Q584" s="772"/>
    </row>
    <row r="585">
      <c r="E585" s="341"/>
      <c r="F585" s="341"/>
      <c r="G585" s="352"/>
      <c r="H585" s="775" t="s">
        <v>428</v>
      </c>
      <c r="I585" s="81"/>
      <c r="J585" s="777">
        <f>J584/J576</f>
        <v>0</v>
      </c>
      <c r="K585" s="772"/>
      <c r="L585" s="772"/>
      <c r="M585" s="772"/>
      <c r="N585" s="772"/>
      <c r="O585" s="772"/>
      <c r="P585" s="774"/>
      <c r="Q585" s="772"/>
    </row>
    <row r="586">
      <c r="E586" s="341"/>
      <c r="F586" s="352"/>
      <c r="G586" s="778" t="s">
        <v>429</v>
      </c>
      <c r="H586" s="779">
        <f>SUM(J580+J585)</f>
        <v>0.0708912037</v>
      </c>
      <c r="I586" s="780"/>
      <c r="J586" s="772"/>
      <c r="K586" s="772"/>
      <c r="L586" s="772"/>
      <c r="M586" s="772"/>
      <c r="N586" s="772"/>
      <c r="O586" s="772"/>
      <c r="P586" s="774"/>
      <c r="Q586" s="772"/>
    </row>
    <row r="587">
      <c r="E587" s="341"/>
      <c r="F587" s="770" t="s">
        <v>335</v>
      </c>
      <c r="G587" s="781" t="s">
        <v>322</v>
      </c>
      <c r="H587" s="782" t="s">
        <v>119</v>
      </c>
      <c r="I587" s="772"/>
      <c r="J587" s="772"/>
      <c r="K587" s="772"/>
      <c r="L587" s="772"/>
      <c r="M587" s="772"/>
      <c r="N587" s="772"/>
      <c r="O587" s="772"/>
      <c r="P587" s="783"/>
      <c r="Q587" s="81"/>
    </row>
    <row r="588">
      <c r="E588" s="341"/>
      <c r="F588" s="341"/>
      <c r="G588" s="784" t="s">
        <v>340</v>
      </c>
      <c r="H588" s="785">
        <f>IFS(H587=F539,H557,H587=F558,H569,F570=H587,H586, TRUE,0)</f>
        <v>0.0708912037</v>
      </c>
      <c r="I588" s="786"/>
      <c r="J588" s="787"/>
      <c r="K588" s="787"/>
      <c r="L588" s="787"/>
      <c r="M588" s="787"/>
      <c r="N588" s="787"/>
      <c r="O588" s="787"/>
      <c r="P588" s="788"/>
      <c r="Q588" s="787"/>
    </row>
    <row r="589">
      <c r="E589" s="341"/>
      <c r="F589" s="341"/>
      <c r="G589" s="789" t="s">
        <v>325</v>
      </c>
      <c r="H589" s="790">
        <f>IFS(PARAMS("topo")="2x2x2", (2+2+2)/2,
PARAMS("topo")="2x2", (2+2)/2,
TRUE, NA())</f>
        <v>3</v>
      </c>
      <c r="I589" s="772"/>
      <c r="J589" s="772"/>
      <c r="K589" s="772"/>
      <c r="L589" s="772"/>
      <c r="M589" s="772"/>
      <c r="N589" s="772"/>
      <c r="O589" s="772"/>
      <c r="P589" s="783"/>
      <c r="Q589" s="81"/>
    </row>
    <row r="590">
      <c r="E590" s="341"/>
      <c r="F590" s="352"/>
      <c r="G590" s="791" t="s">
        <v>326</v>
      </c>
      <c r="H590" s="792">
        <f>IF(H587="No Collectives", 0, H589 * HW_SPEC("Chip-to-Chip ICI Latency (ms)"))</f>
        <v>0</v>
      </c>
      <c r="I590" s="787"/>
      <c r="J590" s="787"/>
      <c r="K590" s="787"/>
      <c r="L590" s="787"/>
      <c r="M590" s="787"/>
      <c r="N590" s="787"/>
      <c r="O590" s="787"/>
      <c r="P590" s="788"/>
      <c r="Q590" s="382"/>
    </row>
    <row r="591">
      <c r="E591" s="341"/>
      <c r="F591" s="793" t="s">
        <v>327</v>
      </c>
      <c r="G591" s="794" t="s">
        <v>328</v>
      </c>
      <c r="H591" s="795" t="str">
        <f>VLOOKUP(O558&amp;","&amp;O562,$T$3:$W$12,4, FALSE)</f>
        <v>fp8</v>
      </c>
      <c r="I591" s="755"/>
      <c r="J591" s="756"/>
      <c r="K591" s="756"/>
      <c r="L591" s="756"/>
      <c r="M591" s="756"/>
      <c r="N591" s="756"/>
      <c r="O591" s="756"/>
      <c r="P591" s="758"/>
      <c r="Q591" s="434"/>
    </row>
    <row r="592">
      <c r="E592" s="341"/>
      <c r="F592" s="341"/>
      <c r="G592" s="794" t="s">
        <v>341</v>
      </c>
      <c r="H592" s="796">
        <f>CALCULATE_FLOPS(J561:M561,J565:M565,L565,1,H572)</f>
        <v>120259084288</v>
      </c>
      <c r="I592" s="748"/>
      <c r="J592" s="749"/>
      <c r="K592" s="749"/>
      <c r="L592" s="749"/>
      <c r="M592" s="749"/>
      <c r="N592" s="749"/>
      <c r="O592" s="749"/>
      <c r="P592" s="764"/>
      <c r="Q592" s="428"/>
    </row>
    <row r="593">
      <c r="E593" s="341"/>
      <c r="F593" s="352"/>
      <c r="G593" s="797" t="s">
        <v>330</v>
      </c>
      <c r="H593" s="798">
        <f>COMPUTE_TIME_MS(H592, H591)</f>
        <v>0.03206908914</v>
      </c>
      <c r="I593" s="799"/>
      <c r="J593" s="800"/>
      <c r="K593" s="800"/>
      <c r="L593" s="800"/>
      <c r="M593" s="800"/>
      <c r="N593" s="800"/>
      <c r="O593" s="800"/>
      <c r="P593" s="801"/>
      <c r="Q593" s="434"/>
    </row>
    <row r="594">
      <c r="E594" s="341"/>
      <c r="F594" s="793" t="s">
        <v>331</v>
      </c>
      <c r="G594" s="794" t="s">
        <v>332</v>
      </c>
      <c r="H594" s="802">
        <f>IF(Q558,0,P561)+IF(Q562,0,P565)+IF(Q566,0,P569)</f>
        <v>64</v>
      </c>
      <c r="I594" s="749"/>
      <c r="J594" s="749"/>
      <c r="K594" s="749"/>
      <c r="L594" s="749"/>
      <c r="M594" s="749"/>
      <c r="N594" s="749"/>
      <c r="O594" s="749"/>
      <c r="P594" s="764"/>
      <c r="Q594" s="428"/>
    </row>
    <row r="595">
      <c r="E595" s="352"/>
      <c r="F595" s="352"/>
      <c r="G595" s="803" t="s">
        <v>333</v>
      </c>
      <c r="H595" s="804">
        <f>HBM_TIME_MS(H594)</f>
        <v>0.008680555556</v>
      </c>
      <c r="I595" s="800"/>
      <c r="J595" s="800"/>
      <c r="K595" s="800"/>
      <c r="L595" s="800"/>
      <c r="M595" s="800"/>
      <c r="N595" s="800"/>
      <c r="O595" s="800"/>
      <c r="P595" s="801"/>
      <c r="Q595" s="434"/>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row r="1280">
      <c r="P1280" s="227"/>
    </row>
    <row r="1281">
      <c r="P1281" s="227"/>
    </row>
    <row r="1282">
      <c r="P1282" s="227"/>
    </row>
    <row r="1283">
      <c r="P1283" s="227"/>
    </row>
    <row r="1284">
      <c r="P1284" s="227"/>
    </row>
    <row r="1285">
      <c r="P1285" s="227"/>
    </row>
    <row r="1286">
      <c r="P1286" s="227"/>
    </row>
    <row r="1287">
      <c r="P1287" s="227"/>
    </row>
    <row r="1288">
      <c r="P1288" s="227"/>
    </row>
    <row r="1289">
      <c r="P1289" s="227"/>
    </row>
    <row r="1290">
      <c r="P1290" s="227"/>
    </row>
    <row r="1291">
      <c r="P1291" s="227"/>
    </row>
    <row r="1292">
      <c r="P1292" s="227"/>
    </row>
    <row r="1293">
      <c r="P1293" s="227"/>
    </row>
    <row r="1294">
      <c r="P1294" s="227"/>
    </row>
    <row r="1295">
      <c r="P1295" s="227"/>
    </row>
    <row r="1296">
      <c r="P1296" s="227"/>
    </row>
    <row r="1297">
      <c r="P1297" s="227"/>
    </row>
    <row r="1298">
      <c r="P1298" s="227"/>
    </row>
    <row r="1299">
      <c r="P1299" s="227"/>
    </row>
    <row r="1300">
      <c r="P1300" s="227"/>
    </row>
    <row r="1301">
      <c r="P1301" s="227"/>
    </row>
    <row r="1302">
      <c r="P1302" s="227"/>
    </row>
    <row r="1303">
      <c r="P1303" s="227"/>
    </row>
    <row r="1304">
      <c r="P1304" s="227"/>
    </row>
    <row r="1305">
      <c r="P1305" s="227"/>
    </row>
    <row r="1306">
      <c r="P1306" s="227"/>
    </row>
    <row r="1307">
      <c r="P1307" s="227"/>
    </row>
    <row r="1308">
      <c r="P1308" s="227"/>
    </row>
    <row r="1309">
      <c r="P1309" s="227"/>
    </row>
    <row r="1310">
      <c r="P1310" s="227"/>
    </row>
    <row r="1311">
      <c r="P1311" s="227"/>
    </row>
    <row r="1312">
      <c r="P1312" s="227"/>
    </row>
    <row r="1313">
      <c r="P1313" s="227"/>
    </row>
    <row r="1314">
      <c r="P1314" s="227"/>
    </row>
    <row r="1315">
      <c r="P1315" s="227"/>
    </row>
    <row r="1316">
      <c r="P1316" s="227"/>
    </row>
    <row r="1317">
      <c r="P1317" s="227"/>
    </row>
    <row r="1318">
      <c r="P1318" s="227"/>
    </row>
    <row r="1319">
      <c r="P1319" s="227"/>
    </row>
    <row r="1320">
      <c r="P1320" s="227"/>
    </row>
    <row r="1321">
      <c r="P1321" s="227"/>
    </row>
    <row r="1322">
      <c r="P1322" s="227"/>
    </row>
    <row r="1323">
      <c r="P1323" s="227"/>
    </row>
    <row r="1324">
      <c r="P1324" s="227"/>
    </row>
    <row r="1325">
      <c r="P1325" s="227"/>
    </row>
    <row r="1326">
      <c r="P1326" s="227"/>
    </row>
    <row r="1327">
      <c r="P1327" s="227"/>
    </row>
    <row r="1328">
      <c r="P1328" s="227"/>
    </row>
    <row r="1329">
      <c r="P1329" s="227"/>
    </row>
    <row r="1330">
      <c r="P1330" s="227"/>
    </row>
    <row r="1331">
      <c r="P1331" s="227"/>
    </row>
    <row r="1332">
      <c r="P1332" s="227"/>
    </row>
  </sheetData>
  <mergeCells count="235">
    <mergeCell ref="E491:E538"/>
    <mergeCell ref="E539:E557"/>
    <mergeCell ref="E558:E595"/>
    <mergeCell ref="E275:E293"/>
    <mergeCell ref="E294:E312"/>
    <mergeCell ref="E313:E327"/>
    <mergeCell ref="E328:E354"/>
    <mergeCell ref="E360:E406"/>
    <mergeCell ref="E407:E454"/>
    <mergeCell ref="E455:E490"/>
    <mergeCell ref="F539:G542"/>
    <mergeCell ref="F543:G546"/>
    <mergeCell ref="F547:G550"/>
    <mergeCell ref="F551:F552"/>
    <mergeCell ref="F553:F555"/>
    <mergeCell ref="F556:F557"/>
    <mergeCell ref="F558:G561"/>
    <mergeCell ref="F591:F593"/>
    <mergeCell ref="F594:F595"/>
    <mergeCell ref="F562:G565"/>
    <mergeCell ref="F566:G569"/>
    <mergeCell ref="F570:F586"/>
    <mergeCell ref="G571:G575"/>
    <mergeCell ref="G576:G580"/>
    <mergeCell ref="G581:G585"/>
    <mergeCell ref="F587:F590"/>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571:O574"/>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570 H587">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4" location="gid=0&amp;range=D45:D63" ref="B57"/>
    <hyperlink r:id="rId5" location="gid=0&amp;range=D64:D82" ref="B58"/>
    <hyperlink r:id="rId6" location="gid=0&amp;range=D83:D101" ref="B59"/>
    <hyperlink r:id="rId7" location="gid=0&amp;range=D102:D120" ref="B60"/>
    <hyperlink r:id="rId8" location="gid=0&amp;range=E182:E211" ref="B61"/>
    <hyperlink r:id="rId9" location="gid=0&amp;range=D121:D139" ref="B64"/>
    <hyperlink r:id="rId10" location="gid=0&amp;range=D140:D158" ref="B65"/>
    <hyperlink r:id="rId11" location="gid=0&amp;range=D159:D177" ref="B66"/>
    <hyperlink r:id="rId12" location="gid=0&amp;range=D178:D196" ref="B67"/>
    <hyperlink r:id="rId13" location="gid=0&amp;range=D197:D215" ref="B69"/>
    <hyperlink r:id="rId14" location="gid=0&amp;range=S44:S58" ref="B70"/>
    <hyperlink r:id="rId15" location="gid=0&amp;range=S59:S77" ref="B71"/>
    <hyperlink r:id="rId16" location="gid=0&amp;range=S78:S96" ref="B72"/>
    <hyperlink r:id="rId17" location="gid=0&amp;range=S97:S115" ref="B73"/>
    <hyperlink r:id="rId18" ref="R557"/>
  </hyperlinks>
  <drawing r:id="rId19"/>
  <legacyDrawing r:id="rId20"/>
  <tableParts count="1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03" t="s">
        <v>169</v>
      </c>
      <c r="B1" s="203" t="s">
        <v>458</v>
      </c>
      <c r="C1" s="809" t="s">
        <v>459</v>
      </c>
      <c r="D1" s="301" t="s">
        <v>460</v>
      </c>
      <c r="E1" s="181" t="s">
        <v>461</v>
      </c>
      <c r="F1" s="181" t="s">
        <v>462</v>
      </c>
      <c r="H1" s="181" t="s">
        <v>463</v>
      </c>
      <c r="I1" s="301" t="s">
        <v>464</v>
      </c>
      <c r="J1" s="301" t="s">
        <v>465</v>
      </c>
      <c r="K1" s="301" t="s">
        <v>466</v>
      </c>
      <c r="L1" s="301" t="s">
        <v>467</v>
      </c>
      <c r="M1" s="301" t="s">
        <v>468</v>
      </c>
      <c r="N1" s="301" t="s">
        <v>469</v>
      </c>
      <c r="O1" s="301" t="s">
        <v>470</v>
      </c>
      <c r="P1" s="301" t="s">
        <v>471</v>
      </c>
    </row>
    <row r="2">
      <c r="A2" s="181" t="s">
        <v>472</v>
      </c>
      <c r="D2" s="181" t="s">
        <v>473</v>
      </c>
      <c r="K2" s="810"/>
      <c r="L2" s="810"/>
      <c r="M2" s="810" t="s">
        <v>474</v>
      </c>
      <c r="N2" s="1" t="s">
        <v>475</v>
      </c>
      <c r="O2" s="1" t="s">
        <v>476</v>
      </c>
    </row>
    <row r="3">
      <c r="A3" s="181" t="s">
        <v>477</v>
      </c>
      <c r="F3" s="181" t="s">
        <v>478</v>
      </c>
      <c r="I3" s="66">
        <f>1577.54/8</f>
        <v>197.1925</v>
      </c>
      <c r="J3" s="181">
        <v>68.72</v>
      </c>
      <c r="K3" s="810"/>
      <c r="L3" s="810"/>
      <c r="M3" s="810" t="s">
        <v>479</v>
      </c>
      <c r="N3" s="1" t="s">
        <v>480</v>
      </c>
      <c r="O3" s="1" t="s">
        <v>481</v>
      </c>
    </row>
    <row r="4">
      <c r="A4" s="66" t="str">
        <f>A3 &amp; "fp8 QAG"</f>
        <v>fp AG, compiliation sizeTPTPcap w2 block sizefp8 QAG</v>
      </c>
      <c r="K4" s="181"/>
      <c r="L4" s="181"/>
      <c r="M4" s="1" t="s">
        <v>482</v>
      </c>
      <c r="N4" s="1" t="s">
        <v>483</v>
      </c>
      <c r="O4" s="1" t="s">
        <v>484</v>
      </c>
    </row>
    <row r="5">
      <c r="A5" s="66" t="str">
        <f>A4 &amp; " force sc gather"</f>
        <v>fp AG, compiliation sizeTPTPcap w2 block sizefp8 QAG force sc gather</v>
      </c>
      <c r="E5" s="181" t="s">
        <v>485</v>
      </c>
      <c r="K5" s="181"/>
      <c r="L5" s="181"/>
      <c r="M5" s="1" t="s">
        <v>486</v>
      </c>
      <c r="N5" s="1" t="s">
        <v>487</v>
      </c>
      <c r="O5" s="1" t="s">
        <v>488</v>
      </c>
    </row>
    <row r="6">
      <c r="A6" s="66" t="str">
        <f>A5 &amp; " tiling"</f>
        <v>fp AG, compiliation sizeTPTPcap w2 block sizefp8 QAG force sc gather tiling</v>
      </c>
      <c r="F6" s="181" t="s">
        <v>489</v>
      </c>
      <c r="I6" s="66">
        <f>1587.35/8</f>
        <v>198.41875</v>
      </c>
      <c r="J6" s="181">
        <v>68.77</v>
      </c>
      <c r="K6" s="23">
        <v>19.7</v>
      </c>
      <c r="L6" s="181">
        <v>0.613</v>
      </c>
      <c r="M6" s="1" t="s">
        <v>490</v>
      </c>
      <c r="N6" s="23" t="s">
        <v>491</v>
      </c>
      <c r="O6" s="1" t="s">
        <v>492</v>
      </c>
    </row>
    <row r="7">
      <c r="A7" s="181" t="s">
        <v>493</v>
      </c>
      <c r="F7" s="181" t="s">
        <v>494</v>
      </c>
      <c r="H7" s="181" t="s">
        <v>495</v>
      </c>
      <c r="I7" s="66">
        <f>1798/8</f>
        <v>224.75</v>
      </c>
      <c r="M7" s="181" t="s">
        <v>496</v>
      </c>
      <c r="N7" s="1" t="s">
        <v>497</v>
      </c>
      <c r="O7" s="1" t="s">
        <v>498</v>
      </c>
    </row>
    <row r="8" hidden="1">
      <c r="A8" s="811" t="str">
        <f>A7 &amp; " max-num-batched-tokens=1024"</f>
        <v>use 2560 as the max model len max-num-batched-tokens=1024</v>
      </c>
      <c r="B8" s="811"/>
      <c r="C8" s="811"/>
      <c r="D8" s="811"/>
      <c r="E8" s="812" t="s">
        <v>499</v>
      </c>
      <c r="F8" s="812" t="s">
        <v>500</v>
      </c>
      <c r="G8" s="811"/>
      <c r="H8" s="811"/>
      <c r="I8" s="811">
        <f>1856/8</f>
        <v>232</v>
      </c>
      <c r="J8" s="811"/>
      <c r="K8" s="811"/>
      <c r="L8" s="811"/>
      <c r="M8" s="812" t="s">
        <v>501</v>
      </c>
      <c r="N8" s="813" t="s">
        <v>502</v>
      </c>
      <c r="O8" s="813" t="s">
        <v>503</v>
      </c>
      <c r="P8" s="811"/>
      <c r="Q8" s="811"/>
      <c r="R8" s="811"/>
      <c r="S8" s="811"/>
      <c r="T8" s="811"/>
      <c r="U8" s="811"/>
      <c r="V8" s="811"/>
      <c r="W8" s="811"/>
      <c r="X8" s="811"/>
      <c r="Y8" s="811"/>
      <c r="Z8" s="811"/>
      <c r="AA8" s="811"/>
      <c r="AB8" s="811"/>
      <c r="AC8" s="811"/>
      <c r="AD8" s="811"/>
      <c r="AE8" s="811"/>
    </row>
    <row r="9" hidden="1">
      <c r="A9" s="66" t="str">
        <f>A7 &amp; " remove max-num-batched-tokens"</f>
        <v>use 2560 as the max model len remove max-num-batched-tokens</v>
      </c>
      <c r="E9" s="181" t="s">
        <v>504</v>
      </c>
      <c r="F9" s="181" t="s">
        <v>505</v>
      </c>
      <c r="I9" s="66">
        <f>1787/8</f>
        <v>223.375</v>
      </c>
      <c r="N9" s="1" t="s">
        <v>506</v>
      </c>
      <c r="O9" s="1" t="s">
        <v>507</v>
      </c>
    </row>
    <row r="10">
      <c r="A10" s="66" t="str">
        <f>A7 &amp; " MLA"</f>
        <v>use 2560 as the max model len MLA</v>
      </c>
      <c r="F10" s="181" t="s">
        <v>508</v>
      </c>
      <c r="I10" s="66">
        <f>1806/8</f>
        <v>225.75</v>
      </c>
      <c r="N10" s="1" t="s">
        <v>509</v>
      </c>
      <c r="O10" s="1" t="s">
        <v>510</v>
      </c>
    </row>
    <row r="11">
      <c r="A11" s="66" t="str">
        <f>A10 &amp; " 2nd MLA"</f>
        <v>use 2560 as the max model len MLA 2nd MLA</v>
      </c>
      <c r="B11" s="1" t="s">
        <v>511</v>
      </c>
      <c r="C11" s="181"/>
      <c r="N11" s="1" t="s">
        <v>512</v>
      </c>
      <c r="O11" s="1" t="s">
        <v>513</v>
      </c>
    </row>
    <row r="12">
      <c r="B12" s="814">
        <v>46185.0</v>
      </c>
      <c r="C12" s="181" t="s">
        <v>514</v>
      </c>
      <c r="D12" s="181" t="s">
        <v>515</v>
      </c>
      <c r="E12" s="181" t="s">
        <v>516</v>
      </c>
      <c r="P12" s="181" t="s">
        <v>517</v>
      </c>
    </row>
    <row r="13">
      <c r="B13" s="814">
        <v>46185.0</v>
      </c>
      <c r="C13" s="181">
        <v>128.0</v>
      </c>
      <c r="D13" s="181" t="s">
        <v>518</v>
      </c>
      <c r="N13" s="1" t="s">
        <v>519</v>
      </c>
      <c r="O13" s="1" t="s">
        <v>520</v>
      </c>
    </row>
    <row r="14">
      <c r="B14" s="815">
        <v>46187.0</v>
      </c>
      <c r="C14" s="207" t="s">
        <v>521</v>
      </c>
    </row>
  </sheetData>
  <hyperlinks>
    <hyperlink r:id="rId4" ref="M2"/>
    <hyperlink r:id="rId5" ref="N2"/>
    <hyperlink r:id="rId6" ref="O2"/>
    <hyperlink r:id="rId7" ref="M3"/>
    <hyperlink r:id="rId8" ref="N3"/>
    <hyperlink r:id="rId9" ref="O3"/>
    <hyperlink r:id="rId10" ref="M4"/>
    <hyperlink r:id="rId11" ref="N4"/>
    <hyperlink r:id="rId12" ref="O4"/>
    <hyperlink r:id="rId13" ref="M5"/>
    <hyperlink r:id="rId14" ref="N5"/>
    <hyperlink r:id="rId15" ref="O5"/>
    <hyperlink r:id="rId16" ref="K6"/>
    <hyperlink r:id="rId17" ref="M6"/>
    <hyperlink r:id="rId18" ref="N6"/>
    <hyperlink r:id="rId19" ref="O6"/>
    <hyperlink r:id="rId20" ref="N7"/>
    <hyperlink r:id="rId21" ref="O7"/>
    <hyperlink r:id="rId22" ref="N8"/>
    <hyperlink r:id="rId23" ref="O8"/>
    <hyperlink r:id="rId24" ref="N9"/>
    <hyperlink r:id="rId25" ref="O9"/>
    <hyperlink r:id="rId26" ref="N10"/>
    <hyperlink r:id="rId27" ref="O10"/>
    <hyperlink r:id="rId28" ref="B11"/>
    <hyperlink r:id="rId29" ref="N11"/>
    <hyperlink r:id="rId30" ref="O11"/>
    <hyperlink r:id="rId31" ref="N13"/>
    <hyperlink r:id="rId32" ref="O13"/>
  </hyperlinks>
  <drawing r:id="rId33"/>
  <legacyDrawing r:id="rId3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1" t="s">
        <v>213</v>
      </c>
      <c r="B1" s="816"/>
      <c r="C1" s="817" t="s">
        <v>522</v>
      </c>
      <c r="D1" s="191" t="s">
        <v>523</v>
      </c>
      <c r="E1" s="817" t="s">
        <v>92</v>
      </c>
      <c r="F1" s="191" t="s">
        <v>93</v>
      </c>
      <c r="G1" s="4"/>
      <c r="H1" s="113" t="s">
        <v>524</v>
      </c>
      <c r="I1" s="4"/>
      <c r="J1" s="4"/>
      <c r="K1" s="4"/>
      <c r="L1" s="4"/>
      <c r="M1" s="4"/>
      <c r="N1" s="4"/>
      <c r="O1" s="4"/>
      <c r="P1" s="4"/>
      <c r="Q1" s="4"/>
      <c r="R1" s="4"/>
      <c r="S1" s="4"/>
      <c r="T1" s="4"/>
      <c r="U1" s="4"/>
      <c r="V1" s="4"/>
      <c r="W1" s="4"/>
      <c r="X1" s="4"/>
      <c r="Y1" s="4"/>
      <c r="Z1" s="4"/>
    </row>
    <row r="2">
      <c r="A2" s="185" t="s">
        <v>525</v>
      </c>
      <c r="B2" s="818"/>
      <c r="C2" s="818">
        <v>2.0</v>
      </c>
      <c r="D2" s="185">
        <v>1.0</v>
      </c>
      <c r="E2" s="818">
        <f>$C2</f>
        <v>2</v>
      </c>
      <c r="F2" s="818">
        <f>$D2</f>
        <v>1</v>
      </c>
    </row>
    <row r="3">
      <c r="A3" s="185" t="s">
        <v>217</v>
      </c>
      <c r="B3" s="818"/>
      <c r="C3" s="818">
        <v>7315.0</v>
      </c>
      <c r="D3" s="185">
        <v>8000.0</v>
      </c>
      <c r="E3" s="818">
        <f>$C3*E$18</f>
        <v>6729.8</v>
      </c>
      <c r="F3" s="818">
        <f>$D3*F$18</f>
        <v>7200</v>
      </c>
      <c r="H3" s="66">
        <f t="shared" ref="H3:H7" si="1">F3/E3</f>
        <v>1.069868347</v>
      </c>
    </row>
    <row r="4">
      <c r="A4" s="185" t="s">
        <v>220</v>
      </c>
      <c r="B4" s="818"/>
      <c r="C4" s="818">
        <f t="shared" ref="C4:C5" si="2">4614*0.86</f>
        <v>3968.04</v>
      </c>
      <c r="D4" s="185">
        <v>10000.0</v>
      </c>
      <c r="E4" s="818">
        <f t="shared" ref="E4:E6" si="3">$C4*E$19</f>
        <v>3571.236</v>
      </c>
      <c r="F4" s="818">
        <f t="shared" ref="F4:F6" si="4">$D4*F$19</f>
        <v>7500</v>
      </c>
      <c r="H4" s="66">
        <f t="shared" si="1"/>
        <v>2.100113238</v>
      </c>
    </row>
    <row r="5">
      <c r="A5" s="185" t="s">
        <v>223</v>
      </c>
      <c r="B5" s="818"/>
      <c r="C5" s="818">
        <f t="shared" si="2"/>
        <v>3968.04</v>
      </c>
      <c r="D5" s="185">
        <v>5000.0</v>
      </c>
      <c r="E5" s="818">
        <f t="shared" si="3"/>
        <v>3571.236</v>
      </c>
      <c r="F5" s="818">
        <f t="shared" si="4"/>
        <v>3750</v>
      </c>
      <c r="H5" s="66">
        <f t="shared" si="1"/>
        <v>1.050056619</v>
      </c>
    </row>
    <row r="6">
      <c r="A6" s="185" t="s">
        <v>224</v>
      </c>
      <c r="B6" s="818"/>
      <c r="C6" s="818">
        <f>2307*0.86</f>
        <v>1984.02</v>
      </c>
      <c r="D6" s="185">
        <v>2500.0</v>
      </c>
      <c r="E6" s="818">
        <f t="shared" si="3"/>
        <v>1785.618</v>
      </c>
      <c r="F6" s="818">
        <f t="shared" si="4"/>
        <v>1875</v>
      </c>
      <c r="H6" s="66">
        <f t="shared" si="1"/>
        <v>1.050056619</v>
      </c>
    </row>
    <row r="7">
      <c r="A7" s="185" t="s">
        <v>226</v>
      </c>
      <c r="B7" s="819"/>
      <c r="C7" s="818">
        <v>192.0</v>
      </c>
      <c r="D7" s="185">
        <f>round(192*1000000000/(1024^3), 0)</f>
        <v>179</v>
      </c>
      <c r="E7" s="818">
        <f>$C7</f>
        <v>192</v>
      </c>
      <c r="F7" s="818">
        <f>$D7</f>
        <v>179</v>
      </c>
      <c r="H7" s="66">
        <f t="shared" si="1"/>
        <v>0.9322916667</v>
      </c>
    </row>
    <row r="8">
      <c r="A8" s="185" t="s">
        <v>229</v>
      </c>
      <c r="B8" s="819"/>
      <c r="C8" s="819">
        <f t="shared" ref="C8:D8" si="5">C3/C$2</f>
        <v>3657.5</v>
      </c>
      <c r="D8" s="819">
        <f t="shared" si="5"/>
        <v>8000</v>
      </c>
      <c r="E8" s="818">
        <f>$C8*E$18</f>
        <v>3364.9</v>
      </c>
      <c r="F8" s="818">
        <f>$D8*F$18</f>
        <v>7200</v>
      </c>
    </row>
    <row r="9">
      <c r="A9" s="185" t="s">
        <v>230</v>
      </c>
      <c r="B9" s="819"/>
      <c r="C9" s="819">
        <f t="shared" ref="C9:D9" si="6">C4/C$2</f>
        <v>1984.02</v>
      </c>
      <c r="D9" s="819">
        <f t="shared" si="6"/>
        <v>10000</v>
      </c>
      <c r="E9" s="818">
        <f t="shared" ref="E9:E11" si="8">$C9*E$19</f>
        <v>1785.618</v>
      </c>
      <c r="F9" s="818">
        <f t="shared" ref="F9:F11" si="9">$D9*F$19</f>
        <v>7500</v>
      </c>
    </row>
    <row r="10">
      <c r="A10" s="185" t="s">
        <v>231</v>
      </c>
      <c r="B10" s="185"/>
      <c r="C10" s="818">
        <f t="shared" ref="C10:D10" si="7">C5/C$2</f>
        <v>1984.02</v>
      </c>
      <c r="D10" s="818">
        <f t="shared" si="7"/>
        <v>5000</v>
      </c>
      <c r="E10" s="818">
        <f t="shared" si="8"/>
        <v>1785.618</v>
      </c>
      <c r="F10" s="818">
        <f t="shared" si="9"/>
        <v>3750</v>
      </c>
    </row>
    <row r="11">
      <c r="A11" s="185" t="s">
        <v>233</v>
      </c>
      <c r="B11" s="185"/>
      <c r="C11" s="818">
        <f t="shared" ref="C11:D11" si="10">C6/C$2</f>
        <v>992.01</v>
      </c>
      <c r="D11" s="818">
        <f t="shared" si="10"/>
        <v>2500</v>
      </c>
      <c r="E11" s="818">
        <f t="shared" si="8"/>
        <v>892.809</v>
      </c>
      <c r="F11" s="818">
        <f t="shared" si="9"/>
        <v>1875</v>
      </c>
    </row>
    <row r="12">
      <c r="A12" s="9" t="s">
        <v>234</v>
      </c>
      <c r="B12" s="11"/>
      <c r="C12" s="9">
        <f>C7/$C$2</f>
        <v>96</v>
      </c>
      <c r="D12" s="9">
        <f>D7/D$2</f>
        <v>179</v>
      </c>
      <c r="E12" s="818">
        <f>$C12</f>
        <v>96</v>
      </c>
      <c r="F12" s="818">
        <f>$D12</f>
        <v>179</v>
      </c>
    </row>
    <row r="13">
      <c r="A13" s="185" t="s">
        <v>235</v>
      </c>
      <c r="B13" s="185"/>
      <c r="C13" s="820">
        <v>1600.0</v>
      </c>
      <c r="D13" s="185">
        <v>900.0</v>
      </c>
      <c r="E13" s="818">
        <f>$C13*E$20</f>
        <v>600</v>
      </c>
      <c r="F13" s="818">
        <f>$D13*F$20</f>
        <v>900</v>
      </c>
    </row>
    <row r="14">
      <c r="A14" s="185" t="s">
        <v>236</v>
      </c>
      <c r="B14" s="185"/>
      <c r="C14" s="821">
        <v>100.0</v>
      </c>
      <c r="D14" s="185">
        <v>900.0</v>
      </c>
      <c r="E14" s="818">
        <f>$C14*E$21</f>
        <v>80</v>
      </c>
      <c r="F14" s="818">
        <f>$D14*F$21</f>
        <v>900</v>
      </c>
    </row>
    <row r="15">
      <c r="A15" s="9" t="s">
        <v>237</v>
      </c>
      <c r="B15" s="11"/>
      <c r="C15" s="9">
        <v>0.0013</v>
      </c>
      <c r="D15" s="185">
        <v>0.0</v>
      </c>
      <c r="E15" s="185">
        <f t="shared" ref="E15:E16" si="11">$C15</f>
        <v>0.0013</v>
      </c>
      <c r="F15" s="185">
        <f t="shared" ref="F15:F16" si="12">$D15</f>
        <v>0</v>
      </c>
    </row>
    <row r="16">
      <c r="A16" s="9" t="s">
        <v>239</v>
      </c>
      <c r="B16" s="11"/>
      <c r="C16" s="9">
        <v>256.0</v>
      </c>
      <c r="D16" s="185">
        <v>1.0</v>
      </c>
      <c r="E16" s="185">
        <f t="shared" si="11"/>
        <v>256</v>
      </c>
      <c r="F16" s="185">
        <f t="shared" si="12"/>
        <v>1</v>
      </c>
    </row>
    <row r="17">
      <c r="A17" s="11"/>
      <c r="B17" s="11"/>
      <c r="C17" s="11"/>
      <c r="D17" s="238"/>
      <c r="E17" s="238"/>
      <c r="F17" s="238"/>
    </row>
    <row r="18">
      <c r="A18" s="181" t="s">
        <v>526</v>
      </c>
      <c r="B18" s="11"/>
      <c r="C18" s="822"/>
      <c r="D18" s="822"/>
      <c r="E18" s="823">
        <v>0.92</v>
      </c>
      <c r="F18" s="823">
        <v>0.9</v>
      </c>
    </row>
    <row r="19">
      <c r="A19" s="9" t="s">
        <v>527</v>
      </c>
      <c r="B19" s="11"/>
      <c r="C19" s="822"/>
      <c r="D19" s="822"/>
      <c r="E19" s="823">
        <v>0.9</v>
      </c>
      <c r="F19" s="823">
        <v>0.75</v>
      </c>
    </row>
    <row r="20">
      <c r="A20" s="185" t="s">
        <v>528</v>
      </c>
      <c r="B20" s="185"/>
      <c r="C20" s="271"/>
      <c r="D20" s="271"/>
      <c r="E20" s="271">
        <v>0.375</v>
      </c>
      <c r="F20" s="271">
        <v>1.0</v>
      </c>
    </row>
    <row r="21">
      <c r="A21" s="185" t="s">
        <v>529</v>
      </c>
      <c r="B21" s="185"/>
      <c r="C21" s="271"/>
      <c r="D21" s="271"/>
      <c r="E21" s="271">
        <v>0.8</v>
      </c>
      <c r="F21" s="271">
        <v>1.0</v>
      </c>
    </row>
    <row r="25">
      <c r="A25" s="301" t="s">
        <v>530</v>
      </c>
    </row>
    <row r="26">
      <c r="A26" s="824" t="s">
        <v>531</v>
      </c>
      <c r="B26" s="402" t="s">
        <v>532</v>
      </c>
      <c r="C26" s="778" t="s">
        <v>533</v>
      </c>
      <c r="D26" s="778" t="s">
        <v>534</v>
      </c>
      <c r="E26" s="778" t="s">
        <v>535</v>
      </c>
      <c r="F26" s="778" t="s">
        <v>536</v>
      </c>
      <c r="G26" s="778" t="s">
        <v>537</v>
      </c>
    </row>
    <row r="27">
      <c r="A27" s="83">
        <v>2.0</v>
      </c>
      <c r="B27" s="81" t="s">
        <v>538</v>
      </c>
      <c r="C27" s="83">
        <v>1.0</v>
      </c>
      <c r="D27" s="83">
        <v>2.0</v>
      </c>
      <c r="E27" s="83">
        <v>2.0</v>
      </c>
      <c r="F27" s="83">
        <f t="shared" ref="F27:F31" si="13">D27/2</f>
        <v>1</v>
      </c>
      <c r="G27" s="83">
        <v>1.0</v>
      </c>
    </row>
    <row r="28">
      <c r="A28" s="83">
        <v>4.0</v>
      </c>
      <c r="B28" s="81" t="s">
        <v>539</v>
      </c>
      <c r="C28" s="83">
        <v>2.0</v>
      </c>
      <c r="D28" s="83">
        <v>8.0</v>
      </c>
      <c r="E28" s="83" t="s">
        <v>540</v>
      </c>
      <c r="F28" s="83">
        <f t="shared" si="13"/>
        <v>4</v>
      </c>
      <c r="G28" s="83">
        <v>2.0</v>
      </c>
    </row>
    <row r="29">
      <c r="A29" s="83">
        <v>8.0</v>
      </c>
      <c r="B29" s="81" t="s">
        <v>541</v>
      </c>
      <c r="C29" s="83">
        <v>4.0</v>
      </c>
      <c r="D29" s="83">
        <v>24.0</v>
      </c>
      <c r="E29" s="83" t="s">
        <v>542</v>
      </c>
      <c r="F29" s="83">
        <f t="shared" si="13"/>
        <v>12</v>
      </c>
      <c r="G29" s="83">
        <v>3.0</v>
      </c>
    </row>
    <row r="30">
      <c r="A30" s="83">
        <v>16.0</v>
      </c>
      <c r="B30" s="81" t="s">
        <v>543</v>
      </c>
      <c r="C30" s="83">
        <v>8.0</v>
      </c>
      <c r="D30" s="83">
        <v>64.0</v>
      </c>
      <c r="E30" s="83" t="s">
        <v>544</v>
      </c>
      <c r="F30" s="83">
        <f t="shared" si="13"/>
        <v>32</v>
      </c>
      <c r="G30" s="83">
        <f>2+2</f>
        <v>4</v>
      </c>
    </row>
    <row r="31">
      <c r="A31" s="83">
        <v>32.0</v>
      </c>
      <c r="B31" s="81" t="s">
        <v>545</v>
      </c>
      <c r="C31" s="83">
        <v>16.0</v>
      </c>
      <c r="D31" s="83">
        <f>80*2</f>
        <v>160</v>
      </c>
      <c r="E31" s="83" t="s">
        <v>546</v>
      </c>
      <c r="F31" s="83">
        <f t="shared" si="13"/>
        <v>80</v>
      </c>
      <c r="G31" s="83">
        <v>5.0</v>
      </c>
    </row>
  </sheetData>
  <hyperlinks>
    <hyperlink r:id="rId2" location="gfc-compute-die" ref="C13"/>
    <hyperlink r:id="rId3" location="gid=0&amp;range=N43" ref="C14"/>
    <hyperlink r:id="rId4" ref="E18"/>
    <hyperlink r:id="rId5" ref="F18"/>
    <hyperlink r:id="rId6" location="gid=818803336" ref="E19"/>
    <hyperlink r:id="rId7" location="gid=818803336" ref="F19"/>
  </hyperlinks>
  <drawing r:id="rId8"/>
  <legacyDrawing r:id="rId9"/>
  <tableParts count="1">
    <tablePart r:id="rId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8"/>
    <col customWidth="1" min="9" max="9" width="14.0"/>
  </cols>
  <sheetData>
    <row r="1">
      <c r="A1" s="113" t="s">
        <v>547</v>
      </c>
      <c r="B1" s="113" t="s">
        <v>548</v>
      </c>
      <c r="C1" s="113" t="s">
        <v>549</v>
      </c>
      <c r="D1" s="113" t="s">
        <v>216</v>
      </c>
      <c r="E1" s="113" t="s">
        <v>550</v>
      </c>
      <c r="F1" s="113" t="s">
        <v>551</v>
      </c>
      <c r="G1" s="113" t="s">
        <v>552</v>
      </c>
      <c r="H1" s="113" t="s">
        <v>553</v>
      </c>
      <c r="I1" s="825" t="s">
        <v>554</v>
      </c>
      <c r="J1" s="826" t="s">
        <v>555</v>
      </c>
      <c r="K1" s="826"/>
    </row>
    <row r="2">
      <c r="A2" s="181" t="s">
        <v>22</v>
      </c>
      <c r="B2" s="181" t="s">
        <v>556</v>
      </c>
      <c r="C2" s="181">
        <v>128.0</v>
      </c>
      <c r="D2" s="181">
        <v>2.0</v>
      </c>
      <c r="E2" s="181">
        <v>8.52</v>
      </c>
      <c r="F2" s="181">
        <v>0.02</v>
      </c>
      <c r="G2" s="181">
        <v>0.01</v>
      </c>
      <c r="H2" s="827">
        <v>45960.83934027778</v>
      </c>
    </row>
    <row r="3">
      <c r="A3" s="181" t="s">
        <v>22</v>
      </c>
      <c r="B3" s="181" t="s">
        <v>556</v>
      </c>
      <c r="C3" s="181">
        <v>256.0</v>
      </c>
      <c r="D3" s="181">
        <v>2.0</v>
      </c>
      <c r="E3" s="181">
        <v>8.58</v>
      </c>
      <c r="F3" s="181">
        <v>0.03</v>
      </c>
      <c r="G3" s="181">
        <v>0.01</v>
      </c>
      <c r="H3" s="827">
        <v>45960.83934027778</v>
      </c>
    </row>
    <row r="4">
      <c r="A4" s="181" t="s">
        <v>22</v>
      </c>
      <c r="B4" s="181" t="s">
        <v>556</v>
      </c>
      <c r="C4" s="181">
        <v>512.0</v>
      </c>
      <c r="D4" s="181">
        <v>2.0</v>
      </c>
      <c r="E4" s="181">
        <v>8.66</v>
      </c>
      <c r="F4" s="181">
        <v>0.06</v>
      </c>
      <c r="G4" s="181">
        <v>0.03</v>
      </c>
      <c r="H4" s="827">
        <v>45960.83934027778</v>
      </c>
    </row>
    <row r="5">
      <c r="A5" s="181" t="s">
        <v>22</v>
      </c>
      <c r="B5" s="181" t="s">
        <v>556</v>
      </c>
      <c r="C5" s="181">
        <v>1024.0</v>
      </c>
      <c r="D5" s="181">
        <v>2.0</v>
      </c>
      <c r="E5" s="181">
        <v>8.68</v>
      </c>
      <c r="F5" s="181">
        <v>0.12</v>
      </c>
      <c r="G5" s="181">
        <v>0.06</v>
      </c>
      <c r="H5" s="827">
        <v>45960.83934027778</v>
      </c>
    </row>
    <row r="6">
      <c r="A6" s="181" t="s">
        <v>22</v>
      </c>
      <c r="B6" s="181" t="s">
        <v>556</v>
      </c>
      <c r="C6" s="181">
        <v>2048.0</v>
      </c>
      <c r="D6" s="181">
        <v>2.0</v>
      </c>
      <c r="E6" s="181">
        <v>8.77</v>
      </c>
      <c r="F6" s="181">
        <v>0.23</v>
      </c>
      <c r="G6" s="181">
        <v>0.12</v>
      </c>
      <c r="H6" s="827">
        <v>45960.83934027778</v>
      </c>
    </row>
    <row r="7">
      <c r="A7" s="181" t="s">
        <v>22</v>
      </c>
      <c r="B7" s="181" t="s">
        <v>556</v>
      </c>
      <c r="C7" s="181">
        <v>4096.0</v>
      </c>
      <c r="D7" s="181">
        <v>2.0</v>
      </c>
      <c r="E7" s="181">
        <v>8.95</v>
      </c>
      <c r="F7" s="181">
        <v>0.46</v>
      </c>
      <c r="G7" s="181">
        <v>0.23</v>
      </c>
      <c r="H7" s="827">
        <v>45960.83934027778</v>
      </c>
    </row>
    <row r="8">
      <c r="A8" s="181" t="s">
        <v>22</v>
      </c>
      <c r="B8" s="181" t="s">
        <v>556</v>
      </c>
      <c r="C8" s="181">
        <v>8192.0</v>
      </c>
      <c r="D8" s="181">
        <v>2.0</v>
      </c>
      <c r="E8" s="181">
        <v>9.4</v>
      </c>
      <c r="F8" s="181">
        <v>0.87</v>
      </c>
      <c r="G8" s="181">
        <v>0.44</v>
      </c>
      <c r="H8" s="827">
        <v>45960.83934027778</v>
      </c>
    </row>
    <row r="9">
      <c r="A9" s="181" t="s">
        <v>22</v>
      </c>
      <c r="B9" s="181" t="s">
        <v>556</v>
      </c>
      <c r="C9" s="181">
        <v>16384.0</v>
      </c>
      <c r="D9" s="181">
        <v>2.0</v>
      </c>
      <c r="E9" s="181">
        <v>9.62</v>
      </c>
      <c r="F9" s="181">
        <v>1.7</v>
      </c>
      <c r="G9" s="181">
        <v>0.85</v>
      </c>
      <c r="H9" s="827">
        <v>45960.83934027778</v>
      </c>
    </row>
    <row r="10">
      <c r="A10" s="181" t="s">
        <v>22</v>
      </c>
      <c r="B10" s="181" t="s">
        <v>556</v>
      </c>
      <c r="C10" s="181">
        <v>32768.0</v>
      </c>
      <c r="D10" s="181">
        <v>2.0</v>
      </c>
      <c r="E10" s="181">
        <v>9.81</v>
      </c>
      <c r="F10" s="181">
        <v>3.34</v>
      </c>
      <c r="G10" s="181">
        <v>1.67</v>
      </c>
      <c r="H10" s="827">
        <v>45960.83934027778</v>
      </c>
    </row>
    <row r="11">
      <c r="A11" s="181" t="s">
        <v>22</v>
      </c>
      <c r="B11" s="181" t="s">
        <v>556</v>
      </c>
      <c r="C11" s="181">
        <v>65536.0</v>
      </c>
      <c r="D11" s="181">
        <v>2.0</v>
      </c>
      <c r="E11" s="181">
        <v>10.04</v>
      </c>
      <c r="F11" s="181">
        <v>6.53</v>
      </c>
      <c r="G11" s="181">
        <v>3.26</v>
      </c>
      <c r="H11" s="827">
        <v>45960.83934027778</v>
      </c>
    </row>
    <row r="12">
      <c r="A12" s="181" t="s">
        <v>22</v>
      </c>
      <c r="B12" s="181" t="s">
        <v>556</v>
      </c>
      <c r="C12" s="181">
        <v>131072.0</v>
      </c>
      <c r="D12" s="181">
        <v>2.0</v>
      </c>
      <c r="E12" s="181">
        <v>10.06</v>
      </c>
      <c r="F12" s="181">
        <v>13.03</v>
      </c>
      <c r="G12" s="181">
        <v>6.51</v>
      </c>
      <c r="H12" s="827">
        <v>45960.83934027778</v>
      </c>
    </row>
    <row r="13">
      <c r="A13" s="181" t="s">
        <v>22</v>
      </c>
      <c r="B13" s="181" t="s">
        <v>556</v>
      </c>
      <c r="C13" s="181">
        <v>262144.0</v>
      </c>
      <c r="D13" s="181">
        <v>2.0</v>
      </c>
      <c r="E13" s="181">
        <v>10.19</v>
      </c>
      <c r="F13" s="181">
        <v>25.72</v>
      </c>
      <c r="G13" s="181">
        <v>12.86</v>
      </c>
      <c r="H13" s="827">
        <v>45960.83934027778</v>
      </c>
    </row>
    <row r="14">
      <c r="A14" s="181" t="s">
        <v>22</v>
      </c>
      <c r="B14" s="181" t="s">
        <v>556</v>
      </c>
      <c r="C14" s="181">
        <v>524288.0</v>
      </c>
      <c r="D14" s="181">
        <v>2.0</v>
      </c>
      <c r="E14" s="181">
        <v>10.86</v>
      </c>
      <c r="F14" s="181">
        <v>48.29</v>
      </c>
      <c r="G14" s="181">
        <v>24.14</v>
      </c>
      <c r="H14" s="827">
        <v>45960.83934027778</v>
      </c>
    </row>
    <row r="15">
      <c r="A15" s="181" t="s">
        <v>22</v>
      </c>
      <c r="B15" s="181" t="s">
        <v>556</v>
      </c>
      <c r="C15" s="181">
        <v>1048576.0</v>
      </c>
      <c r="D15" s="181">
        <v>2.0</v>
      </c>
      <c r="E15" s="181">
        <v>12.47</v>
      </c>
      <c r="F15" s="181">
        <v>84.11</v>
      </c>
      <c r="G15" s="181">
        <v>42.05</v>
      </c>
      <c r="H15" s="827">
        <v>45960.83934027778</v>
      </c>
    </row>
    <row r="16">
      <c r="A16" s="181" t="s">
        <v>22</v>
      </c>
      <c r="B16" s="181" t="s">
        <v>556</v>
      </c>
      <c r="C16" s="181">
        <v>2097152.0</v>
      </c>
      <c r="D16" s="181">
        <v>2.0</v>
      </c>
      <c r="E16" s="181">
        <v>16.63</v>
      </c>
      <c r="F16" s="181">
        <v>126.07</v>
      </c>
      <c r="G16" s="181">
        <v>63.04</v>
      </c>
      <c r="H16" s="827">
        <v>45960.83934027778</v>
      </c>
    </row>
    <row r="17">
      <c r="A17" s="181" t="s">
        <v>22</v>
      </c>
      <c r="B17" s="181" t="s">
        <v>556</v>
      </c>
      <c r="C17" s="181">
        <v>4194304.0</v>
      </c>
      <c r="D17" s="181">
        <v>2.0</v>
      </c>
      <c r="E17" s="181">
        <v>24.8</v>
      </c>
      <c r="F17" s="181">
        <v>169.13</v>
      </c>
      <c r="G17" s="181">
        <v>84.57</v>
      </c>
      <c r="H17" s="827">
        <v>45960.83934027778</v>
      </c>
    </row>
    <row r="18">
      <c r="A18" s="181" t="s">
        <v>22</v>
      </c>
      <c r="B18" s="181" t="s">
        <v>556</v>
      </c>
      <c r="C18" s="181">
        <v>8388608.0</v>
      </c>
      <c r="D18" s="181">
        <v>2.0</v>
      </c>
      <c r="E18" s="181">
        <v>30.72</v>
      </c>
      <c r="F18" s="181">
        <v>273.03</v>
      </c>
      <c r="G18" s="181">
        <v>136.52</v>
      </c>
      <c r="H18" s="827">
        <v>45960.83934027778</v>
      </c>
    </row>
    <row r="19">
      <c r="A19" s="181" t="s">
        <v>22</v>
      </c>
      <c r="B19" s="181" t="s">
        <v>556</v>
      </c>
      <c r="C19" s="181">
        <v>1.6777216E7</v>
      </c>
      <c r="D19" s="181">
        <v>2.0</v>
      </c>
      <c r="E19" s="181">
        <v>37.83</v>
      </c>
      <c r="F19" s="181">
        <v>443.48</v>
      </c>
      <c r="G19" s="181">
        <v>221.74</v>
      </c>
      <c r="H19" s="827">
        <v>45960.83934027778</v>
      </c>
    </row>
    <row r="20">
      <c r="A20" s="181" t="s">
        <v>22</v>
      </c>
      <c r="B20" s="181" t="s">
        <v>556</v>
      </c>
      <c r="C20" s="181">
        <v>3.3554432E7</v>
      </c>
      <c r="D20" s="181">
        <v>2.0</v>
      </c>
      <c r="E20" s="181">
        <v>56.3</v>
      </c>
      <c r="F20" s="181">
        <v>595.99</v>
      </c>
      <c r="G20" s="181">
        <v>298.0</v>
      </c>
      <c r="H20" s="827">
        <v>45960.83934027778</v>
      </c>
    </row>
    <row r="21">
      <c r="A21" s="181" t="s">
        <v>22</v>
      </c>
      <c r="B21" s="181" t="s">
        <v>556</v>
      </c>
      <c r="C21" s="181">
        <v>6.7108864E7</v>
      </c>
      <c r="D21" s="181">
        <v>2.0</v>
      </c>
      <c r="E21" s="181">
        <v>97.33</v>
      </c>
      <c r="F21" s="181">
        <v>689.53</v>
      </c>
      <c r="G21" s="181">
        <v>344.77</v>
      </c>
      <c r="H21" s="827">
        <v>45960.83934027778</v>
      </c>
    </row>
    <row r="22">
      <c r="A22" s="181" t="s">
        <v>22</v>
      </c>
      <c r="B22" s="181" t="s">
        <v>556</v>
      </c>
      <c r="C22" s="181">
        <v>1.34217728E8</v>
      </c>
      <c r="D22" s="181">
        <v>2.0</v>
      </c>
      <c r="E22" s="181">
        <v>172.9</v>
      </c>
      <c r="F22" s="181">
        <v>776.07</v>
      </c>
      <c r="G22" s="181">
        <v>388.04</v>
      </c>
      <c r="H22" s="827">
        <v>45960.83934027778</v>
      </c>
    </row>
    <row r="23">
      <c r="A23" s="181" t="s">
        <v>22</v>
      </c>
      <c r="B23" s="181" t="s">
        <v>556</v>
      </c>
      <c r="C23" s="181">
        <v>2.68435456E8</v>
      </c>
      <c r="D23" s="181">
        <v>2.0</v>
      </c>
      <c r="E23" s="181">
        <v>322.8</v>
      </c>
      <c r="F23" s="181">
        <v>831.47</v>
      </c>
      <c r="G23" s="181">
        <v>415.73</v>
      </c>
      <c r="H23" s="827">
        <v>45960.83934027778</v>
      </c>
    </row>
    <row r="24">
      <c r="A24" s="181" t="s">
        <v>22</v>
      </c>
      <c r="B24" s="181" t="s">
        <v>556</v>
      </c>
      <c r="C24" s="181">
        <v>5.36870912E8</v>
      </c>
      <c r="D24" s="181">
        <v>2.0</v>
      </c>
      <c r="E24" s="181">
        <v>617.1</v>
      </c>
      <c r="F24" s="181">
        <v>870.03</v>
      </c>
      <c r="G24" s="181">
        <v>435.01</v>
      </c>
      <c r="H24" s="827">
        <v>45960.83934027778</v>
      </c>
    </row>
    <row r="25">
      <c r="A25" s="181" t="s">
        <v>22</v>
      </c>
      <c r="B25" s="181" t="s">
        <v>556</v>
      </c>
      <c r="C25" s="181">
        <v>1.073741824E9</v>
      </c>
      <c r="D25" s="181">
        <v>2.0</v>
      </c>
      <c r="E25" s="181">
        <v>1183.3</v>
      </c>
      <c r="F25" s="181">
        <v>907.43</v>
      </c>
      <c r="G25" s="181">
        <v>453.72</v>
      </c>
      <c r="H25" s="827">
        <v>45960.83934027778</v>
      </c>
    </row>
    <row r="26">
      <c r="A26" s="181" t="s">
        <v>22</v>
      </c>
      <c r="B26" s="181" t="s">
        <v>556</v>
      </c>
      <c r="C26" s="181">
        <v>192.0</v>
      </c>
      <c r="D26" s="181">
        <v>3.0</v>
      </c>
      <c r="E26" s="181">
        <v>9.61</v>
      </c>
      <c r="F26" s="181">
        <v>0.02</v>
      </c>
      <c r="G26" s="181">
        <v>0.01</v>
      </c>
      <c r="H26" s="827">
        <v>45960.83934027778</v>
      </c>
    </row>
    <row r="27">
      <c r="A27" s="181" t="s">
        <v>22</v>
      </c>
      <c r="B27" s="181" t="s">
        <v>556</v>
      </c>
      <c r="C27" s="181">
        <v>384.0</v>
      </c>
      <c r="D27" s="181">
        <v>3.0</v>
      </c>
      <c r="E27" s="181">
        <v>9.65</v>
      </c>
      <c r="F27" s="181">
        <v>0.04</v>
      </c>
      <c r="G27" s="181">
        <v>0.03</v>
      </c>
      <c r="H27" s="827">
        <v>45960.83934027778</v>
      </c>
    </row>
    <row r="28">
      <c r="A28" s="181" t="s">
        <v>22</v>
      </c>
      <c r="B28" s="181" t="s">
        <v>556</v>
      </c>
      <c r="C28" s="181">
        <v>768.0</v>
      </c>
      <c r="D28" s="181">
        <v>3.0</v>
      </c>
      <c r="E28" s="181">
        <v>9.77</v>
      </c>
      <c r="F28" s="181">
        <v>0.08</v>
      </c>
      <c r="G28" s="181">
        <v>0.05</v>
      </c>
      <c r="H28" s="827">
        <v>45960.83934027778</v>
      </c>
    </row>
    <row r="29">
      <c r="A29" s="181" t="s">
        <v>22</v>
      </c>
      <c r="B29" s="181" t="s">
        <v>556</v>
      </c>
      <c r="C29" s="181">
        <v>1536.0</v>
      </c>
      <c r="D29" s="181">
        <v>3.0</v>
      </c>
      <c r="E29" s="181">
        <v>9.9</v>
      </c>
      <c r="F29" s="181">
        <v>0.16</v>
      </c>
      <c r="G29" s="181">
        <v>0.1</v>
      </c>
      <c r="H29" s="827">
        <v>45960.83934027778</v>
      </c>
    </row>
    <row r="30">
      <c r="A30" s="181" t="s">
        <v>22</v>
      </c>
      <c r="B30" s="181" t="s">
        <v>556</v>
      </c>
      <c r="C30" s="181">
        <v>3072.0</v>
      </c>
      <c r="D30" s="181">
        <v>3.0</v>
      </c>
      <c r="E30" s="181">
        <v>9.84</v>
      </c>
      <c r="F30" s="181">
        <v>0.31</v>
      </c>
      <c r="G30" s="181">
        <v>0.21</v>
      </c>
      <c r="H30" s="827">
        <v>45960.83934027778</v>
      </c>
    </row>
    <row r="31">
      <c r="A31" s="181" t="s">
        <v>22</v>
      </c>
      <c r="B31" s="181" t="s">
        <v>556</v>
      </c>
      <c r="C31" s="181">
        <v>6144.0</v>
      </c>
      <c r="D31" s="181">
        <v>3.0</v>
      </c>
      <c r="E31" s="181">
        <v>10.05</v>
      </c>
      <c r="F31" s="181">
        <v>0.61</v>
      </c>
      <c r="G31" s="181">
        <v>0.41</v>
      </c>
      <c r="H31" s="827">
        <v>45960.83934027778</v>
      </c>
    </row>
    <row r="32">
      <c r="A32" s="181" t="s">
        <v>22</v>
      </c>
      <c r="B32" s="181" t="s">
        <v>556</v>
      </c>
      <c r="C32" s="181">
        <v>12288.0</v>
      </c>
      <c r="D32" s="181">
        <v>3.0</v>
      </c>
      <c r="E32" s="181">
        <v>10.59</v>
      </c>
      <c r="F32" s="181">
        <v>1.16</v>
      </c>
      <c r="G32" s="181">
        <v>0.77</v>
      </c>
      <c r="H32" s="827">
        <v>45960.83934027778</v>
      </c>
    </row>
    <row r="33">
      <c r="A33" s="181" t="s">
        <v>22</v>
      </c>
      <c r="B33" s="181" t="s">
        <v>556</v>
      </c>
      <c r="C33" s="181">
        <v>24576.0</v>
      </c>
      <c r="D33" s="181">
        <v>3.0</v>
      </c>
      <c r="E33" s="181">
        <v>11.11</v>
      </c>
      <c r="F33" s="181">
        <v>2.21</v>
      </c>
      <c r="G33" s="181">
        <v>1.48</v>
      </c>
      <c r="H33" s="827">
        <v>45960.83934027778</v>
      </c>
    </row>
    <row r="34">
      <c r="A34" s="181" t="s">
        <v>22</v>
      </c>
      <c r="B34" s="181" t="s">
        <v>556</v>
      </c>
      <c r="C34" s="181">
        <v>49152.0</v>
      </c>
      <c r="D34" s="181">
        <v>3.0</v>
      </c>
      <c r="E34" s="181">
        <v>11.78</v>
      </c>
      <c r="F34" s="181">
        <v>4.17</v>
      </c>
      <c r="G34" s="181">
        <v>2.78</v>
      </c>
      <c r="H34" s="827">
        <v>45960.83934027778</v>
      </c>
    </row>
    <row r="35">
      <c r="A35" s="181" t="s">
        <v>22</v>
      </c>
      <c r="B35" s="181" t="s">
        <v>556</v>
      </c>
      <c r="C35" s="181">
        <v>98304.0</v>
      </c>
      <c r="D35" s="181">
        <v>3.0</v>
      </c>
      <c r="E35" s="181">
        <v>12.02</v>
      </c>
      <c r="F35" s="181">
        <v>8.18</v>
      </c>
      <c r="G35" s="181">
        <v>5.45</v>
      </c>
      <c r="H35" s="827">
        <v>45960.83934027778</v>
      </c>
    </row>
    <row r="36">
      <c r="A36" s="181" t="s">
        <v>22</v>
      </c>
      <c r="B36" s="181" t="s">
        <v>556</v>
      </c>
      <c r="C36" s="181">
        <v>196608.0</v>
      </c>
      <c r="D36" s="181">
        <v>3.0</v>
      </c>
      <c r="E36" s="181">
        <v>12.15</v>
      </c>
      <c r="F36" s="181">
        <v>16.18</v>
      </c>
      <c r="G36" s="181">
        <v>10.79</v>
      </c>
      <c r="H36" s="827">
        <v>45960.83934027778</v>
      </c>
    </row>
    <row r="37">
      <c r="A37" s="181" t="s">
        <v>22</v>
      </c>
      <c r="B37" s="181" t="s">
        <v>556</v>
      </c>
      <c r="C37" s="181">
        <v>393216.0</v>
      </c>
      <c r="D37" s="181">
        <v>3.0</v>
      </c>
      <c r="E37" s="181">
        <v>11.83</v>
      </c>
      <c r="F37" s="181">
        <v>33.24</v>
      </c>
      <c r="G37" s="181">
        <v>22.16</v>
      </c>
      <c r="H37" s="827">
        <v>45960.83934027778</v>
      </c>
    </row>
    <row r="38">
      <c r="A38" s="181" t="s">
        <v>22</v>
      </c>
      <c r="B38" s="181" t="s">
        <v>556</v>
      </c>
      <c r="C38" s="181">
        <v>786432.0</v>
      </c>
      <c r="D38" s="181">
        <v>3.0</v>
      </c>
      <c r="E38" s="181">
        <v>13.71</v>
      </c>
      <c r="F38" s="181">
        <v>57.36</v>
      </c>
      <c r="G38" s="181">
        <v>38.24</v>
      </c>
      <c r="H38" s="827">
        <v>45960.83934027778</v>
      </c>
    </row>
    <row r="39">
      <c r="A39" s="181" t="s">
        <v>22</v>
      </c>
      <c r="B39" s="181" t="s">
        <v>556</v>
      </c>
      <c r="C39" s="181">
        <v>1572864.0</v>
      </c>
      <c r="D39" s="181">
        <v>3.0</v>
      </c>
      <c r="E39" s="181">
        <v>16.49</v>
      </c>
      <c r="F39" s="181">
        <v>95.4</v>
      </c>
      <c r="G39" s="181">
        <v>63.6</v>
      </c>
      <c r="H39" s="827">
        <v>45960.83934027778</v>
      </c>
    </row>
    <row r="40">
      <c r="A40" s="181" t="s">
        <v>22</v>
      </c>
      <c r="B40" s="181" t="s">
        <v>556</v>
      </c>
      <c r="C40" s="181">
        <v>3145728.0</v>
      </c>
      <c r="D40" s="181">
        <v>3.0</v>
      </c>
      <c r="E40" s="181">
        <v>24.65</v>
      </c>
      <c r="F40" s="181">
        <v>127.64</v>
      </c>
      <c r="G40" s="181">
        <v>85.09</v>
      </c>
      <c r="H40" s="827">
        <v>45960.83934027778</v>
      </c>
    </row>
    <row r="41">
      <c r="A41" s="181" t="s">
        <v>22</v>
      </c>
      <c r="B41" s="181" t="s">
        <v>556</v>
      </c>
      <c r="C41" s="181">
        <v>6291456.0</v>
      </c>
      <c r="D41" s="181">
        <v>3.0</v>
      </c>
      <c r="E41" s="181">
        <v>39.28</v>
      </c>
      <c r="F41" s="181">
        <v>160.16</v>
      </c>
      <c r="G41" s="181">
        <v>106.78</v>
      </c>
      <c r="H41" s="827">
        <v>45960.83934027778</v>
      </c>
    </row>
    <row r="42">
      <c r="A42" s="181" t="s">
        <v>22</v>
      </c>
      <c r="B42" s="181" t="s">
        <v>556</v>
      </c>
      <c r="C42" s="181">
        <v>1.2582912E7</v>
      </c>
      <c r="D42" s="181">
        <v>3.0</v>
      </c>
      <c r="E42" s="181">
        <v>45.49</v>
      </c>
      <c r="F42" s="181">
        <v>276.6</v>
      </c>
      <c r="G42" s="181">
        <v>184.4</v>
      </c>
      <c r="H42" s="827">
        <v>45960.83934027778</v>
      </c>
    </row>
    <row r="43">
      <c r="A43" s="181" t="s">
        <v>22</v>
      </c>
      <c r="B43" s="181" t="s">
        <v>556</v>
      </c>
      <c r="C43" s="181">
        <v>2.5165824E7</v>
      </c>
      <c r="D43" s="181">
        <v>3.0</v>
      </c>
      <c r="E43" s="181">
        <v>54.77</v>
      </c>
      <c r="F43" s="181">
        <v>459.51</v>
      </c>
      <c r="G43" s="181">
        <v>306.34</v>
      </c>
      <c r="H43" s="827">
        <v>45960.83934027778</v>
      </c>
    </row>
    <row r="44">
      <c r="A44" s="181" t="s">
        <v>22</v>
      </c>
      <c r="B44" s="181" t="s">
        <v>556</v>
      </c>
      <c r="C44" s="181">
        <v>5.0331648E7</v>
      </c>
      <c r="D44" s="181">
        <v>3.0</v>
      </c>
      <c r="E44" s="181">
        <v>86.48</v>
      </c>
      <c r="F44" s="181">
        <v>582.0</v>
      </c>
      <c r="G44" s="181">
        <v>388.0</v>
      </c>
      <c r="H44" s="827">
        <v>45960.83934027778</v>
      </c>
    </row>
    <row r="45">
      <c r="A45" s="181" t="s">
        <v>22</v>
      </c>
      <c r="B45" s="181" t="s">
        <v>556</v>
      </c>
      <c r="C45" s="181">
        <v>1.00663296E8</v>
      </c>
      <c r="D45" s="181">
        <v>3.0</v>
      </c>
      <c r="E45" s="181">
        <v>150.6</v>
      </c>
      <c r="F45" s="181">
        <v>668.6</v>
      </c>
      <c r="G45" s="181">
        <v>445.73</v>
      </c>
      <c r="H45" s="827">
        <v>45960.83934027778</v>
      </c>
    </row>
    <row r="46">
      <c r="A46" s="181" t="s">
        <v>22</v>
      </c>
      <c r="B46" s="181" t="s">
        <v>556</v>
      </c>
      <c r="C46" s="181">
        <v>2.01326592E8</v>
      </c>
      <c r="D46" s="181">
        <v>3.0</v>
      </c>
      <c r="E46" s="181">
        <v>291.9</v>
      </c>
      <c r="F46" s="181">
        <v>689.73</v>
      </c>
      <c r="G46" s="181">
        <v>459.82</v>
      </c>
      <c r="H46" s="827">
        <v>45960.83934027778</v>
      </c>
    </row>
    <row r="47">
      <c r="A47" s="181" t="s">
        <v>22</v>
      </c>
      <c r="B47" s="181" t="s">
        <v>556</v>
      </c>
      <c r="C47" s="181">
        <v>4.02653184E8</v>
      </c>
      <c r="D47" s="181">
        <v>3.0</v>
      </c>
      <c r="E47" s="181">
        <v>543.6</v>
      </c>
      <c r="F47" s="181">
        <v>740.71</v>
      </c>
      <c r="G47" s="181">
        <v>493.81</v>
      </c>
      <c r="H47" s="827">
        <v>45960.83934027778</v>
      </c>
    </row>
    <row r="48">
      <c r="A48" s="181" t="s">
        <v>22</v>
      </c>
      <c r="B48" s="181" t="s">
        <v>556</v>
      </c>
      <c r="C48" s="181">
        <v>8.05306368E8</v>
      </c>
      <c r="D48" s="181">
        <v>3.0</v>
      </c>
      <c r="E48" s="181">
        <v>1029.5</v>
      </c>
      <c r="F48" s="181">
        <v>782.25</v>
      </c>
      <c r="G48" s="181">
        <v>521.5</v>
      </c>
      <c r="H48" s="827">
        <v>45960.83934027778</v>
      </c>
    </row>
    <row r="49">
      <c r="A49" s="181" t="s">
        <v>22</v>
      </c>
      <c r="B49" s="181" t="s">
        <v>556</v>
      </c>
      <c r="C49" s="181">
        <v>1.610612736E9</v>
      </c>
      <c r="D49" s="181">
        <v>3.0</v>
      </c>
      <c r="E49" s="181">
        <v>1976.9</v>
      </c>
      <c r="F49" s="181">
        <v>814.71</v>
      </c>
      <c r="G49" s="181">
        <v>543.14</v>
      </c>
      <c r="H49" s="827">
        <v>45960.83934027778</v>
      </c>
    </row>
    <row r="50">
      <c r="A50" s="181" t="s">
        <v>22</v>
      </c>
      <c r="B50" s="181" t="s">
        <v>556</v>
      </c>
      <c r="C50" s="181">
        <v>128.0</v>
      </c>
      <c r="D50" s="181">
        <v>4.0</v>
      </c>
      <c r="E50" s="181">
        <v>10.96</v>
      </c>
      <c r="F50" s="181">
        <v>0.01</v>
      </c>
      <c r="G50" s="181">
        <v>0.01</v>
      </c>
      <c r="H50" s="827">
        <v>45960.83934027778</v>
      </c>
    </row>
    <row r="51">
      <c r="A51" s="181" t="s">
        <v>22</v>
      </c>
      <c r="B51" s="181" t="s">
        <v>556</v>
      </c>
      <c r="C51" s="181">
        <v>256.0</v>
      </c>
      <c r="D51" s="181">
        <v>4.0</v>
      </c>
      <c r="E51" s="181">
        <v>10.94</v>
      </c>
      <c r="F51" s="181">
        <v>0.02</v>
      </c>
      <c r="G51" s="181">
        <v>0.02</v>
      </c>
      <c r="H51" s="827">
        <v>45960.83934027778</v>
      </c>
    </row>
    <row r="52">
      <c r="A52" s="181" t="s">
        <v>22</v>
      </c>
      <c r="B52" s="181" t="s">
        <v>556</v>
      </c>
      <c r="C52" s="181">
        <v>512.0</v>
      </c>
      <c r="D52" s="181">
        <v>4.0</v>
      </c>
      <c r="E52" s="181">
        <v>11.01</v>
      </c>
      <c r="F52" s="181">
        <v>0.05</v>
      </c>
      <c r="G52" s="181">
        <v>0.03</v>
      </c>
      <c r="H52" s="827">
        <v>45960.83934027778</v>
      </c>
    </row>
    <row r="53">
      <c r="A53" s="181" t="s">
        <v>22</v>
      </c>
      <c r="B53" s="181" t="s">
        <v>556</v>
      </c>
      <c r="C53" s="181">
        <v>1024.0</v>
      </c>
      <c r="D53" s="181">
        <v>4.0</v>
      </c>
      <c r="E53" s="181">
        <v>11.28</v>
      </c>
      <c r="F53" s="181">
        <v>0.09</v>
      </c>
      <c r="G53" s="181">
        <v>0.07</v>
      </c>
      <c r="H53" s="827">
        <v>45960.83934027778</v>
      </c>
    </row>
    <row r="54">
      <c r="A54" s="181" t="s">
        <v>22</v>
      </c>
      <c r="B54" s="181" t="s">
        <v>556</v>
      </c>
      <c r="C54" s="181">
        <v>2048.0</v>
      </c>
      <c r="D54" s="181">
        <v>4.0</v>
      </c>
      <c r="E54" s="181">
        <v>11.32</v>
      </c>
      <c r="F54" s="181">
        <v>0.18</v>
      </c>
      <c r="G54" s="181">
        <v>0.14</v>
      </c>
      <c r="H54" s="827">
        <v>45960.83934027778</v>
      </c>
    </row>
    <row r="55">
      <c r="A55" s="181" t="s">
        <v>22</v>
      </c>
      <c r="B55" s="181" t="s">
        <v>556</v>
      </c>
      <c r="C55" s="181">
        <v>4096.0</v>
      </c>
      <c r="D55" s="181">
        <v>4.0</v>
      </c>
      <c r="E55" s="181">
        <v>11.39</v>
      </c>
      <c r="F55" s="181">
        <v>0.36</v>
      </c>
      <c r="G55" s="181">
        <v>0.27</v>
      </c>
      <c r="H55" s="827">
        <v>45960.83934027778</v>
      </c>
    </row>
    <row r="56">
      <c r="A56" s="181" t="s">
        <v>22</v>
      </c>
      <c r="B56" s="181" t="s">
        <v>556</v>
      </c>
      <c r="C56" s="181">
        <v>8192.0</v>
      </c>
      <c r="D56" s="181">
        <v>4.0</v>
      </c>
      <c r="E56" s="181">
        <v>11.63</v>
      </c>
      <c r="F56" s="181">
        <v>0.7</v>
      </c>
      <c r="G56" s="181">
        <v>0.53</v>
      </c>
      <c r="H56" s="827">
        <v>45960.83934027778</v>
      </c>
    </row>
    <row r="57">
      <c r="A57" s="181" t="s">
        <v>22</v>
      </c>
      <c r="B57" s="181" t="s">
        <v>556</v>
      </c>
      <c r="C57" s="181">
        <v>16384.0</v>
      </c>
      <c r="D57" s="181">
        <v>4.0</v>
      </c>
      <c r="E57" s="181">
        <v>12.05</v>
      </c>
      <c r="F57" s="181">
        <v>1.36</v>
      </c>
      <c r="G57" s="181">
        <v>1.02</v>
      </c>
      <c r="H57" s="827">
        <v>45960.83934027778</v>
      </c>
    </row>
    <row r="58">
      <c r="A58" s="181" t="s">
        <v>22</v>
      </c>
      <c r="B58" s="181" t="s">
        <v>556</v>
      </c>
      <c r="C58" s="181">
        <v>32768.0</v>
      </c>
      <c r="D58" s="181">
        <v>4.0</v>
      </c>
      <c r="E58" s="181">
        <v>12.24</v>
      </c>
      <c r="F58" s="181">
        <v>2.68</v>
      </c>
      <c r="G58" s="181">
        <v>2.01</v>
      </c>
      <c r="H58" s="827">
        <v>45960.83934027778</v>
      </c>
    </row>
    <row r="59">
      <c r="A59" s="181" t="s">
        <v>22</v>
      </c>
      <c r="B59" s="181" t="s">
        <v>556</v>
      </c>
      <c r="C59" s="181">
        <v>65536.0</v>
      </c>
      <c r="D59" s="181">
        <v>4.0</v>
      </c>
      <c r="E59" s="181">
        <v>12.46</v>
      </c>
      <c r="F59" s="181">
        <v>5.26</v>
      </c>
      <c r="G59" s="181">
        <v>3.94</v>
      </c>
      <c r="H59" s="827">
        <v>45960.83934027778</v>
      </c>
    </row>
    <row r="60">
      <c r="A60" s="181" t="s">
        <v>22</v>
      </c>
      <c r="B60" s="181" t="s">
        <v>556</v>
      </c>
      <c r="C60" s="181">
        <v>131072.0</v>
      </c>
      <c r="D60" s="181">
        <v>4.0</v>
      </c>
      <c r="E60" s="181">
        <v>13.0</v>
      </c>
      <c r="F60" s="181">
        <v>10.08</v>
      </c>
      <c r="G60" s="181">
        <v>7.56</v>
      </c>
      <c r="H60" s="827">
        <v>45960.83934027778</v>
      </c>
    </row>
    <row r="61">
      <c r="A61" s="181" t="s">
        <v>22</v>
      </c>
      <c r="B61" s="181" t="s">
        <v>556</v>
      </c>
      <c r="C61" s="181">
        <v>262144.0</v>
      </c>
      <c r="D61" s="181">
        <v>4.0</v>
      </c>
      <c r="E61" s="181">
        <v>12.92</v>
      </c>
      <c r="F61" s="181">
        <v>20.3</v>
      </c>
      <c r="G61" s="181">
        <v>15.22</v>
      </c>
      <c r="H61" s="827">
        <v>45960.83934027778</v>
      </c>
    </row>
    <row r="62">
      <c r="A62" s="181" t="s">
        <v>22</v>
      </c>
      <c r="B62" s="181" t="s">
        <v>556</v>
      </c>
      <c r="C62" s="181">
        <v>524288.0</v>
      </c>
      <c r="D62" s="181">
        <v>4.0</v>
      </c>
      <c r="E62" s="181">
        <v>12.82</v>
      </c>
      <c r="F62" s="181">
        <v>40.89</v>
      </c>
      <c r="G62" s="181">
        <v>30.67</v>
      </c>
      <c r="H62" s="827">
        <v>45960.83934027778</v>
      </c>
    </row>
    <row r="63">
      <c r="A63" s="181" t="s">
        <v>22</v>
      </c>
      <c r="B63" s="181" t="s">
        <v>556</v>
      </c>
      <c r="C63" s="181">
        <v>1048576.0</v>
      </c>
      <c r="D63" s="181">
        <v>4.0</v>
      </c>
      <c r="E63" s="181">
        <v>14.53</v>
      </c>
      <c r="F63" s="181">
        <v>72.16</v>
      </c>
      <c r="G63" s="181">
        <v>54.12</v>
      </c>
      <c r="H63" s="827">
        <v>45960.83934027778</v>
      </c>
    </row>
    <row r="64">
      <c r="A64" s="181" t="s">
        <v>22</v>
      </c>
      <c r="B64" s="181" t="s">
        <v>556</v>
      </c>
      <c r="C64" s="181">
        <v>2097152.0</v>
      </c>
      <c r="D64" s="181">
        <v>4.0</v>
      </c>
      <c r="E64" s="181">
        <v>18.41</v>
      </c>
      <c r="F64" s="181">
        <v>113.93</v>
      </c>
      <c r="G64" s="181">
        <v>85.45</v>
      </c>
      <c r="H64" s="827">
        <v>45960.83934027778</v>
      </c>
    </row>
    <row r="65">
      <c r="A65" s="181" t="s">
        <v>22</v>
      </c>
      <c r="B65" s="181" t="s">
        <v>556</v>
      </c>
      <c r="C65" s="181">
        <v>4194304.0</v>
      </c>
      <c r="D65" s="181">
        <v>4.0</v>
      </c>
      <c r="E65" s="181">
        <v>26.03</v>
      </c>
      <c r="F65" s="181">
        <v>161.11</v>
      </c>
      <c r="G65" s="181">
        <v>120.83</v>
      </c>
      <c r="H65" s="827">
        <v>45960.83934027778</v>
      </c>
    </row>
    <row r="66">
      <c r="A66" s="181" t="s">
        <v>22</v>
      </c>
      <c r="B66" s="181" t="s">
        <v>556</v>
      </c>
      <c r="C66" s="181">
        <v>8388608.0</v>
      </c>
      <c r="D66" s="181">
        <v>4.0</v>
      </c>
      <c r="E66" s="181">
        <v>50.87</v>
      </c>
      <c r="F66" s="181">
        <v>164.9</v>
      </c>
      <c r="G66" s="181">
        <v>123.68</v>
      </c>
      <c r="H66" s="827">
        <v>45960.83934027778</v>
      </c>
    </row>
    <row r="67">
      <c r="A67" s="181" t="s">
        <v>22</v>
      </c>
      <c r="B67" s="181" t="s">
        <v>556</v>
      </c>
      <c r="C67" s="181">
        <v>1.6777216E7</v>
      </c>
      <c r="D67" s="181">
        <v>4.0</v>
      </c>
      <c r="E67" s="181">
        <v>57.62</v>
      </c>
      <c r="F67" s="181">
        <v>291.19</v>
      </c>
      <c r="G67" s="181">
        <v>218.39</v>
      </c>
      <c r="H67" s="827">
        <v>45960.83934027778</v>
      </c>
    </row>
    <row r="68">
      <c r="A68" s="181" t="s">
        <v>22</v>
      </c>
      <c r="B68" s="181" t="s">
        <v>556</v>
      </c>
      <c r="C68" s="181">
        <v>3.3554432E7</v>
      </c>
      <c r="D68" s="181">
        <v>4.0</v>
      </c>
      <c r="E68" s="181">
        <v>70.59</v>
      </c>
      <c r="F68" s="181">
        <v>475.37</v>
      </c>
      <c r="G68" s="181">
        <v>356.53</v>
      </c>
      <c r="H68" s="827">
        <v>45960.83934027778</v>
      </c>
    </row>
    <row r="69">
      <c r="A69" s="181" t="s">
        <v>22</v>
      </c>
      <c r="B69" s="181" t="s">
        <v>556</v>
      </c>
      <c r="C69" s="181">
        <v>6.7108864E7</v>
      </c>
      <c r="D69" s="181">
        <v>4.0</v>
      </c>
      <c r="E69" s="181">
        <v>109.4</v>
      </c>
      <c r="F69" s="181">
        <v>613.21</v>
      </c>
      <c r="G69" s="181">
        <v>459.9</v>
      </c>
      <c r="H69" s="827">
        <v>45960.83934027778</v>
      </c>
    </row>
    <row r="70">
      <c r="A70" s="181" t="s">
        <v>22</v>
      </c>
      <c r="B70" s="181" t="s">
        <v>556</v>
      </c>
      <c r="C70" s="181">
        <v>1.34217728E8</v>
      </c>
      <c r="D70" s="181">
        <v>4.0</v>
      </c>
      <c r="E70" s="181">
        <v>199.9</v>
      </c>
      <c r="F70" s="181">
        <v>671.45</v>
      </c>
      <c r="G70" s="181">
        <v>503.59</v>
      </c>
      <c r="H70" s="827">
        <v>45960.83934027778</v>
      </c>
    </row>
    <row r="71">
      <c r="A71" s="181" t="s">
        <v>22</v>
      </c>
      <c r="B71" s="181" t="s">
        <v>556</v>
      </c>
      <c r="C71" s="181">
        <v>2.68435456E8</v>
      </c>
      <c r="D71" s="181">
        <v>4.0</v>
      </c>
      <c r="E71" s="181">
        <v>376.4</v>
      </c>
      <c r="F71" s="181">
        <v>713.08</v>
      </c>
      <c r="G71" s="181">
        <v>534.81</v>
      </c>
      <c r="H71" s="827">
        <v>45960.83934027778</v>
      </c>
    </row>
    <row r="72">
      <c r="A72" s="181" t="s">
        <v>22</v>
      </c>
      <c r="B72" s="181" t="s">
        <v>556</v>
      </c>
      <c r="C72" s="181">
        <v>5.36870912E8</v>
      </c>
      <c r="D72" s="181">
        <v>4.0</v>
      </c>
      <c r="E72" s="181">
        <v>722.6</v>
      </c>
      <c r="F72" s="181">
        <v>743.01</v>
      </c>
      <c r="G72" s="181">
        <v>557.26</v>
      </c>
      <c r="H72" s="827">
        <v>45960.83934027778</v>
      </c>
    </row>
    <row r="73">
      <c r="A73" s="181" t="s">
        <v>22</v>
      </c>
      <c r="B73" s="181" t="s">
        <v>556</v>
      </c>
      <c r="C73" s="181">
        <v>1.073741824E9</v>
      </c>
      <c r="D73" s="181">
        <v>4.0</v>
      </c>
      <c r="E73" s="181">
        <v>1391.6</v>
      </c>
      <c r="F73" s="181">
        <v>771.6</v>
      </c>
      <c r="G73" s="181">
        <v>578.7</v>
      </c>
      <c r="H73" s="827">
        <v>45960.83934027778</v>
      </c>
    </row>
    <row r="74">
      <c r="A74" s="181" t="s">
        <v>22</v>
      </c>
      <c r="B74" s="181" t="s">
        <v>556</v>
      </c>
      <c r="C74" s="181">
        <v>2.147483648E9</v>
      </c>
      <c r="D74" s="181">
        <v>4.0</v>
      </c>
      <c r="E74" s="181">
        <v>2692.5</v>
      </c>
      <c r="F74" s="181">
        <v>797.59</v>
      </c>
      <c r="G74" s="181">
        <v>598.19</v>
      </c>
      <c r="H74" s="827">
        <v>45960.83934027778</v>
      </c>
    </row>
    <row r="75">
      <c r="A75" s="181" t="s">
        <v>22</v>
      </c>
      <c r="B75" s="181" t="s">
        <v>556</v>
      </c>
      <c r="C75" s="181">
        <v>160.0</v>
      </c>
      <c r="D75" s="181">
        <v>5.0</v>
      </c>
      <c r="E75" s="181">
        <v>12.29</v>
      </c>
      <c r="F75" s="181">
        <v>0.01</v>
      </c>
      <c r="G75" s="181">
        <v>0.01</v>
      </c>
      <c r="H75" s="827">
        <v>45960.83934027778</v>
      </c>
    </row>
    <row r="76">
      <c r="A76" s="181" t="s">
        <v>22</v>
      </c>
      <c r="B76" s="181" t="s">
        <v>556</v>
      </c>
      <c r="C76" s="181">
        <v>320.0</v>
      </c>
      <c r="D76" s="181">
        <v>5.0</v>
      </c>
      <c r="E76" s="181">
        <v>12.2</v>
      </c>
      <c r="F76" s="181">
        <v>0.03</v>
      </c>
      <c r="G76" s="181">
        <v>0.02</v>
      </c>
      <c r="H76" s="827">
        <v>45960.83934027778</v>
      </c>
    </row>
    <row r="77">
      <c r="A77" s="181" t="s">
        <v>22</v>
      </c>
      <c r="B77" s="181" t="s">
        <v>556</v>
      </c>
      <c r="C77" s="181">
        <v>640.0</v>
      </c>
      <c r="D77" s="181">
        <v>5.0</v>
      </c>
      <c r="E77" s="181">
        <v>12.28</v>
      </c>
      <c r="F77" s="181">
        <v>0.05</v>
      </c>
      <c r="G77" s="181">
        <v>0.04</v>
      </c>
      <c r="H77" s="827">
        <v>45960.83934027778</v>
      </c>
    </row>
    <row r="78">
      <c r="A78" s="181" t="s">
        <v>22</v>
      </c>
      <c r="B78" s="181" t="s">
        <v>556</v>
      </c>
      <c r="C78" s="181">
        <v>1280.0</v>
      </c>
      <c r="D78" s="181">
        <v>5.0</v>
      </c>
      <c r="E78" s="181">
        <v>12.41</v>
      </c>
      <c r="F78" s="181">
        <v>0.1</v>
      </c>
      <c r="G78" s="181">
        <v>0.08</v>
      </c>
      <c r="H78" s="827">
        <v>45960.83934027778</v>
      </c>
    </row>
    <row r="79">
      <c r="A79" s="181" t="s">
        <v>22</v>
      </c>
      <c r="B79" s="181" t="s">
        <v>556</v>
      </c>
      <c r="C79" s="181">
        <v>2560.0</v>
      </c>
      <c r="D79" s="181">
        <v>5.0</v>
      </c>
      <c r="E79" s="181">
        <v>12.5</v>
      </c>
      <c r="F79" s="181">
        <v>0.2</v>
      </c>
      <c r="G79" s="181">
        <v>0.16</v>
      </c>
      <c r="H79" s="827">
        <v>45960.83934027778</v>
      </c>
    </row>
    <row r="80">
      <c r="A80" s="181" t="s">
        <v>22</v>
      </c>
      <c r="B80" s="181" t="s">
        <v>556</v>
      </c>
      <c r="C80" s="181">
        <v>5120.0</v>
      </c>
      <c r="D80" s="181">
        <v>5.0</v>
      </c>
      <c r="E80" s="181">
        <v>12.72</v>
      </c>
      <c r="F80" s="181">
        <v>0.4</v>
      </c>
      <c r="G80" s="181">
        <v>0.32</v>
      </c>
      <c r="H80" s="827">
        <v>45960.83934027778</v>
      </c>
    </row>
    <row r="81">
      <c r="A81" s="181" t="s">
        <v>22</v>
      </c>
      <c r="B81" s="181" t="s">
        <v>556</v>
      </c>
      <c r="C81" s="181">
        <v>10240.0</v>
      </c>
      <c r="D81" s="181">
        <v>5.0</v>
      </c>
      <c r="E81" s="181">
        <v>12.85</v>
      </c>
      <c r="F81" s="181">
        <v>0.8</v>
      </c>
      <c r="G81" s="181">
        <v>0.64</v>
      </c>
      <c r="H81" s="827">
        <v>45960.83934027778</v>
      </c>
    </row>
    <row r="82">
      <c r="A82" s="181" t="s">
        <v>22</v>
      </c>
      <c r="B82" s="181" t="s">
        <v>556</v>
      </c>
      <c r="C82" s="181">
        <v>20480.0</v>
      </c>
      <c r="D82" s="181">
        <v>5.0</v>
      </c>
      <c r="E82" s="181">
        <v>13.58</v>
      </c>
      <c r="F82" s="181">
        <v>1.51</v>
      </c>
      <c r="G82" s="181">
        <v>1.21</v>
      </c>
      <c r="H82" s="827">
        <v>45960.83934027778</v>
      </c>
    </row>
    <row r="83">
      <c r="A83" s="181" t="s">
        <v>22</v>
      </c>
      <c r="B83" s="181" t="s">
        <v>556</v>
      </c>
      <c r="C83" s="181">
        <v>40960.0</v>
      </c>
      <c r="D83" s="181">
        <v>5.0</v>
      </c>
      <c r="E83" s="181">
        <v>14.17</v>
      </c>
      <c r="F83" s="181">
        <v>2.89</v>
      </c>
      <c r="G83" s="181">
        <v>2.31</v>
      </c>
      <c r="H83" s="827">
        <v>45960.83934027778</v>
      </c>
    </row>
    <row r="84">
      <c r="A84" s="181" t="s">
        <v>22</v>
      </c>
      <c r="B84" s="181" t="s">
        <v>556</v>
      </c>
      <c r="C84" s="181">
        <v>81920.0</v>
      </c>
      <c r="D84" s="181">
        <v>5.0</v>
      </c>
      <c r="E84" s="181">
        <v>14.9</v>
      </c>
      <c r="F84" s="181">
        <v>5.5</v>
      </c>
      <c r="G84" s="181">
        <v>4.4</v>
      </c>
      <c r="H84" s="827">
        <v>45960.83934027778</v>
      </c>
    </row>
    <row r="85">
      <c r="A85" s="181" t="s">
        <v>22</v>
      </c>
      <c r="B85" s="181" t="s">
        <v>556</v>
      </c>
      <c r="C85" s="181">
        <v>163840.0</v>
      </c>
      <c r="D85" s="181">
        <v>5.0</v>
      </c>
      <c r="E85" s="181">
        <v>14.83</v>
      </c>
      <c r="F85" s="181">
        <v>11.05</v>
      </c>
      <c r="G85" s="181">
        <v>8.84</v>
      </c>
      <c r="H85" s="827">
        <v>45960.83934027778</v>
      </c>
    </row>
    <row r="86">
      <c r="A86" s="181" t="s">
        <v>22</v>
      </c>
      <c r="B86" s="181" t="s">
        <v>556</v>
      </c>
      <c r="C86" s="181">
        <v>327680.0</v>
      </c>
      <c r="D86" s="181">
        <v>5.0</v>
      </c>
      <c r="E86" s="181">
        <v>14.99</v>
      </c>
      <c r="F86" s="181">
        <v>21.86</v>
      </c>
      <c r="G86" s="181">
        <v>17.49</v>
      </c>
      <c r="H86" s="827">
        <v>45960.83934027778</v>
      </c>
    </row>
    <row r="87">
      <c r="A87" s="181" t="s">
        <v>22</v>
      </c>
      <c r="B87" s="181" t="s">
        <v>556</v>
      </c>
      <c r="C87" s="181">
        <v>655360.0</v>
      </c>
      <c r="D87" s="181">
        <v>5.0</v>
      </c>
      <c r="E87" s="181">
        <v>15.16</v>
      </c>
      <c r="F87" s="181">
        <v>43.22</v>
      </c>
      <c r="G87" s="181">
        <v>34.58</v>
      </c>
      <c r="H87" s="827">
        <v>45960.83934027778</v>
      </c>
    </row>
    <row r="88">
      <c r="A88" s="181" t="s">
        <v>22</v>
      </c>
      <c r="B88" s="181" t="s">
        <v>556</v>
      </c>
      <c r="C88" s="181">
        <v>1310720.0</v>
      </c>
      <c r="D88" s="181">
        <v>5.0</v>
      </c>
      <c r="E88" s="181">
        <v>17.28</v>
      </c>
      <c r="F88" s="181">
        <v>75.86</v>
      </c>
      <c r="G88" s="181">
        <v>60.69</v>
      </c>
      <c r="H88" s="827">
        <v>45960.83934027778</v>
      </c>
    </row>
    <row r="89">
      <c r="A89" s="181" t="s">
        <v>22</v>
      </c>
      <c r="B89" s="181" t="s">
        <v>556</v>
      </c>
      <c r="C89" s="181">
        <v>2621440.0</v>
      </c>
      <c r="D89" s="181">
        <v>5.0</v>
      </c>
      <c r="E89" s="181">
        <v>22.08</v>
      </c>
      <c r="F89" s="181">
        <v>118.7</v>
      </c>
      <c r="G89" s="181">
        <v>94.96</v>
      </c>
      <c r="H89" s="827">
        <v>45960.83934027778</v>
      </c>
    </row>
    <row r="90">
      <c r="A90" s="181" t="s">
        <v>22</v>
      </c>
      <c r="B90" s="181" t="s">
        <v>556</v>
      </c>
      <c r="C90" s="181">
        <v>5242880.0</v>
      </c>
      <c r="D90" s="181">
        <v>5.0</v>
      </c>
      <c r="E90" s="181">
        <v>36.59</v>
      </c>
      <c r="F90" s="181">
        <v>143.28</v>
      </c>
      <c r="G90" s="181">
        <v>114.62</v>
      </c>
      <c r="H90" s="827">
        <v>45960.83934027778</v>
      </c>
    </row>
    <row r="91">
      <c r="A91" s="181" t="s">
        <v>22</v>
      </c>
      <c r="B91" s="181" t="s">
        <v>556</v>
      </c>
      <c r="C91" s="181">
        <v>1.048576E7</v>
      </c>
      <c r="D91" s="181">
        <v>5.0</v>
      </c>
      <c r="E91" s="181">
        <v>63.72</v>
      </c>
      <c r="F91" s="181">
        <v>164.57</v>
      </c>
      <c r="G91" s="181">
        <v>131.66</v>
      </c>
      <c r="H91" s="827">
        <v>45960.83934027778</v>
      </c>
    </row>
    <row r="92">
      <c r="A92" s="181" t="s">
        <v>22</v>
      </c>
      <c r="B92" s="181" t="s">
        <v>556</v>
      </c>
      <c r="C92" s="181">
        <v>2.097152E7</v>
      </c>
      <c r="D92" s="181">
        <v>5.0</v>
      </c>
      <c r="E92" s="181">
        <v>72.61</v>
      </c>
      <c r="F92" s="181">
        <v>288.81</v>
      </c>
      <c r="G92" s="181">
        <v>231.05</v>
      </c>
      <c r="H92" s="827">
        <v>45960.83934027778</v>
      </c>
    </row>
    <row r="93">
      <c r="A93" s="181" t="s">
        <v>22</v>
      </c>
      <c r="B93" s="181" t="s">
        <v>556</v>
      </c>
      <c r="C93" s="181">
        <v>4.194304E7</v>
      </c>
      <c r="D93" s="181">
        <v>5.0</v>
      </c>
      <c r="E93" s="181">
        <v>88.32</v>
      </c>
      <c r="F93" s="181">
        <v>474.9</v>
      </c>
      <c r="G93" s="181">
        <v>379.92</v>
      </c>
      <c r="H93" s="827">
        <v>45960.83934027778</v>
      </c>
    </row>
    <row r="94">
      <c r="A94" s="181" t="s">
        <v>22</v>
      </c>
      <c r="B94" s="181" t="s">
        <v>556</v>
      </c>
      <c r="C94" s="181">
        <v>8.388608E7</v>
      </c>
      <c r="D94" s="181">
        <v>5.0</v>
      </c>
      <c r="E94" s="181">
        <v>136.9</v>
      </c>
      <c r="F94" s="181">
        <v>612.77</v>
      </c>
      <c r="G94" s="181">
        <v>490.22</v>
      </c>
      <c r="H94" s="827">
        <v>45960.83934027778</v>
      </c>
    </row>
    <row r="95">
      <c r="A95" s="181" t="s">
        <v>22</v>
      </c>
      <c r="B95" s="181" t="s">
        <v>556</v>
      </c>
      <c r="C95" s="181">
        <v>1.6777216E8</v>
      </c>
      <c r="D95" s="181">
        <v>5.0</v>
      </c>
      <c r="E95" s="181">
        <v>252.9</v>
      </c>
      <c r="F95" s="181">
        <v>663.47</v>
      </c>
      <c r="G95" s="181">
        <v>530.77</v>
      </c>
      <c r="H95" s="827">
        <v>45960.83934027778</v>
      </c>
    </row>
    <row r="96">
      <c r="A96" s="181" t="s">
        <v>22</v>
      </c>
      <c r="B96" s="181" t="s">
        <v>556</v>
      </c>
      <c r="C96" s="181">
        <v>3.3554432E8</v>
      </c>
      <c r="D96" s="181">
        <v>5.0</v>
      </c>
      <c r="E96" s="181">
        <v>513.6</v>
      </c>
      <c r="F96" s="181">
        <v>653.37</v>
      </c>
      <c r="G96" s="181">
        <v>522.69</v>
      </c>
      <c r="H96" s="827">
        <v>45960.83934027778</v>
      </c>
    </row>
    <row r="97">
      <c r="A97" s="181" t="s">
        <v>22</v>
      </c>
      <c r="B97" s="181" t="s">
        <v>556</v>
      </c>
      <c r="C97" s="181">
        <v>6.7108864E8</v>
      </c>
      <c r="D97" s="181">
        <v>5.0</v>
      </c>
      <c r="E97" s="181">
        <v>960.4</v>
      </c>
      <c r="F97" s="181">
        <v>698.75</v>
      </c>
      <c r="G97" s="181">
        <v>559.0</v>
      </c>
      <c r="H97" s="827">
        <v>45960.83934027778</v>
      </c>
    </row>
    <row r="98">
      <c r="A98" s="181" t="s">
        <v>22</v>
      </c>
      <c r="B98" s="181" t="s">
        <v>556</v>
      </c>
      <c r="C98" s="181">
        <v>1.34217728E9</v>
      </c>
      <c r="D98" s="181">
        <v>5.0</v>
      </c>
      <c r="E98" s="181">
        <v>1817.0</v>
      </c>
      <c r="F98" s="181">
        <v>738.68</v>
      </c>
      <c r="G98" s="181">
        <v>590.94</v>
      </c>
      <c r="H98" s="827">
        <v>45960.83934027778</v>
      </c>
    </row>
    <row r="99">
      <c r="A99" s="181" t="s">
        <v>22</v>
      </c>
      <c r="B99" s="181" t="s">
        <v>556</v>
      </c>
      <c r="C99" s="181">
        <v>2.68435456E9</v>
      </c>
      <c r="D99" s="181">
        <v>5.0</v>
      </c>
      <c r="E99" s="181">
        <v>3497.6</v>
      </c>
      <c r="F99" s="181">
        <v>767.47</v>
      </c>
      <c r="G99" s="181">
        <v>613.98</v>
      </c>
      <c r="H99" s="827">
        <v>45960.83934027778</v>
      </c>
    </row>
    <row r="100">
      <c r="A100" s="181" t="s">
        <v>22</v>
      </c>
      <c r="B100" s="181" t="s">
        <v>556</v>
      </c>
      <c r="C100" s="181">
        <v>192.0</v>
      </c>
      <c r="D100" s="181">
        <v>6.0</v>
      </c>
      <c r="E100" s="181">
        <v>13.19</v>
      </c>
      <c r="F100" s="181">
        <v>0.01</v>
      </c>
      <c r="G100" s="181">
        <v>0.01</v>
      </c>
      <c r="H100" s="827">
        <v>45960.83934027778</v>
      </c>
    </row>
    <row r="101">
      <c r="A101" s="181" t="s">
        <v>22</v>
      </c>
      <c r="B101" s="181" t="s">
        <v>556</v>
      </c>
      <c r="C101" s="181">
        <v>384.0</v>
      </c>
      <c r="D101" s="181">
        <v>6.0</v>
      </c>
      <c r="E101" s="181">
        <v>13.17</v>
      </c>
      <c r="F101" s="181">
        <v>0.03</v>
      </c>
      <c r="G101" s="181">
        <v>0.02</v>
      </c>
      <c r="H101" s="827">
        <v>45960.83934027778</v>
      </c>
    </row>
    <row r="102">
      <c r="A102" s="181" t="s">
        <v>22</v>
      </c>
      <c r="B102" s="181" t="s">
        <v>556</v>
      </c>
      <c r="C102" s="181">
        <v>768.0</v>
      </c>
      <c r="D102" s="181">
        <v>6.0</v>
      </c>
      <c r="E102" s="181">
        <v>13.39</v>
      </c>
      <c r="F102" s="181">
        <v>0.06</v>
      </c>
      <c r="G102" s="181">
        <v>0.05</v>
      </c>
      <c r="H102" s="827">
        <v>45960.83934027778</v>
      </c>
    </row>
    <row r="103">
      <c r="A103" s="181" t="s">
        <v>22</v>
      </c>
      <c r="B103" s="181" t="s">
        <v>556</v>
      </c>
      <c r="C103" s="181">
        <v>1536.0</v>
      </c>
      <c r="D103" s="181">
        <v>6.0</v>
      </c>
      <c r="E103" s="181">
        <v>13.54</v>
      </c>
      <c r="F103" s="181">
        <v>0.11</v>
      </c>
      <c r="G103" s="181">
        <v>0.09</v>
      </c>
      <c r="H103" s="827">
        <v>45960.83934027778</v>
      </c>
    </row>
    <row r="104">
      <c r="A104" s="181" t="s">
        <v>22</v>
      </c>
      <c r="B104" s="181" t="s">
        <v>556</v>
      </c>
      <c r="C104" s="181">
        <v>3072.0</v>
      </c>
      <c r="D104" s="181">
        <v>6.0</v>
      </c>
      <c r="E104" s="181">
        <v>13.61</v>
      </c>
      <c r="F104" s="181">
        <v>0.23</v>
      </c>
      <c r="G104" s="181">
        <v>0.19</v>
      </c>
      <c r="H104" s="827">
        <v>45960.83934027778</v>
      </c>
    </row>
    <row r="105">
      <c r="A105" s="181" t="s">
        <v>22</v>
      </c>
      <c r="B105" s="181" t="s">
        <v>556</v>
      </c>
      <c r="C105" s="181">
        <v>6144.0</v>
      </c>
      <c r="D105" s="181">
        <v>6.0</v>
      </c>
      <c r="E105" s="181">
        <v>13.87</v>
      </c>
      <c r="F105" s="181">
        <v>0.44</v>
      </c>
      <c r="G105" s="181">
        <v>0.37</v>
      </c>
      <c r="H105" s="827">
        <v>45960.83934027778</v>
      </c>
    </row>
    <row r="106">
      <c r="A106" s="181" t="s">
        <v>22</v>
      </c>
      <c r="B106" s="181" t="s">
        <v>556</v>
      </c>
      <c r="C106" s="181">
        <v>12288.0</v>
      </c>
      <c r="D106" s="181">
        <v>6.0</v>
      </c>
      <c r="E106" s="181">
        <v>14.04</v>
      </c>
      <c r="F106" s="181">
        <v>0.88</v>
      </c>
      <c r="G106" s="181">
        <v>0.73</v>
      </c>
      <c r="H106" s="827">
        <v>45960.83934027778</v>
      </c>
    </row>
    <row r="107">
      <c r="A107" s="181" t="s">
        <v>22</v>
      </c>
      <c r="B107" s="181" t="s">
        <v>556</v>
      </c>
      <c r="C107" s="181">
        <v>24576.0</v>
      </c>
      <c r="D107" s="181">
        <v>6.0</v>
      </c>
      <c r="E107" s="181">
        <v>14.83</v>
      </c>
      <c r="F107" s="181">
        <v>1.66</v>
      </c>
      <c r="G107" s="181">
        <v>1.38</v>
      </c>
      <c r="H107" s="827">
        <v>45960.83934027778</v>
      </c>
    </row>
    <row r="108">
      <c r="A108" s="181" t="s">
        <v>22</v>
      </c>
      <c r="B108" s="181" t="s">
        <v>556</v>
      </c>
      <c r="C108" s="181">
        <v>49152.0</v>
      </c>
      <c r="D108" s="181">
        <v>6.0</v>
      </c>
      <c r="E108" s="181">
        <v>15.49</v>
      </c>
      <c r="F108" s="181">
        <v>3.17</v>
      </c>
      <c r="G108" s="181">
        <v>2.64</v>
      </c>
      <c r="H108" s="827">
        <v>45960.83934027778</v>
      </c>
    </row>
    <row r="109">
      <c r="A109" s="181" t="s">
        <v>22</v>
      </c>
      <c r="B109" s="181" t="s">
        <v>556</v>
      </c>
      <c r="C109" s="181">
        <v>98304.0</v>
      </c>
      <c r="D109" s="181">
        <v>6.0</v>
      </c>
      <c r="E109" s="181">
        <v>16.43</v>
      </c>
      <c r="F109" s="181">
        <v>5.98</v>
      </c>
      <c r="G109" s="181">
        <v>4.99</v>
      </c>
      <c r="H109" s="827">
        <v>45960.83934027778</v>
      </c>
    </row>
    <row r="110">
      <c r="A110" s="181" t="s">
        <v>22</v>
      </c>
      <c r="B110" s="181" t="s">
        <v>556</v>
      </c>
      <c r="C110" s="181">
        <v>196608.0</v>
      </c>
      <c r="D110" s="181">
        <v>6.0</v>
      </c>
      <c r="E110" s="181">
        <v>16.57</v>
      </c>
      <c r="F110" s="181">
        <v>11.87</v>
      </c>
      <c r="G110" s="181">
        <v>9.89</v>
      </c>
      <c r="H110" s="827">
        <v>45960.83934027778</v>
      </c>
    </row>
    <row r="111">
      <c r="A111" s="181" t="s">
        <v>22</v>
      </c>
      <c r="B111" s="181" t="s">
        <v>556</v>
      </c>
      <c r="C111" s="181">
        <v>393216.0</v>
      </c>
      <c r="D111" s="181">
        <v>6.0</v>
      </c>
      <c r="E111" s="181">
        <v>16.76</v>
      </c>
      <c r="F111" s="181">
        <v>23.46</v>
      </c>
      <c r="G111" s="181">
        <v>19.55</v>
      </c>
      <c r="H111" s="827">
        <v>45960.83934027778</v>
      </c>
    </row>
    <row r="112">
      <c r="A112" s="181" t="s">
        <v>22</v>
      </c>
      <c r="B112" s="181" t="s">
        <v>556</v>
      </c>
      <c r="C112" s="181">
        <v>786432.0</v>
      </c>
      <c r="D112" s="181">
        <v>6.0</v>
      </c>
      <c r="E112" s="181">
        <v>16.92</v>
      </c>
      <c r="F112" s="181">
        <v>46.49</v>
      </c>
      <c r="G112" s="181">
        <v>38.74</v>
      </c>
      <c r="H112" s="827">
        <v>45960.83934027778</v>
      </c>
    </row>
    <row r="113">
      <c r="A113" s="181" t="s">
        <v>22</v>
      </c>
      <c r="B113" s="181" t="s">
        <v>556</v>
      </c>
      <c r="C113" s="181">
        <v>1572864.0</v>
      </c>
      <c r="D113" s="181">
        <v>6.0</v>
      </c>
      <c r="E113" s="181">
        <v>20.0</v>
      </c>
      <c r="F113" s="181">
        <v>78.65</v>
      </c>
      <c r="G113" s="181">
        <v>65.54</v>
      </c>
      <c r="H113" s="827">
        <v>45960.83934027778</v>
      </c>
    </row>
    <row r="114">
      <c r="A114" s="181" t="s">
        <v>22</v>
      </c>
      <c r="B114" s="181" t="s">
        <v>556</v>
      </c>
      <c r="C114" s="181">
        <v>3145728.0</v>
      </c>
      <c r="D114" s="181">
        <v>6.0</v>
      </c>
      <c r="E114" s="181">
        <v>25.3</v>
      </c>
      <c r="F114" s="181">
        <v>124.33</v>
      </c>
      <c r="G114" s="181">
        <v>103.61</v>
      </c>
      <c r="H114" s="827">
        <v>45960.83934027778</v>
      </c>
    </row>
    <row r="115">
      <c r="A115" s="181" t="s">
        <v>22</v>
      </c>
      <c r="B115" s="181" t="s">
        <v>556</v>
      </c>
      <c r="C115" s="181">
        <v>6291456.0</v>
      </c>
      <c r="D115" s="181">
        <v>6.0</v>
      </c>
      <c r="E115" s="181">
        <v>42.6</v>
      </c>
      <c r="F115" s="181">
        <v>147.69</v>
      </c>
      <c r="G115" s="181">
        <v>123.07</v>
      </c>
      <c r="H115" s="827">
        <v>45960.83934027778</v>
      </c>
    </row>
    <row r="116">
      <c r="A116" s="181" t="s">
        <v>22</v>
      </c>
      <c r="B116" s="181" t="s">
        <v>556</v>
      </c>
      <c r="C116" s="181">
        <v>1.2582912E7</v>
      </c>
      <c r="D116" s="181">
        <v>6.0</v>
      </c>
      <c r="E116" s="181">
        <v>39.14</v>
      </c>
      <c r="F116" s="181">
        <v>321.52</v>
      </c>
      <c r="G116" s="181">
        <v>267.93</v>
      </c>
      <c r="H116" s="827">
        <v>45960.83934027778</v>
      </c>
    </row>
    <row r="117">
      <c r="A117" s="181" t="s">
        <v>22</v>
      </c>
      <c r="B117" s="181" t="s">
        <v>556</v>
      </c>
      <c r="C117" s="181">
        <v>2.5165824E7</v>
      </c>
      <c r="D117" s="181">
        <v>6.0</v>
      </c>
      <c r="E117" s="181">
        <v>86.95</v>
      </c>
      <c r="F117" s="181">
        <v>289.42</v>
      </c>
      <c r="G117" s="181">
        <v>241.18</v>
      </c>
      <c r="H117" s="827">
        <v>45960.83934027778</v>
      </c>
    </row>
    <row r="118">
      <c r="A118" s="181" t="s">
        <v>22</v>
      </c>
      <c r="B118" s="181" t="s">
        <v>556</v>
      </c>
      <c r="C118" s="181">
        <v>5.0331648E7</v>
      </c>
      <c r="D118" s="181">
        <v>6.0</v>
      </c>
      <c r="E118" s="181">
        <v>105.5</v>
      </c>
      <c r="F118" s="181">
        <v>477.28</v>
      </c>
      <c r="G118" s="181">
        <v>397.74</v>
      </c>
      <c r="H118" s="827">
        <v>45960.83934027778</v>
      </c>
    </row>
    <row r="119">
      <c r="A119" s="181" t="s">
        <v>22</v>
      </c>
      <c r="B119" s="181" t="s">
        <v>556</v>
      </c>
      <c r="C119" s="181">
        <v>1.00663296E8</v>
      </c>
      <c r="D119" s="181">
        <v>6.0</v>
      </c>
      <c r="E119" s="181">
        <v>161.8</v>
      </c>
      <c r="F119" s="181">
        <v>621.99</v>
      </c>
      <c r="G119" s="181">
        <v>518.32</v>
      </c>
      <c r="H119" s="827">
        <v>45960.83934027778</v>
      </c>
    </row>
    <row r="120">
      <c r="A120" s="181" t="s">
        <v>22</v>
      </c>
      <c r="B120" s="181" t="s">
        <v>556</v>
      </c>
      <c r="C120" s="181">
        <v>2.01326592E8</v>
      </c>
      <c r="D120" s="181">
        <v>6.0</v>
      </c>
      <c r="E120" s="181">
        <v>305.4</v>
      </c>
      <c r="F120" s="181">
        <v>659.22</v>
      </c>
      <c r="G120" s="181">
        <v>549.35</v>
      </c>
      <c r="H120" s="827">
        <v>45960.83934027778</v>
      </c>
    </row>
    <row r="121">
      <c r="A121" s="181" t="s">
        <v>22</v>
      </c>
      <c r="B121" s="181" t="s">
        <v>556</v>
      </c>
      <c r="C121" s="181">
        <v>4.02653184E8</v>
      </c>
      <c r="D121" s="181">
        <v>6.0</v>
      </c>
      <c r="E121" s="181">
        <v>625.1</v>
      </c>
      <c r="F121" s="181">
        <v>644.12</v>
      </c>
      <c r="G121" s="181">
        <v>536.76</v>
      </c>
      <c r="H121" s="827">
        <v>45960.83934027778</v>
      </c>
    </row>
    <row r="122">
      <c r="A122" s="181" t="s">
        <v>22</v>
      </c>
      <c r="B122" s="181" t="s">
        <v>556</v>
      </c>
      <c r="C122" s="181">
        <v>8.05306368E8</v>
      </c>
      <c r="D122" s="181">
        <v>6.0</v>
      </c>
      <c r="E122" s="181">
        <v>1162.4</v>
      </c>
      <c r="F122" s="181">
        <v>692.78</v>
      </c>
      <c r="G122" s="181">
        <v>577.32</v>
      </c>
      <c r="H122" s="827">
        <v>45960.83934027778</v>
      </c>
    </row>
    <row r="123">
      <c r="A123" s="181" t="s">
        <v>22</v>
      </c>
      <c r="B123" s="181" t="s">
        <v>556</v>
      </c>
      <c r="C123" s="181">
        <v>1.610612736E9</v>
      </c>
      <c r="D123" s="181">
        <v>6.0</v>
      </c>
      <c r="E123" s="181">
        <v>2226.3</v>
      </c>
      <c r="F123" s="181">
        <v>723.46</v>
      </c>
      <c r="G123" s="181">
        <v>602.88</v>
      </c>
      <c r="H123" s="827">
        <v>45960.83934027778</v>
      </c>
    </row>
    <row r="124">
      <c r="A124" s="181" t="s">
        <v>22</v>
      </c>
      <c r="B124" s="181" t="s">
        <v>556</v>
      </c>
      <c r="C124" s="181">
        <v>3.221225472E9</v>
      </c>
      <c r="D124" s="181">
        <v>6.0</v>
      </c>
      <c r="E124" s="181">
        <v>4298.5</v>
      </c>
      <c r="F124" s="181">
        <v>749.38</v>
      </c>
      <c r="G124" s="181">
        <v>624.48</v>
      </c>
      <c r="H124" s="827">
        <v>45960.83934027778</v>
      </c>
    </row>
    <row r="125">
      <c r="A125" s="181" t="s">
        <v>22</v>
      </c>
      <c r="B125" s="181" t="s">
        <v>556</v>
      </c>
      <c r="C125" s="181">
        <v>224.0</v>
      </c>
      <c r="D125" s="181">
        <v>7.0</v>
      </c>
      <c r="E125" s="181">
        <v>14.51</v>
      </c>
      <c r="F125" s="181">
        <v>0.02</v>
      </c>
      <c r="G125" s="181">
        <v>0.01</v>
      </c>
      <c r="H125" s="827">
        <v>45960.83934027778</v>
      </c>
    </row>
    <row r="126">
      <c r="A126" s="181" t="s">
        <v>22</v>
      </c>
      <c r="B126" s="181" t="s">
        <v>556</v>
      </c>
      <c r="C126" s="181">
        <v>448.0</v>
      </c>
      <c r="D126" s="181">
        <v>7.0</v>
      </c>
      <c r="E126" s="181">
        <v>14.49</v>
      </c>
      <c r="F126" s="181">
        <v>0.03</v>
      </c>
      <c r="G126" s="181">
        <v>0.03</v>
      </c>
      <c r="H126" s="827">
        <v>45960.83934027778</v>
      </c>
    </row>
    <row r="127">
      <c r="A127" s="181" t="s">
        <v>22</v>
      </c>
      <c r="B127" s="181" t="s">
        <v>556</v>
      </c>
      <c r="C127" s="181">
        <v>896.0</v>
      </c>
      <c r="D127" s="181">
        <v>7.0</v>
      </c>
      <c r="E127" s="181">
        <v>14.47</v>
      </c>
      <c r="F127" s="181">
        <v>0.06</v>
      </c>
      <c r="G127" s="181">
        <v>0.05</v>
      </c>
      <c r="H127" s="827">
        <v>45960.83934027778</v>
      </c>
    </row>
    <row r="128">
      <c r="A128" s="181" t="s">
        <v>22</v>
      </c>
      <c r="B128" s="181" t="s">
        <v>556</v>
      </c>
      <c r="C128" s="181">
        <v>1792.0</v>
      </c>
      <c r="D128" s="181">
        <v>7.0</v>
      </c>
      <c r="E128" s="181">
        <v>14.89</v>
      </c>
      <c r="F128" s="181">
        <v>0.12</v>
      </c>
      <c r="G128" s="181">
        <v>0.1</v>
      </c>
      <c r="H128" s="827">
        <v>45960.83934027778</v>
      </c>
    </row>
    <row r="129">
      <c r="A129" s="181" t="s">
        <v>22</v>
      </c>
      <c r="B129" s="181" t="s">
        <v>556</v>
      </c>
      <c r="C129" s="181">
        <v>3584.0</v>
      </c>
      <c r="D129" s="181">
        <v>7.0</v>
      </c>
      <c r="E129" s="181">
        <v>15.04</v>
      </c>
      <c r="F129" s="181">
        <v>0.24</v>
      </c>
      <c r="G129" s="181">
        <v>0.2</v>
      </c>
      <c r="H129" s="827">
        <v>45960.83934027778</v>
      </c>
    </row>
    <row r="130">
      <c r="A130" s="181" t="s">
        <v>22</v>
      </c>
      <c r="B130" s="181" t="s">
        <v>556</v>
      </c>
      <c r="C130" s="181">
        <v>7168.0</v>
      </c>
      <c r="D130" s="181">
        <v>7.0</v>
      </c>
      <c r="E130" s="181">
        <v>15.14</v>
      </c>
      <c r="F130" s="181">
        <v>0.47</v>
      </c>
      <c r="G130" s="181">
        <v>0.41</v>
      </c>
      <c r="H130" s="827">
        <v>45960.83934027778</v>
      </c>
    </row>
    <row r="131">
      <c r="A131" s="181" t="s">
        <v>22</v>
      </c>
      <c r="B131" s="181" t="s">
        <v>556</v>
      </c>
      <c r="C131" s="181">
        <v>14336.0</v>
      </c>
      <c r="D131" s="181">
        <v>7.0</v>
      </c>
      <c r="E131" s="181">
        <v>15.44</v>
      </c>
      <c r="F131" s="181">
        <v>0.93</v>
      </c>
      <c r="G131" s="181">
        <v>0.8</v>
      </c>
      <c r="H131" s="827">
        <v>45960.83934027778</v>
      </c>
    </row>
    <row r="132">
      <c r="A132" s="181" t="s">
        <v>22</v>
      </c>
      <c r="B132" s="181" t="s">
        <v>556</v>
      </c>
      <c r="C132" s="181">
        <v>28672.0</v>
      </c>
      <c r="D132" s="181">
        <v>7.0</v>
      </c>
      <c r="E132" s="181">
        <v>16.16</v>
      </c>
      <c r="F132" s="181">
        <v>1.77</v>
      </c>
      <c r="G132" s="181">
        <v>1.52</v>
      </c>
      <c r="H132" s="827">
        <v>45960.83934027778</v>
      </c>
    </row>
    <row r="133">
      <c r="A133" s="181" t="s">
        <v>22</v>
      </c>
      <c r="B133" s="181" t="s">
        <v>556</v>
      </c>
      <c r="C133" s="181">
        <v>57344.0</v>
      </c>
      <c r="D133" s="181">
        <v>7.0</v>
      </c>
      <c r="E133" s="181">
        <v>16.86</v>
      </c>
      <c r="F133" s="181">
        <v>3.4</v>
      </c>
      <c r="G133" s="181">
        <v>2.92</v>
      </c>
      <c r="H133" s="827">
        <v>45960.83934027778</v>
      </c>
    </row>
    <row r="134">
      <c r="A134" s="181" t="s">
        <v>22</v>
      </c>
      <c r="B134" s="181" t="s">
        <v>556</v>
      </c>
      <c r="C134" s="181">
        <v>114688.0</v>
      </c>
      <c r="D134" s="181">
        <v>7.0</v>
      </c>
      <c r="E134" s="181">
        <v>18.08</v>
      </c>
      <c r="F134" s="181">
        <v>6.34</v>
      </c>
      <c r="G134" s="181">
        <v>5.44</v>
      </c>
      <c r="H134" s="827">
        <v>45960.83934027778</v>
      </c>
    </row>
    <row r="135">
      <c r="A135" s="181" t="s">
        <v>22</v>
      </c>
      <c r="B135" s="181" t="s">
        <v>556</v>
      </c>
      <c r="C135" s="181">
        <v>229376.0</v>
      </c>
      <c r="D135" s="181">
        <v>7.0</v>
      </c>
      <c r="E135" s="181">
        <v>18.35</v>
      </c>
      <c r="F135" s="181">
        <v>12.5</v>
      </c>
      <c r="G135" s="181">
        <v>10.72</v>
      </c>
      <c r="H135" s="827">
        <v>45960.83934027778</v>
      </c>
    </row>
    <row r="136">
      <c r="A136" s="181" t="s">
        <v>22</v>
      </c>
      <c r="B136" s="181" t="s">
        <v>556</v>
      </c>
      <c r="C136" s="181">
        <v>458752.0</v>
      </c>
      <c r="D136" s="181">
        <v>7.0</v>
      </c>
      <c r="E136" s="181">
        <v>18.49</v>
      </c>
      <c r="F136" s="181">
        <v>24.81</v>
      </c>
      <c r="G136" s="181">
        <v>21.27</v>
      </c>
      <c r="H136" s="827">
        <v>45960.83934027778</v>
      </c>
    </row>
    <row r="137">
      <c r="A137" s="181" t="s">
        <v>22</v>
      </c>
      <c r="B137" s="181" t="s">
        <v>556</v>
      </c>
      <c r="C137" s="181">
        <v>917504.0</v>
      </c>
      <c r="D137" s="181">
        <v>7.0</v>
      </c>
      <c r="E137" s="181">
        <v>18.57</v>
      </c>
      <c r="F137" s="181">
        <v>49.41</v>
      </c>
      <c r="G137" s="181">
        <v>42.36</v>
      </c>
      <c r="H137" s="827">
        <v>45960.83934027778</v>
      </c>
    </row>
    <row r="138">
      <c r="A138" s="181" t="s">
        <v>22</v>
      </c>
      <c r="B138" s="181" t="s">
        <v>556</v>
      </c>
      <c r="C138" s="181">
        <v>1835008.0</v>
      </c>
      <c r="D138" s="181">
        <v>7.0</v>
      </c>
      <c r="E138" s="181">
        <v>22.07</v>
      </c>
      <c r="F138" s="181">
        <v>83.13</v>
      </c>
      <c r="G138" s="181">
        <v>71.25</v>
      </c>
      <c r="H138" s="827">
        <v>45960.83934027778</v>
      </c>
    </row>
    <row r="139">
      <c r="A139" s="181" t="s">
        <v>22</v>
      </c>
      <c r="B139" s="181" t="s">
        <v>556</v>
      </c>
      <c r="C139" s="181">
        <v>3670016.0</v>
      </c>
      <c r="D139" s="181">
        <v>7.0</v>
      </c>
      <c r="E139" s="181">
        <v>30.58</v>
      </c>
      <c r="F139" s="181">
        <v>119.99</v>
      </c>
      <c r="G139" s="181">
        <v>102.85</v>
      </c>
      <c r="H139" s="827">
        <v>45960.83934027778</v>
      </c>
    </row>
    <row r="140">
      <c r="A140" s="181" t="s">
        <v>22</v>
      </c>
      <c r="B140" s="181" t="s">
        <v>556</v>
      </c>
      <c r="C140" s="181">
        <v>7340032.0</v>
      </c>
      <c r="D140" s="181">
        <v>7.0</v>
      </c>
      <c r="E140" s="181">
        <v>51.04</v>
      </c>
      <c r="F140" s="181">
        <v>143.8</v>
      </c>
      <c r="G140" s="181">
        <v>123.25</v>
      </c>
      <c r="H140" s="827">
        <v>45960.83934027778</v>
      </c>
    </row>
    <row r="141">
      <c r="A141" s="181" t="s">
        <v>22</v>
      </c>
      <c r="B141" s="181" t="s">
        <v>556</v>
      </c>
      <c r="C141" s="181">
        <v>1.4680064E7</v>
      </c>
      <c r="D141" s="181">
        <v>7.0</v>
      </c>
      <c r="E141" s="181">
        <v>43.59</v>
      </c>
      <c r="F141" s="181">
        <v>336.78</v>
      </c>
      <c r="G141" s="181">
        <v>288.67</v>
      </c>
      <c r="H141" s="827">
        <v>45960.83934027778</v>
      </c>
    </row>
    <row r="142">
      <c r="A142" s="181" t="s">
        <v>22</v>
      </c>
      <c r="B142" s="181" t="s">
        <v>556</v>
      </c>
      <c r="C142" s="181">
        <v>2.9360128E7</v>
      </c>
      <c r="D142" s="181">
        <v>7.0</v>
      </c>
      <c r="E142" s="181">
        <v>67.04</v>
      </c>
      <c r="F142" s="181">
        <v>437.93</v>
      </c>
      <c r="G142" s="181">
        <v>375.36</v>
      </c>
      <c r="H142" s="827">
        <v>45960.83934027778</v>
      </c>
    </row>
    <row r="143">
      <c r="A143" s="181" t="s">
        <v>22</v>
      </c>
      <c r="B143" s="181" t="s">
        <v>556</v>
      </c>
      <c r="C143" s="181">
        <v>5.8720256E7</v>
      </c>
      <c r="D143" s="181">
        <v>7.0</v>
      </c>
      <c r="E143" s="181">
        <v>122.5</v>
      </c>
      <c r="F143" s="181">
        <v>479.53</v>
      </c>
      <c r="G143" s="181">
        <v>411.03</v>
      </c>
      <c r="H143" s="827">
        <v>45960.83934027778</v>
      </c>
    </row>
    <row r="144">
      <c r="A144" s="181" t="s">
        <v>22</v>
      </c>
      <c r="B144" s="181" t="s">
        <v>556</v>
      </c>
      <c r="C144" s="181">
        <v>1.17440512E8</v>
      </c>
      <c r="D144" s="181">
        <v>7.0</v>
      </c>
      <c r="E144" s="181">
        <v>190.1</v>
      </c>
      <c r="F144" s="181">
        <v>617.65</v>
      </c>
      <c r="G144" s="181">
        <v>529.42</v>
      </c>
      <c r="H144" s="827">
        <v>45960.83934027778</v>
      </c>
    </row>
    <row r="145">
      <c r="A145" s="181" t="s">
        <v>22</v>
      </c>
      <c r="B145" s="181" t="s">
        <v>556</v>
      </c>
      <c r="C145" s="181">
        <v>2.34881024E8</v>
      </c>
      <c r="D145" s="181">
        <v>7.0</v>
      </c>
      <c r="E145" s="181">
        <v>358.3</v>
      </c>
      <c r="F145" s="181">
        <v>655.59</v>
      </c>
      <c r="G145" s="181">
        <v>561.94</v>
      </c>
      <c r="H145" s="827">
        <v>45960.83934027778</v>
      </c>
    </row>
    <row r="146">
      <c r="A146" s="181" t="s">
        <v>22</v>
      </c>
      <c r="B146" s="181" t="s">
        <v>556</v>
      </c>
      <c r="C146" s="181">
        <v>4.69762048E8</v>
      </c>
      <c r="D146" s="181">
        <v>7.0</v>
      </c>
      <c r="E146" s="181">
        <v>730.5</v>
      </c>
      <c r="F146" s="181">
        <v>643.07</v>
      </c>
      <c r="G146" s="181">
        <v>551.2</v>
      </c>
      <c r="H146" s="827">
        <v>45960.83934027778</v>
      </c>
    </row>
    <row r="147">
      <c r="A147" s="181" t="s">
        <v>22</v>
      </c>
      <c r="B147" s="181" t="s">
        <v>556</v>
      </c>
      <c r="C147" s="181">
        <v>9.39524096E8</v>
      </c>
      <c r="D147" s="181">
        <v>7.0</v>
      </c>
      <c r="E147" s="181">
        <v>1364.7</v>
      </c>
      <c r="F147" s="181">
        <v>688.46</v>
      </c>
      <c r="G147" s="181">
        <v>590.11</v>
      </c>
      <c r="H147" s="827">
        <v>45960.83934027778</v>
      </c>
    </row>
    <row r="148">
      <c r="A148" s="181" t="s">
        <v>22</v>
      </c>
      <c r="B148" s="181" t="s">
        <v>556</v>
      </c>
      <c r="C148" s="181">
        <v>1.879048192E9</v>
      </c>
      <c r="D148" s="181">
        <v>7.0</v>
      </c>
      <c r="E148" s="181">
        <v>2614.7</v>
      </c>
      <c r="F148" s="181">
        <v>718.65</v>
      </c>
      <c r="G148" s="181">
        <v>615.98</v>
      </c>
      <c r="H148" s="827">
        <v>45960.83934027778</v>
      </c>
    </row>
    <row r="149">
      <c r="A149" s="181" t="s">
        <v>22</v>
      </c>
      <c r="B149" s="181" t="s">
        <v>556</v>
      </c>
      <c r="C149" s="181">
        <v>3.758096384E9</v>
      </c>
      <c r="D149" s="181">
        <v>7.0</v>
      </c>
      <c r="E149" s="181">
        <v>5044.7</v>
      </c>
      <c r="F149" s="181">
        <v>744.96</v>
      </c>
      <c r="G149" s="181">
        <v>638.54</v>
      </c>
      <c r="H149" s="827">
        <v>45960.83934027778</v>
      </c>
    </row>
    <row r="150">
      <c r="A150" s="181" t="s">
        <v>22</v>
      </c>
      <c r="B150" s="181" t="s">
        <v>556</v>
      </c>
      <c r="C150" s="181">
        <v>128.0</v>
      </c>
      <c r="D150" s="181">
        <v>8.0</v>
      </c>
      <c r="E150" s="181">
        <v>15.65</v>
      </c>
      <c r="F150" s="181">
        <v>0.01</v>
      </c>
      <c r="G150" s="181">
        <v>0.01</v>
      </c>
      <c r="H150" s="827">
        <v>45960.83934027778</v>
      </c>
    </row>
    <row r="151">
      <c r="A151" s="181" t="s">
        <v>22</v>
      </c>
      <c r="B151" s="181" t="s">
        <v>556</v>
      </c>
      <c r="C151" s="181">
        <v>256.0</v>
      </c>
      <c r="D151" s="181">
        <v>8.0</v>
      </c>
      <c r="E151" s="181">
        <v>15.93</v>
      </c>
      <c r="F151" s="181">
        <v>0.02</v>
      </c>
      <c r="G151" s="181">
        <v>0.01</v>
      </c>
      <c r="H151" s="827">
        <v>45960.83934027778</v>
      </c>
    </row>
    <row r="152">
      <c r="A152" s="181" t="s">
        <v>22</v>
      </c>
      <c r="B152" s="181" t="s">
        <v>556</v>
      </c>
      <c r="C152" s="181">
        <v>512.0</v>
      </c>
      <c r="D152" s="181">
        <v>8.0</v>
      </c>
      <c r="E152" s="181">
        <v>16.04</v>
      </c>
      <c r="F152" s="181">
        <v>0.03</v>
      </c>
      <c r="G152" s="181">
        <v>0.03</v>
      </c>
      <c r="H152" s="827">
        <v>45960.83934027778</v>
      </c>
    </row>
    <row r="153">
      <c r="A153" s="181" t="s">
        <v>22</v>
      </c>
      <c r="B153" s="181" t="s">
        <v>556</v>
      </c>
      <c r="C153" s="181">
        <v>1024.0</v>
      </c>
      <c r="D153" s="181">
        <v>8.0</v>
      </c>
      <c r="E153" s="181">
        <v>15.99</v>
      </c>
      <c r="F153" s="181">
        <v>0.06</v>
      </c>
      <c r="G153" s="181">
        <v>0.06</v>
      </c>
      <c r="H153" s="827">
        <v>45960.83934027778</v>
      </c>
    </row>
    <row r="154">
      <c r="A154" s="181" t="s">
        <v>22</v>
      </c>
      <c r="B154" s="181" t="s">
        <v>556</v>
      </c>
      <c r="C154" s="181">
        <v>2048.0</v>
      </c>
      <c r="D154" s="181">
        <v>8.0</v>
      </c>
      <c r="E154" s="181">
        <v>16.37</v>
      </c>
      <c r="F154" s="181">
        <v>0.13</v>
      </c>
      <c r="G154" s="181">
        <v>0.11</v>
      </c>
      <c r="H154" s="827">
        <v>45960.83934027778</v>
      </c>
    </row>
    <row r="155">
      <c r="A155" s="181" t="s">
        <v>22</v>
      </c>
      <c r="B155" s="181" t="s">
        <v>556</v>
      </c>
      <c r="C155" s="181">
        <v>4096.0</v>
      </c>
      <c r="D155" s="181">
        <v>8.0</v>
      </c>
      <c r="E155" s="181">
        <v>16.65</v>
      </c>
      <c r="F155" s="181">
        <v>0.25</v>
      </c>
      <c r="G155" s="181">
        <v>0.22</v>
      </c>
      <c r="H155" s="827">
        <v>45960.83934027778</v>
      </c>
    </row>
    <row r="156">
      <c r="A156" s="181" t="s">
        <v>22</v>
      </c>
      <c r="B156" s="181" t="s">
        <v>556</v>
      </c>
      <c r="C156" s="181">
        <v>8192.0</v>
      </c>
      <c r="D156" s="181">
        <v>8.0</v>
      </c>
      <c r="E156" s="181">
        <v>16.7</v>
      </c>
      <c r="F156" s="181">
        <v>0.49</v>
      </c>
      <c r="G156" s="181">
        <v>0.43</v>
      </c>
      <c r="H156" s="827">
        <v>45960.83934027778</v>
      </c>
    </row>
    <row r="157">
      <c r="A157" s="181" t="s">
        <v>22</v>
      </c>
      <c r="B157" s="181" t="s">
        <v>556</v>
      </c>
      <c r="C157" s="181">
        <v>16384.0</v>
      </c>
      <c r="D157" s="181">
        <v>8.0</v>
      </c>
      <c r="E157" s="181">
        <v>16.68</v>
      </c>
      <c r="F157" s="181">
        <v>0.98</v>
      </c>
      <c r="G157" s="181">
        <v>0.86</v>
      </c>
      <c r="H157" s="827">
        <v>45960.83934027778</v>
      </c>
    </row>
    <row r="158">
      <c r="A158" s="181" t="s">
        <v>22</v>
      </c>
      <c r="B158" s="181" t="s">
        <v>556</v>
      </c>
      <c r="C158" s="181">
        <v>32768.0</v>
      </c>
      <c r="D158" s="181">
        <v>8.0</v>
      </c>
      <c r="E158" s="181">
        <v>17.4</v>
      </c>
      <c r="F158" s="181">
        <v>1.88</v>
      </c>
      <c r="G158" s="181">
        <v>1.65</v>
      </c>
      <c r="H158" s="827">
        <v>45960.83934027778</v>
      </c>
    </row>
    <row r="159">
      <c r="A159" s="181" t="s">
        <v>22</v>
      </c>
      <c r="B159" s="181" t="s">
        <v>556</v>
      </c>
      <c r="C159" s="181">
        <v>65536.0</v>
      </c>
      <c r="D159" s="181">
        <v>8.0</v>
      </c>
      <c r="E159" s="181">
        <v>17.77</v>
      </c>
      <c r="F159" s="181">
        <v>3.69</v>
      </c>
      <c r="G159" s="181">
        <v>3.23</v>
      </c>
      <c r="H159" s="827">
        <v>45960.83934027778</v>
      </c>
    </row>
    <row r="160">
      <c r="A160" s="181" t="s">
        <v>22</v>
      </c>
      <c r="B160" s="181" t="s">
        <v>556</v>
      </c>
      <c r="C160" s="181">
        <v>131072.0</v>
      </c>
      <c r="D160" s="181">
        <v>8.0</v>
      </c>
      <c r="E160" s="181">
        <v>18.31</v>
      </c>
      <c r="F160" s="181">
        <v>7.16</v>
      </c>
      <c r="G160" s="181">
        <v>6.26</v>
      </c>
      <c r="H160" s="827">
        <v>45960.83934027778</v>
      </c>
    </row>
    <row r="161">
      <c r="A161" s="181" t="s">
        <v>22</v>
      </c>
      <c r="B161" s="181" t="s">
        <v>556</v>
      </c>
      <c r="C161" s="181">
        <v>262144.0</v>
      </c>
      <c r="D161" s="181">
        <v>8.0</v>
      </c>
      <c r="E161" s="181">
        <v>18.21</v>
      </c>
      <c r="F161" s="181">
        <v>14.39</v>
      </c>
      <c r="G161" s="181">
        <v>12.59</v>
      </c>
      <c r="H161" s="827">
        <v>45960.83934027778</v>
      </c>
    </row>
    <row r="162">
      <c r="A162" s="181" t="s">
        <v>22</v>
      </c>
      <c r="B162" s="181" t="s">
        <v>556</v>
      </c>
      <c r="C162" s="181">
        <v>524288.0</v>
      </c>
      <c r="D162" s="181">
        <v>8.0</v>
      </c>
      <c r="E162" s="181">
        <v>18.67</v>
      </c>
      <c r="F162" s="181">
        <v>28.08</v>
      </c>
      <c r="G162" s="181">
        <v>24.57</v>
      </c>
      <c r="H162" s="827">
        <v>45960.83934027778</v>
      </c>
    </row>
    <row r="163">
      <c r="A163" s="181" t="s">
        <v>22</v>
      </c>
      <c r="B163" s="181" t="s">
        <v>556</v>
      </c>
      <c r="C163" s="181">
        <v>1048576.0</v>
      </c>
      <c r="D163" s="181">
        <v>8.0</v>
      </c>
      <c r="E163" s="181">
        <v>18.78</v>
      </c>
      <c r="F163" s="181">
        <v>55.85</v>
      </c>
      <c r="G163" s="181">
        <v>48.87</v>
      </c>
      <c r="H163" s="827">
        <v>45960.83934027778</v>
      </c>
    </row>
    <row r="164">
      <c r="A164" s="181" t="s">
        <v>22</v>
      </c>
      <c r="B164" s="181" t="s">
        <v>556</v>
      </c>
      <c r="C164" s="181">
        <v>2097152.0</v>
      </c>
      <c r="D164" s="181">
        <v>8.0</v>
      </c>
      <c r="E164" s="181">
        <v>21.73</v>
      </c>
      <c r="F164" s="181">
        <v>96.53</v>
      </c>
      <c r="G164" s="181">
        <v>84.46</v>
      </c>
      <c r="H164" s="827">
        <v>45960.83934027778</v>
      </c>
    </row>
    <row r="165">
      <c r="A165" s="181" t="s">
        <v>22</v>
      </c>
      <c r="B165" s="181" t="s">
        <v>556</v>
      </c>
      <c r="C165" s="181">
        <v>4194304.0</v>
      </c>
      <c r="D165" s="181">
        <v>8.0</v>
      </c>
      <c r="E165" s="181">
        <v>28.9</v>
      </c>
      <c r="F165" s="181">
        <v>145.12</v>
      </c>
      <c r="G165" s="181">
        <v>126.98</v>
      </c>
      <c r="H165" s="827">
        <v>45960.83934027778</v>
      </c>
    </row>
    <row r="166">
      <c r="A166" s="181" t="s">
        <v>22</v>
      </c>
      <c r="B166" s="181" t="s">
        <v>556</v>
      </c>
      <c r="C166" s="181">
        <v>8388608.0</v>
      </c>
      <c r="D166" s="181">
        <v>8.0</v>
      </c>
      <c r="E166" s="181">
        <v>44.47</v>
      </c>
      <c r="F166" s="181">
        <v>188.65</v>
      </c>
      <c r="G166" s="181">
        <v>165.07</v>
      </c>
      <c r="H166" s="827">
        <v>45960.83934027778</v>
      </c>
    </row>
    <row r="167">
      <c r="A167" s="181" t="s">
        <v>22</v>
      </c>
      <c r="B167" s="181" t="s">
        <v>556</v>
      </c>
      <c r="C167" s="181">
        <v>1.6777216E7</v>
      </c>
      <c r="D167" s="181">
        <v>8.0</v>
      </c>
      <c r="E167" s="181">
        <v>48.07</v>
      </c>
      <c r="F167" s="181">
        <v>349.02</v>
      </c>
      <c r="G167" s="181">
        <v>305.39</v>
      </c>
      <c r="H167" s="827">
        <v>45960.83934027778</v>
      </c>
    </row>
    <row r="168">
      <c r="A168" s="181" t="s">
        <v>22</v>
      </c>
      <c r="B168" s="181" t="s">
        <v>556</v>
      </c>
      <c r="C168" s="181">
        <v>3.3554432E7</v>
      </c>
      <c r="D168" s="181">
        <v>8.0</v>
      </c>
      <c r="E168" s="181">
        <v>75.64</v>
      </c>
      <c r="F168" s="181">
        <v>443.63</v>
      </c>
      <c r="G168" s="181">
        <v>388.18</v>
      </c>
      <c r="H168" s="827">
        <v>45960.83934027778</v>
      </c>
    </row>
    <row r="169">
      <c r="A169" s="181" t="s">
        <v>22</v>
      </c>
      <c r="B169" s="181" t="s">
        <v>556</v>
      </c>
      <c r="C169" s="181">
        <v>6.7108864E7</v>
      </c>
      <c r="D169" s="181">
        <v>8.0</v>
      </c>
      <c r="E169" s="181">
        <v>138.0</v>
      </c>
      <c r="F169" s="181">
        <v>486.34</v>
      </c>
      <c r="G169" s="181">
        <v>425.55</v>
      </c>
      <c r="H169" s="827">
        <v>45960.83934027778</v>
      </c>
    </row>
    <row r="170">
      <c r="A170" s="181" t="s">
        <v>22</v>
      </c>
      <c r="B170" s="181" t="s">
        <v>556</v>
      </c>
      <c r="C170" s="181">
        <v>1.34217728E8</v>
      </c>
      <c r="D170" s="181">
        <v>8.0</v>
      </c>
      <c r="E170" s="181">
        <v>207.4</v>
      </c>
      <c r="F170" s="181">
        <v>647.01</v>
      </c>
      <c r="G170" s="181">
        <v>566.13</v>
      </c>
      <c r="H170" s="827">
        <v>45960.83934027778</v>
      </c>
    </row>
    <row r="171">
      <c r="A171" s="181" t="s">
        <v>22</v>
      </c>
      <c r="B171" s="181" t="s">
        <v>556</v>
      </c>
      <c r="C171" s="181">
        <v>2.68435456E8</v>
      </c>
      <c r="D171" s="181">
        <v>8.0</v>
      </c>
      <c r="E171" s="181">
        <v>403.9</v>
      </c>
      <c r="F171" s="181">
        <v>664.57</v>
      </c>
      <c r="G171" s="181">
        <v>581.5</v>
      </c>
      <c r="H171" s="827">
        <v>45960.83934027778</v>
      </c>
    </row>
    <row r="172">
      <c r="A172" s="181" t="s">
        <v>22</v>
      </c>
      <c r="B172" s="181" t="s">
        <v>556</v>
      </c>
      <c r="C172" s="181">
        <v>5.36870912E8</v>
      </c>
      <c r="D172" s="181">
        <v>8.0</v>
      </c>
      <c r="E172" s="181">
        <v>782.8</v>
      </c>
      <c r="F172" s="181">
        <v>685.82</v>
      </c>
      <c r="G172" s="181">
        <v>600.09</v>
      </c>
      <c r="H172" s="827">
        <v>45960.83934027778</v>
      </c>
    </row>
    <row r="173">
      <c r="A173" s="181" t="s">
        <v>22</v>
      </c>
      <c r="B173" s="181" t="s">
        <v>556</v>
      </c>
      <c r="C173" s="181">
        <v>1.073741824E9</v>
      </c>
      <c r="D173" s="181">
        <v>8.0</v>
      </c>
      <c r="E173" s="181">
        <v>1524.1</v>
      </c>
      <c r="F173" s="181">
        <v>704.5</v>
      </c>
      <c r="G173" s="181">
        <v>616.44</v>
      </c>
      <c r="H173" s="827">
        <v>45960.83934027778</v>
      </c>
    </row>
    <row r="174">
      <c r="A174" s="181" t="s">
        <v>22</v>
      </c>
      <c r="B174" s="181" t="s">
        <v>556</v>
      </c>
      <c r="C174" s="181">
        <v>2.147483648E9</v>
      </c>
      <c r="D174" s="181">
        <v>8.0</v>
      </c>
      <c r="E174" s="181">
        <v>2979.5</v>
      </c>
      <c r="F174" s="181">
        <v>720.75</v>
      </c>
      <c r="G174" s="181">
        <v>630.66</v>
      </c>
      <c r="H174" s="827">
        <v>45960.83934027778</v>
      </c>
    </row>
    <row r="175">
      <c r="A175" s="181" t="s">
        <v>22</v>
      </c>
      <c r="B175" s="181" t="s">
        <v>556</v>
      </c>
      <c r="C175" s="181">
        <v>4.294967296E9</v>
      </c>
      <c r="D175" s="181">
        <v>8.0</v>
      </c>
      <c r="E175" s="181">
        <v>5743.9</v>
      </c>
      <c r="F175" s="181">
        <v>747.74</v>
      </c>
      <c r="G175" s="181">
        <v>654.27</v>
      </c>
      <c r="H175" s="827">
        <v>45960.83934027778</v>
      </c>
    </row>
    <row r="176">
      <c r="A176" s="181" t="s">
        <v>22</v>
      </c>
      <c r="B176" s="181" t="s">
        <v>557</v>
      </c>
      <c r="C176" s="181">
        <v>128.0</v>
      </c>
      <c r="D176" s="181">
        <v>2.0</v>
      </c>
      <c r="E176" s="181">
        <v>8.88</v>
      </c>
      <c r="F176" s="181">
        <v>0.01</v>
      </c>
      <c r="G176" s="181">
        <v>0.01</v>
      </c>
      <c r="H176" s="827">
        <v>45973.90935185185</v>
      </c>
    </row>
    <row r="177">
      <c r="A177" s="181" t="s">
        <v>22</v>
      </c>
      <c r="B177" s="181" t="s">
        <v>557</v>
      </c>
      <c r="C177" s="181">
        <v>256.0</v>
      </c>
      <c r="D177" s="181">
        <v>2.0</v>
      </c>
      <c r="E177" s="181">
        <v>9.05</v>
      </c>
      <c r="F177" s="181">
        <v>0.03</v>
      </c>
      <c r="G177" s="181">
        <v>0.03</v>
      </c>
      <c r="H177" s="827">
        <v>45973.90935185185</v>
      </c>
    </row>
    <row r="178">
      <c r="A178" s="181" t="s">
        <v>22</v>
      </c>
      <c r="B178" s="181" t="s">
        <v>557</v>
      </c>
      <c r="C178" s="181">
        <v>512.0</v>
      </c>
      <c r="D178" s="181">
        <v>2.0</v>
      </c>
      <c r="E178" s="181">
        <v>9.07</v>
      </c>
      <c r="F178" s="181">
        <v>0.06</v>
      </c>
      <c r="G178" s="181">
        <v>0.06</v>
      </c>
      <c r="H178" s="827">
        <v>45973.90935185185</v>
      </c>
    </row>
    <row r="179">
      <c r="A179" s="181" t="s">
        <v>22</v>
      </c>
      <c r="B179" s="181" t="s">
        <v>557</v>
      </c>
      <c r="C179" s="181">
        <v>1024.0</v>
      </c>
      <c r="D179" s="181">
        <v>2.0</v>
      </c>
      <c r="E179" s="181">
        <v>9.13</v>
      </c>
      <c r="F179" s="181">
        <v>0.11</v>
      </c>
      <c r="G179" s="181">
        <v>0.11</v>
      </c>
      <c r="H179" s="827">
        <v>45973.90935185185</v>
      </c>
    </row>
    <row r="180">
      <c r="A180" s="181" t="s">
        <v>22</v>
      </c>
      <c r="B180" s="181" t="s">
        <v>557</v>
      </c>
      <c r="C180" s="181">
        <v>2048.0</v>
      </c>
      <c r="D180" s="181">
        <v>2.0</v>
      </c>
      <c r="E180" s="181">
        <v>9.14</v>
      </c>
      <c r="F180" s="181">
        <v>0.22</v>
      </c>
      <c r="G180" s="181">
        <v>0.22</v>
      </c>
      <c r="H180" s="827">
        <v>45973.90935185185</v>
      </c>
    </row>
    <row r="181">
      <c r="A181" s="181" t="s">
        <v>22</v>
      </c>
      <c r="B181" s="181" t="s">
        <v>557</v>
      </c>
      <c r="C181" s="181">
        <v>4096.0</v>
      </c>
      <c r="D181" s="181">
        <v>2.0</v>
      </c>
      <c r="E181" s="181">
        <v>9.26</v>
      </c>
      <c r="F181" s="181">
        <v>0.44</v>
      </c>
      <c r="G181" s="181">
        <v>0.44</v>
      </c>
      <c r="H181" s="827">
        <v>45973.90935185185</v>
      </c>
    </row>
    <row r="182">
      <c r="A182" s="181" t="s">
        <v>22</v>
      </c>
      <c r="B182" s="181" t="s">
        <v>557</v>
      </c>
      <c r="C182" s="181">
        <v>8192.0</v>
      </c>
      <c r="D182" s="181">
        <v>2.0</v>
      </c>
      <c r="E182" s="181">
        <v>9.58</v>
      </c>
      <c r="F182" s="181">
        <v>0.86</v>
      </c>
      <c r="G182" s="181">
        <v>0.86</v>
      </c>
      <c r="H182" s="827">
        <v>45973.90935185185</v>
      </c>
    </row>
    <row r="183">
      <c r="A183" s="181" t="s">
        <v>22</v>
      </c>
      <c r="B183" s="181" t="s">
        <v>557</v>
      </c>
      <c r="C183" s="181">
        <v>16384.0</v>
      </c>
      <c r="D183" s="181">
        <v>2.0</v>
      </c>
      <c r="E183" s="181">
        <v>10.37</v>
      </c>
      <c r="F183" s="181">
        <v>1.58</v>
      </c>
      <c r="G183" s="181">
        <v>1.58</v>
      </c>
      <c r="H183" s="827">
        <v>45973.90935185185</v>
      </c>
    </row>
    <row r="184">
      <c r="A184" s="181" t="s">
        <v>22</v>
      </c>
      <c r="B184" s="181" t="s">
        <v>557</v>
      </c>
      <c r="C184" s="181">
        <v>32768.0</v>
      </c>
      <c r="D184" s="181">
        <v>2.0</v>
      </c>
      <c r="E184" s="181">
        <v>10.68</v>
      </c>
      <c r="F184" s="181">
        <v>3.07</v>
      </c>
      <c r="G184" s="181">
        <v>3.07</v>
      </c>
      <c r="H184" s="827">
        <v>45973.90935185185</v>
      </c>
    </row>
    <row r="185">
      <c r="A185" s="181" t="s">
        <v>22</v>
      </c>
      <c r="B185" s="181" t="s">
        <v>557</v>
      </c>
      <c r="C185" s="181">
        <v>65536.0</v>
      </c>
      <c r="D185" s="181">
        <v>2.0</v>
      </c>
      <c r="E185" s="181">
        <v>10.96</v>
      </c>
      <c r="F185" s="181">
        <v>5.98</v>
      </c>
      <c r="G185" s="181">
        <v>5.98</v>
      </c>
      <c r="H185" s="827">
        <v>45973.90935185185</v>
      </c>
    </row>
    <row r="186">
      <c r="A186" s="181" t="s">
        <v>22</v>
      </c>
      <c r="B186" s="181" t="s">
        <v>557</v>
      </c>
      <c r="C186" s="181">
        <v>131072.0</v>
      </c>
      <c r="D186" s="181">
        <v>2.0</v>
      </c>
      <c r="E186" s="181">
        <v>11.24</v>
      </c>
      <c r="F186" s="181">
        <v>11.66</v>
      </c>
      <c r="G186" s="181">
        <v>11.66</v>
      </c>
      <c r="H186" s="827">
        <v>45973.90935185185</v>
      </c>
    </row>
    <row r="187">
      <c r="A187" s="181" t="s">
        <v>22</v>
      </c>
      <c r="B187" s="181" t="s">
        <v>557</v>
      </c>
      <c r="C187" s="181">
        <v>262144.0</v>
      </c>
      <c r="D187" s="181">
        <v>2.0</v>
      </c>
      <c r="E187" s="181">
        <v>11.13</v>
      </c>
      <c r="F187" s="181">
        <v>23.56</v>
      </c>
      <c r="G187" s="181">
        <v>23.56</v>
      </c>
      <c r="H187" s="827">
        <v>45973.90935185185</v>
      </c>
    </row>
    <row r="188">
      <c r="A188" s="181" t="s">
        <v>22</v>
      </c>
      <c r="B188" s="181" t="s">
        <v>557</v>
      </c>
      <c r="C188" s="181">
        <v>524288.0</v>
      </c>
      <c r="D188" s="181">
        <v>2.0</v>
      </c>
      <c r="E188" s="181">
        <v>12.84</v>
      </c>
      <c r="F188" s="181">
        <v>40.84</v>
      </c>
      <c r="G188" s="181">
        <v>40.84</v>
      </c>
      <c r="H188" s="827">
        <v>45973.90935185185</v>
      </c>
    </row>
    <row r="189">
      <c r="A189" s="181" t="s">
        <v>22</v>
      </c>
      <c r="B189" s="181" t="s">
        <v>557</v>
      </c>
      <c r="C189" s="181">
        <v>1048576.0</v>
      </c>
      <c r="D189" s="181">
        <v>2.0</v>
      </c>
      <c r="E189" s="181">
        <v>15.82</v>
      </c>
      <c r="F189" s="181">
        <v>66.3</v>
      </c>
      <c r="G189" s="181">
        <v>66.3</v>
      </c>
      <c r="H189" s="827">
        <v>45973.90935185185</v>
      </c>
    </row>
    <row r="190">
      <c r="A190" s="181" t="s">
        <v>22</v>
      </c>
      <c r="B190" s="181" t="s">
        <v>557</v>
      </c>
      <c r="C190" s="181">
        <v>2097152.0</v>
      </c>
      <c r="D190" s="181">
        <v>2.0</v>
      </c>
      <c r="E190" s="181">
        <v>22.28</v>
      </c>
      <c r="F190" s="181">
        <v>94.14</v>
      </c>
      <c r="G190" s="181">
        <v>94.14</v>
      </c>
      <c r="H190" s="827">
        <v>45973.90935185185</v>
      </c>
    </row>
    <row r="191">
      <c r="A191" s="181" t="s">
        <v>22</v>
      </c>
      <c r="B191" s="181" t="s">
        <v>557</v>
      </c>
      <c r="C191" s="181">
        <v>4194304.0</v>
      </c>
      <c r="D191" s="181">
        <v>2.0</v>
      </c>
      <c r="E191" s="181">
        <v>36.12</v>
      </c>
      <c r="F191" s="181">
        <v>116.13</v>
      </c>
      <c r="G191" s="181">
        <v>116.13</v>
      </c>
      <c r="H191" s="827">
        <v>45973.90935185185</v>
      </c>
    </row>
    <row r="192">
      <c r="A192" s="181" t="s">
        <v>22</v>
      </c>
      <c r="B192" s="181" t="s">
        <v>557</v>
      </c>
      <c r="C192" s="181">
        <v>8388608.0</v>
      </c>
      <c r="D192" s="181">
        <v>2.0</v>
      </c>
      <c r="E192" s="181">
        <v>42.21</v>
      </c>
      <c r="F192" s="181">
        <v>198.75</v>
      </c>
      <c r="G192" s="181">
        <v>198.75</v>
      </c>
      <c r="H192" s="827">
        <v>45973.90935185185</v>
      </c>
    </row>
    <row r="193">
      <c r="A193" s="181" t="s">
        <v>22</v>
      </c>
      <c r="B193" s="181" t="s">
        <v>557</v>
      </c>
      <c r="C193" s="181">
        <v>1.6777216E7</v>
      </c>
      <c r="D193" s="181">
        <v>2.0</v>
      </c>
      <c r="E193" s="181">
        <v>53.56</v>
      </c>
      <c r="F193" s="181">
        <v>313.27</v>
      </c>
      <c r="G193" s="181">
        <v>313.27</v>
      </c>
      <c r="H193" s="827">
        <v>45973.90935185185</v>
      </c>
    </row>
    <row r="194">
      <c r="A194" s="181" t="s">
        <v>22</v>
      </c>
      <c r="B194" s="181" t="s">
        <v>557</v>
      </c>
      <c r="C194" s="181">
        <v>3.3554432E7</v>
      </c>
      <c r="D194" s="181">
        <v>2.0</v>
      </c>
      <c r="E194" s="181">
        <v>84.12</v>
      </c>
      <c r="F194" s="181">
        <v>398.89</v>
      </c>
      <c r="G194" s="181">
        <v>398.89</v>
      </c>
      <c r="H194" s="827">
        <v>45973.90935185185</v>
      </c>
    </row>
    <row r="195">
      <c r="A195" s="181" t="s">
        <v>22</v>
      </c>
      <c r="B195" s="181" t="s">
        <v>557</v>
      </c>
      <c r="C195" s="181">
        <v>6.7108864E7</v>
      </c>
      <c r="D195" s="181">
        <v>2.0</v>
      </c>
      <c r="E195" s="181">
        <v>151.3</v>
      </c>
      <c r="F195" s="181">
        <v>443.51</v>
      </c>
      <c r="G195" s="181">
        <v>443.51</v>
      </c>
      <c r="H195" s="827">
        <v>45973.90935185185</v>
      </c>
    </row>
    <row r="196">
      <c r="A196" s="181" t="s">
        <v>22</v>
      </c>
      <c r="B196" s="181" t="s">
        <v>557</v>
      </c>
      <c r="C196" s="181">
        <v>1.34217728E8</v>
      </c>
      <c r="D196" s="181">
        <v>2.0</v>
      </c>
      <c r="E196" s="181">
        <v>276.9</v>
      </c>
      <c r="F196" s="181">
        <v>484.73</v>
      </c>
      <c r="G196" s="181">
        <v>484.73</v>
      </c>
      <c r="H196" s="827">
        <v>45973.90935185185</v>
      </c>
    </row>
    <row r="197">
      <c r="A197" s="181" t="s">
        <v>22</v>
      </c>
      <c r="B197" s="181" t="s">
        <v>557</v>
      </c>
      <c r="C197" s="181">
        <v>2.68435456E8</v>
      </c>
      <c r="D197" s="181">
        <v>2.0</v>
      </c>
      <c r="E197" s="181">
        <v>524.2</v>
      </c>
      <c r="F197" s="181">
        <v>512.05</v>
      </c>
      <c r="G197" s="181">
        <v>512.05</v>
      </c>
      <c r="H197" s="827">
        <v>45973.90935185185</v>
      </c>
    </row>
    <row r="198">
      <c r="A198" s="181" t="s">
        <v>22</v>
      </c>
      <c r="B198" s="181" t="s">
        <v>557</v>
      </c>
      <c r="C198" s="181">
        <v>5.36870912E8</v>
      </c>
      <c r="D198" s="181">
        <v>2.0</v>
      </c>
      <c r="E198" s="181">
        <v>1004.2</v>
      </c>
      <c r="F198" s="181">
        <v>534.61</v>
      </c>
      <c r="G198" s="181">
        <v>534.61</v>
      </c>
      <c r="H198" s="827">
        <v>45973.90935185185</v>
      </c>
    </row>
    <row r="199">
      <c r="A199" s="181" t="s">
        <v>22</v>
      </c>
      <c r="B199" s="181" t="s">
        <v>557</v>
      </c>
      <c r="C199" s="181">
        <v>1.073741824E9</v>
      </c>
      <c r="D199" s="181">
        <v>2.0</v>
      </c>
      <c r="E199" s="181">
        <v>1904.3</v>
      </c>
      <c r="F199" s="181">
        <v>563.84</v>
      </c>
      <c r="G199" s="181">
        <v>563.84</v>
      </c>
      <c r="H199" s="827">
        <v>45973.90935185185</v>
      </c>
    </row>
    <row r="200">
      <c r="A200" s="181" t="s">
        <v>22</v>
      </c>
      <c r="B200" s="181" t="s">
        <v>557</v>
      </c>
      <c r="C200" s="181">
        <v>2.147483648E9</v>
      </c>
      <c r="D200" s="181">
        <v>2.0</v>
      </c>
      <c r="E200" s="181">
        <v>3648.7</v>
      </c>
      <c r="F200" s="181">
        <v>588.56</v>
      </c>
      <c r="G200" s="181">
        <v>588.56</v>
      </c>
      <c r="H200" s="827">
        <v>45973.90935185185</v>
      </c>
    </row>
    <row r="201">
      <c r="A201" s="181" t="s">
        <v>22</v>
      </c>
      <c r="B201" s="181" t="s">
        <v>557</v>
      </c>
      <c r="C201" s="181">
        <v>4.294967296E9</v>
      </c>
      <c r="D201" s="181">
        <v>2.0</v>
      </c>
      <c r="E201" s="181">
        <v>7071.9</v>
      </c>
      <c r="F201" s="181">
        <v>607.33</v>
      </c>
      <c r="G201" s="181">
        <v>607.33</v>
      </c>
      <c r="H201" s="827">
        <v>45973.90935185185</v>
      </c>
    </row>
    <row r="202">
      <c r="A202" s="181" t="s">
        <v>22</v>
      </c>
      <c r="B202" s="181" t="s">
        <v>557</v>
      </c>
      <c r="C202" s="181">
        <v>128.0</v>
      </c>
      <c r="D202" s="181">
        <v>3.0</v>
      </c>
      <c r="E202" s="181">
        <v>11.3</v>
      </c>
      <c r="F202" s="181">
        <v>0.01</v>
      </c>
      <c r="G202" s="181">
        <v>0.02</v>
      </c>
      <c r="H202" s="827">
        <v>45973.90935185185</v>
      </c>
    </row>
    <row r="203">
      <c r="A203" s="181" t="s">
        <v>22</v>
      </c>
      <c r="B203" s="181" t="s">
        <v>557</v>
      </c>
      <c r="C203" s="181">
        <v>256.0</v>
      </c>
      <c r="D203" s="181">
        <v>3.0</v>
      </c>
      <c r="E203" s="181">
        <v>11.42</v>
      </c>
      <c r="F203" s="181">
        <v>0.02</v>
      </c>
      <c r="G203" s="181">
        <v>0.03</v>
      </c>
      <c r="H203" s="827">
        <v>45973.90935185185</v>
      </c>
    </row>
    <row r="204">
      <c r="A204" s="181" t="s">
        <v>22</v>
      </c>
      <c r="B204" s="181" t="s">
        <v>557</v>
      </c>
      <c r="C204" s="181">
        <v>512.0</v>
      </c>
      <c r="D204" s="181">
        <v>3.0</v>
      </c>
      <c r="E204" s="181">
        <v>11.63</v>
      </c>
      <c r="F204" s="181">
        <v>0.04</v>
      </c>
      <c r="G204" s="181">
        <v>0.06</v>
      </c>
      <c r="H204" s="827">
        <v>45973.90935185185</v>
      </c>
    </row>
    <row r="205">
      <c r="A205" s="181" t="s">
        <v>22</v>
      </c>
      <c r="B205" s="181" t="s">
        <v>557</v>
      </c>
      <c r="C205" s="181">
        <v>1024.0</v>
      </c>
      <c r="D205" s="181">
        <v>3.0</v>
      </c>
      <c r="E205" s="181">
        <v>11.64</v>
      </c>
      <c r="F205" s="181">
        <v>0.09</v>
      </c>
      <c r="G205" s="181">
        <v>0.12</v>
      </c>
      <c r="H205" s="827">
        <v>45973.90935185185</v>
      </c>
    </row>
    <row r="206">
      <c r="A206" s="181" t="s">
        <v>22</v>
      </c>
      <c r="B206" s="181" t="s">
        <v>557</v>
      </c>
      <c r="C206" s="181">
        <v>2048.0</v>
      </c>
      <c r="D206" s="181">
        <v>3.0</v>
      </c>
      <c r="E206" s="181">
        <v>11.76</v>
      </c>
      <c r="F206" s="181">
        <v>0.17</v>
      </c>
      <c r="G206" s="181">
        <v>0.23</v>
      </c>
      <c r="H206" s="827">
        <v>45973.90935185185</v>
      </c>
    </row>
    <row r="207">
      <c r="A207" s="181" t="s">
        <v>22</v>
      </c>
      <c r="B207" s="181" t="s">
        <v>557</v>
      </c>
      <c r="C207" s="181">
        <v>4096.0</v>
      </c>
      <c r="D207" s="181">
        <v>3.0</v>
      </c>
      <c r="E207" s="181">
        <v>12.77</v>
      </c>
      <c r="F207" s="181">
        <v>0.32</v>
      </c>
      <c r="G207" s="181">
        <v>0.43</v>
      </c>
      <c r="H207" s="827">
        <v>45973.90935185185</v>
      </c>
    </row>
    <row r="208">
      <c r="A208" s="181" t="s">
        <v>22</v>
      </c>
      <c r="B208" s="181" t="s">
        <v>557</v>
      </c>
      <c r="C208" s="181">
        <v>8192.0</v>
      </c>
      <c r="D208" s="181">
        <v>3.0</v>
      </c>
      <c r="E208" s="181">
        <v>13.13</v>
      </c>
      <c r="F208" s="181">
        <v>0.62</v>
      </c>
      <c r="G208" s="181">
        <v>0.83</v>
      </c>
      <c r="H208" s="827">
        <v>45973.90935185185</v>
      </c>
    </row>
    <row r="209">
      <c r="A209" s="181" t="s">
        <v>22</v>
      </c>
      <c r="B209" s="181" t="s">
        <v>557</v>
      </c>
      <c r="C209" s="181">
        <v>16384.0</v>
      </c>
      <c r="D209" s="181">
        <v>3.0</v>
      </c>
      <c r="E209" s="181">
        <v>14.06</v>
      </c>
      <c r="F209" s="181">
        <v>1.17</v>
      </c>
      <c r="G209" s="181">
        <v>1.55</v>
      </c>
      <c r="H209" s="827">
        <v>45973.90935185185</v>
      </c>
    </row>
    <row r="210">
      <c r="A210" s="181" t="s">
        <v>22</v>
      </c>
      <c r="B210" s="181" t="s">
        <v>557</v>
      </c>
      <c r="C210" s="181">
        <v>32768.0</v>
      </c>
      <c r="D210" s="181">
        <v>3.0</v>
      </c>
      <c r="E210" s="181">
        <v>14.56</v>
      </c>
      <c r="F210" s="181">
        <v>2.25</v>
      </c>
      <c r="G210" s="181">
        <v>3.0</v>
      </c>
      <c r="H210" s="827">
        <v>45973.90935185185</v>
      </c>
    </row>
    <row r="211">
      <c r="A211" s="181" t="s">
        <v>22</v>
      </c>
      <c r="B211" s="181" t="s">
        <v>557</v>
      </c>
      <c r="C211" s="181">
        <v>65536.0</v>
      </c>
      <c r="D211" s="181">
        <v>3.0</v>
      </c>
      <c r="E211" s="181">
        <v>14.63</v>
      </c>
      <c r="F211" s="181">
        <v>4.48</v>
      </c>
      <c r="G211" s="181">
        <v>5.97</v>
      </c>
      <c r="H211" s="827">
        <v>45973.90935185185</v>
      </c>
    </row>
    <row r="212">
      <c r="A212" s="181" t="s">
        <v>22</v>
      </c>
      <c r="B212" s="181" t="s">
        <v>557</v>
      </c>
      <c r="C212" s="181">
        <v>131072.0</v>
      </c>
      <c r="D212" s="181">
        <v>3.0</v>
      </c>
      <c r="E212" s="181">
        <v>15.24</v>
      </c>
      <c r="F212" s="181">
        <v>8.6</v>
      </c>
      <c r="G212" s="181">
        <v>11.47</v>
      </c>
      <c r="H212" s="827">
        <v>45973.90935185185</v>
      </c>
    </row>
    <row r="213">
      <c r="A213" s="181" t="s">
        <v>22</v>
      </c>
      <c r="B213" s="181" t="s">
        <v>557</v>
      </c>
      <c r="C213" s="181">
        <v>262144.0</v>
      </c>
      <c r="D213" s="181">
        <v>3.0</v>
      </c>
      <c r="E213" s="181">
        <v>15.47</v>
      </c>
      <c r="F213" s="181">
        <v>16.95</v>
      </c>
      <c r="G213" s="181">
        <v>22.59</v>
      </c>
      <c r="H213" s="827">
        <v>45973.90935185185</v>
      </c>
    </row>
    <row r="214">
      <c r="A214" s="181" t="s">
        <v>22</v>
      </c>
      <c r="B214" s="181" t="s">
        <v>557</v>
      </c>
      <c r="C214" s="181">
        <v>524288.0</v>
      </c>
      <c r="D214" s="181">
        <v>3.0</v>
      </c>
      <c r="E214" s="181">
        <v>16.08</v>
      </c>
      <c r="F214" s="181">
        <v>32.61</v>
      </c>
      <c r="G214" s="181">
        <v>43.48</v>
      </c>
      <c r="H214" s="827">
        <v>45973.90935185185</v>
      </c>
    </row>
    <row r="215">
      <c r="A215" s="181" t="s">
        <v>22</v>
      </c>
      <c r="B215" s="181" t="s">
        <v>557</v>
      </c>
      <c r="C215" s="181">
        <v>1048576.0</v>
      </c>
      <c r="D215" s="181">
        <v>3.0</v>
      </c>
      <c r="E215" s="181">
        <v>18.62</v>
      </c>
      <c r="F215" s="181">
        <v>56.3</v>
      </c>
      <c r="G215" s="181">
        <v>75.07</v>
      </c>
      <c r="H215" s="827">
        <v>45973.90935185185</v>
      </c>
    </row>
    <row r="216">
      <c r="A216" s="181" t="s">
        <v>22</v>
      </c>
      <c r="B216" s="181" t="s">
        <v>557</v>
      </c>
      <c r="C216" s="181">
        <v>2097152.0</v>
      </c>
      <c r="D216" s="181">
        <v>3.0</v>
      </c>
      <c r="E216" s="181">
        <v>27.22</v>
      </c>
      <c r="F216" s="181">
        <v>77.03</v>
      </c>
      <c r="G216" s="181">
        <v>102.71</v>
      </c>
      <c r="H216" s="827">
        <v>45973.90935185185</v>
      </c>
    </row>
    <row r="217">
      <c r="A217" s="181" t="s">
        <v>22</v>
      </c>
      <c r="B217" s="181" t="s">
        <v>557</v>
      </c>
      <c r="C217" s="181">
        <v>4194304.0</v>
      </c>
      <c r="D217" s="181">
        <v>3.0</v>
      </c>
      <c r="E217" s="181">
        <v>44.5</v>
      </c>
      <c r="F217" s="181">
        <v>94.25</v>
      </c>
      <c r="G217" s="181">
        <v>125.67</v>
      </c>
      <c r="H217" s="827">
        <v>45973.90935185185</v>
      </c>
    </row>
    <row r="218">
      <c r="A218" s="181" t="s">
        <v>22</v>
      </c>
      <c r="B218" s="181" t="s">
        <v>557</v>
      </c>
      <c r="C218" s="181">
        <v>8388608.0</v>
      </c>
      <c r="D218" s="181">
        <v>3.0</v>
      </c>
      <c r="E218" s="181">
        <v>63.64</v>
      </c>
      <c r="F218" s="181">
        <v>131.82</v>
      </c>
      <c r="G218" s="181">
        <v>175.76</v>
      </c>
      <c r="H218" s="827">
        <v>45973.90935185185</v>
      </c>
    </row>
    <row r="219">
      <c r="A219" s="181" t="s">
        <v>22</v>
      </c>
      <c r="B219" s="181" t="s">
        <v>557</v>
      </c>
      <c r="C219" s="181">
        <v>1.6777216E7</v>
      </c>
      <c r="D219" s="181">
        <v>3.0</v>
      </c>
      <c r="E219" s="181">
        <v>76.7</v>
      </c>
      <c r="F219" s="181">
        <v>218.73</v>
      </c>
      <c r="G219" s="181">
        <v>291.65</v>
      </c>
      <c r="H219" s="827">
        <v>45973.90935185185</v>
      </c>
    </row>
    <row r="220">
      <c r="A220" s="181" t="s">
        <v>22</v>
      </c>
      <c r="B220" s="181" t="s">
        <v>557</v>
      </c>
      <c r="C220" s="181">
        <v>3.3554432E7</v>
      </c>
      <c r="D220" s="181">
        <v>3.0</v>
      </c>
      <c r="E220" s="181">
        <v>105.2</v>
      </c>
      <c r="F220" s="181">
        <v>318.93</v>
      </c>
      <c r="G220" s="181">
        <v>425.24</v>
      </c>
      <c r="H220" s="827">
        <v>45973.90935185185</v>
      </c>
    </row>
    <row r="221">
      <c r="A221" s="181" t="s">
        <v>22</v>
      </c>
      <c r="B221" s="181" t="s">
        <v>557</v>
      </c>
      <c r="C221" s="181">
        <v>6.7108864E7</v>
      </c>
      <c r="D221" s="181">
        <v>3.0</v>
      </c>
      <c r="E221" s="181">
        <v>176.2</v>
      </c>
      <c r="F221" s="181">
        <v>380.9</v>
      </c>
      <c r="G221" s="181">
        <v>507.86</v>
      </c>
      <c r="H221" s="827">
        <v>45973.90935185185</v>
      </c>
    </row>
    <row r="222">
      <c r="A222" s="181" t="s">
        <v>22</v>
      </c>
      <c r="B222" s="181" t="s">
        <v>557</v>
      </c>
      <c r="C222" s="181">
        <v>1.34217728E8</v>
      </c>
      <c r="D222" s="181">
        <v>3.0</v>
      </c>
      <c r="E222" s="181">
        <v>325.4</v>
      </c>
      <c r="F222" s="181">
        <v>412.43</v>
      </c>
      <c r="G222" s="181">
        <v>549.91</v>
      </c>
      <c r="H222" s="827">
        <v>45973.90935185185</v>
      </c>
    </row>
    <row r="223">
      <c r="A223" s="181" t="s">
        <v>22</v>
      </c>
      <c r="B223" s="181" t="s">
        <v>557</v>
      </c>
      <c r="C223" s="181">
        <v>2.68435456E8</v>
      </c>
      <c r="D223" s="181">
        <v>3.0</v>
      </c>
      <c r="E223" s="181">
        <v>622.2</v>
      </c>
      <c r="F223" s="181">
        <v>431.43</v>
      </c>
      <c r="G223" s="181">
        <v>575.23</v>
      </c>
      <c r="H223" s="827">
        <v>45973.90935185185</v>
      </c>
    </row>
    <row r="224">
      <c r="A224" s="181" t="s">
        <v>22</v>
      </c>
      <c r="B224" s="181" t="s">
        <v>557</v>
      </c>
      <c r="C224" s="181">
        <v>5.36870912E8</v>
      </c>
      <c r="D224" s="181">
        <v>3.0</v>
      </c>
      <c r="E224" s="181">
        <v>1175.7</v>
      </c>
      <c r="F224" s="181">
        <v>456.65</v>
      </c>
      <c r="G224" s="181">
        <v>608.87</v>
      </c>
      <c r="H224" s="827">
        <v>45973.90935185185</v>
      </c>
    </row>
    <row r="225">
      <c r="A225" s="181" t="s">
        <v>22</v>
      </c>
      <c r="B225" s="181" t="s">
        <v>557</v>
      </c>
      <c r="C225" s="181">
        <v>1.073741824E9</v>
      </c>
      <c r="D225" s="181">
        <v>3.0</v>
      </c>
      <c r="E225" s="181">
        <v>2307.7</v>
      </c>
      <c r="F225" s="181">
        <v>465.29</v>
      </c>
      <c r="G225" s="181">
        <v>620.39</v>
      </c>
      <c r="H225" s="827">
        <v>45973.90935185185</v>
      </c>
    </row>
    <row r="226">
      <c r="A226" s="181" t="s">
        <v>22</v>
      </c>
      <c r="B226" s="181" t="s">
        <v>557</v>
      </c>
      <c r="C226" s="181">
        <v>2.147483648E9</v>
      </c>
      <c r="D226" s="181">
        <v>3.0</v>
      </c>
      <c r="E226" s="181">
        <v>4466.9</v>
      </c>
      <c r="F226" s="181">
        <v>480.75</v>
      </c>
      <c r="G226" s="181">
        <v>641.0</v>
      </c>
      <c r="H226" s="827">
        <v>45973.90935185185</v>
      </c>
    </row>
    <row r="227">
      <c r="A227" s="181" t="s">
        <v>22</v>
      </c>
      <c r="B227" s="181" t="s">
        <v>557</v>
      </c>
      <c r="C227" s="181">
        <v>4.294967296E9</v>
      </c>
      <c r="D227" s="181">
        <v>3.0</v>
      </c>
      <c r="E227" s="181">
        <v>8794.2</v>
      </c>
      <c r="F227" s="181">
        <v>488.39</v>
      </c>
      <c r="G227" s="181">
        <v>651.18</v>
      </c>
      <c r="H227" s="827">
        <v>45973.90935185185</v>
      </c>
    </row>
    <row r="228">
      <c r="A228" s="181" t="s">
        <v>22</v>
      </c>
      <c r="B228" s="181" t="s">
        <v>557</v>
      </c>
      <c r="C228" s="181">
        <v>128.0</v>
      </c>
      <c r="D228" s="181">
        <v>4.0</v>
      </c>
      <c r="E228" s="181">
        <v>14.11</v>
      </c>
      <c r="F228" s="181">
        <v>0.01</v>
      </c>
      <c r="G228" s="181">
        <v>0.01</v>
      </c>
      <c r="H228" s="827">
        <v>45973.90935185185</v>
      </c>
    </row>
    <row r="229">
      <c r="A229" s="181" t="s">
        <v>22</v>
      </c>
      <c r="B229" s="181" t="s">
        <v>557</v>
      </c>
      <c r="C229" s="181">
        <v>256.0</v>
      </c>
      <c r="D229" s="181">
        <v>4.0</v>
      </c>
      <c r="E229" s="181">
        <v>14.25</v>
      </c>
      <c r="F229" s="181">
        <v>0.02</v>
      </c>
      <c r="G229" s="181">
        <v>0.03</v>
      </c>
      <c r="H229" s="827">
        <v>45973.90935185185</v>
      </c>
    </row>
    <row r="230">
      <c r="A230" s="181" t="s">
        <v>22</v>
      </c>
      <c r="B230" s="181" t="s">
        <v>557</v>
      </c>
      <c r="C230" s="181">
        <v>512.0</v>
      </c>
      <c r="D230" s="181">
        <v>4.0</v>
      </c>
      <c r="E230" s="181">
        <v>14.49</v>
      </c>
      <c r="F230" s="181">
        <v>0.04</v>
      </c>
      <c r="G230" s="181">
        <v>0.05</v>
      </c>
      <c r="H230" s="827">
        <v>45973.90935185185</v>
      </c>
    </row>
    <row r="231">
      <c r="A231" s="181" t="s">
        <v>22</v>
      </c>
      <c r="B231" s="181" t="s">
        <v>557</v>
      </c>
      <c r="C231" s="181">
        <v>1024.0</v>
      </c>
      <c r="D231" s="181">
        <v>4.0</v>
      </c>
      <c r="E231" s="181">
        <v>14.51</v>
      </c>
      <c r="F231" s="181">
        <v>0.07</v>
      </c>
      <c r="G231" s="181">
        <v>0.11</v>
      </c>
      <c r="H231" s="827">
        <v>45973.90935185185</v>
      </c>
    </row>
    <row r="232">
      <c r="A232" s="181" t="s">
        <v>22</v>
      </c>
      <c r="B232" s="181" t="s">
        <v>557</v>
      </c>
      <c r="C232" s="181">
        <v>2048.0</v>
      </c>
      <c r="D232" s="181">
        <v>4.0</v>
      </c>
      <c r="E232" s="181">
        <v>14.71</v>
      </c>
      <c r="F232" s="181">
        <v>0.14</v>
      </c>
      <c r="G232" s="181">
        <v>0.21</v>
      </c>
      <c r="H232" s="827">
        <v>45973.90935185185</v>
      </c>
    </row>
    <row r="233">
      <c r="A233" s="181" t="s">
        <v>22</v>
      </c>
      <c r="B233" s="181" t="s">
        <v>557</v>
      </c>
      <c r="C233" s="181">
        <v>4096.0</v>
      </c>
      <c r="D233" s="181">
        <v>4.0</v>
      </c>
      <c r="E233" s="181">
        <v>14.82</v>
      </c>
      <c r="F233" s="181">
        <v>0.28</v>
      </c>
      <c r="G233" s="181">
        <v>0.41</v>
      </c>
      <c r="H233" s="827">
        <v>45973.90935185185</v>
      </c>
    </row>
    <row r="234">
      <c r="A234" s="181" t="s">
        <v>22</v>
      </c>
      <c r="B234" s="181" t="s">
        <v>557</v>
      </c>
      <c r="C234" s="181">
        <v>8192.0</v>
      </c>
      <c r="D234" s="181">
        <v>4.0</v>
      </c>
      <c r="E234" s="181">
        <v>15.04</v>
      </c>
      <c r="F234" s="181">
        <v>0.54</v>
      </c>
      <c r="G234" s="181">
        <v>0.82</v>
      </c>
      <c r="H234" s="827">
        <v>45973.90935185185</v>
      </c>
    </row>
    <row r="235">
      <c r="A235" s="181" t="s">
        <v>22</v>
      </c>
      <c r="B235" s="181" t="s">
        <v>557</v>
      </c>
      <c r="C235" s="181">
        <v>16384.0</v>
      </c>
      <c r="D235" s="181">
        <v>4.0</v>
      </c>
      <c r="E235" s="181">
        <v>15.55</v>
      </c>
      <c r="F235" s="181">
        <v>1.05</v>
      </c>
      <c r="G235" s="181">
        <v>1.58</v>
      </c>
      <c r="H235" s="827">
        <v>45973.90935185185</v>
      </c>
    </row>
    <row r="236">
      <c r="A236" s="181" t="s">
        <v>22</v>
      </c>
      <c r="B236" s="181" t="s">
        <v>557</v>
      </c>
      <c r="C236" s="181">
        <v>32768.0</v>
      </c>
      <c r="D236" s="181">
        <v>4.0</v>
      </c>
      <c r="E236" s="181">
        <v>16.23</v>
      </c>
      <c r="F236" s="181">
        <v>2.02</v>
      </c>
      <c r="G236" s="181">
        <v>3.03</v>
      </c>
      <c r="H236" s="827">
        <v>45973.90935185185</v>
      </c>
    </row>
    <row r="237">
      <c r="A237" s="181" t="s">
        <v>22</v>
      </c>
      <c r="B237" s="181" t="s">
        <v>557</v>
      </c>
      <c r="C237" s="181">
        <v>65536.0</v>
      </c>
      <c r="D237" s="181">
        <v>4.0</v>
      </c>
      <c r="E237" s="181">
        <v>16.29</v>
      </c>
      <c r="F237" s="181">
        <v>4.02</v>
      </c>
      <c r="G237" s="181">
        <v>6.04</v>
      </c>
      <c r="H237" s="827">
        <v>45973.90935185185</v>
      </c>
    </row>
    <row r="238">
      <c r="A238" s="181" t="s">
        <v>22</v>
      </c>
      <c r="B238" s="181" t="s">
        <v>557</v>
      </c>
      <c r="C238" s="181">
        <v>131072.0</v>
      </c>
      <c r="D238" s="181">
        <v>4.0</v>
      </c>
      <c r="E238" s="181">
        <v>16.26</v>
      </c>
      <c r="F238" s="181">
        <v>8.06</v>
      </c>
      <c r="G238" s="181">
        <v>12.09</v>
      </c>
      <c r="H238" s="827">
        <v>45973.90935185185</v>
      </c>
    </row>
    <row r="239">
      <c r="A239" s="181" t="s">
        <v>22</v>
      </c>
      <c r="B239" s="181" t="s">
        <v>557</v>
      </c>
      <c r="C239" s="181">
        <v>262144.0</v>
      </c>
      <c r="D239" s="181">
        <v>4.0</v>
      </c>
      <c r="E239" s="181">
        <v>16.74</v>
      </c>
      <c r="F239" s="181">
        <v>15.66</v>
      </c>
      <c r="G239" s="181">
        <v>23.49</v>
      </c>
      <c r="H239" s="827">
        <v>45973.90935185185</v>
      </c>
    </row>
    <row r="240">
      <c r="A240" s="181" t="s">
        <v>22</v>
      </c>
      <c r="B240" s="181" t="s">
        <v>557</v>
      </c>
      <c r="C240" s="181">
        <v>524288.0</v>
      </c>
      <c r="D240" s="181">
        <v>4.0</v>
      </c>
      <c r="E240" s="181">
        <v>17.05</v>
      </c>
      <c r="F240" s="181">
        <v>30.75</v>
      </c>
      <c r="G240" s="181">
        <v>46.12</v>
      </c>
      <c r="H240" s="827">
        <v>45973.90935185185</v>
      </c>
    </row>
    <row r="241">
      <c r="A241" s="181" t="s">
        <v>22</v>
      </c>
      <c r="B241" s="181" t="s">
        <v>557</v>
      </c>
      <c r="C241" s="181">
        <v>1048576.0</v>
      </c>
      <c r="D241" s="181">
        <v>4.0</v>
      </c>
      <c r="E241" s="181">
        <v>19.93</v>
      </c>
      <c r="F241" s="181">
        <v>52.61</v>
      </c>
      <c r="G241" s="181">
        <v>78.92</v>
      </c>
      <c r="H241" s="827">
        <v>45973.90935185185</v>
      </c>
    </row>
    <row r="242">
      <c r="A242" s="181" t="s">
        <v>22</v>
      </c>
      <c r="B242" s="181" t="s">
        <v>557</v>
      </c>
      <c r="C242" s="181">
        <v>2097152.0</v>
      </c>
      <c r="D242" s="181">
        <v>4.0</v>
      </c>
      <c r="E242" s="181">
        <v>27.58</v>
      </c>
      <c r="F242" s="181">
        <v>76.03</v>
      </c>
      <c r="G242" s="181">
        <v>114.04</v>
      </c>
      <c r="H242" s="827">
        <v>45973.90935185185</v>
      </c>
    </row>
    <row r="243">
      <c r="A243" s="181" t="s">
        <v>22</v>
      </c>
      <c r="B243" s="181" t="s">
        <v>557</v>
      </c>
      <c r="C243" s="181">
        <v>4194304.0</v>
      </c>
      <c r="D243" s="181">
        <v>4.0</v>
      </c>
      <c r="E243" s="181">
        <v>43.18</v>
      </c>
      <c r="F243" s="181">
        <v>97.13</v>
      </c>
      <c r="G243" s="181">
        <v>145.7</v>
      </c>
      <c r="H243" s="827">
        <v>45973.90935185185</v>
      </c>
    </row>
    <row r="244">
      <c r="A244" s="181" t="s">
        <v>22</v>
      </c>
      <c r="B244" s="181" t="s">
        <v>557</v>
      </c>
      <c r="C244" s="181">
        <v>8388608.0</v>
      </c>
      <c r="D244" s="181">
        <v>4.0</v>
      </c>
      <c r="E244" s="181">
        <v>50.63</v>
      </c>
      <c r="F244" s="181">
        <v>165.68</v>
      </c>
      <c r="G244" s="181">
        <v>248.52</v>
      </c>
      <c r="H244" s="827">
        <v>45973.90935185185</v>
      </c>
    </row>
    <row r="245">
      <c r="A245" s="181" t="s">
        <v>22</v>
      </c>
      <c r="B245" s="181" t="s">
        <v>557</v>
      </c>
      <c r="C245" s="181">
        <v>1.6777216E7</v>
      </c>
      <c r="D245" s="181">
        <v>4.0</v>
      </c>
      <c r="E245" s="181">
        <v>79.13</v>
      </c>
      <c r="F245" s="181">
        <v>212.02</v>
      </c>
      <c r="G245" s="181">
        <v>318.03</v>
      </c>
      <c r="H245" s="827">
        <v>45973.90935185185</v>
      </c>
    </row>
    <row r="246">
      <c r="A246" s="181" t="s">
        <v>22</v>
      </c>
      <c r="B246" s="181" t="s">
        <v>557</v>
      </c>
      <c r="C246" s="181">
        <v>3.3554432E7</v>
      </c>
      <c r="D246" s="181">
        <v>4.0</v>
      </c>
      <c r="E246" s="181">
        <v>120.5</v>
      </c>
      <c r="F246" s="181">
        <v>278.41</v>
      </c>
      <c r="G246" s="181">
        <v>417.62</v>
      </c>
      <c r="H246" s="827">
        <v>45973.90935185185</v>
      </c>
    </row>
    <row r="247">
      <c r="A247" s="181" t="s">
        <v>22</v>
      </c>
      <c r="B247" s="181" t="s">
        <v>557</v>
      </c>
      <c r="C247" s="181">
        <v>6.7108864E7</v>
      </c>
      <c r="D247" s="181">
        <v>4.0</v>
      </c>
      <c r="E247" s="181">
        <v>183.4</v>
      </c>
      <c r="F247" s="181">
        <v>365.96</v>
      </c>
      <c r="G247" s="181">
        <v>548.94</v>
      </c>
      <c r="H247" s="827">
        <v>45973.90935185185</v>
      </c>
    </row>
    <row r="248">
      <c r="A248" s="181" t="s">
        <v>22</v>
      </c>
      <c r="B248" s="181" t="s">
        <v>557</v>
      </c>
      <c r="C248" s="181">
        <v>1.34217728E8</v>
      </c>
      <c r="D248" s="181">
        <v>4.0</v>
      </c>
      <c r="E248" s="181">
        <v>349.1</v>
      </c>
      <c r="F248" s="181">
        <v>384.43</v>
      </c>
      <c r="G248" s="181">
        <v>576.65</v>
      </c>
      <c r="H248" s="827">
        <v>45973.90935185185</v>
      </c>
    </row>
    <row r="249">
      <c r="A249" s="181" t="s">
        <v>22</v>
      </c>
      <c r="B249" s="181" t="s">
        <v>557</v>
      </c>
      <c r="C249" s="181">
        <v>2.68435456E8</v>
      </c>
      <c r="D249" s="181">
        <v>4.0</v>
      </c>
      <c r="E249" s="181">
        <v>673.3</v>
      </c>
      <c r="F249" s="181">
        <v>398.7</v>
      </c>
      <c r="G249" s="181">
        <v>598.05</v>
      </c>
      <c r="H249" s="827">
        <v>45973.90935185185</v>
      </c>
    </row>
    <row r="250">
      <c r="A250" s="181" t="s">
        <v>22</v>
      </c>
      <c r="B250" s="181" t="s">
        <v>557</v>
      </c>
      <c r="C250" s="181">
        <v>5.36870912E8</v>
      </c>
      <c r="D250" s="181">
        <v>4.0</v>
      </c>
      <c r="E250" s="181">
        <v>1285.2</v>
      </c>
      <c r="F250" s="181">
        <v>417.72</v>
      </c>
      <c r="G250" s="181">
        <v>626.58</v>
      </c>
      <c r="H250" s="827">
        <v>45973.90935185185</v>
      </c>
    </row>
    <row r="251">
      <c r="A251" s="181" t="s">
        <v>22</v>
      </c>
      <c r="B251" s="181" t="s">
        <v>557</v>
      </c>
      <c r="C251" s="181">
        <v>1.073741824E9</v>
      </c>
      <c r="D251" s="181">
        <v>4.0</v>
      </c>
      <c r="E251" s="181">
        <v>2499.7</v>
      </c>
      <c r="F251" s="181">
        <v>429.56</v>
      </c>
      <c r="G251" s="181">
        <v>644.34</v>
      </c>
      <c r="H251" s="827">
        <v>45973.90935185185</v>
      </c>
    </row>
    <row r="252">
      <c r="A252" s="181" t="s">
        <v>22</v>
      </c>
      <c r="B252" s="181" t="s">
        <v>557</v>
      </c>
      <c r="C252" s="181">
        <v>2.147483648E9</v>
      </c>
      <c r="D252" s="181">
        <v>4.0</v>
      </c>
      <c r="E252" s="181">
        <v>4868.4</v>
      </c>
      <c r="F252" s="181">
        <v>441.11</v>
      </c>
      <c r="G252" s="181">
        <v>661.67</v>
      </c>
      <c r="H252" s="827">
        <v>45973.90935185185</v>
      </c>
    </row>
    <row r="253">
      <c r="A253" s="181" t="s">
        <v>22</v>
      </c>
      <c r="B253" s="181" t="s">
        <v>557</v>
      </c>
      <c r="C253" s="181">
        <v>4.294967296E9</v>
      </c>
      <c r="D253" s="181">
        <v>4.0</v>
      </c>
      <c r="E253" s="181">
        <v>9613.6</v>
      </c>
      <c r="F253" s="181">
        <v>446.76</v>
      </c>
      <c r="G253" s="181">
        <v>670.14</v>
      </c>
      <c r="H253" s="827">
        <v>45973.90935185185</v>
      </c>
    </row>
    <row r="254">
      <c r="A254" s="181" t="s">
        <v>22</v>
      </c>
      <c r="B254" s="181" t="s">
        <v>557</v>
      </c>
      <c r="C254" s="181">
        <v>128.0</v>
      </c>
      <c r="D254" s="181">
        <v>5.0</v>
      </c>
      <c r="E254" s="181">
        <v>16.74</v>
      </c>
      <c r="F254" s="181">
        <v>0.01</v>
      </c>
      <c r="G254" s="181">
        <v>0.01</v>
      </c>
      <c r="H254" s="827">
        <v>45973.90935185185</v>
      </c>
    </row>
    <row r="255">
      <c r="A255" s="181" t="s">
        <v>22</v>
      </c>
      <c r="B255" s="181" t="s">
        <v>557</v>
      </c>
      <c r="C255" s="181">
        <v>256.0</v>
      </c>
      <c r="D255" s="181">
        <v>5.0</v>
      </c>
      <c r="E255" s="181">
        <v>16.58</v>
      </c>
      <c r="F255" s="181">
        <v>0.02</v>
      </c>
      <c r="G255" s="181">
        <v>0.02</v>
      </c>
      <c r="H255" s="827">
        <v>45973.90935185185</v>
      </c>
    </row>
    <row r="256">
      <c r="A256" s="181" t="s">
        <v>22</v>
      </c>
      <c r="B256" s="181" t="s">
        <v>557</v>
      </c>
      <c r="C256" s="181">
        <v>512.0</v>
      </c>
      <c r="D256" s="181">
        <v>5.0</v>
      </c>
      <c r="E256" s="181">
        <v>17.25</v>
      </c>
      <c r="F256" s="181">
        <v>0.03</v>
      </c>
      <c r="G256" s="181">
        <v>0.05</v>
      </c>
      <c r="H256" s="827">
        <v>45973.90935185185</v>
      </c>
    </row>
    <row r="257">
      <c r="A257" s="181" t="s">
        <v>22</v>
      </c>
      <c r="B257" s="181" t="s">
        <v>557</v>
      </c>
      <c r="C257" s="181">
        <v>1024.0</v>
      </c>
      <c r="D257" s="181">
        <v>5.0</v>
      </c>
      <c r="E257" s="181">
        <v>17.56</v>
      </c>
      <c r="F257" s="181">
        <v>0.06</v>
      </c>
      <c r="G257" s="181">
        <v>0.09</v>
      </c>
      <c r="H257" s="827">
        <v>45973.90935185185</v>
      </c>
    </row>
    <row r="258">
      <c r="A258" s="181" t="s">
        <v>22</v>
      </c>
      <c r="B258" s="181" t="s">
        <v>557</v>
      </c>
      <c r="C258" s="181">
        <v>2048.0</v>
      </c>
      <c r="D258" s="181">
        <v>5.0</v>
      </c>
      <c r="E258" s="181">
        <v>17.65</v>
      </c>
      <c r="F258" s="181">
        <v>0.12</v>
      </c>
      <c r="G258" s="181">
        <v>0.19</v>
      </c>
      <c r="H258" s="827">
        <v>45973.90935185185</v>
      </c>
    </row>
    <row r="259">
      <c r="A259" s="181" t="s">
        <v>22</v>
      </c>
      <c r="B259" s="181" t="s">
        <v>557</v>
      </c>
      <c r="C259" s="181">
        <v>4096.0</v>
      </c>
      <c r="D259" s="181">
        <v>5.0</v>
      </c>
      <c r="E259" s="181">
        <v>19.32</v>
      </c>
      <c r="F259" s="181">
        <v>0.21</v>
      </c>
      <c r="G259" s="181">
        <v>0.34</v>
      </c>
      <c r="H259" s="827">
        <v>45973.90935185185</v>
      </c>
    </row>
    <row r="260">
      <c r="A260" s="181" t="s">
        <v>22</v>
      </c>
      <c r="B260" s="181" t="s">
        <v>557</v>
      </c>
      <c r="C260" s="181">
        <v>8192.0</v>
      </c>
      <c r="D260" s="181">
        <v>5.0</v>
      </c>
      <c r="E260" s="181">
        <v>19.99</v>
      </c>
      <c r="F260" s="181">
        <v>0.41</v>
      </c>
      <c r="G260" s="181">
        <v>0.66</v>
      </c>
      <c r="H260" s="827">
        <v>45973.90935185185</v>
      </c>
    </row>
    <row r="261">
      <c r="A261" s="181" t="s">
        <v>22</v>
      </c>
      <c r="B261" s="181" t="s">
        <v>557</v>
      </c>
      <c r="C261" s="181">
        <v>16384.0</v>
      </c>
      <c r="D261" s="181">
        <v>5.0</v>
      </c>
      <c r="E261" s="181">
        <v>20.93</v>
      </c>
      <c r="F261" s="181">
        <v>0.78</v>
      </c>
      <c r="G261" s="181">
        <v>1.25</v>
      </c>
      <c r="H261" s="827">
        <v>45973.90935185185</v>
      </c>
    </row>
    <row r="262">
      <c r="A262" s="181" t="s">
        <v>22</v>
      </c>
      <c r="B262" s="181" t="s">
        <v>557</v>
      </c>
      <c r="C262" s="181">
        <v>32768.0</v>
      </c>
      <c r="D262" s="181">
        <v>5.0</v>
      </c>
      <c r="E262" s="181">
        <v>21.49</v>
      </c>
      <c r="F262" s="181">
        <v>1.52</v>
      </c>
      <c r="G262" s="181">
        <v>2.44</v>
      </c>
      <c r="H262" s="827">
        <v>45973.90935185185</v>
      </c>
    </row>
    <row r="263">
      <c r="A263" s="181" t="s">
        <v>22</v>
      </c>
      <c r="B263" s="181" t="s">
        <v>557</v>
      </c>
      <c r="C263" s="181">
        <v>65536.0</v>
      </c>
      <c r="D263" s="181">
        <v>5.0</v>
      </c>
      <c r="E263" s="181">
        <v>21.22</v>
      </c>
      <c r="F263" s="181">
        <v>3.09</v>
      </c>
      <c r="G263" s="181">
        <v>4.94</v>
      </c>
      <c r="H263" s="827">
        <v>45973.90935185185</v>
      </c>
    </row>
    <row r="264">
      <c r="A264" s="181" t="s">
        <v>22</v>
      </c>
      <c r="B264" s="181" t="s">
        <v>557</v>
      </c>
      <c r="C264" s="181">
        <v>131072.0</v>
      </c>
      <c r="D264" s="181">
        <v>5.0</v>
      </c>
      <c r="E264" s="181">
        <v>21.46</v>
      </c>
      <c r="F264" s="181">
        <v>6.11</v>
      </c>
      <c r="G264" s="181">
        <v>9.77</v>
      </c>
      <c r="H264" s="827">
        <v>45973.90935185185</v>
      </c>
    </row>
    <row r="265">
      <c r="A265" s="181" t="s">
        <v>22</v>
      </c>
      <c r="B265" s="181" t="s">
        <v>557</v>
      </c>
      <c r="C265" s="181">
        <v>262144.0</v>
      </c>
      <c r="D265" s="181">
        <v>5.0</v>
      </c>
      <c r="E265" s="181">
        <v>21.58</v>
      </c>
      <c r="F265" s="181">
        <v>12.15</v>
      </c>
      <c r="G265" s="181">
        <v>19.44</v>
      </c>
      <c r="H265" s="827">
        <v>45973.90935185185</v>
      </c>
    </row>
    <row r="266">
      <c r="A266" s="181" t="s">
        <v>22</v>
      </c>
      <c r="B266" s="181" t="s">
        <v>557</v>
      </c>
      <c r="C266" s="181">
        <v>524288.0</v>
      </c>
      <c r="D266" s="181">
        <v>5.0</v>
      </c>
      <c r="E266" s="181">
        <v>22.54</v>
      </c>
      <c r="F266" s="181">
        <v>23.27</v>
      </c>
      <c r="G266" s="181">
        <v>37.22</v>
      </c>
      <c r="H266" s="827">
        <v>45973.90935185185</v>
      </c>
    </row>
    <row r="267">
      <c r="A267" s="181" t="s">
        <v>22</v>
      </c>
      <c r="B267" s="181" t="s">
        <v>557</v>
      </c>
      <c r="C267" s="181">
        <v>1048576.0</v>
      </c>
      <c r="D267" s="181">
        <v>5.0</v>
      </c>
      <c r="E267" s="181">
        <v>23.46</v>
      </c>
      <c r="F267" s="181">
        <v>44.69</v>
      </c>
      <c r="G267" s="181">
        <v>71.5</v>
      </c>
      <c r="H267" s="827">
        <v>45973.90935185185</v>
      </c>
    </row>
    <row r="268">
      <c r="A268" s="181" t="s">
        <v>22</v>
      </c>
      <c r="B268" s="181" t="s">
        <v>557</v>
      </c>
      <c r="C268" s="181">
        <v>2097152.0</v>
      </c>
      <c r="D268" s="181">
        <v>5.0</v>
      </c>
      <c r="E268" s="181">
        <v>32.6</v>
      </c>
      <c r="F268" s="181">
        <v>64.33</v>
      </c>
      <c r="G268" s="181">
        <v>102.93</v>
      </c>
      <c r="H268" s="827">
        <v>45973.90935185185</v>
      </c>
    </row>
    <row r="269">
      <c r="A269" s="181" t="s">
        <v>22</v>
      </c>
      <c r="B269" s="181" t="s">
        <v>557</v>
      </c>
      <c r="C269" s="181">
        <v>4194304.0</v>
      </c>
      <c r="D269" s="181">
        <v>5.0</v>
      </c>
      <c r="E269" s="181">
        <v>49.14</v>
      </c>
      <c r="F269" s="181">
        <v>85.35</v>
      </c>
      <c r="G269" s="181">
        <v>136.55</v>
      </c>
      <c r="H269" s="827">
        <v>45973.90935185185</v>
      </c>
    </row>
    <row r="270">
      <c r="A270" s="181" t="s">
        <v>22</v>
      </c>
      <c r="B270" s="181" t="s">
        <v>557</v>
      </c>
      <c r="C270" s="181">
        <v>8388608.0</v>
      </c>
      <c r="D270" s="181">
        <v>5.0</v>
      </c>
      <c r="E270" s="181">
        <v>57.82</v>
      </c>
      <c r="F270" s="181">
        <v>145.09</v>
      </c>
      <c r="G270" s="181">
        <v>232.14</v>
      </c>
      <c r="H270" s="827">
        <v>45973.90935185185</v>
      </c>
    </row>
    <row r="271">
      <c r="A271" s="181" t="s">
        <v>22</v>
      </c>
      <c r="B271" s="181" t="s">
        <v>557</v>
      </c>
      <c r="C271" s="181">
        <v>1.6777216E7</v>
      </c>
      <c r="D271" s="181">
        <v>5.0</v>
      </c>
      <c r="E271" s="181">
        <v>80.11</v>
      </c>
      <c r="F271" s="181">
        <v>209.43</v>
      </c>
      <c r="G271" s="181">
        <v>335.09</v>
      </c>
      <c r="H271" s="827">
        <v>45973.90935185185</v>
      </c>
    </row>
    <row r="272">
      <c r="A272" s="181" t="s">
        <v>22</v>
      </c>
      <c r="B272" s="181" t="s">
        <v>557</v>
      </c>
      <c r="C272" s="181">
        <v>3.3554432E7</v>
      </c>
      <c r="D272" s="181">
        <v>5.0</v>
      </c>
      <c r="E272" s="181">
        <v>143.6</v>
      </c>
      <c r="F272" s="181">
        <v>233.73</v>
      </c>
      <c r="G272" s="181">
        <v>373.96</v>
      </c>
      <c r="H272" s="827">
        <v>45973.90935185185</v>
      </c>
    </row>
    <row r="273">
      <c r="A273" s="181" t="s">
        <v>22</v>
      </c>
      <c r="B273" s="181" t="s">
        <v>557</v>
      </c>
      <c r="C273" s="181">
        <v>6.7108864E7</v>
      </c>
      <c r="D273" s="181">
        <v>5.0</v>
      </c>
      <c r="E273" s="181">
        <v>202.1</v>
      </c>
      <c r="F273" s="181">
        <v>332.03</v>
      </c>
      <c r="G273" s="181">
        <v>531.25</v>
      </c>
      <c r="H273" s="827">
        <v>45973.90935185185</v>
      </c>
    </row>
    <row r="274">
      <c r="A274" s="181" t="s">
        <v>22</v>
      </c>
      <c r="B274" s="181" t="s">
        <v>557</v>
      </c>
      <c r="C274" s="181">
        <v>1.34217728E8</v>
      </c>
      <c r="D274" s="181">
        <v>5.0</v>
      </c>
      <c r="E274" s="181">
        <v>366.9</v>
      </c>
      <c r="F274" s="181">
        <v>365.77</v>
      </c>
      <c r="G274" s="181">
        <v>585.23</v>
      </c>
      <c r="H274" s="827">
        <v>45973.90935185185</v>
      </c>
    </row>
    <row r="275">
      <c r="A275" s="181" t="s">
        <v>22</v>
      </c>
      <c r="B275" s="181" t="s">
        <v>557</v>
      </c>
      <c r="C275" s="181">
        <v>2.68435456E8</v>
      </c>
      <c r="D275" s="181">
        <v>5.0</v>
      </c>
      <c r="E275" s="181">
        <v>708.2</v>
      </c>
      <c r="F275" s="181">
        <v>379.03</v>
      </c>
      <c r="G275" s="181">
        <v>606.44</v>
      </c>
      <c r="H275" s="827">
        <v>45973.90935185185</v>
      </c>
    </row>
    <row r="276">
      <c r="A276" s="181" t="s">
        <v>22</v>
      </c>
      <c r="B276" s="181" t="s">
        <v>557</v>
      </c>
      <c r="C276" s="181">
        <v>5.36870912E8</v>
      </c>
      <c r="D276" s="181">
        <v>5.0</v>
      </c>
      <c r="E276" s="181">
        <v>1348.0</v>
      </c>
      <c r="F276" s="181">
        <v>398.28</v>
      </c>
      <c r="G276" s="181">
        <v>637.25</v>
      </c>
      <c r="H276" s="827">
        <v>45973.90935185185</v>
      </c>
    </row>
    <row r="277">
      <c r="A277" s="181" t="s">
        <v>22</v>
      </c>
      <c r="B277" s="181" t="s">
        <v>557</v>
      </c>
      <c r="C277" s="181">
        <v>1.073741824E9</v>
      </c>
      <c r="D277" s="181">
        <v>5.0</v>
      </c>
      <c r="E277" s="181">
        <v>2648.1</v>
      </c>
      <c r="F277" s="181">
        <v>405.47</v>
      </c>
      <c r="G277" s="181">
        <v>648.75</v>
      </c>
      <c r="H277" s="827">
        <v>45973.90935185185</v>
      </c>
    </row>
    <row r="278">
      <c r="A278" s="181" t="s">
        <v>22</v>
      </c>
      <c r="B278" s="181" t="s">
        <v>557</v>
      </c>
      <c r="C278" s="181">
        <v>2.147483648E9</v>
      </c>
      <c r="D278" s="181">
        <v>5.0</v>
      </c>
      <c r="E278" s="181">
        <v>5150.2</v>
      </c>
      <c r="F278" s="181">
        <v>416.97</v>
      </c>
      <c r="G278" s="181">
        <v>667.15</v>
      </c>
      <c r="H278" s="827">
        <v>45973.90935185185</v>
      </c>
    </row>
    <row r="279">
      <c r="A279" s="181" t="s">
        <v>22</v>
      </c>
      <c r="B279" s="181" t="s">
        <v>557</v>
      </c>
      <c r="C279" s="181">
        <v>4.294967296E9</v>
      </c>
      <c r="D279" s="181">
        <v>5.0</v>
      </c>
      <c r="E279" s="181">
        <v>10156.0</v>
      </c>
      <c r="F279" s="181">
        <v>422.88</v>
      </c>
      <c r="G279" s="181">
        <v>676.61</v>
      </c>
      <c r="H279" s="827">
        <v>45973.90935185185</v>
      </c>
    </row>
    <row r="280">
      <c r="A280" s="181" t="s">
        <v>22</v>
      </c>
      <c r="B280" s="181" t="s">
        <v>557</v>
      </c>
      <c r="C280" s="181">
        <v>128.0</v>
      </c>
      <c r="D280" s="181">
        <v>6.0</v>
      </c>
      <c r="E280" s="181">
        <v>18.85</v>
      </c>
      <c r="F280" s="181">
        <v>0.01</v>
      </c>
      <c r="G280" s="181">
        <v>0.01</v>
      </c>
      <c r="H280" s="827">
        <v>45973.90935185185</v>
      </c>
    </row>
    <row r="281">
      <c r="A281" s="181" t="s">
        <v>22</v>
      </c>
      <c r="B281" s="181" t="s">
        <v>557</v>
      </c>
      <c r="C281" s="181">
        <v>256.0</v>
      </c>
      <c r="D281" s="181">
        <v>6.0</v>
      </c>
      <c r="E281" s="181">
        <v>19.42</v>
      </c>
      <c r="F281" s="181">
        <v>0.01</v>
      </c>
      <c r="G281" s="181">
        <v>0.02</v>
      </c>
      <c r="H281" s="827">
        <v>45973.90935185185</v>
      </c>
    </row>
    <row r="282">
      <c r="A282" s="181" t="s">
        <v>22</v>
      </c>
      <c r="B282" s="181" t="s">
        <v>557</v>
      </c>
      <c r="C282" s="181">
        <v>512.0</v>
      </c>
      <c r="D282" s="181">
        <v>6.0</v>
      </c>
      <c r="E282" s="181">
        <v>19.9</v>
      </c>
      <c r="F282" s="181">
        <v>0.03</v>
      </c>
      <c r="G282" s="181">
        <v>0.04</v>
      </c>
      <c r="H282" s="827">
        <v>45973.90935185185</v>
      </c>
    </row>
    <row r="283">
      <c r="A283" s="181" t="s">
        <v>22</v>
      </c>
      <c r="B283" s="181" t="s">
        <v>557</v>
      </c>
      <c r="C283" s="181">
        <v>1024.0</v>
      </c>
      <c r="D283" s="181">
        <v>6.0</v>
      </c>
      <c r="E283" s="181">
        <v>20.35</v>
      </c>
      <c r="F283" s="181">
        <v>0.05</v>
      </c>
      <c r="G283" s="181">
        <v>0.08</v>
      </c>
      <c r="H283" s="827">
        <v>45973.90935185185</v>
      </c>
    </row>
    <row r="284">
      <c r="A284" s="181" t="s">
        <v>22</v>
      </c>
      <c r="B284" s="181" t="s">
        <v>557</v>
      </c>
      <c r="C284" s="181">
        <v>2048.0</v>
      </c>
      <c r="D284" s="181">
        <v>6.0</v>
      </c>
      <c r="E284" s="181">
        <v>20.56</v>
      </c>
      <c r="F284" s="181">
        <v>0.1</v>
      </c>
      <c r="G284" s="181">
        <v>0.17</v>
      </c>
      <c r="H284" s="827">
        <v>45973.90935185185</v>
      </c>
    </row>
    <row r="285">
      <c r="A285" s="181" t="s">
        <v>22</v>
      </c>
      <c r="B285" s="181" t="s">
        <v>557</v>
      </c>
      <c r="C285" s="181">
        <v>4096.0</v>
      </c>
      <c r="D285" s="181">
        <v>6.0</v>
      </c>
      <c r="E285" s="181">
        <v>20.82</v>
      </c>
      <c r="F285" s="181">
        <v>0.2</v>
      </c>
      <c r="G285" s="181">
        <v>0.33</v>
      </c>
      <c r="H285" s="827">
        <v>45973.90935185185</v>
      </c>
    </row>
    <row r="286">
      <c r="A286" s="181" t="s">
        <v>22</v>
      </c>
      <c r="B286" s="181" t="s">
        <v>557</v>
      </c>
      <c r="C286" s="181">
        <v>8192.0</v>
      </c>
      <c r="D286" s="181">
        <v>6.0</v>
      </c>
      <c r="E286" s="181">
        <v>23.13</v>
      </c>
      <c r="F286" s="181">
        <v>0.35</v>
      </c>
      <c r="G286" s="181">
        <v>0.59</v>
      </c>
      <c r="H286" s="827">
        <v>45973.90935185185</v>
      </c>
    </row>
    <row r="287">
      <c r="A287" s="181" t="s">
        <v>22</v>
      </c>
      <c r="B287" s="181" t="s">
        <v>557</v>
      </c>
      <c r="C287" s="181">
        <v>16384.0</v>
      </c>
      <c r="D287" s="181">
        <v>6.0</v>
      </c>
      <c r="E287" s="181">
        <v>23.67</v>
      </c>
      <c r="F287" s="181">
        <v>0.69</v>
      </c>
      <c r="G287" s="181">
        <v>1.15</v>
      </c>
      <c r="H287" s="827">
        <v>45973.90935185185</v>
      </c>
    </row>
    <row r="288">
      <c r="A288" s="181" t="s">
        <v>22</v>
      </c>
      <c r="B288" s="181" t="s">
        <v>557</v>
      </c>
      <c r="C288" s="181">
        <v>32768.0</v>
      </c>
      <c r="D288" s="181">
        <v>6.0</v>
      </c>
      <c r="E288" s="181">
        <v>24.46</v>
      </c>
      <c r="F288" s="181">
        <v>1.34</v>
      </c>
      <c r="G288" s="181">
        <v>2.23</v>
      </c>
      <c r="H288" s="827">
        <v>45973.90935185185</v>
      </c>
    </row>
    <row r="289">
      <c r="A289" s="181" t="s">
        <v>22</v>
      </c>
      <c r="B289" s="181" t="s">
        <v>557</v>
      </c>
      <c r="C289" s="181">
        <v>65536.0</v>
      </c>
      <c r="D289" s="181">
        <v>6.0</v>
      </c>
      <c r="E289" s="181">
        <v>24.96</v>
      </c>
      <c r="F289" s="181">
        <v>2.63</v>
      </c>
      <c r="G289" s="181">
        <v>4.38</v>
      </c>
      <c r="H289" s="827">
        <v>45973.90935185185</v>
      </c>
    </row>
    <row r="290">
      <c r="A290" s="181" t="s">
        <v>22</v>
      </c>
      <c r="B290" s="181" t="s">
        <v>557</v>
      </c>
      <c r="C290" s="181">
        <v>131072.0</v>
      </c>
      <c r="D290" s="181">
        <v>6.0</v>
      </c>
      <c r="E290" s="181">
        <v>24.5</v>
      </c>
      <c r="F290" s="181">
        <v>5.35</v>
      </c>
      <c r="G290" s="181">
        <v>8.92</v>
      </c>
      <c r="H290" s="827">
        <v>45973.90935185185</v>
      </c>
    </row>
    <row r="291">
      <c r="A291" s="181" t="s">
        <v>22</v>
      </c>
      <c r="B291" s="181" t="s">
        <v>557</v>
      </c>
      <c r="C291" s="181">
        <v>262144.0</v>
      </c>
      <c r="D291" s="181">
        <v>6.0</v>
      </c>
      <c r="E291" s="181">
        <v>25.07</v>
      </c>
      <c r="F291" s="181">
        <v>10.46</v>
      </c>
      <c r="G291" s="181">
        <v>17.43</v>
      </c>
      <c r="H291" s="827">
        <v>45973.90935185185</v>
      </c>
    </row>
    <row r="292">
      <c r="A292" s="181" t="s">
        <v>22</v>
      </c>
      <c r="B292" s="181" t="s">
        <v>557</v>
      </c>
      <c r="C292" s="181">
        <v>524288.0</v>
      </c>
      <c r="D292" s="181">
        <v>6.0</v>
      </c>
      <c r="E292" s="181">
        <v>25.89</v>
      </c>
      <c r="F292" s="181">
        <v>20.25</v>
      </c>
      <c r="G292" s="181">
        <v>33.76</v>
      </c>
      <c r="H292" s="827">
        <v>45973.90935185185</v>
      </c>
    </row>
    <row r="293">
      <c r="A293" s="181" t="s">
        <v>22</v>
      </c>
      <c r="B293" s="181" t="s">
        <v>557</v>
      </c>
      <c r="C293" s="181">
        <v>1048576.0</v>
      </c>
      <c r="D293" s="181">
        <v>6.0</v>
      </c>
      <c r="E293" s="181">
        <v>26.67</v>
      </c>
      <c r="F293" s="181">
        <v>39.32</v>
      </c>
      <c r="G293" s="181">
        <v>65.54</v>
      </c>
      <c r="H293" s="827">
        <v>45973.90935185185</v>
      </c>
    </row>
    <row r="294">
      <c r="A294" s="181" t="s">
        <v>22</v>
      </c>
      <c r="B294" s="181" t="s">
        <v>557</v>
      </c>
      <c r="C294" s="181">
        <v>2097152.0</v>
      </c>
      <c r="D294" s="181">
        <v>6.0</v>
      </c>
      <c r="E294" s="181">
        <v>33.73</v>
      </c>
      <c r="F294" s="181">
        <v>62.18</v>
      </c>
      <c r="G294" s="181">
        <v>103.63</v>
      </c>
      <c r="H294" s="827">
        <v>45973.90935185185</v>
      </c>
    </row>
    <row r="295">
      <c r="A295" s="181" t="s">
        <v>22</v>
      </c>
      <c r="B295" s="181" t="s">
        <v>557</v>
      </c>
      <c r="C295" s="181">
        <v>4194304.0</v>
      </c>
      <c r="D295" s="181">
        <v>6.0</v>
      </c>
      <c r="E295" s="181">
        <v>51.82</v>
      </c>
      <c r="F295" s="181">
        <v>80.94</v>
      </c>
      <c r="G295" s="181">
        <v>134.9</v>
      </c>
      <c r="H295" s="827">
        <v>45973.90935185185</v>
      </c>
    </row>
    <row r="296">
      <c r="A296" s="181" t="s">
        <v>22</v>
      </c>
      <c r="B296" s="181" t="s">
        <v>557</v>
      </c>
      <c r="C296" s="181">
        <v>8388608.0</v>
      </c>
      <c r="D296" s="181">
        <v>6.0</v>
      </c>
      <c r="E296" s="181">
        <v>79.81</v>
      </c>
      <c r="F296" s="181">
        <v>105.1</v>
      </c>
      <c r="G296" s="181">
        <v>175.17</v>
      </c>
      <c r="H296" s="827">
        <v>45973.90935185185</v>
      </c>
    </row>
    <row r="297">
      <c r="A297" s="181" t="s">
        <v>22</v>
      </c>
      <c r="B297" s="181" t="s">
        <v>557</v>
      </c>
      <c r="C297" s="181">
        <v>1.6777216E7</v>
      </c>
      <c r="D297" s="181">
        <v>6.0</v>
      </c>
      <c r="E297" s="181">
        <v>89.85</v>
      </c>
      <c r="F297" s="181">
        <v>186.72</v>
      </c>
      <c r="G297" s="181">
        <v>311.2</v>
      </c>
      <c r="H297" s="827">
        <v>45973.90935185185</v>
      </c>
    </row>
    <row r="298">
      <c r="A298" s="181" t="s">
        <v>22</v>
      </c>
      <c r="B298" s="181" t="s">
        <v>557</v>
      </c>
      <c r="C298" s="181">
        <v>3.3554432E7</v>
      </c>
      <c r="D298" s="181">
        <v>6.0</v>
      </c>
      <c r="E298" s="181">
        <v>141.5</v>
      </c>
      <c r="F298" s="181">
        <v>237.18</v>
      </c>
      <c r="G298" s="181">
        <v>395.29</v>
      </c>
      <c r="H298" s="827">
        <v>45973.90935185185</v>
      </c>
    </row>
    <row r="299">
      <c r="A299" s="181" t="s">
        <v>22</v>
      </c>
      <c r="B299" s="181" t="s">
        <v>557</v>
      </c>
      <c r="C299" s="181">
        <v>6.7108864E7</v>
      </c>
      <c r="D299" s="181">
        <v>6.0</v>
      </c>
      <c r="E299" s="181">
        <v>217.2</v>
      </c>
      <c r="F299" s="181">
        <v>309.02</v>
      </c>
      <c r="G299" s="181">
        <v>515.04</v>
      </c>
      <c r="H299" s="827">
        <v>45973.90935185185</v>
      </c>
    </row>
    <row r="300">
      <c r="A300" s="181" t="s">
        <v>22</v>
      </c>
      <c r="B300" s="181" t="s">
        <v>557</v>
      </c>
      <c r="C300" s="181">
        <v>1.34217728E8</v>
      </c>
      <c r="D300" s="181">
        <v>6.0</v>
      </c>
      <c r="E300" s="181">
        <v>375.7</v>
      </c>
      <c r="F300" s="181">
        <v>357.24</v>
      </c>
      <c r="G300" s="181">
        <v>595.39</v>
      </c>
      <c r="H300" s="827">
        <v>45973.90935185185</v>
      </c>
    </row>
    <row r="301">
      <c r="A301" s="181" t="s">
        <v>22</v>
      </c>
      <c r="B301" s="181" t="s">
        <v>557</v>
      </c>
      <c r="C301" s="181">
        <v>2.68435456E8</v>
      </c>
      <c r="D301" s="181">
        <v>6.0</v>
      </c>
      <c r="E301" s="181">
        <v>726.4</v>
      </c>
      <c r="F301" s="181">
        <v>369.54</v>
      </c>
      <c r="G301" s="181">
        <v>615.89</v>
      </c>
      <c r="H301" s="827">
        <v>45973.90935185185</v>
      </c>
    </row>
    <row r="302">
      <c r="A302" s="181" t="s">
        <v>22</v>
      </c>
      <c r="B302" s="181" t="s">
        <v>557</v>
      </c>
      <c r="C302" s="181">
        <v>5.36870912E8</v>
      </c>
      <c r="D302" s="181">
        <v>6.0</v>
      </c>
      <c r="E302" s="181">
        <v>1396.5</v>
      </c>
      <c r="F302" s="181">
        <v>384.44</v>
      </c>
      <c r="G302" s="181">
        <v>640.73</v>
      </c>
      <c r="H302" s="827">
        <v>45973.90935185185</v>
      </c>
    </row>
    <row r="303">
      <c r="A303" s="181" t="s">
        <v>22</v>
      </c>
      <c r="B303" s="181" t="s">
        <v>557</v>
      </c>
      <c r="C303" s="181">
        <v>1.073741824E9</v>
      </c>
      <c r="D303" s="181">
        <v>6.0</v>
      </c>
      <c r="E303" s="181">
        <v>2738.4</v>
      </c>
      <c r="F303" s="181">
        <v>392.1</v>
      </c>
      <c r="G303" s="181">
        <v>653.5</v>
      </c>
      <c r="H303" s="827">
        <v>45973.90935185185</v>
      </c>
    </row>
    <row r="304">
      <c r="A304" s="181" t="s">
        <v>22</v>
      </c>
      <c r="B304" s="181" t="s">
        <v>557</v>
      </c>
      <c r="C304" s="181">
        <v>2.147483648E9</v>
      </c>
      <c r="D304" s="181">
        <v>6.0</v>
      </c>
      <c r="E304" s="181">
        <v>5332.9</v>
      </c>
      <c r="F304" s="181">
        <v>402.69</v>
      </c>
      <c r="G304" s="181">
        <v>671.14</v>
      </c>
      <c r="H304" s="827">
        <v>45973.90935185185</v>
      </c>
    </row>
    <row r="305">
      <c r="A305" s="181" t="s">
        <v>22</v>
      </c>
      <c r="B305" s="181" t="s">
        <v>557</v>
      </c>
      <c r="C305" s="181">
        <v>4.294967296E9</v>
      </c>
      <c r="D305" s="181">
        <v>6.0</v>
      </c>
      <c r="E305" s="181">
        <v>10505.0</v>
      </c>
      <c r="F305" s="181">
        <v>408.87</v>
      </c>
      <c r="G305" s="181">
        <v>681.44</v>
      </c>
      <c r="H305" s="827">
        <v>45973.90935185185</v>
      </c>
    </row>
    <row r="306">
      <c r="A306" s="181" t="s">
        <v>22</v>
      </c>
      <c r="B306" s="181" t="s">
        <v>557</v>
      </c>
      <c r="C306" s="181">
        <v>128.0</v>
      </c>
      <c r="D306" s="181">
        <v>7.0</v>
      </c>
      <c r="E306" s="181">
        <v>20.77</v>
      </c>
      <c r="F306" s="181">
        <v>0.01</v>
      </c>
      <c r="G306" s="181">
        <v>0.01</v>
      </c>
      <c r="H306" s="827">
        <v>45973.90935185185</v>
      </c>
    </row>
    <row r="307">
      <c r="A307" s="181" t="s">
        <v>22</v>
      </c>
      <c r="B307" s="181" t="s">
        <v>557</v>
      </c>
      <c r="C307" s="181">
        <v>256.0</v>
      </c>
      <c r="D307" s="181">
        <v>7.0</v>
      </c>
      <c r="E307" s="181">
        <v>22.16</v>
      </c>
      <c r="F307" s="181">
        <v>0.01</v>
      </c>
      <c r="G307" s="181">
        <v>0.02</v>
      </c>
      <c r="H307" s="827">
        <v>45973.90935185185</v>
      </c>
    </row>
    <row r="308">
      <c r="A308" s="181" t="s">
        <v>22</v>
      </c>
      <c r="B308" s="181" t="s">
        <v>557</v>
      </c>
      <c r="C308" s="181">
        <v>512.0</v>
      </c>
      <c r="D308" s="181">
        <v>7.0</v>
      </c>
      <c r="E308" s="181">
        <v>22.98</v>
      </c>
      <c r="F308" s="181">
        <v>0.02</v>
      </c>
      <c r="G308" s="181">
        <v>0.04</v>
      </c>
      <c r="H308" s="827">
        <v>45973.90935185185</v>
      </c>
    </row>
    <row r="309">
      <c r="A309" s="181" t="s">
        <v>22</v>
      </c>
      <c r="B309" s="181" t="s">
        <v>557</v>
      </c>
      <c r="C309" s="181">
        <v>1024.0</v>
      </c>
      <c r="D309" s="181">
        <v>7.0</v>
      </c>
      <c r="E309" s="181">
        <v>23.19</v>
      </c>
      <c r="F309" s="181">
        <v>0.04</v>
      </c>
      <c r="G309" s="181">
        <v>0.08</v>
      </c>
      <c r="H309" s="827">
        <v>45973.90935185185</v>
      </c>
    </row>
    <row r="310">
      <c r="A310" s="181" t="s">
        <v>22</v>
      </c>
      <c r="B310" s="181" t="s">
        <v>557</v>
      </c>
      <c r="C310" s="181">
        <v>2048.0</v>
      </c>
      <c r="D310" s="181">
        <v>7.0</v>
      </c>
      <c r="E310" s="181">
        <v>23.47</v>
      </c>
      <c r="F310" s="181">
        <v>0.09</v>
      </c>
      <c r="G310" s="181">
        <v>0.15</v>
      </c>
      <c r="H310" s="827">
        <v>45973.90935185185</v>
      </c>
    </row>
    <row r="311">
      <c r="A311" s="181" t="s">
        <v>22</v>
      </c>
      <c r="B311" s="181" t="s">
        <v>557</v>
      </c>
      <c r="C311" s="181">
        <v>4096.0</v>
      </c>
      <c r="D311" s="181">
        <v>7.0</v>
      </c>
      <c r="E311" s="181">
        <v>23.68</v>
      </c>
      <c r="F311" s="181">
        <v>0.17</v>
      </c>
      <c r="G311" s="181">
        <v>0.3</v>
      </c>
      <c r="H311" s="827">
        <v>45973.90935185185</v>
      </c>
    </row>
    <row r="312">
      <c r="A312" s="181" t="s">
        <v>22</v>
      </c>
      <c r="B312" s="181" t="s">
        <v>557</v>
      </c>
      <c r="C312" s="181">
        <v>8192.0</v>
      </c>
      <c r="D312" s="181">
        <v>7.0</v>
      </c>
      <c r="E312" s="181">
        <v>25.36</v>
      </c>
      <c r="F312" s="181">
        <v>0.32</v>
      </c>
      <c r="G312" s="181">
        <v>0.55</v>
      </c>
      <c r="H312" s="827">
        <v>45973.90935185185</v>
      </c>
    </row>
    <row r="313">
      <c r="A313" s="181" t="s">
        <v>22</v>
      </c>
      <c r="B313" s="181" t="s">
        <v>557</v>
      </c>
      <c r="C313" s="181">
        <v>16384.0</v>
      </c>
      <c r="D313" s="181">
        <v>7.0</v>
      </c>
      <c r="E313" s="181">
        <v>25.96</v>
      </c>
      <c r="F313" s="181">
        <v>0.63</v>
      </c>
      <c r="G313" s="181">
        <v>1.08</v>
      </c>
      <c r="H313" s="827">
        <v>45973.90935185185</v>
      </c>
    </row>
    <row r="314">
      <c r="A314" s="181" t="s">
        <v>22</v>
      </c>
      <c r="B314" s="181" t="s">
        <v>557</v>
      </c>
      <c r="C314" s="181">
        <v>32768.0</v>
      </c>
      <c r="D314" s="181">
        <v>7.0</v>
      </c>
      <c r="E314" s="181">
        <v>27.22</v>
      </c>
      <c r="F314" s="181">
        <v>1.2</v>
      </c>
      <c r="G314" s="181">
        <v>2.06</v>
      </c>
      <c r="H314" s="827">
        <v>45973.90935185185</v>
      </c>
    </row>
    <row r="315">
      <c r="A315" s="181" t="s">
        <v>22</v>
      </c>
      <c r="B315" s="181" t="s">
        <v>557</v>
      </c>
      <c r="C315" s="181">
        <v>65536.0</v>
      </c>
      <c r="D315" s="181">
        <v>7.0</v>
      </c>
      <c r="E315" s="181">
        <v>27.73</v>
      </c>
      <c r="F315" s="181">
        <v>2.36</v>
      </c>
      <c r="G315" s="181">
        <v>4.05</v>
      </c>
      <c r="H315" s="827">
        <v>45973.90935185185</v>
      </c>
    </row>
    <row r="316">
      <c r="A316" s="181" t="s">
        <v>22</v>
      </c>
      <c r="B316" s="181" t="s">
        <v>557</v>
      </c>
      <c r="C316" s="181">
        <v>131072.0</v>
      </c>
      <c r="D316" s="181">
        <v>7.0</v>
      </c>
      <c r="E316" s="181">
        <v>27.79</v>
      </c>
      <c r="F316" s="181">
        <v>4.72</v>
      </c>
      <c r="G316" s="181">
        <v>8.08</v>
      </c>
      <c r="H316" s="827">
        <v>45973.90935185185</v>
      </c>
    </row>
    <row r="317">
      <c r="A317" s="181" t="s">
        <v>22</v>
      </c>
      <c r="B317" s="181" t="s">
        <v>557</v>
      </c>
      <c r="C317" s="181">
        <v>262144.0</v>
      </c>
      <c r="D317" s="181">
        <v>7.0</v>
      </c>
      <c r="E317" s="181">
        <v>27.93</v>
      </c>
      <c r="F317" s="181">
        <v>9.39</v>
      </c>
      <c r="G317" s="181">
        <v>16.09</v>
      </c>
      <c r="H317" s="827">
        <v>45973.90935185185</v>
      </c>
    </row>
    <row r="318">
      <c r="A318" s="181" t="s">
        <v>22</v>
      </c>
      <c r="B318" s="181" t="s">
        <v>557</v>
      </c>
      <c r="C318" s="181">
        <v>524288.0</v>
      </c>
      <c r="D318" s="181">
        <v>7.0</v>
      </c>
      <c r="E318" s="181">
        <v>29.08</v>
      </c>
      <c r="F318" s="181">
        <v>18.03</v>
      </c>
      <c r="G318" s="181">
        <v>30.91</v>
      </c>
      <c r="H318" s="827">
        <v>45973.90935185185</v>
      </c>
    </row>
    <row r="319">
      <c r="A319" s="181" t="s">
        <v>22</v>
      </c>
      <c r="B319" s="181" t="s">
        <v>557</v>
      </c>
      <c r="C319" s="181">
        <v>1048576.0</v>
      </c>
      <c r="D319" s="181">
        <v>7.0</v>
      </c>
      <c r="E319" s="181">
        <v>29.54</v>
      </c>
      <c r="F319" s="181">
        <v>35.5</v>
      </c>
      <c r="G319" s="181">
        <v>60.86</v>
      </c>
      <c r="H319" s="827">
        <v>45973.90935185185</v>
      </c>
    </row>
    <row r="320">
      <c r="A320" s="181" t="s">
        <v>22</v>
      </c>
      <c r="B320" s="181" t="s">
        <v>557</v>
      </c>
      <c r="C320" s="181">
        <v>2097152.0</v>
      </c>
      <c r="D320" s="181">
        <v>7.0</v>
      </c>
      <c r="E320" s="181">
        <v>37.05</v>
      </c>
      <c r="F320" s="181">
        <v>56.61</v>
      </c>
      <c r="G320" s="181">
        <v>97.04</v>
      </c>
      <c r="H320" s="827">
        <v>45973.90935185185</v>
      </c>
    </row>
    <row r="321">
      <c r="A321" s="181" t="s">
        <v>22</v>
      </c>
      <c r="B321" s="181" t="s">
        <v>557</v>
      </c>
      <c r="C321" s="181">
        <v>4194304.0</v>
      </c>
      <c r="D321" s="181">
        <v>7.0</v>
      </c>
      <c r="E321" s="181">
        <v>53.87</v>
      </c>
      <c r="F321" s="181">
        <v>77.87</v>
      </c>
      <c r="G321" s="181">
        <v>133.48</v>
      </c>
      <c r="H321" s="827">
        <v>45973.90935185185</v>
      </c>
    </row>
    <row r="322">
      <c r="A322" s="181" t="s">
        <v>22</v>
      </c>
      <c r="B322" s="181" t="s">
        <v>557</v>
      </c>
      <c r="C322" s="181">
        <v>8388608.0</v>
      </c>
      <c r="D322" s="181">
        <v>7.0</v>
      </c>
      <c r="E322" s="181">
        <v>81.74</v>
      </c>
      <c r="F322" s="181">
        <v>102.63</v>
      </c>
      <c r="G322" s="181">
        <v>175.93</v>
      </c>
      <c r="H322" s="827">
        <v>45973.90935185185</v>
      </c>
    </row>
    <row r="323">
      <c r="A323" s="181" t="s">
        <v>22</v>
      </c>
      <c r="B323" s="181" t="s">
        <v>557</v>
      </c>
      <c r="C323" s="181">
        <v>1.6777216E7</v>
      </c>
      <c r="D323" s="181">
        <v>7.0</v>
      </c>
      <c r="E323" s="181">
        <v>108.6</v>
      </c>
      <c r="F323" s="181">
        <v>154.53</v>
      </c>
      <c r="G323" s="181">
        <v>264.9</v>
      </c>
      <c r="H323" s="827">
        <v>45973.90935185185</v>
      </c>
    </row>
    <row r="324">
      <c r="A324" s="181" t="s">
        <v>22</v>
      </c>
      <c r="B324" s="181" t="s">
        <v>557</v>
      </c>
      <c r="C324" s="181">
        <v>3.3554432E7</v>
      </c>
      <c r="D324" s="181">
        <v>7.0</v>
      </c>
      <c r="E324" s="181">
        <v>169.2</v>
      </c>
      <c r="F324" s="181">
        <v>198.34</v>
      </c>
      <c r="G324" s="181">
        <v>340.01</v>
      </c>
      <c r="H324" s="827">
        <v>45973.90935185185</v>
      </c>
    </row>
    <row r="325">
      <c r="A325" s="181" t="s">
        <v>22</v>
      </c>
      <c r="B325" s="181" t="s">
        <v>557</v>
      </c>
      <c r="C325" s="181">
        <v>6.7108864E7</v>
      </c>
      <c r="D325" s="181">
        <v>7.0</v>
      </c>
      <c r="E325" s="181">
        <v>283.7</v>
      </c>
      <c r="F325" s="181">
        <v>236.52</v>
      </c>
      <c r="G325" s="181">
        <v>405.47</v>
      </c>
      <c r="H325" s="827">
        <v>45973.90935185185</v>
      </c>
    </row>
    <row r="326">
      <c r="A326" s="181" t="s">
        <v>22</v>
      </c>
      <c r="B326" s="181" t="s">
        <v>557</v>
      </c>
      <c r="C326" s="181">
        <v>1.34217728E8</v>
      </c>
      <c r="D326" s="181">
        <v>7.0</v>
      </c>
      <c r="E326" s="181">
        <v>377.0</v>
      </c>
      <c r="F326" s="181">
        <v>356.06</v>
      </c>
      <c r="G326" s="181">
        <v>610.39</v>
      </c>
      <c r="H326" s="827">
        <v>45973.90935185185</v>
      </c>
    </row>
    <row r="327">
      <c r="A327" s="181" t="s">
        <v>22</v>
      </c>
      <c r="B327" s="181" t="s">
        <v>557</v>
      </c>
      <c r="C327" s="181">
        <v>2.68435456E8</v>
      </c>
      <c r="D327" s="181">
        <v>7.0</v>
      </c>
      <c r="E327" s="181">
        <v>740.6</v>
      </c>
      <c r="F327" s="181">
        <v>362.43</v>
      </c>
      <c r="G327" s="181">
        <v>621.32</v>
      </c>
      <c r="H327" s="827">
        <v>45973.90935185185</v>
      </c>
    </row>
    <row r="328">
      <c r="A328" s="181" t="s">
        <v>22</v>
      </c>
      <c r="B328" s="181" t="s">
        <v>557</v>
      </c>
      <c r="C328" s="181">
        <v>5.36870912E8</v>
      </c>
      <c r="D328" s="181">
        <v>7.0</v>
      </c>
      <c r="E328" s="181">
        <v>1468.0</v>
      </c>
      <c r="F328" s="181">
        <v>365.71</v>
      </c>
      <c r="G328" s="181">
        <v>626.93</v>
      </c>
      <c r="H328" s="827">
        <v>45973.90935185185</v>
      </c>
    </row>
    <row r="329">
      <c r="A329" s="181" t="s">
        <v>22</v>
      </c>
      <c r="B329" s="181" t="s">
        <v>557</v>
      </c>
      <c r="C329" s="181">
        <v>1.073741824E9</v>
      </c>
      <c r="D329" s="181">
        <v>7.0</v>
      </c>
      <c r="E329" s="181">
        <v>2773.3</v>
      </c>
      <c r="F329" s="181">
        <v>387.17</v>
      </c>
      <c r="G329" s="181">
        <v>663.71</v>
      </c>
      <c r="H329" s="827">
        <v>45973.90935185185</v>
      </c>
    </row>
    <row r="330">
      <c r="A330" s="181" t="s">
        <v>22</v>
      </c>
      <c r="B330" s="181" t="s">
        <v>557</v>
      </c>
      <c r="C330" s="181">
        <v>2.147483648E9</v>
      </c>
      <c r="D330" s="181">
        <v>7.0</v>
      </c>
      <c r="E330" s="181">
        <v>5427.1</v>
      </c>
      <c r="F330" s="181">
        <v>395.7</v>
      </c>
      <c r="G330" s="181">
        <v>678.34</v>
      </c>
      <c r="H330" s="827">
        <v>45973.90935185185</v>
      </c>
    </row>
    <row r="331">
      <c r="A331" s="181" t="s">
        <v>22</v>
      </c>
      <c r="B331" s="181" t="s">
        <v>557</v>
      </c>
      <c r="C331" s="181">
        <v>4.294967296E9</v>
      </c>
      <c r="D331" s="181">
        <v>7.0</v>
      </c>
      <c r="E331" s="181">
        <v>10781.0</v>
      </c>
      <c r="F331" s="181">
        <v>398.37</v>
      </c>
      <c r="G331" s="181">
        <v>682.92</v>
      </c>
      <c r="H331" s="827">
        <v>45973.90935185185</v>
      </c>
    </row>
    <row r="332">
      <c r="A332" s="181" t="s">
        <v>22</v>
      </c>
      <c r="B332" s="181" t="s">
        <v>557</v>
      </c>
      <c r="C332" s="181">
        <v>128.0</v>
      </c>
      <c r="D332" s="181">
        <v>8.0</v>
      </c>
      <c r="E332" s="181">
        <v>24.54</v>
      </c>
      <c r="F332" s="181">
        <v>0.01</v>
      </c>
      <c r="G332" s="181">
        <v>0.01</v>
      </c>
      <c r="H332" s="827">
        <v>45973.90935185185</v>
      </c>
    </row>
    <row r="333">
      <c r="A333" s="181" t="s">
        <v>22</v>
      </c>
      <c r="B333" s="181" t="s">
        <v>557</v>
      </c>
      <c r="C333" s="181">
        <v>256.0</v>
      </c>
      <c r="D333" s="181">
        <v>8.0</v>
      </c>
      <c r="E333" s="181">
        <v>24.91</v>
      </c>
      <c r="F333" s="181">
        <v>0.01</v>
      </c>
      <c r="G333" s="181">
        <v>0.02</v>
      </c>
      <c r="H333" s="827">
        <v>45973.90935185185</v>
      </c>
    </row>
    <row r="334">
      <c r="A334" s="181" t="s">
        <v>22</v>
      </c>
      <c r="B334" s="181" t="s">
        <v>557</v>
      </c>
      <c r="C334" s="181">
        <v>512.0</v>
      </c>
      <c r="D334" s="181">
        <v>8.0</v>
      </c>
      <c r="E334" s="181">
        <v>25.21</v>
      </c>
      <c r="F334" s="181">
        <v>0.02</v>
      </c>
      <c r="G334" s="181">
        <v>0.04</v>
      </c>
      <c r="H334" s="827">
        <v>45973.90935185185</v>
      </c>
    </row>
    <row r="335">
      <c r="A335" s="181" t="s">
        <v>22</v>
      </c>
      <c r="B335" s="181" t="s">
        <v>557</v>
      </c>
      <c r="C335" s="181">
        <v>1024.0</v>
      </c>
      <c r="D335" s="181">
        <v>8.0</v>
      </c>
      <c r="E335" s="181">
        <v>25.49</v>
      </c>
      <c r="F335" s="181">
        <v>0.04</v>
      </c>
      <c r="G335" s="181">
        <v>0.07</v>
      </c>
      <c r="H335" s="827">
        <v>45973.90935185185</v>
      </c>
    </row>
    <row r="336">
      <c r="A336" s="181" t="s">
        <v>22</v>
      </c>
      <c r="B336" s="181" t="s">
        <v>557</v>
      </c>
      <c r="C336" s="181">
        <v>2048.0</v>
      </c>
      <c r="D336" s="181">
        <v>8.0</v>
      </c>
      <c r="E336" s="181">
        <v>25.79</v>
      </c>
      <c r="F336" s="181">
        <v>0.08</v>
      </c>
      <c r="G336" s="181">
        <v>0.14</v>
      </c>
      <c r="H336" s="827">
        <v>45973.90935185185</v>
      </c>
    </row>
    <row r="337">
      <c r="A337" s="181" t="s">
        <v>22</v>
      </c>
      <c r="B337" s="181" t="s">
        <v>557</v>
      </c>
      <c r="C337" s="181">
        <v>4096.0</v>
      </c>
      <c r="D337" s="181">
        <v>8.0</v>
      </c>
      <c r="E337" s="181">
        <v>26.24</v>
      </c>
      <c r="F337" s="181">
        <v>0.16</v>
      </c>
      <c r="G337" s="181">
        <v>0.27</v>
      </c>
      <c r="H337" s="827">
        <v>45973.90935185185</v>
      </c>
    </row>
    <row r="338">
      <c r="A338" s="181" t="s">
        <v>22</v>
      </c>
      <c r="B338" s="181" t="s">
        <v>557</v>
      </c>
      <c r="C338" s="181">
        <v>8192.0</v>
      </c>
      <c r="D338" s="181">
        <v>8.0</v>
      </c>
      <c r="E338" s="181">
        <v>26.38</v>
      </c>
      <c r="F338" s="181">
        <v>0.31</v>
      </c>
      <c r="G338" s="181">
        <v>0.54</v>
      </c>
      <c r="H338" s="827">
        <v>45973.90935185185</v>
      </c>
    </row>
    <row r="339">
      <c r="A339" s="181" t="s">
        <v>22</v>
      </c>
      <c r="B339" s="181" t="s">
        <v>557</v>
      </c>
      <c r="C339" s="181">
        <v>16384.0</v>
      </c>
      <c r="D339" s="181">
        <v>8.0</v>
      </c>
      <c r="E339" s="181">
        <v>26.7</v>
      </c>
      <c r="F339" s="181">
        <v>0.61</v>
      </c>
      <c r="G339" s="181">
        <v>1.07</v>
      </c>
      <c r="H339" s="827">
        <v>45973.90935185185</v>
      </c>
    </row>
    <row r="340">
      <c r="A340" s="181" t="s">
        <v>22</v>
      </c>
      <c r="B340" s="181" t="s">
        <v>557</v>
      </c>
      <c r="C340" s="181">
        <v>32768.0</v>
      </c>
      <c r="D340" s="181">
        <v>8.0</v>
      </c>
      <c r="E340" s="181">
        <v>27.15</v>
      </c>
      <c r="F340" s="181">
        <v>1.21</v>
      </c>
      <c r="G340" s="181">
        <v>2.11</v>
      </c>
      <c r="H340" s="827">
        <v>45973.90935185185</v>
      </c>
    </row>
    <row r="341">
      <c r="A341" s="181" t="s">
        <v>22</v>
      </c>
      <c r="B341" s="181" t="s">
        <v>557</v>
      </c>
      <c r="C341" s="181">
        <v>65536.0</v>
      </c>
      <c r="D341" s="181">
        <v>8.0</v>
      </c>
      <c r="E341" s="181">
        <v>27.82</v>
      </c>
      <c r="F341" s="181">
        <v>2.36</v>
      </c>
      <c r="G341" s="181">
        <v>4.12</v>
      </c>
      <c r="H341" s="827">
        <v>45973.90935185185</v>
      </c>
    </row>
    <row r="342">
      <c r="A342" s="181" t="s">
        <v>22</v>
      </c>
      <c r="B342" s="181" t="s">
        <v>557</v>
      </c>
      <c r="C342" s="181">
        <v>131072.0</v>
      </c>
      <c r="D342" s="181">
        <v>8.0</v>
      </c>
      <c r="E342" s="181">
        <v>28.14</v>
      </c>
      <c r="F342" s="181">
        <v>4.66</v>
      </c>
      <c r="G342" s="181">
        <v>8.15</v>
      </c>
      <c r="H342" s="827">
        <v>45973.90935185185</v>
      </c>
    </row>
    <row r="343">
      <c r="A343" s="181" t="s">
        <v>22</v>
      </c>
      <c r="B343" s="181" t="s">
        <v>557</v>
      </c>
      <c r="C343" s="181">
        <v>262144.0</v>
      </c>
      <c r="D343" s="181">
        <v>8.0</v>
      </c>
      <c r="E343" s="181">
        <v>28.19</v>
      </c>
      <c r="F343" s="181">
        <v>9.3</v>
      </c>
      <c r="G343" s="181">
        <v>16.27</v>
      </c>
      <c r="H343" s="827">
        <v>45973.90935185185</v>
      </c>
    </row>
    <row r="344">
      <c r="A344" s="181" t="s">
        <v>22</v>
      </c>
      <c r="B344" s="181" t="s">
        <v>557</v>
      </c>
      <c r="C344" s="181">
        <v>524288.0</v>
      </c>
      <c r="D344" s="181">
        <v>8.0</v>
      </c>
      <c r="E344" s="181">
        <v>29.0</v>
      </c>
      <c r="F344" s="181">
        <v>18.08</v>
      </c>
      <c r="G344" s="181">
        <v>31.63</v>
      </c>
      <c r="H344" s="827">
        <v>45973.90935185185</v>
      </c>
    </row>
    <row r="345">
      <c r="A345" s="181" t="s">
        <v>22</v>
      </c>
      <c r="B345" s="181" t="s">
        <v>557</v>
      </c>
      <c r="C345" s="181">
        <v>1048576.0</v>
      </c>
      <c r="D345" s="181">
        <v>8.0</v>
      </c>
      <c r="E345" s="181">
        <v>29.55</v>
      </c>
      <c r="F345" s="181">
        <v>35.48</v>
      </c>
      <c r="G345" s="181">
        <v>62.1</v>
      </c>
      <c r="H345" s="827">
        <v>45973.90935185185</v>
      </c>
    </row>
    <row r="346">
      <c r="A346" s="181" t="s">
        <v>22</v>
      </c>
      <c r="B346" s="181" t="s">
        <v>557</v>
      </c>
      <c r="C346" s="181">
        <v>2097152.0</v>
      </c>
      <c r="D346" s="181">
        <v>8.0</v>
      </c>
      <c r="E346" s="181">
        <v>35.31</v>
      </c>
      <c r="F346" s="181">
        <v>59.39</v>
      </c>
      <c r="G346" s="181">
        <v>103.94</v>
      </c>
      <c r="H346" s="827">
        <v>45973.90935185185</v>
      </c>
    </row>
    <row r="347">
      <c r="A347" s="181" t="s">
        <v>22</v>
      </c>
      <c r="B347" s="181" t="s">
        <v>557</v>
      </c>
      <c r="C347" s="181">
        <v>4194304.0</v>
      </c>
      <c r="D347" s="181">
        <v>8.0</v>
      </c>
      <c r="E347" s="181">
        <v>55.51</v>
      </c>
      <c r="F347" s="181">
        <v>75.56</v>
      </c>
      <c r="G347" s="181">
        <v>132.22</v>
      </c>
      <c r="H347" s="827">
        <v>45973.90935185185</v>
      </c>
    </row>
    <row r="348">
      <c r="A348" s="181" t="s">
        <v>22</v>
      </c>
      <c r="B348" s="181" t="s">
        <v>557</v>
      </c>
      <c r="C348" s="181">
        <v>8388608.0</v>
      </c>
      <c r="D348" s="181">
        <v>8.0</v>
      </c>
      <c r="E348" s="181">
        <v>75.81</v>
      </c>
      <c r="F348" s="181">
        <v>110.66</v>
      </c>
      <c r="G348" s="181">
        <v>193.65</v>
      </c>
      <c r="H348" s="827">
        <v>45973.90935185185</v>
      </c>
    </row>
    <row r="349">
      <c r="A349" s="181" t="s">
        <v>22</v>
      </c>
      <c r="B349" s="181" t="s">
        <v>557</v>
      </c>
      <c r="C349" s="181">
        <v>1.6777216E7</v>
      </c>
      <c r="D349" s="181">
        <v>8.0</v>
      </c>
      <c r="E349" s="181">
        <v>106.2</v>
      </c>
      <c r="F349" s="181">
        <v>158.03</v>
      </c>
      <c r="G349" s="181">
        <v>276.56</v>
      </c>
      <c r="H349" s="827">
        <v>45973.90935185185</v>
      </c>
    </row>
    <row r="350">
      <c r="A350" s="181" t="s">
        <v>22</v>
      </c>
      <c r="B350" s="181" t="s">
        <v>557</v>
      </c>
      <c r="C350" s="181">
        <v>3.3554432E7</v>
      </c>
      <c r="D350" s="181">
        <v>8.0</v>
      </c>
      <c r="E350" s="181">
        <v>167.8</v>
      </c>
      <c r="F350" s="181">
        <v>199.97</v>
      </c>
      <c r="G350" s="181">
        <v>349.95</v>
      </c>
      <c r="H350" s="827">
        <v>45973.90935185185</v>
      </c>
    </row>
    <row r="351">
      <c r="A351" s="181" t="s">
        <v>22</v>
      </c>
      <c r="B351" s="181" t="s">
        <v>557</v>
      </c>
      <c r="C351" s="181">
        <v>6.7108864E7</v>
      </c>
      <c r="D351" s="181">
        <v>8.0</v>
      </c>
      <c r="E351" s="181">
        <v>275.6</v>
      </c>
      <c r="F351" s="181">
        <v>243.47</v>
      </c>
      <c r="G351" s="181">
        <v>426.06</v>
      </c>
      <c r="H351" s="827">
        <v>45973.90935185185</v>
      </c>
    </row>
    <row r="352">
      <c r="A352" s="181" t="s">
        <v>22</v>
      </c>
      <c r="B352" s="181" t="s">
        <v>557</v>
      </c>
      <c r="C352" s="181">
        <v>1.34217728E8</v>
      </c>
      <c r="D352" s="181">
        <v>8.0</v>
      </c>
      <c r="E352" s="181">
        <v>394.1</v>
      </c>
      <c r="F352" s="181">
        <v>340.59</v>
      </c>
      <c r="G352" s="181">
        <v>596.02</v>
      </c>
      <c r="H352" s="827">
        <v>45973.90935185185</v>
      </c>
    </row>
    <row r="353">
      <c r="A353" s="181" t="s">
        <v>22</v>
      </c>
      <c r="B353" s="181" t="s">
        <v>557</v>
      </c>
      <c r="C353" s="181">
        <v>2.68435456E8</v>
      </c>
      <c r="D353" s="181">
        <v>8.0</v>
      </c>
      <c r="E353" s="181">
        <v>713.2</v>
      </c>
      <c r="F353" s="181">
        <v>376.39</v>
      </c>
      <c r="G353" s="181">
        <v>658.68</v>
      </c>
      <c r="H353" s="827">
        <v>45973.90935185185</v>
      </c>
    </row>
    <row r="354">
      <c r="A354" s="181" t="s">
        <v>22</v>
      </c>
      <c r="B354" s="181" t="s">
        <v>557</v>
      </c>
      <c r="C354" s="181">
        <v>5.36870912E8</v>
      </c>
      <c r="D354" s="181">
        <v>8.0</v>
      </c>
      <c r="E354" s="181">
        <v>1336.0</v>
      </c>
      <c r="F354" s="181">
        <v>401.85</v>
      </c>
      <c r="G354" s="181">
        <v>703.24</v>
      </c>
      <c r="H354" s="827">
        <v>45973.90935185185</v>
      </c>
    </row>
    <row r="355">
      <c r="A355" s="181" t="s">
        <v>22</v>
      </c>
      <c r="B355" s="181" t="s">
        <v>557</v>
      </c>
      <c r="C355" s="181">
        <v>1.073741824E9</v>
      </c>
      <c r="D355" s="181">
        <v>8.0</v>
      </c>
      <c r="E355" s="181">
        <v>2595.3</v>
      </c>
      <c r="F355" s="181">
        <v>413.73</v>
      </c>
      <c r="G355" s="181">
        <v>724.02</v>
      </c>
      <c r="H355" s="827">
        <v>45973.90935185185</v>
      </c>
    </row>
    <row r="356">
      <c r="A356" s="181" t="s">
        <v>22</v>
      </c>
      <c r="B356" s="181" t="s">
        <v>557</v>
      </c>
      <c r="C356" s="181">
        <v>2.147483648E9</v>
      </c>
      <c r="D356" s="181">
        <v>8.0</v>
      </c>
      <c r="E356" s="181">
        <v>4590.4</v>
      </c>
      <c r="F356" s="181">
        <v>467.82</v>
      </c>
      <c r="G356" s="181">
        <v>818.68</v>
      </c>
      <c r="H356" s="827">
        <v>45973.90935185185</v>
      </c>
    </row>
    <row r="357">
      <c r="A357" s="181" t="s">
        <v>22</v>
      </c>
      <c r="B357" s="181" t="s">
        <v>557</v>
      </c>
      <c r="C357" s="181">
        <v>4.294967296E9</v>
      </c>
      <c r="D357" s="181">
        <v>8.0</v>
      </c>
      <c r="E357" s="181">
        <v>9150.5</v>
      </c>
      <c r="F357" s="181">
        <v>469.37</v>
      </c>
      <c r="G357" s="181">
        <v>821.4</v>
      </c>
      <c r="H357" s="827">
        <v>45973.90935185185</v>
      </c>
    </row>
    <row r="358">
      <c r="A358" s="181" t="s">
        <v>22</v>
      </c>
      <c r="B358" s="181" t="s">
        <v>558</v>
      </c>
      <c r="C358" s="181">
        <v>128.0</v>
      </c>
      <c r="D358" s="181">
        <v>2.0</v>
      </c>
      <c r="E358" s="181">
        <v>8.53</v>
      </c>
      <c r="F358" s="181">
        <v>0.02</v>
      </c>
      <c r="G358" s="181">
        <v>0.01</v>
      </c>
      <c r="H358" s="827">
        <v>45960.83934027778</v>
      </c>
    </row>
    <row r="359">
      <c r="A359" s="181" t="s">
        <v>22</v>
      </c>
      <c r="B359" s="181" t="s">
        <v>558</v>
      </c>
      <c r="C359" s="181">
        <v>256.0</v>
      </c>
      <c r="D359" s="181">
        <v>2.0</v>
      </c>
      <c r="E359" s="181">
        <v>8.8</v>
      </c>
      <c r="F359" s="181">
        <v>0.03</v>
      </c>
      <c r="G359" s="181">
        <v>0.01</v>
      </c>
      <c r="H359" s="827">
        <v>45960.83934027778</v>
      </c>
    </row>
    <row r="360">
      <c r="A360" s="181" t="s">
        <v>22</v>
      </c>
      <c r="B360" s="181" t="s">
        <v>558</v>
      </c>
      <c r="C360" s="181">
        <v>512.0</v>
      </c>
      <c r="D360" s="181">
        <v>2.0</v>
      </c>
      <c r="E360" s="181">
        <v>8.83</v>
      </c>
      <c r="F360" s="181">
        <v>0.06</v>
      </c>
      <c r="G360" s="181">
        <v>0.03</v>
      </c>
      <c r="H360" s="827">
        <v>45960.83934027778</v>
      </c>
    </row>
    <row r="361">
      <c r="A361" s="181" t="s">
        <v>22</v>
      </c>
      <c r="B361" s="181" t="s">
        <v>558</v>
      </c>
      <c r="C361" s="181">
        <v>1024.0</v>
      </c>
      <c r="D361" s="181">
        <v>2.0</v>
      </c>
      <c r="E361" s="181">
        <v>8.88</v>
      </c>
      <c r="F361" s="181">
        <v>0.12</v>
      </c>
      <c r="G361" s="181">
        <v>0.06</v>
      </c>
      <c r="H361" s="827">
        <v>45960.83934027778</v>
      </c>
    </row>
    <row r="362">
      <c r="A362" s="181" t="s">
        <v>22</v>
      </c>
      <c r="B362" s="181" t="s">
        <v>558</v>
      </c>
      <c r="C362" s="181">
        <v>2048.0</v>
      </c>
      <c r="D362" s="181">
        <v>2.0</v>
      </c>
      <c r="E362" s="181">
        <v>8.93</v>
      </c>
      <c r="F362" s="181">
        <v>0.23</v>
      </c>
      <c r="G362" s="181">
        <v>0.11</v>
      </c>
      <c r="H362" s="827">
        <v>45960.83934027778</v>
      </c>
    </row>
    <row r="363">
      <c r="A363" s="181" t="s">
        <v>22</v>
      </c>
      <c r="B363" s="181" t="s">
        <v>558</v>
      </c>
      <c r="C363" s="181">
        <v>4096.0</v>
      </c>
      <c r="D363" s="181">
        <v>2.0</v>
      </c>
      <c r="E363" s="181">
        <v>9.22</v>
      </c>
      <c r="F363" s="181">
        <v>0.44</v>
      </c>
      <c r="G363" s="181">
        <v>0.22</v>
      </c>
      <c r="H363" s="827">
        <v>45960.83934027778</v>
      </c>
    </row>
    <row r="364">
      <c r="A364" s="181" t="s">
        <v>22</v>
      </c>
      <c r="B364" s="181" t="s">
        <v>558</v>
      </c>
      <c r="C364" s="181">
        <v>8192.0</v>
      </c>
      <c r="D364" s="181">
        <v>2.0</v>
      </c>
      <c r="E364" s="181">
        <v>9.48</v>
      </c>
      <c r="F364" s="181">
        <v>0.86</v>
      </c>
      <c r="G364" s="181">
        <v>0.43</v>
      </c>
      <c r="H364" s="827">
        <v>45960.83934027778</v>
      </c>
    </row>
    <row r="365">
      <c r="A365" s="181" t="s">
        <v>22</v>
      </c>
      <c r="B365" s="181" t="s">
        <v>558</v>
      </c>
      <c r="C365" s="181">
        <v>16384.0</v>
      </c>
      <c r="D365" s="181">
        <v>2.0</v>
      </c>
      <c r="E365" s="181">
        <v>10.39</v>
      </c>
      <c r="F365" s="181">
        <v>1.58</v>
      </c>
      <c r="G365" s="181">
        <v>0.79</v>
      </c>
      <c r="H365" s="827">
        <v>45960.83934027778</v>
      </c>
    </row>
    <row r="366">
      <c r="A366" s="181" t="s">
        <v>22</v>
      </c>
      <c r="B366" s="181" t="s">
        <v>558</v>
      </c>
      <c r="C366" s="181">
        <v>32768.0</v>
      </c>
      <c r="D366" s="181">
        <v>2.0</v>
      </c>
      <c r="E366" s="181">
        <v>10.93</v>
      </c>
      <c r="F366" s="181">
        <v>3.0</v>
      </c>
      <c r="G366" s="181">
        <v>1.5</v>
      </c>
      <c r="H366" s="827">
        <v>45960.83934027778</v>
      </c>
    </row>
    <row r="367">
      <c r="A367" s="181" t="s">
        <v>22</v>
      </c>
      <c r="B367" s="181" t="s">
        <v>558</v>
      </c>
      <c r="C367" s="181">
        <v>65536.0</v>
      </c>
      <c r="D367" s="181">
        <v>2.0</v>
      </c>
      <c r="E367" s="181">
        <v>11.38</v>
      </c>
      <c r="F367" s="181">
        <v>5.76</v>
      </c>
      <c r="G367" s="181">
        <v>2.88</v>
      </c>
      <c r="H367" s="827">
        <v>45960.83934027778</v>
      </c>
    </row>
    <row r="368">
      <c r="A368" s="181" t="s">
        <v>22</v>
      </c>
      <c r="B368" s="181" t="s">
        <v>558</v>
      </c>
      <c r="C368" s="181">
        <v>131072.0</v>
      </c>
      <c r="D368" s="181">
        <v>2.0</v>
      </c>
      <c r="E368" s="181">
        <v>11.48</v>
      </c>
      <c r="F368" s="181">
        <v>11.42</v>
      </c>
      <c r="G368" s="181">
        <v>5.71</v>
      </c>
      <c r="H368" s="827">
        <v>45960.83934027778</v>
      </c>
    </row>
    <row r="369">
      <c r="A369" s="181" t="s">
        <v>22</v>
      </c>
      <c r="B369" s="181" t="s">
        <v>558</v>
      </c>
      <c r="C369" s="181">
        <v>262144.0</v>
      </c>
      <c r="D369" s="181">
        <v>2.0</v>
      </c>
      <c r="E369" s="181">
        <v>11.68</v>
      </c>
      <c r="F369" s="181">
        <v>22.45</v>
      </c>
      <c r="G369" s="181">
        <v>11.22</v>
      </c>
      <c r="H369" s="827">
        <v>45960.83934027778</v>
      </c>
    </row>
    <row r="370">
      <c r="A370" s="181" t="s">
        <v>22</v>
      </c>
      <c r="B370" s="181" t="s">
        <v>558</v>
      </c>
      <c r="C370" s="181">
        <v>524288.0</v>
      </c>
      <c r="D370" s="181">
        <v>2.0</v>
      </c>
      <c r="E370" s="181">
        <v>13.36</v>
      </c>
      <c r="F370" s="181">
        <v>39.25</v>
      </c>
      <c r="G370" s="181">
        <v>19.63</v>
      </c>
      <c r="H370" s="827">
        <v>45960.83934027778</v>
      </c>
    </row>
    <row r="371">
      <c r="A371" s="181" t="s">
        <v>22</v>
      </c>
      <c r="B371" s="181" t="s">
        <v>558</v>
      </c>
      <c r="C371" s="181">
        <v>1048576.0</v>
      </c>
      <c r="D371" s="181">
        <v>2.0</v>
      </c>
      <c r="E371" s="181">
        <v>16.85</v>
      </c>
      <c r="F371" s="181">
        <v>62.24</v>
      </c>
      <c r="G371" s="181">
        <v>31.12</v>
      </c>
      <c r="H371" s="827">
        <v>45960.83934027778</v>
      </c>
    </row>
    <row r="372">
      <c r="A372" s="181" t="s">
        <v>22</v>
      </c>
      <c r="B372" s="181" t="s">
        <v>558</v>
      </c>
      <c r="C372" s="181">
        <v>2097152.0</v>
      </c>
      <c r="D372" s="181">
        <v>2.0</v>
      </c>
      <c r="E372" s="181">
        <v>17.92</v>
      </c>
      <c r="F372" s="181">
        <v>117.05</v>
      </c>
      <c r="G372" s="181">
        <v>58.53</v>
      </c>
      <c r="H372" s="827">
        <v>45960.83934027778</v>
      </c>
    </row>
    <row r="373">
      <c r="A373" s="181" t="s">
        <v>22</v>
      </c>
      <c r="B373" s="181" t="s">
        <v>558</v>
      </c>
      <c r="C373" s="181">
        <v>4194304.0</v>
      </c>
      <c r="D373" s="181">
        <v>2.0</v>
      </c>
      <c r="E373" s="181">
        <v>22.15</v>
      </c>
      <c r="F373" s="181">
        <v>189.36</v>
      </c>
      <c r="G373" s="181">
        <v>94.68</v>
      </c>
      <c r="H373" s="827">
        <v>45960.83934027778</v>
      </c>
    </row>
    <row r="374">
      <c r="A374" s="181" t="s">
        <v>22</v>
      </c>
      <c r="B374" s="181" t="s">
        <v>558</v>
      </c>
      <c r="C374" s="181">
        <v>8388608.0</v>
      </c>
      <c r="D374" s="181">
        <v>2.0</v>
      </c>
      <c r="E374" s="181">
        <v>33.37</v>
      </c>
      <c r="F374" s="181">
        <v>251.41</v>
      </c>
      <c r="G374" s="181">
        <v>125.7</v>
      </c>
      <c r="H374" s="827">
        <v>45960.83934027778</v>
      </c>
    </row>
    <row r="375">
      <c r="A375" s="181" t="s">
        <v>22</v>
      </c>
      <c r="B375" s="181" t="s">
        <v>558</v>
      </c>
      <c r="C375" s="181">
        <v>1.6777216E7</v>
      </c>
      <c r="D375" s="181">
        <v>2.0</v>
      </c>
      <c r="E375" s="181">
        <v>51.03</v>
      </c>
      <c r="F375" s="181">
        <v>328.79</v>
      </c>
      <c r="G375" s="181">
        <v>164.39</v>
      </c>
      <c r="H375" s="827">
        <v>45960.83934027778</v>
      </c>
    </row>
    <row r="376">
      <c r="A376" s="181" t="s">
        <v>22</v>
      </c>
      <c r="B376" s="181" t="s">
        <v>558</v>
      </c>
      <c r="C376" s="181">
        <v>3.3554432E7</v>
      </c>
      <c r="D376" s="181">
        <v>2.0</v>
      </c>
      <c r="E376" s="181">
        <v>67.95</v>
      </c>
      <c r="F376" s="181">
        <v>493.79</v>
      </c>
      <c r="G376" s="181">
        <v>246.9</v>
      </c>
      <c r="H376" s="827">
        <v>45960.83934027778</v>
      </c>
    </row>
    <row r="377">
      <c r="A377" s="181" t="s">
        <v>22</v>
      </c>
      <c r="B377" s="181" t="s">
        <v>558</v>
      </c>
      <c r="C377" s="181">
        <v>6.7108864E7</v>
      </c>
      <c r="D377" s="181">
        <v>2.0</v>
      </c>
      <c r="E377" s="181">
        <v>127.6</v>
      </c>
      <c r="F377" s="181">
        <v>525.93</v>
      </c>
      <c r="G377" s="181">
        <v>262.97</v>
      </c>
      <c r="H377" s="827">
        <v>45960.83934027778</v>
      </c>
    </row>
    <row r="378">
      <c r="A378" s="181" t="s">
        <v>22</v>
      </c>
      <c r="B378" s="181" t="s">
        <v>558</v>
      </c>
      <c r="C378" s="181">
        <v>1.34217728E8</v>
      </c>
      <c r="D378" s="181">
        <v>2.0</v>
      </c>
      <c r="E378" s="181">
        <v>226.6</v>
      </c>
      <c r="F378" s="181">
        <v>592.33</v>
      </c>
      <c r="G378" s="181">
        <v>296.16</v>
      </c>
      <c r="H378" s="827">
        <v>45960.83934027778</v>
      </c>
    </row>
    <row r="379">
      <c r="A379" s="181" t="s">
        <v>22</v>
      </c>
      <c r="B379" s="181" t="s">
        <v>558</v>
      </c>
      <c r="C379" s="181">
        <v>2.68435456E8</v>
      </c>
      <c r="D379" s="181">
        <v>2.0</v>
      </c>
      <c r="E379" s="181">
        <v>424.9</v>
      </c>
      <c r="F379" s="181">
        <v>631.77</v>
      </c>
      <c r="G379" s="181">
        <v>315.88</v>
      </c>
      <c r="H379" s="827">
        <v>45960.83934027778</v>
      </c>
    </row>
    <row r="380">
      <c r="A380" s="181" t="s">
        <v>22</v>
      </c>
      <c r="B380" s="181" t="s">
        <v>558</v>
      </c>
      <c r="C380" s="181">
        <v>5.36870912E8</v>
      </c>
      <c r="D380" s="181">
        <v>2.0</v>
      </c>
      <c r="E380" s="181">
        <v>814.3</v>
      </c>
      <c r="F380" s="181">
        <v>659.29</v>
      </c>
      <c r="G380" s="181">
        <v>329.64</v>
      </c>
      <c r="H380" s="827">
        <v>45960.83934027778</v>
      </c>
    </row>
    <row r="381">
      <c r="A381" s="181" t="s">
        <v>22</v>
      </c>
      <c r="B381" s="181" t="s">
        <v>558</v>
      </c>
      <c r="C381" s="181">
        <v>1.073741824E9</v>
      </c>
      <c r="D381" s="181">
        <v>2.0</v>
      </c>
      <c r="E381" s="181">
        <v>1254.9</v>
      </c>
      <c r="F381" s="181">
        <v>855.62</v>
      </c>
      <c r="G381" s="181">
        <v>427.81</v>
      </c>
      <c r="H381" s="827">
        <v>45960.83934027778</v>
      </c>
    </row>
    <row r="382">
      <c r="A382" s="181" t="s">
        <v>22</v>
      </c>
      <c r="B382" s="181" t="s">
        <v>558</v>
      </c>
      <c r="C382" s="181">
        <v>192.0</v>
      </c>
      <c r="D382" s="181">
        <v>3.0</v>
      </c>
      <c r="E382" s="181">
        <v>9.5</v>
      </c>
      <c r="F382" s="181">
        <v>0.02</v>
      </c>
      <c r="G382" s="181">
        <v>0.01</v>
      </c>
      <c r="H382" s="827">
        <v>45960.83934027778</v>
      </c>
    </row>
    <row r="383">
      <c r="A383" s="181" t="s">
        <v>22</v>
      </c>
      <c r="B383" s="181" t="s">
        <v>558</v>
      </c>
      <c r="C383" s="181">
        <v>384.0</v>
      </c>
      <c r="D383" s="181">
        <v>3.0</v>
      </c>
      <c r="E383" s="181">
        <v>9.61</v>
      </c>
      <c r="F383" s="181">
        <v>0.04</v>
      </c>
      <c r="G383" s="181">
        <v>0.03</v>
      </c>
      <c r="H383" s="827">
        <v>45960.83934027778</v>
      </c>
    </row>
    <row r="384">
      <c r="A384" s="181" t="s">
        <v>22</v>
      </c>
      <c r="B384" s="181" t="s">
        <v>558</v>
      </c>
      <c r="C384" s="181">
        <v>768.0</v>
      </c>
      <c r="D384" s="181">
        <v>3.0</v>
      </c>
      <c r="E384" s="181">
        <v>9.61</v>
      </c>
      <c r="F384" s="181">
        <v>0.08</v>
      </c>
      <c r="G384" s="181">
        <v>0.05</v>
      </c>
      <c r="H384" s="827">
        <v>45960.83934027778</v>
      </c>
    </row>
    <row r="385">
      <c r="A385" s="181" t="s">
        <v>22</v>
      </c>
      <c r="B385" s="181" t="s">
        <v>558</v>
      </c>
      <c r="C385" s="181">
        <v>1536.0</v>
      </c>
      <c r="D385" s="181">
        <v>3.0</v>
      </c>
      <c r="E385" s="181">
        <v>9.63</v>
      </c>
      <c r="F385" s="181">
        <v>0.16</v>
      </c>
      <c r="G385" s="181">
        <v>0.11</v>
      </c>
      <c r="H385" s="827">
        <v>45960.83934027778</v>
      </c>
    </row>
    <row r="386">
      <c r="A386" s="181" t="s">
        <v>22</v>
      </c>
      <c r="B386" s="181" t="s">
        <v>558</v>
      </c>
      <c r="C386" s="181">
        <v>3072.0</v>
      </c>
      <c r="D386" s="181">
        <v>3.0</v>
      </c>
      <c r="E386" s="181">
        <v>9.77</v>
      </c>
      <c r="F386" s="181">
        <v>0.31</v>
      </c>
      <c r="G386" s="181">
        <v>0.21</v>
      </c>
      <c r="H386" s="827">
        <v>45960.83934027778</v>
      </c>
    </row>
    <row r="387">
      <c r="A387" s="181" t="s">
        <v>22</v>
      </c>
      <c r="B387" s="181" t="s">
        <v>558</v>
      </c>
      <c r="C387" s="181">
        <v>6144.0</v>
      </c>
      <c r="D387" s="181">
        <v>3.0</v>
      </c>
      <c r="E387" s="181">
        <v>9.66</v>
      </c>
      <c r="F387" s="181">
        <v>0.64</v>
      </c>
      <c r="G387" s="181">
        <v>0.42</v>
      </c>
      <c r="H387" s="827">
        <v>45960.83934027778</v>
      </c>
    </row>
    <row r="388">
      <c r="A388" s="181" t="s">
        <v>22</v>
      </c>
      <c r="B388" s="181" t="s">
        <v>558</v>
      </c>
      <c r="C388" s="181">
        <v>12288.0</v>
      </c>
      <c r="D388" s="181">
        <v>3.0</v>
      </c>
      <c r="E388" s="181">
        <v>10.26</v>
      </c>
      <c r="F388" s="181">
        <v>1.2</v>
      </c>
      <c r="G388" s="181">
        <v>0.8</v>
      </c>
      <c r="H388" s="827">
        <v>45960.83934027778</v>
      </c>
    </row>
    <row r="389">
      <c r="A389" s="181" t="s">
        <v>22</v>
      </c>
      <c r="B389" s="181" t="s">
        <v>558</v>
      </c>
      <c r="C389" s="181">
        <v>24576.0</v>
      </c>
      <c r="D389" s="181">
        <v>3.0</v>
      </c>
      <c r="E389" s="181">
        <v>11.17</v>
      </c>
      <c r="F389" s="181">
        <v>2.2</v>
      </c>
      <c r="G389" s="181">
        <v>1.47</v>
      </c>
      <c r="H389" s="827">
        <v>45960.83934027778</v>
      </c>
    </row>
    <row r="390">
      <c r="A390" s="181" t="s">
        <v>22</v>
      </c>
      <c r="B390" s="181" t="s">
        <v>558</v>
      </c>
      <c r="C390" s="181">
        <v>49152.0</v>
      </c>
      <c r="D390" s="181">
        <v>3.0</v>
      </c>
      <c r="E390" s="181">
        <v>11.52</v>
      </c>
      <c r="F390" s="181">
        <v>4.27</v>
      </c>
      <c r="G390" s="181">
        <v>2.84</v>
      </c>
      <c r="H390" s="827">
        <v>45960.83934027778</v>
      </c>
    </row>
    <row r="391">
      <c r="A391" s="181" t="s">
        <v>22</v>
      </c>
      <c r="B391" s="181" t="s">
        <v>558</v>
      </c>
      <c r="C391" s="181">
        <v>98304.0</v>
      </c>
      <c r="D391" s="181">
        <v>3.0</v>
      </c>
      <c r="E391" s="181">
        <v>11.72</v>
      </c>
      <c r="F391" s="181">
        <v>8.39</v>
      </c>
      <c r="G391" s="181">
        <v>5.59</v>
      </c>
      <c r="H391" s="827">
        <v>45960.83934027778</v>
      </c>
    </row>
    <row r="392">
      <c r="A392" s="181" t="s">
        <v>22</v>
      </c>
      <c r="B392" s="181" t="s">
        <v>558</v>
      </c>
      <c r="C392" s="181">
        <v>196608.0</v>
      </c>
      <c r="D392" s="181">
        <v>3.0</v>
      </c>
      <c r="E392" s="181">
        <v>11.93</v>
      </c>
      <c r="F392" s="181">
        <v>16.48</v>
      </c>
      <c r="G392" s="181">
        <v>10.99</v>
      </c>
      <c r="H392" s="827">
        <v>45960.83934027778</v>
      </c>
    </row>
    <row r="393">
      <c r="A393" s="181" t="s">
        <v>22</v>
      </c>
      <c r="B393" s="181" t="s">
        <v>558</v>
      </c>
      <c r="C393" s="181">
        <v>393216.0</v>
      </c>
      <c r="D393" s="181">
        <v>3.0</v>
      </c>
      <c r="E393" s="181">
        <v>13.4</v>
      </c>
      <c r="F393" s="181">
        <v>29.35</v>
      </c>
      <c r="G393" s="181">
        <v>19.56</v>
      </c>
      <c r="H393" s="827">
        <v>45960.83934027778</v>
      </c>
    </row>
    <row r="394">
      <c r="A394" s="181" t="s">
        <v>22</v>
      </c>
      <c r="B394" s="181" t="s">
        <v>558</v>
      </c>
      <c r="C394" s="181">
        <v>786432.0</v>
      </c>
      <c r="D394" s="181">
        <v>3.0</v>
      </c>
      <c r="E394" s="181">
        <v>16.91</v>
      </c>
      <c r="F394" s="181">
        <v>46.5</v>
      </c>
      <c r="G394" s="181">
        <v>31.0</v>
      </c>
      <c r="H394" s="827">
        <v>45960.83934027778</v>
      </c>
    </row>
    <row r="395">
      <c r="A395" s="181" t="s">
        <v>22</v>
      </c>
      <c r="B395" s="181" t="s">
        <v>558</v>
      </c>
      <c r="C395" s="181">
        <v>1572864.0</v>
      </c>
      <c r="D395" s="181">
        <v>3.0</v>
      </c>
      <c r="E395" s="181">
        <v>23.73</v>
      </c>
      <c r="F395" s="181">
        <v>66.28</v>
      </c>
      <c r="G395" s="181">
        <v>44.19</v>
      </c>
      <c r="H395" s="827">
        <v>45960.83934027778</v>
      </c>
    </row>
    <row r="396">
      <c r="A396" s="181" t="s">
        <v>22</v>
      </c>
      <c r="B396" s="181" t="s">
        <v>558</v>
      </c>
      <c r="C396" s="181">
        <v>3145728.0</v>
      </c>
      <c r="D396" s="181">
        <v>3.0</v>
      </c>
      <c r="E396" s="181">
        <v>21.98</v>
      </c>
      <c r="F396" s="181">
        <v>143.11</v>
      </c>
      <c r="G396" s="181">
        <v>95.41</v>
      </c>
      <c r="H396" s="827">
        <v>45960.83934027778</v>
      </c>
    </row>
    <row r="397">
      <c r="A397" s="181" t="s">
        <v>22</v>
      </c>
      <c r="B397" s="181" t="s">
        <v>558</v>
      </c>
      <c r="C397" s="181">
        <v>6291456.0</v>
      </c>
      <c r="D397" s="181">
        <v>3.0</v>
      </c>
      <c r="E397" s="181">
        <v>28.77</v>
      </c>
      <c r="F397" s="181">
        <v>218.65</v>
      </c>
      <c r="G397" s="181">
        <v>145.77</v>
      </c>
      <c r="H397" s="827">
        <v>45960.83934027778</v>
      </c>
    </row>
    <row r="398">
      <c r="A398" s="181" t="s">
        <v>22</v>
      </c>
      <c r="B398" s="181" t="s">
        <v>558</v>
      </c>
      <c r="C398" s="181">
        <v>1.2582912E7</v>
      </c>
      <c r="D398" s="181">
        <v>3.0</v>
      </c>
      <c r="E398" s="181">
        <v>41.69</v>
      </c>
      <c r="F398" s="181">
        <v>301.81</v>
      </c>
      <c r="G398" s="181">
        <v>201.2</v>
      </c>
      <c r="H398" s="827">
        <v>45960.83934027778</v>
      </c>
    </row>
    <row r="399">
      <c r="A399" s="181" t="s">
        <v>22</v>
      </c>
      <c r="B399" s="181" t="s">
        <v>558</v>
      </c>
      <c r="C399" s="181">
        <v>2.5165824E7</v>
      </c>
      <c r="D399" s="181">
        <v>3.0</v>
      </c>
      <c r="E399" s="181">
        <v>68.89</v>
      </c>
      <c r="F399" s="181">
        <v>365.32</v>
      </c>
      <c r="G399" s="181">
        <v>243.55</v>
      </c>
      <c r="H399" s="827">
        <v>45960.83934027778</v>
      </c>
    </row>
    <row r="400">
      <c r="A400" s="181" t="s">
        <v>22</v>
      </c>
      <c r="B400" s="181" t="s">
        <v>558</v>
      </c>
      <c r="C400" s="181">
        <v>5.0331648E7</v>
      </c>
      <c r="D400" s="181">
        <v>3.0</v>
      </c>
      <c r="E400" s="181">
        <v>119.0</v>
      </c>
      <c r="F400" s="181">
        <v>422.98</v>
      </c>
      <c r="G400" s="181">
        <v>281.99</v>
      </c>
      <c r="H400" s="827">
        <v>45960.83934027778</v>
      </c>
    </row>
    <row r="401">
      <c r="A401" s="181" t="s">
        <v>22</v>
      </c>
      <c r="B401" s="181" t="s">
        <v>558</v>
      </c>
      <c r="C401" s="181">
        <v>1.00663296E8</v>
      </c>
      <c r="D401" s="181">
        <v>3.0</v>
      </c>
      <c r="E401" s="181">
        <v>218.7</v>
      </c>
      <c r="F401" s="181">
        <v>460.32</v>
      </c>
      <c r="G401" s="181">
        <v>306.88</v>
      </c>
      <c r="H401" s="827">
        <v>45960.83934027778</v>
      </c>
    </row>
    <row r="402">
      <c r="A402" s="181" t="s">
        <v>22</v>
      </c>
      <c r="B402" s="181" t="s">
        <v>558</v>
      </c>
      <c r="C402" s="181">
        <v>2.01326592E8</v>
      </c>
      <c r="D402" s="181">
        <v>3.0</v>
      </c>
      <c r="E402" s="181">
        <v>415.1</v>
      </c>
      <c r="F402" s="181">
        <v>485.0</v>
      </c>
      <c r="G402" s="181">
        <v>323.33</v>
      </c>
      <c r="H402" s="827">
        <v>45960.83934027778</v>
      </c>
    </row>
    <row r="403">
      <c r="A403" s="181" t="s">
        <v>22</v>
      </c>
      <c r="B403" s="181" t="s">
        <v>558</v>
      </c>
      <c r="C403" s="181">
        <v>4.02653184E8</v>
      </c>
      <c r="D403" s="181">
        <v>3.0</v>
      </c>
      <c r="E403" s="181">
        <v>803.9</v>
      </c>
      <c r="F403" s="181">
        <v>500.86</v>
      </c>
      <c r="G403" s="181">
        <v>333.9</v>
      </c>
      <c r="H403" s="827">
        <v>45960.83934027778</v>
      </c>
    </row>
    <row r="404">
      <c r="A404" s="181" t="s">
        <v>22</v>
      </c>
      <c r="B404" s="181" t="s">
        <v>558</v>
      </c>
      <c r="C404" s="181">
        <v>8.05306368E8</v>
      </c>
      <c r="D404" s="181">
        <v>3.0</v>
      </c>
      <c r="E404" s="181">
        <v>1498.4</v>
      </c>
      <c r="F404" s="181">
        <v>537.45</v>
      </c>
      <c r="G404" s="181">
        <v>358.3</v>
      </c>
      <c r="H404" s="827">
        <v>45960.83934027778</v>
      </c>
    </row>
    <row r="405">
      <c r="A405" s="181" t="s">
        <v>22</v>
      </c>
      <c r="B405" s="181" t="s">
        <v>558</v>
      </c>
      <c r="C405" s="181">
        <v>1.610612736E9</v>
      </c>
      <c r="D405" s="181">
        <v>3.0</v>
      </c>
      <c r="E405" s="181">
        <v>2123.4</v>
      </c>
      <c r="F405" s="181">
        <v>758.49</v>
      </c>
      <c r="G405" s="181">
        <v>505.66</v>
      </c>
      <c r="H405" s="827">
        <v>45960.83934027778</v>
      </c>
    </row>
    <row r="406">
      <c r="A406" s="181" t="s">
        <v>22</v>
      </c>
      <c r="B406" s="181" t="s">
        <v>558</v>
      </c>
      <c r="C406" s="181">
        <v>128.0</v>
      </c>
      <c r="D406" s="181">
        <v>4.0</v>
      </c>
      <c r="E406" s="181">
        <v>9.67</v>
      </c>
      <c r="F406" s="181">
        <v>0.01</v>
      </c>
      <c r="G406" s="181">
        <v>0.01</v>
      </c>
      <c r="H406" s="827">
        <v>45960.83934027778</v>
      </c>
    </row>
    <row r="407">
      <c r="A407" s="181" t="s">
        <v>22</v>
      </c>
      <c r="B407" s="181" t="s">
        <v>558</v>
      </c>
      <c r="C407" s="181">
        <v>256.0</v>
      </c>
      <c r="D407" s="181">
        <v>4.0</v>
      </c>
      <c r="E407" s="181">
        <v>9.94</v>
      </c>
      <c r="F407" s="181">
        <v>0.03</v>
      </c>
      <c r="G407" s="181">
        <v>0.02</v>
      </c>
      <c r="H407" s="827">
        <v>45960.83934027778</v>
      </c>
    </row>
    <row r="408">
      <c r="A408" s="181" t="s">
        <v>22</v>
      </c>
      <c r="B408" s="181" t="s">
        <v>558</v>
      </c>
      <c r="C408" s="181">
        <v>512.0</v>
      </c>
      <c r="D408" s="181">
        <v>4.0</v>
      </c>
      <c r="E408" s="181">
        <v>10.11</v>
      </c>
      <c r="F408" s="181">
        <v>0.05</v>
      </c>
      <c r="G408" s="181">
        <v>0.04</v>
      </c>
      <c r="H408" s="827">
        <v>45960.83934027778</v>
      </c>
    </row>
    <row r="409">
      <c r="A409" s="181" t="s">
        <v>22</v>
      </c>
      <c r="B409" s="181" t="s">
        <v>558</v>
      </c>
      <c r="C409" s="181">
        <v>1024.0</v>
      </c>
      <c r="D409" s="181">
        <v>4.0</v>
      </c>
      <c r="E409" s="181">
        <v>10.16</v>
      </c>
      <c r="F409" s="181">
        <v>0.1</v>
      </c>
      <c r="G409" s="181">
        <v>0.08</v>
      </c>
      <c r="H409" s="827">
        <v>45960.83934027778</v>
      </c>
    </row>
    <row r="410">
      <c r="A410" s="181" t="s">
        <v>22</v>
      </c>
      <c r="B410" s="181" t="s">
        <v>558</v>
      </c>
      <c r="C410" s="181">
        <v>2048.0</v>
      </c>
      <c r="D410" s="181">
        <v>4.0</v>
      </c>
      <c r="E410" s="181">
        <v>10.02</v>
      </c>
      <c r="F410" s="181">
        <v>0.2</v>
      </c>
      <c r="G410" s="181">
        <v>0.15</v>
      </c>
      <c r="H410" s="827">
        <v>45960.83934027778</v>
      </c>
    </row>
    <row r="411">
      <c r="A411" s="181" t="s">
        <v>22</v>
      </c>
      <c r="B411" s="181" t="s">
        <v>558</v>
      </c>
      <c r="C411" s="181">
        <v>4096.0</v>
      </c>
      <c r="D411" s="181">
        <v>4.0</v>
      </c>
      <c r="E411" s="181">
        <v>10.14</v>
      </c>
      <c r="F411" s="181">
        <v>0.4</v>
      </c>
      <c r="G411" s="181">
        <v>0.3</v>
      </c>
      <c r="H411" s="827">
        <v>45960.83934027778</v>
      </c>
    </row>
    <row r="412">
      <c r="A412" s="181" t="s">
        <v>22</v>
      </c>
      <c r="B412" s="181" t="s">
        <v>558</v>
      </c>
      <c r="C412" s="181">
        <v>8192.0</v>
      </c>
      <c r="D412" s="181">
        <v>4.0</v>
      </c>
      <c r="E412" s="181">
        <v>10.2</v>
      </c>
      <c r="F412" s="181">
        <v>0.8</v>
      </c>
      <c r="G412" s="181">
        <v>0.6</v>
      </c>
      <c r="H412" s="827">
        <v>45960.83934027778</v>
      </c>
    </row>
    <row r="413">
      <c r="A413" s="181" t="s">
        <v>22</v>
      </c>
      <c r="B413" s="181" t="s">
        <v>558</v>
      </c>
      <c r="C413" s="181">
        <v>16384.0</v>
      </c>
      <c r="D413" s="181">
        <v>4.0</v>
      </c>
      <c r="E413" s="181">
        <v>10.73</v>
      </c>
      <c r="F413" s="181">
        <v>1.53</v>
      </c>
      <c r="G413" s="181">
        <v>1.15</v>
      </c>
      <c r="H413" s="827">
        <v>45960.83934027778</v>
      </c>
    </row>
    <row r="414">
      <c r="A414" s="181" t="s">
        <v>22</v>
      </c>
      <c r="B414" s="181" t="s">
        <v>558</v>
      </c>
      <c r="C414" s="181">
        <v>32768.0</v>
      </c>
      <c r="D414" s="181">
        <v>4.0</v>
      </c>
      <c r="E414" s="181">
        <v>11.64</v>
      </c>
      <c r="F414" s="181">
        <v>2.82</v>
      </c>
      <c r="G414" s="181">
        <v>2.11</v>
      </c>
      <c r="H414" s="827">
        <v>45960.83934027778</v>
      </c>
    </row>
    <row r="415">
      <c r="A415" s="181" t="s">
        <v>22</v>
      </c>
      <c r="B415" s="181" t="s">
        <v>558</v>
      </c>
      <c r="C415" s="181">
        <v>65536.0</v>
      </c>
      <c r="D415" s="181">
        <v>4.0</v>
      </c>
      <c r="E415" s="181">
        <v>11.78</v>
      </c>
      <c r="F415" s="181">
        <v>5.56</v>
      </c>
      <c r="G415" s="181">
        <v>4.17</v>
      </c>
      <c r="H415" s="827">
        <v>45960.83934027778</v>
      </c>
    </row>
    <row r="416">
      <c r="A416" s="181" t="s">
        <v>22</v>
      </c>
      <c r="B416" s="181" t="s">
        <v>558</v>
      </c>
      <c r="C416" s="181">
        <v>131072.0</v>
      </c>
      <c r="D416" s="181">
        <v>4.0</v>
      </c>
      <c r="E416" s="181">
        <v>12.01</v>
      </c>
      <c r="F416" s="181">
        <v>10.91</v>
      </c>
      <c r="G416" s="181">
        <v>8.18</v>
      </c>
      <c r="H416" s="827">
        <v>45960.83934027778</v>
      </c>
    </row>
    <row r="417">
      <c r="A417" s="181" t="s">
        <v>22</v>
      </c>
      <c r="B417" s="181" t="s">
        <v>558</v>
      </c>
      <c r="C417" s="181">
        <v>262144.0</v>
      </c>
      <c r="D417" s="181">
        <v>4.0</v>
      </c>
      <c r="E417" s="181">
        <v>12.12</v>
      </c>
      <c r="F417" s="181">
        <v>21.63</v>
      </c>
      <c r="G417" s="181">
        <v>16.22</v>
      </c>
      <c r="H417" s="827">
        <v>45960.83934027778</v>
      </c>
    </row>
    <row r="418">
      <c r="A418" s="181" t="s">
        <v>22</v>
      </c>
      <c r="B418" s="181" t="s">
        <v>558</v>
      </c>
      <c r="C418" s="181">
        <v>524288.0</v>
      </c>
      <c r="D418" s="181">
        <v>4.0</v>
      </c>
      <c r="E418" s="181">
        <v>13.7</v>
      </c>
      <c r="F418" s="181">
        <v>38.27</v>
      </c>
      <c r="G418" s="181">
        <v>28.7</v>
      </c>
      <c r="H418" s="827">
        <v>45960.83934027778</v>
      </c>
    </row>
    <row r="419">
      <c r="A419" s="181" t="s">
        <v>22</v>
      </c>
      <c r="B419" s="181" t="s">
        <v>558</v>
      </c>
      <c r="C419" s="181">
        <v>1048576.0</v>
      </c>
      <c r="D419" s="181">
        <v>4.0</v>
      </c>
      <c r="E419" s="181">
        <v>17.13</v>
      </c>
      <c r="F419" s="181">
        <v>61.23</v>
      </c>
      <c r="G419" s="181">
        <v>45.92</v>
      </c>
      <c r="H419" s="827">
        <v>45960.83934027778</v>
      </c>
    </row>
    <row r="420">
      <c r="A420" s="181" t="s">
        <v>22</v>
      </c>
      <c r="B420" s="181" t="s">
        <v>558</v>
      </c>
      <c r="C420" s="181">
        <v>2097152.0</v>
      </c>
      <c r="D420" s="181">
        <v>4.0</v>
      </c>
      <c r="E420" s="181">
        <v>23.91</v>
      </c>
      <c r="F420" s="181">
        <v>87.71</v>
      </c>
      <c r="G420" s="181">
        <v>65.78</v>
      </c>
      <c r="H420" s="827">
        <v>45960.83934027778</v>
      </c>
    </row>
    <row r="421">
      <c r="A421" s="181" t="s">
        <v>22</v>
      </c>
      <c r="B421" s="181" t="s">
        <v>558</v>
      </c>
      <c r="C421" s="181">
        <v>4194304.0</v>
      </c>
      <c r="D421" s="181">
        <v>4.0</v>
      </c>
      <c r="E421" s="181">
        <v>22.73</v>
      </c>
      <c r="F421" s="181">
        <v>184.49</v>
      </c>
      <c r="G421" s="181">
        <v>138.37</v>
      </c>
      <c r="H421" s="827">
        <v>45960.83934027778</v>
      </c>
    </row>
    <row r="422">
      <c r="A422" s="181" t="s">
        <v>22</v>
      </c>
      <c r="B422" s="181" t="s">
        <v>558</v>
      </c>
      <c r="C422" s="181">
        <v>8388608.0</v>
      </c>
      <c r="D422" s="181">
        <v>4.0</v>
      </c>
      <c r="E422" s="181">
        <v>31.81</v>
      </c>
      <c r="F422" s="181">
        <v>263.69</v>
      </c>
      <c r="G422" s="181">
        <v>197.77</v>
      </c>
      <c r="H422" s="827">
        <v>45960.83934027778</v>
      </c>
    </row>
    <row r="423">
      <c r="A423" s="181" t="s">
        <v>22</v>
      </c>
      <c r="B423" s="181" t="s">
        <v>558</v>
      </c>
      <c r="C423" s="181">
        <v>1.6777216E7</v>
      </c>
      <c r="D423" s="181">
        <v>4.0</v>
      </c>
      <c r="E423" s="181">
        <v>47.21</v>
      </c>
      <c r="F423" s="181">
        <v>355.38</v>
      </c>
      <c r="G423" s="181">
        <v>266.54</v>
      </c>
      <c r="H423" s="827">
        <v>45960.83934027778</v>
      </c>
    </row>
    <row r="424">
      <c r="A424" s="181" t="s">
        <v>22</v>
      </c>
      <c r="B424" s="181" t="s">
        <v>558</v>
      </c>
      <c r="C424" s="181">
        <v>3.3554432E7</v>
      </c>
      <c r="D424" s="181">
        <v>4.0</v>
      </c>
      <c r="E424" s="181">
        <v>73.78</v>
      </c>
      <c r="F424" s="181">
        <v>454.8</v>
      </c>
      <c r="G424" s="181">
        <v>341.1</v>
      </c>
      <c r="H424" s="827">
        <v>45960.83934027778</v>
      </c>
    </row>
    <row r="425">
      <c r="A425" s="181" t="s">
        <v>22</v>
      </c>
      <c r="B425" s="181" t="s">
        <v>558</v>
      </c>
      <c r="C425" s="181">
        <v>6.7108864E7</v>
      </c>
      <c r="D425" s="181">
        <v>4.0</v>
      </c>
      <c r="E425" s="181">
        <v>126.2</v>
      </c>
      <c r="F425" s="181">
        <v>531.58</v>
      </c>
      <c r="G425" s="181">
        <v>398.68</v>
      </c>
      <c r="H425" s="827">
        <v>45960.83934027778</v>
      </c>
    </row>
    <row r="426">
      <c r="A426" s="181" t="s">
        <v>22</v>
      </c>
      <c r="B426" s="181" t="s">
        <v>558</v>
      </c>
      <c r="C426" s="181">
        <v>1.34217728E8</v>
      </c>
      <c r="D426" s="181">
        <v>4.0</v>
      </c>
      <c r="E426" s="181">
        <v>228.4</v>
      </c>
      <c r="F426" s="181">
        <v>587.6</v>
      </c>
      <c r="G426" s="181">
        <v>440.7</v>
      </c>
      <c r="H426" s="827">
        <v>45960.83934027778</v>
      </c>
    </row>
    <row r="427">
      <c r="A427" s="181" t="s">
        <v>22</v>
      </c>
      <c r="B427" s="181" t="s">
        <v>558</v>
      </c>
      <c r="C427" s="181">
        <v>2.68435456E8</v>
      </c>
      <c r="D427" s="181">
        <v>4.0</v>
      </c>
      <c r="E427" s="181">
        <v>429.7</v>
      </c>
      <c r="F427" s="181">
        <v>624.69</v>
      </c>
      <c r="G427" s="181">
        <v>468.52</v>
      </c>
      <c r="H427" s="827">
        <v>45960.83934027778</v>
      </c>
    </row>
    <row r="428">
      <c r="A428" s="181" t="s">
        <v>22</v>
      </c>
      <c r="B428" s="181" t="s">
        <v>558</v>
      </c>
      <c r="C428" s="181">
        <v>5.36870912E8</v>
      </c>
      <c r="D428" s="181">
        <v>4.0</v>
      </c>
      <c r="E428" s="181">
        <v>829.3</v>
      </c>
      <c r="F428" s="181">
        <v>647.41</v>
      </c>
      <c r="G428" s="181">
        <v>485.56</v>
      </c>
      <c r="H428" s="827">
        <v>45960.83934027778</v>
      </c>
    </row>
    <row r="429">
      <c r="A429" s="181" t="s">
        <v>22</v>
      </c>
      <c r="B429" s="181" t="s">
        <v>558</v>
      </c>
      <c r="C429" s="181">
        <v>1.073741824E9</v>
      </c>
      <c r="D429" s="181">
        <v>4.0</v>
      </c>
      <c r="E429" s="181">
        <v>1525.2</v>
      </c>
      <c r="F429" s="181">
        <v>704.0</v>
      </c>
      <c r="G429" s="181">
        <v>528.0</v>
      </c>
      <c r="H429" s="827">
        <v>45960.83934027778</v>
      </c>
    </row>
    <row r="430">
      <c r="A430" s="181" t="s">
        <v>22</v>
      </c>
      <c r="B430" s="181" t="s">
        <v>558</v>
      </c>
      <c r="C430" s="181">
        <v>2.147483648E9</v>
      </c>
      <c r="D430" s="181">
        <v>4.0</v>
      </c>
      <c r="E430" s="181">
        <v>2672.4</v>
      </c>
      <c r="F430" s="181">
        <v>803.59</v>
      </c>
      <c r="G430" s="181">
        <v>602.69</v>
      </c>
      <c r="H430" s="827">
        <v>45960.83934027778</v>
      </c>
    </row>
    <row r="431">
      <c r="A431" s="181" t="s">
        <v>22</v>
      </c>
      <c r="B431" s="181" t="s">
        <v>558</v>
      </c>
      <c r="C431" s="181">
        <v>160.0</v>
      </c>
      <c r="D431" s="181">
        <v>5.0</v>
      </c>
      <c r="E431" s="181">
        <v>10.12</v>
      </c>
      <c r="F431" s="181">
        <v>0.02</v>
      </c>
      <c r="G431" s="181">
        <v>0.01</v>
      </c>
      <c r="H431" s="827">
        <v>45960.83934027778</v>
      </c>
    </row>
    <row r="432">
      <c r="A432" s="181" t="s">
        <v>22</v>
      </c>
      <c r="B432" s="181" t="s">
        <v>558</v>
      </c>
      <c r="C432" s="181">
        <v>320.0</v>
      </c>
      <c r="D432" s="181">
        <v>5.0</v>
      </c>
      <c r="E432" s="181">
        <v>10.0</v>
      </c>
      <c r="F432" s="181">
        <v>0.03</v>
      </c>
      <c r="G432" s="181">
        <v>0.03</v>
      </c>
      <c r="H432" s="827">
        <v>45960.83934027778</v>
      </c>
    </row>
    <row r="433">
      <c r="A433" s="181" t="s">
        <v>22</v>
      </c>
      <c r="B433" s="181" t="s">
        <v>558</v>
      </c>
      <c r="C433" s="181">
        <v>640.0</v>
      </c>
      <c r="D433" s="181">
        <v>5.0</v>
      </c>
      <c r="E433" s="181">
        <v>9.98</v>
      </c>
      <c r="F433" s="181">
        <v>0.06</v>
      </c>
      <c r="G433" s="181">
        <v>0.05</v>
      </c>
      <c r="H433" s="827">
        <v>45960.83934027778</v>
      </c>
    </row>
    <row r="434">
      <c r="A434" s="181" t="s">
        <v>22</v>
      </c>
      <c r="B434" s="181" t="s">
        <v>558</v>
      </c>
      <c r="C434" s="181">
        <v>1280.0</v>
      </c>
      <c r="D434" s="181">
        <v>5.0</v>
      </c>
      <c r="E434" s="181">
        <v>10.19</v>
      </c>
      <c r="F434" s="181">
        <v>0.13</v>
      </c>
      <c r="G434" s="181">
        <v>0.1</v>
      </c>
      <c r="H434" s="827">
        <v>45960.83934027778</v>
      </c>
    </row>
    <row r="435">
      <c r="A435" s="181" t="s">
        <v>22</v>
      </c>
      <c r="B435" s="181" t="s">
        <v>558</v>
      </c>
      <c r="C435" s="181">
        <v>2560.0</v>
      </c>
      <c r="D435" s="181">
        <v>5.0</v>
      </c>
      <c r="E435" s="181">
        <v>10.03</v>
      </c>
      <c r="F435" s="181">
        <v>0.26</v>
      </c>
      <c r="G435" s="181">
        <v>0.2</v>
      </c>
      <c r="H435" s="827">
        <v>45960.83934027778</v>
      </c>
    </row>
    <row r="436">
      <c r="A436" s="181" t="s">
        <v>22</v>
      </c>
      <c r="B436" s="181" t="s">
        <v>558</v>
      </c>
      <c r="C436" s="181">
        <v>5120.0</v>
      </c>
      <c r="D436" s="181">
        <v>5.0</v>
      </c>
      <c r="E436" s="181">
        <v>10.13</v>
      </c>
      <c r="F436" s="181">
        <v>0.51</v>
      </c>
      <c r="G436" s="181">
        <v>0.4</v>
      </c>
      <c r="H436" s="827">
        <v>45960.83934027778</v>
      </c>
    </row>
    <row r="437">
      <c r="A437" s="181" t="s">
        <v>22</v>
      </c>
      <c r="B437" s="181" t="s">
        <v>558</v>
      </c>
      <c r="C437" s="181">
        <v>10240.0</v>
      </c>
      <c r="D437" s="181">
        <v>5.0</v>
      </c>
      <c r="E437" s="181">
        <v>10.29</v>
      </c>
      <c r="F437" s="181">
        <v>1.0</v>
      </c>
      <c r="G437" s="181">
        <v>0.8</v>
      </c>
      <c r="H437" s="827">
        <v>45960.83934027778</v>
      </c>
    </row>
    <row r="438">
      <c r="A438" s="181" t="s">
        <v>22</v>
      </c>
      <c r="B438" s="181" t="s">
        <v>558</v>
      </c>
      <c r="C438" s="181">
        <v>20480.0</v>
      </c>
      <c r="D438" s="181">
        <v>5.0</v>
      </c>
      <c r="E438" s="181">
        <v>10.7</v>
      </c>
      <c r="F438" s="181">
        <v>1.91</v>
      </c>
      <c r="G438" s="181">
        <v>1.53</v>
      </c>
      <c r="H438" s="827">
        <v>45960.83934027778</v>
      </c>
    </row>
    <row r="439">
      <c r="A439" s="181" t="s">
        <v>22</v>
      </c>
      <c r="B439" s="181" t="s">
        <v>558</v>
      </c>
      <c r="C439" s="181">
        <v>40960.0</v>
      </c>
      <c r="D439" s="181">
        <v>5.0</v>
      </c>
      <c r="E439" s="181">
        <v>11.6</v>
      </c>
      <c r="F439" s="181">
        <v>3.53</v>
      </c>
      <c r="G439" s="181">
        <v>2.83</v>
      </c>
      <c r="H439" s="827">
        <v>45960.83934027778</v>
      </c>
    </row>
    <row r="440">
      <c r="A440" s="181" t="s">
        <v>22</v>
      </c>
      <c r="B440" s="181" t="s">
        <v>558</v>
      </c>
      <c r="C440" s="181">
        <v>81920.0</v>
      </c>
      <c r="D440" s="181">
        <v>5.0</v>
      </c>
      <c r="E440" s="181">
        <v>12.03</v>
      </c>
      <c r="F440" s="181">
        <v>6.81</v>
      </c>
      <c r="G440" s="181">
        <v>5.45</v>
      </c>
      <c r="H440" s="827">
        <v>45960.83934027778</v>
      </c>
    </row>
    <row r="441">
      <c r="A441" s="181" t="s">
        <v>22</v>
      </c>
      <c r="B441" s="181" t="s">
        <v>558</v>
      </c>
      <c r="C441" s="181">
        <v>163840.0</v>
      </c>
      <c r="D441" s="181">
        <v>5.0</v>
      </c>
      <c r="E441" s="181">
        <v>12.08</v>
      </c>
      <c r="F441" s="181">
        <v>13.56</v>
      </c>
      <c r="G441" s="181">
        <v>10.85</v>
      </c>
      <c r="H441" s="827">
        <v>45960.83934027778</v>
      </c>
    </row>
    <row r="442">
      <c r="A442" s="181" t="s">
        <v>22</v>
      </c>
      <c r="B442" s="181" t="s">
        <v>558</v>
      </c>
      <c r="C442" s="181">
        <v>327680.0</v>
      </c>
      <c r="D442" s="181">
        <v>5.0</v>
      </c>
      <c r="E442" s="181">
        <v>13.54</v>
      </c>
      <c r="F442" s="181">
        <v>24.2</v>
      </c>
      <c r="G442" s="181">
        <v>19.36</v>
      </c>
      <c r="H442" s="827">
        <v>45960.83934027778</v>
      </c>
    </row>
    <row r="443">
      <c r="A443" s="181" t="s">
        <v>22</v>
      </c>
      <c r="B443" s="181" t="s">
        <v>558</v>
      </c>
      <c r="C443" s="181">
        <v>655360.0</v>
      </c>
      <c r="D443" s="181">
        <v>5.0</v>
      </c>
      <c r="E443" s="181">
        <v>16.94</v>
      </c>
      <c r="F443" s="181">
        <v>38.68</v>
      </c>
      <c r="G443" s="181">
        <v>30.94</v>
      </c>
      <c r="H443" s="827">
        <v>45960.83934027778</v>
      </c>
    </row>
    <row r="444">
      <c r="A444" s="181" t="s">
        <v>22</v>
      </c>
      <c r="B444" s="181" t="s">
        <v>558</v>
      </c>
      <c r="C444" s="181">
        <v>1310720.0</v>
      </c>
      <c r="D444" s="181">
        <v>5.0</v>
      </c>
      <c r="E444" s="181">
        <v>23.65</v>
      </c>
      <c r="F444" s="181">
        <v>55.41</v>
      </c>
      <c r="G444" s="181">
        <v>44.33</v>
      </c>
      <c r="H444" s="827">
        <v>45960.83934027778</v>
      </c>
    </row>
    <row r="445">
      <c r="A445" s="181" t="s">
        <v>22</v>
      </c>
      <c r="B445" s="181" t="s">
        <v>558</v>
      </c>
      <c r="C445" s="181">
        <v>2621440.0</v>
      </c>
      <c r="D445" s="181">
        <v>5.0</v>
      </c>
      <c r="E445" s="181">
        <v>37.74</v>
      </c>
      <c r="F445" s="181">
        <v>69.46</v>
      </c>
      <c r="G445" s="181">
        <v>55.57</v>
      </c>
      <c r="H445" s="827">
        <v>45960.83934027778</v>
      </c>
    </row>
    <row r="446">
      <c r="A446" s="181" t="s">
        <v>22</v>
      </c>
      <c r="B446" s="181" t="s">
        <v>558</v>
      </c>
      <c r="C446" s="181">
        <v>5242880.0</v>
      </c>
      <c r="D446" s="181">
        <v>5.0</v>
      </c>
      <c r="E446" s="181">
        <v>28.78</v>
      </c>
      <c r="F446" s="181">
        <v>182.19</v>
      </c>
      <c r="G446" s="181">
        <v>145.75</v>
      </c>
      <c r="H446" s="827">
        <v>45960.83934027778</v>
      </c>
    </row>
    <row r="447">
      <c r="A447" s="181" t="s">
        <v>22</v>
      </c>
      <c r="B447" s="181" t="s">
        <v>558</v>
      </c>
      <c r="C447" s="181">
        <v>1.048576E7</v>
      </c>
      <c r="D447" s="181">
        <v>5.0</v>
      </c>
      <c r="E447" s="181">
        <v>41.57</v>
      </c>
      <c r="F447" s="181">
        <v>252.25</v>
      </c>
      <c r="G447" s="181">
        <v>201.8</v>
      </c>
      <c r="H447" s="827">
        <v>45960.83934027778</v>
      </c>
    </row>
    <row r="448">
      <c r="A448" s="181" t="s">
        <v>22</v>
      </c>
      <c r="B448" s="181" t="s">
        <v>558</v>
      </c>
      <c r="C448" s="181">
        <v>2.097152E7</v>
      </c>
      <c r="D448" s="181">
        <v>5.0</v>
      </c>
      <c r="E448" s="181">
        <v>65.96</v>
      </c>
      <c r="F448" s="181">
        <v>317.93</v>
      </c>
      <c r="G448" s="181">
        <v>254.35</v>
      </c>
      <c r="H448" s="827">
        <v>45960.83934027778</v>
      </c>
    </row>
    <row r="449">
      <c r="A449" s="181" t="s">
        <v>22</v>
      </c>
      <c r="B449" s="181" t="s">
        <v>558</v>
      </c>
      <c r="C449" s="181">
        <v>4.194304E7</v>
      </c>
      <c r="D449" s="181">
        <v>5.0</v>
      </c>
      <c r="E449" s="181">
        <v>117.8</v>
      </c>
      <c r="F449" s="181">
        <v>356.08</v>
      </c>
      <c r="G449" s="181">
        <v>284.86</v>
      </c>
      <c r="H449" s="827">
        <v>45960.83934027778</v>
      </c>
    </row>
    <row r="450">
      <c r="A450" s="181" t="s">
        <v>22</v>
      </c>
      <c r="B450" s="181" t="s">
        <v>558</v>
      </c>
      <c r="C450" s="181">
        <v>8.388608E7</v>
      </c>
      <c r="D450" s="181">
        <v>5.0</v>
      </c>
      <c r="E450" s="181">
        <v>219.4</v>
      </c>
      <c r="F450" s="181">
        <v>382.42</v>
      </c>
      <c r="G450" s="181">
        <v>305.94</v>
      </c>
      <c r="H450" s="827">
        <v>45960.83934027778</v>
      </c>
    </row>
    <row r="451">
      <c r="A451" s="181" t="s">
        <v>22</v>
      </c>
      <c r="B451" s="181" t="s">
        <v>558</v>
      </c>
      <c r="C451" s="181">
        <v>1.6777216E8</v>
      </c>
      <c r="D451" s="181">
        <v>5.0</v>
      </c>
      <c r="E451" s="181">
        <v>417.1</v>
      </c>
      <c r="F451" s="181">
        <v>402.19</v>
      </c>
      <c r="G451" s="181">
        <v>321.76</v>
      </c>
      <c r="H451" s="827">
        <v>45960.83934027778</v>
      </c>
    </row>
    <row r="452">
      <c r="A452" s="181" t="s">
        <v>22</v>
      </c>
      <c r="B452" s="181" t="s">
        <v>558</v>
      </c>
      <c r="C452" s="181">
        <v>3.3554432E8</v>
      </c>
      <c r="D452" s="181">
        <v>5.0</v>
      </c>
      <c r="E452" s="181">
        <v>810.7</v>
      </c>
      <c r="F452" s="181">
        <v>413.92</v>
      </c>
      <c r="G452" s="181">
        <v>331.13</v>
      </c>
      <c r="H452" s="827">
        <v>45960.83934027778</v>
      </c>
    </row>
    <row r="453">
      <c r="A453" s="181" t="s">
        <v>22</v>
      </c>
      <c r="B453" s="181" t="s">
        <v>558</v>
      </c>
      <c r="C453" s="181">
        <v>6.7108864E8</v>
      </c>
      <c r="D453" s="181">
        <v>5.0</v>
      </c>
      <c r="E453" s="181">
        <v>1496.3</v>
      </c>
      <c r="F453" s="181">
        <v>448.5</v>
      </c>
      <c r="G453" s="181">
        <v>358.8</v>
      </c>
      <c r="H453" s="827">
        <v>45960.83934027778</v>
      </c>
    </row>
    <row r="454">
      <c r="A454" s="181" t="s">
        <v>22</v>
      </c>
      <c r="B454" s="181" t="s">
        <v>558</v>
      </c>
      <c r="C454" s="181">
        <v>1.34217728E9</v>
      </c>
      <c r="D454" s="181">
        <v>5.0</v>
      </c>
      <c r="E454" s="181">
        <v>2278.4</v>
      </c>
      <c r="F454" s="181">
        <v>589.08</v>
      </c>
      <c r="G454" s="181">
        <v>471.27</v>
      </c>
      <c r="H454" s="827">
        <v>45960.83934027778</v>
      </c>
    </row>
    <row r="455">
      <c r="A455" s="181" t="s">
        <v>22</v>
      </c>
      <c r="B455" s="181" t="s">
        <v>558</v>
      </c>
      <c r="C455" s="181">
        <v>2.68435456E9</v>
      </c>
      <c r="D455" s="181">
        <v>5.0</v>
      </c>
      <c r="E455" s="181">
        <v>3436.8</v>
      </c>
      <c r="F455" s="181">
        <v>781.07</v>
      </c>
      <c r="G455" s="181">
        <v>624.85</v>
      </c>
      <c r="H455" s="827">
        <v>45960.83934027778</v>
      </c>
    </row>
    <row r="456">
      <c r="A456" s="181" t="s">
        <v>22</v>
      </c>
      <c r="B456" s="181" t="s">
        <v>558</v>
      </c>
      <c r="C456" s="181">
        <v>192.0</v>
      </c>
      <c r="D456" s="181">
        <v>6.0</v>
      </c>
      <c r="E456" s="181">
        <v>10.0</v>
      </c>
      <c r="F456" s="181">
        <v>0.02</v>
      </c>
      <c r="G456" s="181">
        <v>0.02</v>
      </c>
      <c r="H456" s="827">
        <v>45960.83934027778</v>
      </c>
    </row>
    <row r="457">
      <c r="A457" s="181" t="s">
        <v>22</v>
      </c>
      <c r="B457" s="181" t="s">
        <v>558</v>
      </c>
      <c r="C457" s="181">
        <v>384.0</v>
      </c>
      <c r="D457" s="181">
        <v>6.0</v>
      </c>
      <c r="E457" s="181">
        <v>10.08</v>
      </c>
      <c r="F457" s="181">
        <v>0.04</v>
      </c>
      <c r="G457" s="181">
        <v>0.03</v>
      </c>
      <c r="H457" s="827">
        <v>45960.83934027778</v>
      </c>
    </row>
    <row r="458">
      <c r="A458" s="181" t="s">
        <v>22</v>
      </c>
      <c r="B458" s="181" t="s">
        <v>558</v>
      </c>
      <c r="C458" s="181">
        <v>768.0</v>
      </c>
      <c r="D458" s="181">
        <v>6.0</v>
      </c>
      <c r="E458" s="181">
        <v>10.15</v>
      </c>
      <c r="F458" s="181">
        <v>0.08</v>
      </c>
      <c r="G458" s="181">
        <v>0.06</v>
      </c>
      <c r="H458" s="827">
        <v>45960.83934027778</v>
      </c>
    </row>
    <row r="459">
      <c r="A459" s="181" t="s">
        <v>22</v>
      </c>
      <c r="B459" s="181" t="s">
        <v>558</v>
      </c>
      <c r="C459" s="181">
        <v>1536.0</v>
      </c>
      <c r="D459" s="181">
        <v>6.0</v>
      </c>
      <c r="E459" s="181">
        <v>10.15</v>
      </c>
      <c r="F459" s="181">
        <v>0.15</v>
      </c>
      <c r="G459" s="181">
        <v>0.13</v>
      </c>
      <c r="H459" s="827">
        <v>45960.83934027778</v>
      </c>
    </row>
    <row r="460">
      <c r="A460" s="181" t="s">
        <v>22</v>
      </c>
      <c r="B460" s="181" t="s">
        <v>558</v>
      </c>
      <c r="C460" s="181">
        <v>3072.0</v>
      </c>
      <c r="D460" s="181">
        <v>6.0</v>
      </c>
      <c r="E460" s="181">
        <v>10.22</v>
      </c>
      <c r="F460" s="181">
        <v>0.3</v>
      </c>
      <c r="G460" s="181">
        <v>0.25</v>
      </c>
      <c r="H460" s="827">
        <v>45960.83934027778</v>
      </c>
    </row>
    <row r="461">
      <c r="A461" s="181" t="s">
        <v>22</v>
      </c>
      <c r="B461" s="181" t="s">
        <v>558</v>
      </c>
      <c r="C461" s="181">
        <v>6144.0</v>
      </c>
      <c r="D461" s="181">
        <v>6.0</v>
      </c>
      <c r="E461" s="181">
        <v>10.18</v>
      </c>
      <c r="F461" s="181">
        <v>0.6</v>
      </c>
      <c r="G461" s="181">
        <v>0.5</v>
      </c>
      <c r="H461" s="827">
        <v>45960.83934027778</v>
      </c>
    </row>
    <row r="462">
      <c r="A462" s="181" t="s">
        <v>22</v>
      </c>
      <c r="B462" s="181" t="s">
        <v>558</v>
      </c>
      <c r="C462" s="181">
        <v>12288.0</v>
      </c>
      <c r="D462" s="181">
        <v>6.0</v>
      </c>
      <c r="E462" s="181">
        <v>10.28</v>
      </c>
      <c r="F462" s="181">
        <v>1.19</v>
      </c>
      <c r="G462" s="181">
        <v>1.0</v>
      </c>
      <c r="H462" s="827">
        <v>45960.83934027778</v>
      </c>
    </row>
    <row r="463">
      <c r="A463" s="181" t="s">
        <v>22</v>
      </c>
      <c r="B463" s="181" t="s">
        <v>558</v>
      </c>
      <c r="C463" s="181">
        <v>24576.0</v>
      </c>
      <c r="D463" s="181">
        <v>6.0</v>
      </c>
      <c r="E463" s="181">
        <v>10.81</v>
      </c>
      <c r="F463" s="181">
        <v>2.27</v>
      </c>
      <c r="G463" s="181">
        <v>1.89</v>
      </c>
      <c r="H463" s="827">
        <v>45960.83934027778</v>
      </c>
    </row>
    <row r="464">
      <c r="A464" s="181" t="s">
        <v>22</v>
      </c>
      <c r="B464" s="181" t="s">
        <v>558</v>
      </c>
      <c r="C464" s="181">
        <v>49152.0</v>
      </c>
      <c r="D464" s="181">
        <v>6.0</v>
      </c>
      <c r="E464" s="181">
        <v>11.56</v>
      </c>
      <c r="F464" s="181">
        <v>4.25</v>
      </c>
      <c r="G464" s="181">
        <v>3.54</v>
      </c>
      <c r="H464" s="827">
        <v>45960.83934027778</v>
      </c>
    </row>
    <row r="465">
      <c r="A465" s="181" t="s">
        <v>22</v>
      </c>
      <c r="B465" s="181" t="s">
        <v>558</v>
      </c>
      <c r="C465" s="181">
        <v>98304.0</v>
      </c>
      <c r="D465" s="181">
        <v>6.0</v>
      </c>
      <c r="E465" s="181">
        <v>12.08</v>
      </c>
      <c r="F465" s="181">
        <v>8.14</v>
      </c>
      <c r="G465" s="181">
        <v>6.78</v>
      </c>
      <c r="H465" s="827">
        <v>45960.83934027778</v>
      </c>
    </row>
    <row r="466">
      <c r="A466" s="181" t="s">
        <v>22</v>
      </c>
      <c r="B466" s="181" t="s">
        <v>558</v>
      </c>
      <c r="C466" s="181">
        <v>196608.0</v>
      </c>
      <c r="D466" s="181">
        <v>6.0</v>
      </c>
      <c r="E466" s="181">
        <v>12.25</v>
      </c>
      <c r="F466" s="181">
        <v>16.05</v>
      </c>
      <c r="G466" s="181">
        <v>13.38</v>
      </c>
      <c r="H466" s="827">
        <v>45960.83934027778</v>
      </c>
    </row>
    <row r="467">
      <c r="A467" s="181" t="s">
        <v>22</v>
      </c>
      <c r="B467" s="181" t="s">
        <v>558</v>
      </c>
      <c r="C467" s="181">
        <v>393216.0</v>
      </c>
      <c r="D467" s="181">
        <v>6.0</v>
      </c>
      <c r="E467" s="181">
        <v>13.6</v>
      </c>
      <c r="F467" s="181">
        <v>28.91</v>
      </c>
      <c r="G467" s="181">
        <v>24.09</v>
      </c>
      <c r="H467" s="827">
        <v>45960.83934027778</v>
      </c>
    </row>
    <row r="468">
      <c r="A468" s="181" t="s">
        <v>22</v>
      </c>
      <c r="B468" s="181" t="s">
        <v>558</v>
      </c>
      <c r="C468" s="181">
        <v>786432.0</v>
      </c>
      <c r="D468" s="181">
        <v>6.0</v>
      </c>
      <c r="E468" s="181">
        <v>16.96</v>
      </c>
      <c r="F468" s="181">
        <v>46.38</v>
      </c>
      <c r="G468" s="181">
        <v>38.65</v>
      </c>
      <c r="H468" s="827">
        <v>45960.83934027778</v>
      </c>
    </row>
    <row r="469">
      <c r="A469" s="181" t="s">
        <v>22</v>
      </c>
      <c r="B469" s="181" t="s">
        <v>558</v>
      </c>
      <c r="C469" s="181">
        <v>1572864.0</v>
      </c>
      <c r="D469" s="181">
        <v>6.0</v>
      </c>
      <c r="E469" s="181">
        <v>23.95</v>
      </c>
      <c r="F469" s="181">
        <v>65.68</v>
      </c>
      <c r="G469" s="181">
        <v>54.73</v>
      </c>
      <c r="H469" s="827">
        <v>45960.83934027778</v>
      </c>
    </row>
    <row r="470">
      <c r="A470" s="181" t="s">
        <v>22</v>
      </c>
      <c r="B470" s="181" t="s">
        <v>558</v>
      </c>
      <c r="C470" s="181">
        <v>3145728.0</v>
      </c>
      <c r="D470" s="181">
        <v>6.0</v>
      </c>
      <c r="E470" s="181">
        <v>37.84</v>
      </c>
      <c r="F470" s="181">
        <v>83.13</v>
      </c>
      <c r="G470" s="181">
        <v>69.28</v>
      </c>
      <c r="H470" s="827">
        <v>45960.83934027778</v>
      </c>
    </row>
    <row r="471">
      <c r="A471" s="181" t="s">
        <v>22</v>
      </c>
      <c r="B471" s="181" t="s">
        <v>558</v>
      </c>
      <c r="C471" s="181">
        <v>6291456.0</v>
      </c>
      <c r="D471" s="181">
        <v>6.0</v>
      </c>
      <c r="E471" s="181">
        <v>30.53</v>
      </c>
      <c r="F471" s="181">
        <v>206.1</v>
      </c>
      <c r="G471" s="181">
        <v>171.75</v>
      </c>
      <c r="H471" s="827">
        <v>45960.83934027778</v>
      </c>
    </row>
    <row r="472">
      <c r="A472" s="181" t="s">
        <v>22</v>
      </c>
      <c r="B472" s="181" t="s">
        <v>558</v>
      </c>
      <c r="C472" s="181">
        <v>1.2582912E7</v>
      </c>
      <c r="D472" s="181">
        <v>6.0</v>
      </c>
      <c r="E472" s="181">
        <v>45.13</v>
      </c>
      <c r="F472" s="181">
        <v>278.8</v>
      </c>
      <c r="G472" s="181">
        <v>232.34</v>
      </c>
      <c r="H472" s="827">
        <v>45960.83934027778</v>
      </c>
    </row>
    <row r="473">
      <c r="A473" s="181" t="s">
        <v>22</v>
      </c>
      <c r="B473" s="181" t="s">
        <v>558</v>
      </c>
      <c r="C473" s="181">
        <v>2.5165824E7</v>
      </c>
      <c r="D473" s="181">
        <v>6.0</v>
      </c>
      <c r="E473" s="181">
        <v>69.17</v>
      </c>
      <c r="F473" s="181">
        <v>363.83</v>
      </c>
      <c r="G473" s="181">
        <v>303.19</v>
      </c>
      <c r="H473" s="827">
        <v>45960.83934027778</v>
      </c>
    </row>
    <row r="474">
      <c r="A474" s="181" t="s">
        <v>22</v>
      </c>
      <c r="B474" s="181" t="s">
        <v>558</v>
      </c>
      <c r="C474" s="181">
        <v>5.0331648E7</v>
      </c>
      <c r="D474" s="181">
        <v>6.0</v>
      </c>
      <c r="E474" s="181">
        <v>121.7</v>
      </c>
      <c r="F474" s="181">
        <v>413.52</v>
      </c>
      <c r="G474" s="181">
        <v>344.6</v>
      </c>
      <c r="H474" s="827">
        <v>45960.83934027778</v>
      </c>
    </row>
    <row r="475">
      <c r="A475" s="181" t="s">
        <v>22</v>
      </c>
      <c r="B475" s="181" t="s">
        <v>558</v>
      </c>
      <c r="C475" s="181">
        <v>1.00663296E8</v>
      </c>
      <c r="D475" s="181">
        <v>6.0</v>
      </c>
      <c r="E475" s="181">
        <v>222.9</v>
      </c>
      <c r="F475" s="181">
        <v>451.55</v>
      </c>
      <c r="G475" s="181">
        <v>376.3</v>
      </c>
      <c r="H475" s="827">
        <v>45960.83934027778</v>
      </c>
    </row>
    <row r="476">
      <c r="A476" s="181" t="s">
        <v>22</v>
      </c>
      <c r="B476" s="181" t="s">
        <v>558</v>
      </c>
      <c r="C476" s="181">
        <v>2.01326592E8</v>
      </c>
      <c r="D476" s="181">
        <v>6.0</v>
      </c>
      <c r="E476" s="181">
        <v>421.1</v>
      </c>
      <c r="F476" s="181">
        <v>478.11</v>
      </c>
      <c r="G476" s="181">
        <v>398.43</v>
      </c>
      <c r="H476" s="827">
        <v>45960.83934027778</v>
      </c>
    </row>
    <row r="477">
      <c r="A477" s="181" t="s">
        <v>22</v>
      </c>
      <c r="B477" s="181" t="s">
        <v>558</v>
      </c>
      <c r="C477" s="181">
        <v>4.02653184E8</v>
      </c>
      <c r="D477" s="181">
        <v>6.0</v>
      </c>
      <c r="E477" s="181">
        <v>814.1</v>
      </c>
      <c r="F477" s="181">
        <v>494.6</v>
      </c>
      <c r="G477" s="181">
        <v>412.17</v>
      </c>
      <c r="H477" s="827">
        <v>45960.83934027778</v>
      </c>
    </row>
    <row r="478">
      <c r="A478" s="181" t="s">
        <v>22</v>
      </c>
      <c r="B478" s="181" t="s">
        <v>558</v>
      </c>
      <c r="C478" s="181">
        <v>8.05306368E8</v>
      </c>
      <c r="D478" s="181">
        <v>6.0</v>
      </c>
      <c r="E478" s="181">
        <v>1509.2</v>
      </c>
      <c r="F478" s="181">
        <v>533.59</v>
      </c>
      <c r="G478" s="181">
        <v>444.66</v>
      </c>
      <c r="H478" s="827">
        <v>45960.83934027778</v>
      </c>
    </row>
    <row r="479">
      <c r="A479" s="181" t="s">
        <v>22</v>
      </c>
      <c r="B479" s="181" t="s">
        <v>558</v>
      </c>
      <c r="C479" s="181">
        <v>1.610612736E9</v>
      </c>
      <c r="D479" s="181">
        <v>6.0</v>
      </c>
      <c r="E479" s="181">
        <v>2312.5</v>
      </c>
      <c r="F479" s="181">
        <v>696.47</v>
      </c>
      <c r="G479" s="181">
        <v>580.39</v>
      </c>
      <c r="H479" s="827">
        <v>45960.83934027778</v>
      </c>
    </row>
    <row r="480">
      <c r="A480" s="181" t="s">
        <v>22</v>
      </c>
      <c r="B480" s="181" t="s">
        <v>558</v>
      </c>
      <c r="C480" s="181">
        <v>3.221225472E9</v>
      </c>
      <c r="D480" s="181">
        <v>6.0</v>
      </c>
      <c r="E480" s="181">
        <v>4343.5</v>
      </c>
      <c r="F480" s="181">
        <v>741.63</v>
      </c>
      <c r="G480" s="181">
        <v>618.02</v>
      </c>
      <c r="H480" s="827">
        <v>45960.83934027778</v>
      </c>
    </row>
    <row r="481">
      <c r="A481" s="181" t="s">
        <v>22</v>
      </c>
      <c r="B481" s="181" t="s">
        <v>558</v>
      </c>
      <c r="C481" s="181">
        <v>224.0</v>
      </c>
      <c r="D481" s="181">
        <v>7.0</v>
      </c>
      <c r="E481" s="181">
        <v>10.34</v>
      </c>
      <c r="F481" s="181">
        <v>0.02</v>
      </c>
      <c r="G481" s="181">
        <v>0.02</v>
      </c>
      <c r="H481" s="827">
        <v>45960.83934027778</v>
      </c>
    </row>
    <row r="482">
      <c r="A482" s="181" t="s">
        <v>22</v>
      </c>
      <c r="B482" s="181" t="s">
        <v>558</v>
      </c>
      <c r="C482" s="181">
        <v>448.0</v>
      </c>
      <c r="D482" s="181">
        <v>7.0</v>
      </c>
      <c r="E482" s="181">
        <v>10.23</v>
      </c>
      <c r="F482" s="181">
        <v>0.04</v>
      </c>
      <c r="G482" s="181">
        <v>0.04</v>
      </c>
      <c r="H482" s="827">
        <v>45960.83934027778</v>
      </c>
    </row>
    <row r="483">
      <c r="A483" s="181" t="s">
        <v>22</v>
      </c>
      <c r="B483" s="181" t="s">
        <v>558</v>
      </c>
      <c r="C483" s="181">
        <v>896.0</v>
      </c>
      <c r="D483" s="181">
        <v>7.0</v>
      </c>
      <c r="E483" s="181">
        <v>10.26</v>
      </c>
      <c r="F483" s="181">
        <v>0.09</v>
      </c>
      <c r="G483" s="181">
        <v>0.07</v>
      </c>
      <c r="H483" s="827">
        <v>45960.83934027778</v>
      </c>
    </row>
    <row r="484">
      <c r="A484" s="181" t="s">
        <v>22</v>
      </c>
      <c r="B484" s="181" t="s">
        <v>558</v>
      </c>
      <c r="C484" s="181">
        <v>1792.0</v>
      </c>
      <c r="D484" s="181">
        <v>7.0</v>
      </c>
      <c r="E484" s="181">
        <v>10.37</v>
      </c>
      <c r="F484" s="181">
        <v>0.17</v>
      </c>
      <c r="G484" s="181">
        <v>0.15</v>
      </c>
      <c r="H484" s="827">
        <v>45960.83934027778</v>
      </c>
    </row>
    <row r="485">
      <c r="A485" s="181" t="s">
        <v>22</v>
      </c>
      <c r="B485" s="181" t="s">
        <v>558</v>
      </c>
      <c r="C485" s="181">
        <v>3584.0</v>
      </c>
      <c r="D485" s="181">
        <v>7.0</v>
      </c>
      <c r="E485" s="181">
        <v>10.33</v>
      </c>
      <c r="F485" s="181">
        <v>0.35</v>
      </c>
      <c r="G485" s="181">
        <v>0.3</v>
      </c>
      <c r="H485" s="827">
        <v>45960.83934027778</v>
      </c>
    </row>
    <row r="486">
      <c r="A486" s="181" t="s">
        <v>22</v>
      </c>
      <c r="B486" s="181" t="s">
        <v>558</v>
      </c>
      <c r="C486" s="181">
        <v>7168.0</v>
      </c>
      <c r="D486" s="181">
        <v>7.0</v>
      </c>
      <c r="E486" s="181">
        <v>10.4</v>
      </c>
      <c r="F486" s="181">
        <v>0.69</v>
      </c>
      <c r="G486" s="181">
        <v>0.59</v>
      </c>
      <c r="H486" s="827">
        <v>45960.83934027778</v>
      </c>
    </row>
    <row r="487">
      <c r="A487" s="181" t="s">
        <v>22</v>
      </c>
      <c r="B487" s="181" t="s">
        <v>558</v>
      </c>
      <c r="C487" s="181">
        <v>14336.0</v>
      </c>
      <c r="D487" s="181">
        <v>7.0</v>
      </c>
      <c r="E487" s="181">
        <v>10.44</v>
      </c>
      <c r="F487" s="181">
        <v>1.37</v>
      </c>
      <c r="G487" s="181">
        <v>1.18</v>
      </c>
      <c r="H487" s="827">
        <v>45960.83934027778</v>
      </c>
    </row>
    <row r="488">
      <c r="A488" s="181" t="s">
        <v>22</v>
      </c>
      <c r="B488" s="181" t="s">
        <v>558</v>
      </c>
      <c r="C488" s="181">
        <v>28672.0</v>
      </c>
      <c r="D488" s="181">
        <v>7.0</v>
      </c>
      <c r="E488" s="181">
        <v>10.92</v>
      </c>
      <c r="F488" s="181">
        <v>2.63</v>
      </c>
      <c r="G488" s="181">
        <v>2.25</v>
      </c>
      <c r="H488" s="827">
        <v>45960.83934027778</v>
      </c>
    </row>
    <row r="489">
      <c r="A489" s="181" t="s">
        <v>22</v>
      </c>
      <c r="B489" s="181" t="s">
        <v>558</v>
      </c>
      <c r="C489" s="181">
        <v>57344.0</v>
      </c>
      <c r="D489" s="181">
        <v>7.0</v>
      </c>
      <c r="E489" s="181">
        <v>11.76</v>
      </c>
      <c r="F489" s="181">
        <v>4.87</v>
      </c>
      <c r="G489" s="181">
        <v>4.18</v>
      </c>
      <c r="H489" s="827">
        <v>45960.83934027778</v>
      </c>
    </row>
    <row r="490">
      <c r="A490" s="181" t="s">
        <v>22</v>
      </c>
      <c r="B490" s="181" t="s">
        <v>558</v>
      </c>
      <c r="C490" s="181">
        <v>114688.0</v>
      </c>
      <c r="D490" s="181">
        <v>7.0</v>
      </c>
      <c r="E490" s="181">
        <v>12.17</v>
      </c>
      <c r="F490" s="181">
        <v>9.42</v>
      </c>
      <c r="G490" s="181">
        <v>8.08</v>
      </c>
      <c r="H490" s="827">
        <v>45960.83934027778</v>
      </c>
    </row>
    <row r="491">
      <c r="A491" s="181" t="s">
        <v>22</v>
      </c>
      <c r="B491" s="181" t="s">
        <v>558</v>
      </c>
      <c r="C491" s="181">
        <v>229376.0</v>
      </c>
      <c r="D491" s="181">
        <v>7.0</v>
      </c>
      <c r="E491" s="181">
        <v>12.21</v>
      </c>
      <c r="F491" s="181">
        <v>18.79</v>
      </c>
      <c r="G491" s="181">
        <v>16.1</v>
      </c>
      <c r="H491" s="827">
        <v>45960.83934027778</v>
      </c>
    </row>
    <row r="492">
      <c r="A492" s="181" t="s">
        <v>22</v>
      </c>
      <c r="B492" s="181" t="s">
        <v>558</v>
      </c>
      <c r="C492" s="181">
        <v>458752.0</v>
      </c>
      <c r="D492" s="181">
        <v>7.0</v>
      </c>
      <c r="E492" s="181">
        <v>13.77</v>
      </c>
      <c r="F492" s="181">
        <v>33.31</v>
      </c>
      <c r="G492" s="181">
        <v>28.55</v>
      </c>
      <c r="H492" s="827">
        <v>45960.83934027778</v>
      </c>
    </row>
    <row r="493">
      <c r="A493" s="181" t="s">
        <v>22</v>
      </c>
      <c r="B493" s="181" t="s">
        <v>558</v>
      </c>
      <c r="C493" s="181">
        <v>917504.0</v>
      </c>
      <c r="D493" s="181">
        <v>7.0</v>
      </c>
      <c r="E493" s="181">
        <v>17.19</v>
      </c>
      <c r="F493" s="181">
        <v>53.37</v>
      </c>
      <c r="G493" s="181">
        <v>45.74</v>
      </c>
      <c r="H493" s="827">
        <v>45960.83934027778</v>
      </c>
    </row>
    <row r="494">
      <c r="A494" s="181" t="s">
        <v>22</v>
      </c>
      <c r="B494" s="181" t="s">
        <v>558</v>
      </c>
      <c r="C494" s="181">
        <v>1835008.0</v>
      </c>
      <c r="D494" s="181">
        <v>7.0</v>
      </c>
      <c r="E494" s="181">
        <v>23.98</v>
      </c>
      <c r="F494" s="181">
        <v>76.52</v>
      </c>
      <c r="G494" s="181">
        <v>65.59</v>
      </c>
      <c r="H494" s="827">
        <v>45960.83934027778</v>
      </c>
    </row>
    <row r="495">
      <c r="A495" s="181" t="s">
        <v>22</v>
      </c>
      <c r="B495" s="181" t="s">
        <v>558</v>
      </c>
      <c r="C495" s="181">
        <v>3670016.0</v>
      </c>
      <c r="D495" s="181">
        <v>7.0</v>
      </c>
      <c r="E495" s="181">
        <v>37.96</v>
      </c>
      <c r="F495" s="181">
        <v>96.69</v>
      </c>
      <c r="G495" s="181">
        <v>82.87</v>
      </c>
      <c r="H495" s="827">
        <v>45960.83934027778</v>
      </c>
    </row>
    <row r="496">
      <c r="A496" s="181" t="s">
        <v>22</v>
      </c>
      <c r="B496" s="181" t="s">
        <v>558</v>
      </c>
      <c r="C496" s="181">
        <v>7340032.0</v>
      </c>
      <c r="D496" s="181">
        <v>7.0</v>
      </c>
      <c r="E496" s="181">
        <v>32.35</v>
      </c>
      <c r="F496" s="181">
        <v>226.92</v>
      </c>
      <c r="G496" s="181">
        <v>194.51</v>
      </c>
      <c r="H496" s="827">
        <v>45960.83934027778</v>
      </c>
    </row>
    <row r="497">
      <c r="A497" s="181" t="s">
        <v>22</v>
      </c>
      <c r="B497" s="181" t="s">
        <v>558</v>
      </c>
      <c r="C497" s="181">
        <v>1.4680064E7</v>
      </c>
      <c r="D497" s="181">
        <v>7.0</v>
      </c>
      <c r="E497" s="181">
        <v>48.15</v>
      </c>
      <c r="F497" s="181">
        <v>304.89</v>
      </c>
      <c r="G497" s="181">
        <v>261.33</v>
      </c>
      <c r="H497" s="827">
        <v>45960.83934027778</v>
      </c>
    </row>
    <row r="498">
      <c r="A498" s="181" t="s">
        <v>22</v>
      </c>
      <c r="B498" s="181" t="s">
        <v>558</v>
      </c>
      <c r="C498" s="181">
        <v>2.9360128E7</v>
      </c>
      <c r="D498" s="181">
        <v>7.0</v>
      </c>
      <c r="E498" s="181">
        <v>75.29</v>
      </c>
      <c r="F498" s="181">
        <v>389.98</v>
      </c>
      <c r="G498" s="181">
        <v>334.27</v>
      </c>
      <c r="H498" s="827">
        <v>45960.83934027778</v>
      </c>
    </row>
    <row r="499">
      <c r="A499" s="181" t="s">
        <v>22</v>
      </c>
      <c r="B499" s="181" t="s">
        <v>558</v>
      </c>
      <c r="C499" s="181">
        <v>5.8720256E7</v>
      </c>
      <c r="D499" s="181">
        <v>7.0</v>
      </c>
      <c r="E499" s="181">
        <v>127.3</v>
      </c>
      <c r="F499" s="181">
        <v>461.24</v>
      </c>
      <c r="G499" s="181">
        <v>395.35</v>
      </c>
      <c r="H499" s="827">
        <v>45960.83934027778</v>
      </c>
    </row>
    <row r="500">
      <c r="A500" s="181" t="s">
        <v>22</v>
      </c>
      <c r="B500" s="181" t="s">
        <v>558</v>
      </c>
      <c r="C500" s="181">
        <v>1.17440512E8</v>
      </c>
      <c r="D500" s="181">
        <v>7.0</v>
      </c>
      <c r="E500" s="181">
        <v>229.4</v>
      </c>
      <c r="F500" s="181">
        <v>511.84</v>
      </c>
      <c r="G500" s="181">
        <v>438.72</v>
      </c>
      <c r="H500" s="827">
        <v>45960.83934027778</v>
      </c>
    </row>
    <row r="501">
      <c r="A501" s="181" t="s">
        <v>22</v>
      </c>
      <c r="B501" s="181" t="s">
        <v>558</v>
      </c>
      <c r="C501" s="181">
        <v>2.34881024E8</v>
      </c>
      <c r="D501" s="181">
        <v>7.0</v>
      </c>
      <c r="E501" s="181">
        <v>429.0</v>
      </c>
      <c r="F501" s="181">
        <v>547.55</v>
      </c>
      <c r="G501" s="181">
        <v>469.33</v>
      </c>
      <c r="H501" s="827">
        <v>45960.83934027778</v>
      </c>
    </row>
    <row r="502">
      <c r="A502" s="181" t="s">
        <v>22</v>
      </c>
      <c r="B502" s="181" t="s">
        <v>558</v>
      </c>
      <c r="C502" s="181">
        <v>4.69762048E8</v>
      </c>
      <c r="D502" s="181">
        <v>7.0</v>
      </c>
      <c r="E502" s="181">
        <v>824.7</v>
      </c>
      <c r="F502" s="181">
        <v>569.6</v>
      </c>
      <c r="G502" s="181">
        <v>488.23</v>
      </c>
      <c r="H502" s="827">
        <v>45960.83934027778</v>
      </c>
    </row>
    <row r="503">
      <c r="A503" s="181" t="s">
        <v>22</v>
      </c>
      <c r="B503" s="181" t="s">
        <v>558</v>
      </c>
      <c r="C503" s="181">
        <v>9.39524096E8</v>
      </c>
      <c r="D503" s="181">
        <v>7.0</v>
      </c>
      <c r="E503" s="181">
        <v>1526.8</v>
      </c>
      <c r="F503" s="181">
        <v>615.34</v>
      </c>
      <c r="G503" s="181">
        <v>527.44</v>
      </c>
      <c r="H503" s="827">
        <v>45960.83934027778</v>
      </c>
    </row>
    <row r="504">
      <c r="A504" s="181" t="s">
        <v>22</v>
      </c>
      <c r="B504" s="181" t="s">
        <v>558</v>
      </c>
      <c r="C504" s="181">
        <v>1.879048192E9</v>
      </c>
      <c r="D504" s="181">
        <v>7.0</v>
      </c>
      <c r="E504" s="181">
        <v>2914.5</v>
      </c>
      <c r="F504" s="181">
        <v>644.71</v>
      </c>
      <c r="G504" s="181">
        <v>552.61</v>
      </c>
      <c r="H504" s="827">
        <v>45960.83934027778</v>
      </c>
    </row>
    <row r="505">
      <c r="A505" s="181" t="s">
        <v>22</v>
      </c>
      <c r="B505" s="181" t="s">
        <v>558</v>
      </c>
      <c r="C505" s="181">
        <v>3.758096384E9</v>
      </c>
      <c r="D505" s="181">
        <v>7.0</v>
      </c>
      <c r="E505" s="181">
        <v>4972.7</v>
      </c>
      <c r="F505" s="181">
        <v>755.75</v>
      </c>
      <c r="G505" s="181">
        <v>647.78</v>
      </c>
      <c r="H505" s="827">
        <v>45960.83934027778</v>
      </c>
    </row>
    <row r="506">
      <c r="A506" s="181" t="s">
        <v>22</v>
      </c>
      <c r="B506" s="181" t="s">
        <v>558</v>
      </c>
      <c r="C506" s="181">
        <v>128.0</v>
      </c>
      <c r="D506" s="181">
        <v>8.0</v>
      </c>
      <c r="E506" s="181">
        <v>10.26</v>
      </c>
      <c r="F506" s="181">
        <v>0.01</v>
      </c>
      <c r="G506" s="181">
        <v>0.01</v>
      </c>
      <c r="H506" s="827">
        <v>45960.83934027778</v>
      </c>
    </row>
    <row r="507">
      <c r="A507" s="181" t="s">
        <v>22</v>
      </c>
      <c r="B507" s="181" t="s">
        <v>558</v>
      </c>
      <c r="C507" s="181">
        <v>256.0</v>
      </c>
      <c r="D507" s="181">
        <v>8.0</v>
      </c>
      <c r="E507" s="181">
        <v>10.25</v>
      </c>
      <c r="F507" s="181">
        <v>0.02</v>
      </c>
      <c r="G507" s="181">
        <v>0.02</v>
      </c>
      <c r="H507" s="827">
        <v>45960.83934027778</v>
      </c>
    </row>
    <row r="508">
      <c r="A508" s="181" t="s">
        <v>22</v>
      </c>
      <c r="B508" s="181" t="s">
        <v>558</v>
      </c>
      <c r="C508" s="181">
        <v>512.0</v>
      </c>
      <c r="D508" s="181">
        <v>8.0</v>
      </c>
      <c r="E508" s="181">
        <v>10.23</v>
      </c>
      <c r="F508" s="181">
        <v>0.05</v>
      </c>
      <c r="G508" s="181">
        <v>0.04</v>
      </c>
      <c r="H508" s="827">
        <v>45960.83934027778</v>
      </c>
    </row>
    <row r="509">
      <c r="A509" s="181" t="s">
        <v>22</v>
      </c>
      <c r="B509" s="181" t="s">
        <v>558</v>
      </c>
      <c r="C509" s="181">
        <v>1024.0</v>
      </c>
      <c r="D509" s="181">
        <v>8.0</v>
      </c>
      <c r="E509" s="181">
        <v>10.51</v>
      </c>
      <c r="F509" s="181">
        <v>0.1</v>
      </c>
      <c r="G509" s="181">
        <v>0.09</v>
      </c>
      <c r="H509" s="827">
        <v>45960.83934027778</v>
      </c>
    </row>
    <row r="510">
      <c r="A510" s="181" t="s">
        <v>22</v>
      </c>
      <c r="B510" s="181" t="s">
        <v>558</v>
      </c>
      <c r="C510" s="181">
        <v>2048.0</v>
      </c>
      <c r="D510" s="181">
        <v>8.0</v>
      </c>
      <c r="E510" s="181">
        <v>10.49</v>
      </c>
      <c r="F510" s="181">
        <v>0.2</v>
      </c>
      <c r="G510" s="181">
        <v>0.17</v>
      </c>
      <c r="H510" s="827">
        <v>45960.83934027778</v>
      </c>
    </row>
    <row r="511">
      <c r="A511" s="181" t="s">
        <v>22</v>
      </c>
      <c r="B511" s="181" t="s">
        <v>558</v>
      </c>
      <c r="C511" s="181">
        <v>4096.0</v>
      </c>
      <c r="D511" s="181">
        <v>8.0</v>
      </c>
      <c r="E511" s="181">
        <v>10.49</v>
      </c>
      <c r="F511" s="181">
        <v>0.39</v>
      </c>
      <c r="G511" s="181">
        <v>0.34</v>
      </c>
      <c r="H511" s="827">
        <v>45960.83934027778</v>
      </c>
    </row>
    <row r="512">
      <c r="A512" s="181" t="s">
        <v>22</v>
      </c>
      <c r="B512" s="181" t="s">
        <v>558</v>
      </c>
      <c r="C512" s="181">
        <v>8192.0</v>
      </c>
      <c r="D512" s="181">
        <v>8.0</v>
      </c>
      <c r="E512" s="181">
        <v>10.73</v>
      </c>
      <c r="F512" s="181">
        <v>0.76</v>
      </c>
      <c r="G512" s="181">
        <v>0.67</v>
      </c>
      <c r="H512" s="827">
        <v>45960.83934027778</v>
      </c>
    </row>
    <row r="513">
      <c r="A513" s="181" t="s">
        <v>22</v>
      </c>
      <c r="B513" s="181" t="s">
        <v>558</v>
      </c>
      <c r="C513" s="181">
        <v>16384.0</v>
      </c>
      <c r="D513" s="181">
        <v>8.0</v>
      </c>
      <c r="E513" s="181">
        <v>10.59</v>
      </c>
      <c r="F513" s="181">
        <v>1.55</v>
      </c>
      <c r="G513" s="181">
        <v>1.35</v>
      </c>
      <c r="H513" s="827">
        <v>45960.83934027778</v>
      </c>
    </row>
    <row r="514">
      <c r="A514" s="181" t="s">
        <v>22</v>
      </c>
      <c r="B514" s="181" t="s">
        <v>558</v>
      </c>
      <c r="C514" s="181">
        <v>32768.0</v>
      </c>
      <c r="D514" s="181">
        <v>8.0</v>
      </c>
      <c r="E514" s="181">
        <v>11.05</v>
      </c>
      <c r="F514" s="181">
        <v>2.97</v>
      </c>
      <c r="G514" s="181">
        <v>2.59</v>
      </c>
      <c r="H514" s="827">
        <v>45960.83934027778</v>
      </c>
    </row>
    <row r="515">
      <c r="A515" s="181" t="s">
        <v>22</v>
      </c>
      <c r="B515" s="181" t="s">
        <v>558</v>
      </c>
      <c r="C515" s="181">
        <v>65536.0</v>
      </c>
      <c r="D515" s="181">
        <v>8.0</v>
      </c>
      <c r="E515" s="181">
        <v>11.89</v>
      </c>
      <c r="F515" s="181">
        <v>5.51</v>
      </c>
      <c r="G515" s="181">
        <v>4.82</v>
      </c>
      <c r="H515" s="827">
        <v>45960.83934027778</v>
      </c>
    </row>
    <row r="516">
      <c r="A516" s="181" t="s">
        <v>22</v>
      </c>
      <c r="B516" s="181" t="s">
        <v>558</v>
      </c>
      <c r="C516" s="181">
        <v>131072.0</v>
      </c>
      <c r="D516" s="181">
        <v>8.0</v>
      </c>
      <c r="E516" s="181">
        <v>12.15</v>
      </c>
      <c r="F516" s="181">
        <v>10.79</v>
      </c>
      <c r="G516" s="181">
        <v>9.44</v>
      </c>
      <c r="H516" s="827">
        <v>45960.83934027778</v>
      </c>
    </row>
    <row r="517">
      <c r="A517" s="181" t="s">
        <v>22</v>
      </c>
      <c r="B517" s="181" t="s">
        <v>558</v>
      </c>
      <c r="C517" s="181">
        <v>262144.0</v>
      </c>
      <c r="D517" s="181">
        <v>8.0</v>
      </c>
      <c r="E517" s="181">
        <v>12.24</v>
      </c>
      <c r="F517" s="181">
        <v>21.41</v>
      </c>
      <c r="G517" s="181">
        <v>18.73</v>
      </c>
      <c r="H517" s="827">
        <v>45960.83934027778</v>
      </c>
    </row>
    <row r="518">
      <c r="A518" s="181" t="s">
        <v>22</v>
      </c>
      <c r="B518" s="181" t="s">
        <v>558</v>
      </c>
      <c r="C518" s="181">
        <v>524288.0</v>
      </c>
      <c r="D518" s="181">
        <v>8.0</v>
      </c>
      <c r="E518" s="181">
        <v>14.0</v>
      </c>
      <c r="F518" s="181">
        <v>37.44</v>
      </c>
      <c r="G518" s="181">
        <v>32.76</v>
      </c>
      <c r="H518" s="827">
        <v>45960.83934027778</v>
      </c>
    </row>
    <row r="519">
      <c r="A519" s="181" t="s">
        <v>22</v>
      </c>
      <c r="B519" s="181" t="s">
        <v>558</v>
      </c>
      <c r="C519" s="181">
        <v>1048576.0</v>
      </c>
      <c r="D519" s="181">
        <v>8.0</v>
      </c>
      <c r="E519" s="181">
        <v>17.2</v>
      </c>
      <c r="F519" s="181">
        <v>60.97</v>
      </c>
      <c r="G519" s="181">
        <v>53.35</v>
      </c>
      <c r="H519" s="827">
        <v>45960.83934027778</v>
      </c>
    </row>
    <row r="520">
      <c r="A520" s="181" t="s">
        <v>22</v>
      </c>
      <c r="B520" s="181" t="s">
        <v>558</v>
      </c>
      <c r="C520" s="181">
        <v>2097152.0</v>
      </c>
      <c r="D520" s="181">
        <v>8.0</v>
      </c>
      <c r="E520" s="181">
        <v>24.11</v>
      </c>
      <c r="F520" s="181">
        <v>87.0</v>
      </c>
      <c r="G520" s="181">
        <v>76.12</v>
      </c>
      <c r="H520" s="827">
        <v>45960.83934027778</v>
      </c>
    </row>
    <row r="521">
      <c r="A521" s="181" t="s">
        <v>22</v>
      </c>
      <c r="B521" s="181" t="s">
        <v>558</v>
      </c>
      <c r="C521" s="181">
        <v>4194304.0</v>
      </c>
      <c r="D521" s="181">
        <v>8.0</v>
      </c>
      <c r="E521" s="181">
        <v>38.12</v>
      </c>
      <c r="F521" s="181">
        <v>110.03</v>
      </c>
      <c r="G521" s="181">
        <v>96.27</v>
      </c>
      <c r="H521" s="827">
        <v>45960.83934027778</v>
      </c>
    </row>
    <row r="522">
      <c r="A522" s="181" t="s">
        <v>22</v>
      </c>
      <c r="B522" s="181" t="s">
        <v>558</v>
      </c>
      <c r="C522" s="181">
        <v>8388608.0</v>
      </c>
      <c r="D522" s="181">
        <v>8.0</v>
      </c>
      <c r="E522" s="181">
        <v>33.68</v>
      </c>
      <c r="F522" s="181">
        <v>249.09</v>
      </c>
      <c r="G522" s="181">
        <v>217.95</v>
      </c>
      <c r="H522" s="827">
        <v>45960.83934027778</v>
      </c>
    </row>
    <row r="523">
      <c r="A523" s="181" t="s">
        <v>22</v>
      </c>
      <c r="B523" s="181" t="s">
        <v>558</v>
      </c>
      <c r="C523" s="181">
        <v>1.6777216E7</v>
      </c>
      <c r="D523" s="181">
        <v>8.0</v>
      </c>
      <c r="E523" s="181">
        <v>51.19</v>
      </c>
      <c r="F523" s="181">
        <v>327.75</v>
      </c>
      <c r="G523" s="181">
        <v>286.78</v>
      </c>
      <c r="H523" s="827">
        <v>45960.83934027778</v>
      </c>
    </row>
    <row r="524">
      <c r="A524" s="181" t="s">
        <v>22</v>
      </c>
      <c r="B524" s="181" t="s">
        <v>558</v>
      </c>
      <c r="C524" s="181">
        <v>3.3554432E7</v>
      </c>
      <c r="D524" s="181">
        <v>8.0</v>
      </c>
      <c r="E524" s="181">
        <v>81.02</v>
      </c>
      <c r="F524" s="181">
        <v>414.14</v>
      </c>
      <c r="G524" s="181">
        <v>362.37</v>
      </c>
      <c r="H524" s="827">
        <v>45960.83934027778</v>
      </c>
    </row>
    <row r="525">
      <c r="A525" s="181" t="s">
        <v>22</v>
      </c>
      <c r="B525" s="181" t="s">
        <v>558</v>
      </c>
      <c r="C525" s="181">
        <v>6.7108864E7</v>
      </c>
      <c r="D525" s="181">
        <v>8.0</v>
      </c>
      <c r="E525" s="181">
        <v>133.6</v>
      </c>
      <c r="F525" s="181">
        <v>502.14</v>
      </c>
      <c r="G525" s="181">
        <v>439.37</v>
      </c>
      <c r="H525" s="827">
        <v>45960.83934027778</v>
      </c>
    </row>
    <row r="526">
      <c r="A526" s="181" t="s">
        <v>22</v>
      </c>
      <c r="B526" s="181" t="s">
        <v>558</v>
      </c>
      <c r="C526" s="181">
        <v>1.34217728E8</v>
      </c>
      <c r="D526" s="181">
        <v>8.0</v>
      </c>
      <c r="E526" s="181">
        <v>236.2</v>
      </c>
      <c r="F526" s="181">
        <v>568.22</v>
      </c>
      <c r="G526" s="181">
        <v>497.19</v>
      </c>
      <c r="H526" s="827">
        <v>45960.83934027778</v>
      </c>
    </row>
    <row r="527">
      <c r="A527" s="181" t="s">
        <v>22</v>
      </c>
      <c r="B527" s="181" t="s">
        <v>558</v>
      </c>
      <c r="C527" s="181">
        <v>2.68435456E8</v>
      </c>
      <c r="D527" s="181">
        <v>8.0</v>
      </c>
      <c r="E527" s="181">
        <v>437.5</v>
      </c>
      <c r="F527" s="181">
        <v>613.53</v>
      </c>
      <c r="G527" s="181">
        <v>536.84</v>
      </c>
      <c r="H527" s="827">
        <v>45960.83934027778</v>
      </c>
    </row>
    <row r="528">
      <c r="A528" s="181" t="s">
        <v>22</v>
      </c>
      <c r="B528" s="181" t="s">
        <v>558</v>
      </c>
      <c r="C528" s="181">
        <v>5.36870912E8</v>
      </c>
      <c r="D528" s="181">
        <v>8.0</v>
      </c>
      <c r="E528" s="181">
        <v>837.2</v>
      </c>
      <c r="F528" s="181">
        <v>641.24</v>
      </c>
      <c r="G528" s="181">
        <v>561.08</v>
      </c>
      <c r="H528" s="827">
        <v>45960.83934027778</v>
      </c>
    </row>
    <row r="529">
      <c r="A529" s="181" t="s">
        <v>22</v>
      </c>
      <c r="B529" s="181" t="s">
        <v>558</v>
      </c>
      <c r="C529" s="181">
        <v>1.073741824E9</v>
      </c>
      <c r="D529" s="181">
        <v>8.0</v>
      </c>
      <c r="E529" s="181">
        <v>1551.6</v>
      </c>
      <c r="F529" s="181">
        <v>692.04</v>
      </c>
      <c r="G529" s="181">
        <v>605.53</v>
      </c>
      <c r="H529" s="827">
        <v>45960.83934027778</v>
      </c>
    </row>
    <row r="530">
      <c r="A530" s="181" t="s">
        <v>22</v>
      </c>
      <c r="B530" s="181" t="s">
        <v>558</v>
      </c>
      <c r="C530" s="181">
        <v>2.147483648E9</v>
      </c>
      <c r="D530" s="181">
        <v>8.0</v>
      </c>
      <c r="E530" s="181">
        <v>3084.6</v>
      </c>
      <c r="F530" s="181">
        <v>696.19</v>
      </c>
      <c r="G530" s="181">
        <v>609.17</v>
      </c>
      <c r="H530" s="827">
        <v>45960.83934027778</v>
      </c>
    </row>
    <row r="531">
      <c r="A531" s="181" t="s">
        <v>22</v>
      </c>
      <c r="B531" s="181" t="s">
        <v>558</v>
      </c>
      <c r="C531" s="181">
        <v>4.294967296E9</v>
      </c>
      <c r="D531" s="181">
        <v>8.0</v>
      </c>
      <c r="E531" s="181">
        <v>5802.7</v>
      </c>
      <c r="F531" s="181">
        <v>740.16</v>
      </c>
      <c r="G531" s="181">
        <v>647.64</v>
      </c>
      <c r="H531" s="827">
        <v>45960.83934027778</v>
      </c>
    </row>
    <row r="532">
      <c r="A532" s="181" t="s">
        <v>22</v>
      </c>
      <c r="B532" s="181" t="s">
        <v>559</v>
      </c>
      <c r="C532" s="181">
        <v>128.0</v>
      </c>
      <c r="D532" s="181">
        <v>2.0</v>
      </c>
      <c r="E532" s="181">
        <v>8.55</v>
      </c>
      <c r="F532" s="181">
        <v>0.01</v>
      </c>
      <c r="G532" s="181">
        <v>0.01</v>
      </c>
      <c r="H532" s="827">
        <v>45960.83934027778</v>
      </c>
    </row>
    <row r="533">
      <c r="A533" s="181" t="s">
        <v>22</v>
      </c>
      <c r="B533" s="181" t="s">
        <v>559</v>
      </c>
      <c r="C533" s="181">
        <v>256.0</v>
      </c>
      <c r="D533" s="181">
        <v>2.0</v>
      </c>
      <c r="E533" s="181">
        <v>8.78</v>
      </c>
      <c r="F533" s="181">
        <v>0.03</v>
      </c>
      <c r="G533" s="181">
        <v>0.01</v>
      </c>
      <c r="H533" s="827">
        <v>45960.83934027778</v>
      </c>
    </row>
    <row r="534">
      <c r="A534" s="181" t="s">
        <v>22</v>
      </c>
      <c r="B534" s="181" t="s">
        <v>559</v>
      </c>
      <c r="C534" s="181">
        <v>512.0</v>
      </c>
      <c r="D534" s="181">
        <v>2.0</v>
      </c>
      <c r="E534" s="181">
        <v>8.73</v>
      </c>
      <c r="F534" s="181">
        <v>0.06</v>
      </c>
      <c r="G534" s="181">
        <v>0.03</v>
      </c>
      <c r="H534" s="827">
        <v>45960.83934027778</v>
      </c>
    </row>
    <row r="535">
      <c r="A535" s="181" t="s">
        <v>22</v>
      </c>
      <c r="B535" s="181" t="s">
        <v>559</v>
      </c>
      <c r="C535" s="181">
        <v>1024.0</v>
      </c>
      <c r="D535" s="181">
        <v>2.0</v>
      </c>
      <c r="E535" s="181">
        <v>8.6</v>
      </c>
      <c r="F535" s="181">
        <v>0.12</v>
      </c>
      <c r="G535" s="181">
        <v>0.06</v>
      </c>
      <c r="H535" s="827">
        <v>45960.83934027778</v>
      </c>
    </row>
    <row r="536">
      <c r="A536" s="181" t="s">
        <v>22</v>
      </c>
      <c r="B536" s="181" t="s">
        <v>559</v>
      </c>
      <c r="C536" s="181">
        <v>2048.0</v>
      </c>
      <c r="D536" s="181">
        <v>2.0</v>
      </c>
      <c r="E536" s="181">
        <v>8.63</v>
      </c>
      <c r="F536" s="181">
        <v>0.24</v>
      </c>
      <c r="G536" s="181">
        <v>0.12</v>
      </c>
      <c r="H536" s="827">
        <v>45960.83934027778</v>
      </c>
    </row>
    <row r="537">
      <c r="A537" s="181" t="s">
        <v>22</v>
      </c>
      <c r="B537" s="181" t="s">
        <v>559</v>
      </c>
      <c r="C537" s="181">
        <v>4096.0</v>
      </c>
      <c r="D537" s="181">
        <v>2.0</v>
      </c>
      <c r="E537" s="181">
        <v>8.73</v>
      </c>
      <c r="F537" s="181">
        <v>0.47</v>
      </c>
      <c r="G537" s="181">
        <v>0.23</v>
      </c>
      <c r="H537" s="827">
        <v>45960.83934027778</v>
      </c>
    </row>
    <row r="538">
      <c r="A538" s="181" t="s">
        <v>22</v>
      </c>
      <c r="B538" s="181" t="s">
        <v>559</v>
      </c>
      <c r="C538" s="181">
        <v>8192.0</v>
      </c>
      <c r="D538" s="181">
        <v>2.0</v>
      </c>
      <c r="E538" s="181">
        <v>9.18</v>
      </c>
      <c r="F538" s="181">
        <v>0.89</v>
      </c>
      <c r="G538" s="181">
        <v>0.45</v>
      </c>
      <c r="H538" s="827">
        <v>45960.83934027778</v>
      </c>
    </row>
    <row r="539">
      <c r="A539" s="181" t="s">
        <v>22</v>
      </c>
      <c r="B539" s="181" t="s">
        <v>559</v>
      </c>
      <c r="C539" s="181">
        <v>16384.0</v>
      </c>
      <c r="D539" s="181">
        <v>2.0</v>
      </c>
      <c r="E539" s="181">
        <v>9.3</v>
      </c>
      <c r="F539" s="181">
        <v>1.76</v>
      </c>
      <c r="G539" s="181">
        <v>0.88</v>
      </c>
      <c r="H539" s="827">
        <v>45960.83934027778</v>
      </c>
    </row>
    <row r="540">
      <c r="A540" s="181" t="s">
        <v>22</v>
      </c>
      <c r="B540" s="181" t="s">
        <v>559</v>
      </c>
      <c r="C540" s="181">
        <v>32768.0</v>
      </c>
      <c r="D540" s="181">
        <v>2.0</v>
      </c>
      <c r="E540" s="181">
        <v>9.4</v>
      </c>
      <c r="F540" s="181">
        <v>3.49</v>
      </c>
      <c r="G540" s="181">
        <v>1.74</v>
      </c>
      <c r="H540" s="827">
        <v>45960.83934027778</v>
      </c>
    </row>
    <row r="541">
      <c r="A541" s="181" t="s">
        <v>22</v>
      </c>
      <c r="B541" s="181" t="s">
        <v>559</v>
      </c>
      <c r="C541" s="181">
        <v>65536.0</v>
      </c>
      <c r="D541" s="181">
        <v>2.0</v>
      </c>
      <c r="E541" s="181">
        <v>9.62</v>
      </c>
      <c r="F541" s="181">
        <v>6.81</v>
      </c>
      <c r="G541" s="181">
        <v>3.4</v>
      </c>
      <c r="H541" s="827">
        <v>45960.83934027778</v>
      </c>
    </row>
    <row r="542">
      <c r="A542" s="181" t="s">
        <v>22</v>
      </c>
      <c r="B542" s="181" t="s">
        <v>559</v>
      </c>
      <c r="C542" s="181">
        <v>131072.0</v>
      </c>
      <c r="D542" s="181">
        <v>2.0</v>
      </c>
      <c r="E542" s="181">
        <v>9.7</v>
      </c>
      <c r="F542" s="181">
        <v>13.51</v>
      </c>
      <c r="G542" s="181">
        <v>6.75</v>
      </c>
      <c r="H542" s="827">
        <v>45960.83934027778</v>
      </c>
    </row>
    <row r="543">
      <c r="A543" s="181" t="s">
        <v>22</v>
      </c>
      <c r="B543" s="181" t="s">
        <v>559</v>
      </c>
      <c r="C543" s="181">
        <v>262144.0</v>
      </c>
      <c r="D543" s="181">
        <v>2.0</v>
      </c>
      <c r="E543" s="181">
        <v>9.62</v>
      </c>
      <c r="F543" s="181">
        <v>27.24</v>
      </c>
      <c r="G543" s="181">
        <v>13.62</v>
      </c>
      <c r="H543" s="827">
        <v>45960.83934027778</v>
      </c>
    </row>
    <row r="544">
      <c r="A544" s="181" t="s">
        <v>22</v>
      </c>
      <c r="B544" s="181" t="s">
        <v>559</v>
      </c>
      <c r="C544" s="181">
        <v>524288.0</v>
      </c>
      <c r="D544" s="181">
        <v>2.0</v>
      </c>
      <c r="E544" s="181">
        <v>11.12</v>
      </c>
      <c r="F544" s="181">
        <v>47.14</v>
      </c>
      <c r="G544" s="181">
        <v>23.57</v>
      </c>
      <c r="H544" s="827">
        <v>45960.83934027778</v>
      </c>
    </row>
    <row r="545">
      <c r="A545" s="181" t="s">
        <v>22</v>
      </c>
      <c r="B545" s="181" t="s">
        <v>559</v>
      </c>
      <c r="C545" s="181">
        <v>1048576.0</v>
      </c>
      <c r="D545" s="181">
        <v>2.0</v>
      </c>
      <c r="E545" s="181">
        <v>12.86</v>
      </c>
      <c r="F545" s="181">
        <v>81.52</v>
      </c>
      <c r="G545" s="181">
        <v>40.76</v>
      </c>
      <c r="H545" s="827">
        <v>45960.83934027778</v>
      </c>
    </row>
    <row r="546">
      <c r="A546" s="181" t="s">
        <v>22</v>
      </c>
      <c r="B546" s="181" t="s">
        <v>559</v>
      </c>
      <c r="C546" s="181">
        <v>2097152.0</v>
      </c>
      <c r="D546" s="181">
        <v>2.0</v>
      </c>
      <c r="E546" s="181">
        <v>18.28</v>
      </c>
      <c r="F546" s="181">
        <v>114.71</v>
      </c>
      <c r="G546" s="181">
        <v>57.35</v>
      </c>
      <c r="H546" s="827">
        <v>45960.83934027778</v>
      </c>
    </row>
    <row r="547">
      <c r="A547" s="181" t="s">
        <v>22</v>
      </c>
      <c r="B547" s="181" t="s">
        <v>559</v>
      </c>
      <c r="C547" s="181">
        <v>4194304.0</v>
      </c>
      <c r="D547" s="181">
        <v>2.0</v>
      </c>
      <c r="E547" s="181">
        <v>28.8</v>
      </c>
      <c r="F547" s="181">
        <v>145.64</v>
      </c>
      <c r="G547" s="181">
        <v>72.82</v>
      </c>
      <c r="H547" s="827">
        <v>45960.83934027778</v>
      </c>
    </row>
    <row r="548">
      <c r="A548" s="181" t="s">
        <v>22</v>
      </c>
      <c r="B548" s="181" t="s">
        <v>559</v>
      </c>
      <c r="C548" s="181">
        <v>8388608.0</v>
      </c>
      <c r="D548" s="181">
        <v>2.0</v>
      </c>
      <c r="E548" s="181">
        <v>28.12</v>
      </c>
      <c r="F548" s="181">
        <v>298.35</v>
      </c>
      <c r="G548" s="181">
        <v>149.18</v>
      </c>
      <c r="H548" s="827">
        <v>45960.83934027778</v>
      </c>
    </row>
    <row r="549">
      <c r="A549" s="181" t="s">
        <v>22</v>
      </c>
      <c r="B549" s="181" t="s">
        <v>559</v>
      </c>
      <c r="C549" s="181">
        <v>1.6777216E7</v>
      </c>
      <c r="D549" s="181">
        <v>2.0</v>
      </c>
      <c r="E549" s="181">
        <v>37.84</v>
      </c>
      <c r="F549" s="181">
        <v>443.31</v>
      </c>
      <c r="G549" s="181">
        <v>221.66</v>
      </c>
      <c r="H549" s="827">
        <v>45960.83934027778</v>
      </c>
    </row>
    <row r="550">
      <c r="A550" s="181" t="s">
        <v>22</v>
      </c>
      <c r="B550" s="181" t="s">
        <v>559</v>
      </c>
      <c r="C550" s="181">
        <v>3.3554432E7</v>
      </c>
      <c r="D550" s="181">
        <v>2.0</v>
      </c>
      <c r="E550" s="181">
        <v>55.79</v>
      </c>
      <c r="F550" s="181">
        <v>601.44</v>
      </c>
      <c r="G550" s="181">
        <v>300.72</v>
      </c>
      <c r="H550" s="827">
        <v>45960.83934027778</v>
      </c>
    </row>
    <row r="551">
      <c r="A551" s="181" t="s">
        <v>22</v>
      </c>
      <c r="B551" s="181" t="s">
        <v>559</v>
      </c>
      <c r="C551" s="181">
        <v>6.7108864E7</v>
      </c>
      <c r="D551" s="181">
        <v>2.0</v>
      </c>
      <c r="E551" s="181">
        <v>99.52</v>
      </c>
      <c r="F551" s="181">
        <v>674.32</v>
      </c>
      <c r="G551" s="181">
        <v>337.16</v>
      </c>
      <c r="H551" s="827">
        <v>45960.83934027778</v>
      </c>
    </row>
    <row r="552">
      <c r="A552" s="181" t="s">
        <v>22</v>
      </c>
      <c r="B552" s="181" t="s">
        <v>559</v>
      </c>
      <c r="C552" s="181">
        <v>1.34217728E8</v>
      </c>
      <c r="D552" s="181">
        <v>2.0</v>
      </c>
      <c r="E552" s="181">
        <v>184.7</v>
      </c>
      <c r="F552" s="181">
        <v>726.65</v>
      </c>
      <c r="G552" s="181">
        <v>363.32</v>
      </c>
      <c r="H552" s="827">
        <v>45960.83934027778</v>
      </c>
    </row>
    <row r="553">
      <c r="A553" s="181" t="s">
        <v>22</v>
      </c>
      <c r="B553" s="181" t="s">
        <v>559</v>
      </c>
      <c r="C553" s="181">
        <v>2.68435456E8</v>
      </c>
      <c r="D553" s="181">
        <v>2.0</v>
      </c>
      <c r="E553" s="181">
        <v>336.7</v>
      </c>
      <c r="F553" s="181">
        <v>797.31</v>
      </c>
      <c r="G553" s="181">
        <v>398.66</v>
      </c>
      <c r="H553" s="827">
        <v>45960.83934027778</v>
      </c>
    </row>
    <row r="554">
      <c r="A554" s="181" t="s">
        <v>22</v>
      </c>
      <c r="B554" s="181" t="s">
        <v>559</v>
      </c>
      <c r="C554" s="181">
        <v>5.36870912E8</v>
      </c>
      <c r="D554" s="181">
        <v>2.0</v>
      </c>
      <c r="E554" s="181">
        <v>642.9</v>
      </c>
      <c r="F554" s="181">
        <v>835.14</v>
      </c>
      <c r="G554" s="181">
        <v>417.57</v>
      </c>
      <c r="H554" s="827">
        <v>45960.83934027778</v>
      </c>
    </row>
    <row r="555">
      <c r="A555" s="181" t="s">
        <v>22</v>
      </c>
      <c r="B555" s="181" t="s">
        <v>559</v>
      </c>
      <c r="C555" s="181">
        <v>1.073741824E9</v>
      </c>
      <c r="D555" s="181">
        <v>2.0</v>
      </c>
      <c r="E555" s="181">
        <v>1209.1</v>
      </c>
      <c r="F555" s="181">
        <v>888.08</v>
      </c>
      <c r="G555" s="181">
        <v>444.04</v>
      </c>
      <c r="H555" s="827">
        <v>45960.83934027778</v>
      </c>
    </row>
    <row r="556">
      <c r="A556" s="181" t="s">
        <v>22</v>
      </c>
      <c r="B556" s="181" t="s">
        <v>559</v>
      </c>
      <c r="C556" s="181">
        <v>192.0</v>
      </c>
      <c r="D556" s="181">
        <v>3.0</v>
      </c>
      <c r="E556" s="181">
        <v>9.67</v>
      </c>
      <c r="F556" s="181">
        <v>0.02</v>
      </c>
      <c r="G556" s="181">
        <v>0.01</v>
      </c>
      <c r="H556" s="827">
        <v>45960.83934027778</v>
      </c>
    </row>
    <row r="557">
      <c r="A557" s="181" t="s">
        <v>22</v>
      </c>
      <c r="B557" s="181" t="s">
        <v>559</v>
      </c>
      <c r="C557" s="181">
        <v>384.0</v>
      </c>
      <c r="D557" s="181">
        <v>3.0</v>
      </c>
      <c r="E557" s="181">
        <v>9.79</v>
      </c>
      <c r="F557" s="181">
        <v>0.04</v>
      </c>
      <c r="G557" s="181">
        <v>0.03</v>
      </c>
      <c r="H557" s="827">
        <v>45960.83934027778</v>
      </c>
    </row>
    <row r="558">
      <c r="A558" s="181" t="s">
        <v>22</v>
      </c>
      <c r="B558" s="181" t="s">
        <v>559</v>
      </c>
      <c r="C558" s="181">
        <v>768.0</v>
      </c>
      <c r="D558" s="181">
        <v>3.0</v>
      </c>
      <c r="E558" s="181">
        <v>9.78</v>
      </c>
      <c r="F558" s="181">
        <v>0.08</v>
      </c>
      <c r="G558" s="181">
        <v>0.05</v>
      </c>
      <c r="H558" s="827">
        <v>45960.83934027778</v>
      </c>
    </row>
    <row r="559">
      <c r="A559" s="181" t="s">
        <v>22</v>
      </c>
      <c r="B559" s="181" t="s">
        <v>559</v>
      </c>
      <c r="C559" s="181">
        <v>1536.0</v>
      </c>
      <c r="D559" s="181">
        <v>3.0</v>
      </c>
      <c r="E559" s="181">
        <v>9.79</v>
      </c>
      <c r="F559" s="181">
        <v>0.16</v>
      </c>
      <c r="G559" s="181">
        <v>0.1</v>
      </c>
      <c r="H559" s="827">
        <v>45960.83934027778</v>
      </c>
    </row>
    <row r="560">
      <c r="A560" s="181" t="s">
        <v>22</v>
      </c>
      <c r="B560" s="181" t="s">
        <v>559</v>
      </c>
      <c r="C560" s="181">
        <v>3072.0</v>
      </c>
      <c r="D560" s="181">
        <v>3.0</v>
      </c>
      <c r="E560" s="181">
        <v>9.88</v>
      </c>
      <c r="F560" s="181">
        <v>0.31</v>
      </c>
      <c r="G560" s="181">
        <v>0.21</v>
      </c>
      <c r="H560" s="827">
        <v>45960.83934027778</v>
      </c>
    </row>
    <row r="561">
      <c r="A561" s="181" t="s">
        <v>22</v>
      </c>
      <c r="B561" s="181" t="s">
        <v>559</v>
      </c>
      <c r="C561" s="181">
        <v>6144.0</v>
      </c>
      <c r="D561" s="181">
        <v>3.0</v>
      </c>
      <c r="E561" s="181">
        <v>10.06</v>
      </c>
      <c r="F561" s="181">
        <v>0.61</v>
      </c>
      <c r="G561" s="181">
        <v>0.41</v>
      </c>
      <c r="H561" s="827">
        <v>45960.83934027778</v>
      </c>
    </row>
    <row r="562">
      <c r="A562" s="181" t="s">
        <v>22</v>
      </c>
      <c r="B562" s="181" t="s">
        <v>559</v>
      </c>
      <c r="C562" s="181">
        <v>12288.0</v>
      </c>
      <c r="D562" s="181">
        <v>3.0</v>
      </c>
      <c r="E562" s="181">
        <v>10.31</v>
      </c>
      <c r="F562" s="181">
        <v>1.19</v>
      </c>
      <c r="G562" s="181">
        <v>0.79</v>
      </c>
      <c r="H562" s="827">
        <v>45960.83934027778</v>
      </c>
    </row>
    <row r="563">
      <c r="A563" s="181" t="s">
        <v>22</v>
      </c>
      <c r="B563" s="181" t="s">
        <v>559</v>
      </c>
      <c r="C563" s="181">
        <v>24576.0</v>
      </c>
      <c r="D563" s="181">
        <v>3.0</v>
      </c>
      <c r="E563" s="181">
        <v>11.28</v>
      </c>
      <c r="F563" s="181">
        <v>2.18</v>
      </c>
      <c r="G563" s="181">
        <v>1.45</v>
      </c>
      <c r="H563" s="827">
        <v>45960.83934027778</v>
      </c>
    </row>
    <row r="564">
      <c r="A564" s="181" t="s">
        <v>22</v>
      </c>
      <c r="B564" s="181" t="s">
        <v>559</v>
      </c>
      <c r="C564" s="181">
        <v>49152.0</v>
      </c>
      <c r="D564" s="181">
        <v>3.0</v>
      </c>
      <c r="E564" s="181">
        <v>11.35</v>
      </c>
      <c r="F564" s="181">
        <v>4.33</v>
      </c>
      <c r="G564" s="181">
        <v>2.89</v>
      </c>
      <c r="H564" s="827">
        <v>45960.83934027778</v>
      </c>
    </row>
    <row r="565">
      <c r="A565" s="181" t="s">
        <v>22</v>
      </c>
      <c r="B565" s="181" t="s">
        <v>559</v>
      </c>
      <c r="C565" s="181">
        <v>98304.0</v>
      </c>
      <c r="D565" s="181">
        <v>3.0</v>
      </c>
      <c r="E565" s="181">
        <v>11.53</v>
      </c>
      <c r="F565" s="181">
        <v>8.52</v>
      </c>
      <c r="G565" s="181">
        <v>5.68</v>
      </c>
      <c r="H565" s="827">
        <v>45960.83934027778</v>
      </c>
    </row>
    <row r="566">
      <c r="A566" s="181" t="s">
        <v>22</v>
      </c>
      <c r="B566" s="181" t="s">
        <v>559</v>
      </c>
      <c r="C566" s="181">
        <v>196608.0</v>
      </c>
      <c r="D566" s="181">
        <v>3.0</v>
      </c>
      <c r="E566" s="181">
        <v>11.78</v>
      </c>
      <c r="F566" s="181">
        <v>16.68</v>
      </c>
      <c r="G566" s="181">
        <v>11.12</v>
      </c>
      <c r="H566" s="827">
        <v>45960.83934027778</v>
      </c>
    </row>
    <row r="567">
      <c r="A567" s="181" t="s">
        <v>22</v>
      </c>
      <c r="B567" s="181" t="s">
        <v>559</v>
      </c>
      <c r="C567" s="181">
        <v>393216.0</v>
      </c>
      <c r="D567" s="181">
        <v>3.0</v>
      </c>
      <c r="E567" s="181">
        <v>11.64</v>
      </c>
      <c r="F567" s="181">
        <v>33.77</v>
      </c>
      <c r="G567" s="181">
        <v>22.51</v>
      </c>
      <c r="H567" s="827">
        <v>45960.83934027778</v>
      </c>
    </row>
    <row r="568">
      <c r="A568" s="181" t="s">
        <v>22</v>
      </c>
      <c r="B568" s="181" t="s">
        <v>559</v>
      </c>
      <c r="C568" s="181">
        <v>786432.0</v>
      </c>
      <c r="D568" s="181">
        <v>3.0</v>
      </c>
      <c r="E568" s="181">
        <v>13.89</v>
      </c>
      <c r="F568" s="181">
        <v>56.63</v>
      </c>
      <c r="G568" s="181">
        <v>37.76</v>
      </c>
      <c r="H568" s="827">
        <v>45960.83934027778</v>
      </c>
    </row>
    <row r="569">
      <c r="A569" s="181" t="s">
        <v>22</v>
      </c>
      <c r="B569" s="181" t="s">
        <v>559</v>
      </c>
      <c r="C569" s="181">
        <v>1572864.0</v>
      </c>
      <c r="D569" s="181">
        <v>3.0</v>
      </c>
      <c r="E569" s="181">
        <v>18.52</v>
      </c>
      <c r="F569" s="181">
        <v>84.94</v>
      </c>
      <c r="G569" s="181">
        <v>56.63</v>
      </c>
      <c r="H569" s="827">
        <v>45960.83934027778</v>
      </c>
    </row>
    <row r="570">
      <c r="A570" s="181" t="s">
        <v>22</v>
      </c>
      <c r="B570" s="181" t="s">
        <v>559</v>
      </c>
      <c r="C570" s="181">
        <v>3145728.0</v>
      </c>
      <c r="D570" s="181">
        <v>3.0</v>
      </c>
      <c r="E570" s="181">
        <v>28.87</v>
      </c>
      <c r="F570" s="181">
        <v>108.97</v>
      </c>
      <c r="G570" s="181">
        <v>72.65</v>
      </c>
      <c r="H570" s="827">
        <v>45960.83934027778</v>
      </c>
    </row>
    <row r="571">
      <c r="A571" s="181" t="s">
        <v>22</v>
      </c>
      <c r="B571" s="181" t="s">
        <v>559</v>
      </c>
      <c r="C571" s="181">
        <v>6291456.0</v>
      </c>
      <c r="D571" s="181">
        <v>3.0</v>
      </c>
      <c r="E571" s="181">
        <v>37.03</v>
      </c>
      <c r="F571" s="181">
        <v>169.88</v>
      </c>
      <c r="G571" s="181">
        <v>113.26</v>
      </c>
      <c r="H571" s="827">
        <v>45960.83934027778</v>
      </c>
    </row>
    <row r="572">
      <c r="A572" s="181" t="s">
        <v>22</v>
      </c>
      <c r="B572" s="181" t="s">
        <v>559</v>
      </c>
      <c r="C572" s="181">
        <v>1.2582912E7</v>
      </c>
      <c r="D572" s="181">
        <v>3.0</v>
      </c>
      <c r="E572" s="181">
        <v>42.69</v>
      </c>
      <c r="F572" s="181">
        <v>294.78</v>
      </c>
      <c r="G572" s="181">
        <v>196.52</v>
      </c>
      <c r="H572" s="827">
        <v>45960.83934027778</v>
      </c>
    </row>
    <row r="573">
      <c r="A573" s="181" t="s">
        <v>22</v>
      </c>
      <c r="B573" s="181" t="s">
        <v>559</v>
      </c>
      <c r="C573" s="181">
        <v>2.5165824E7</v>
      </c>
      <c r="D573" s="181">
        <v>3.0</v>
      </c>
      <c r="E573" s="181">
        <v>56.05</v>
      </c>
      <c r="F573" s="181">
        <v>449.02</v>
      </c>
      <c r="G573" s="181">
        <v>299.35</v>
      </c>
      <c r="H573" s="827">
        <v>45960.83934027778</v>
      </c>
    </row>
    <row r="574">
      <c r="A574" s="181" t="s">
        <v>22</v>
      </c>
      <c r="B574" s="181" t="s">
        <v>559</v>
      </c>
      <c r="C574" s="181">
        <v>5.0331648E7</v>
      </c>
      <c r="D574" s="181">
        <v>3.0</v>
      </c>
      <c r="E574" s="181">
        <v>83.75</v>
      </c>
      <c r="F574" s="181">
        <v>600.99</v>
      </c>
      <c r="G574" s="181">
        <v>400.66</v>
      </c>
      <c r="H574" s="827">
        <v>45960.83934027778</v>
      </c>
    </row>
    <row r="575">
      <c r="A575" s="181" t="s">
        <v>22</v>
      </c>
      <c r="B575" s="181" t="s">
        <v>559</v>
      </c>
      <c r="C575" s="181">
        <v>1.00663296E8</v>
      </c>
      <c r="D575" s="181">
        <v>3.0</v>
      </c>
      <c r="E575" s="181">
        <v>154.8</v>
      </c>
      <c r="F575" s="181">
        <v>650.27</v>
      </c>
      <c r="G575" s="181">
        <v>433.51</v>
      </c>
      <c r="H575" s="827">
        <v>45960.83934027778</v>
      </c>
    </row>
    <row r="576">
      <c r="A576" s="181" t="s">
        <v>22</v>
      </c>
      <c r="B576" s="181" t="s">
        <v>559</v>
      </c>
      <c r="C576" s="181">
        <v>2.01326592E8</v>
      </c>
      <c r="D576" s="181">
        <v>3.0</v>
      </c>
      <c r="E576" s="181">
        <v>304.4</v>
      </c>
      <c r="F576" s="181">
        <v>661.36</v>
      </c>
      <c r="G576" s="181">
        <v>440.91</v>
      </c>
      <c r="H576" s="827">
        <v>45960.83934027778</v>
      </c>
    </row>
    <row r="577">
      <c r="A577" s="181" t="s">
        <v>22</v>
      </c>
      <c r="B577" s="181" t="s">
        <v>559</v>
      </c>
      <c r="C577" s="181">
        <v>4.02653184E8</v>
      </c>
      <c r="D577" s="181">
        <v>3.0</v>
      </c>
      <c r="E577" s="181">
        <v>549.0</v>
      </c>
      <c r="F577" s="181">
        <v>733.38</v>
      </c>
      <c r="G577" s="181">
        <v>488.92</v>
      </c>
      <c r="H577" s="827">
        <v>45960.83934027778</v>
      </c>
    </row>
    <row r="578">
      <c r="A578" s="181" t="s">
        <v>22</v>
      </c>
      <c r="B578" s="181" t="s">
        <v>559</v>
      </c>
      <c r="C578" s="181">
        <v>8.05306368E8</v>
      </c>
      <c r="D578" s="181">
        <v>3.0</v>
      </c>
      <c r="E578" s="181">
        <v>1010.6</v>
      </c>
      <c r="F578" s="181">
        <v>796.87</v>
      </c>
      <c r="G578" s="181">
        <v>531.25</v>
      </c>
      <c r="H578" s="827">
        <v>45960.83934027778</v>
      </c>
    </row>
    <row r="579">
      <c r="A579" s="181" t="s">
        <v>22</v>
      </c>
      <c r="B579" s="181" t="s">
        <v>559</v>
      </c>
      <c r="C579" s="181">
        <v>1.610612736E9</v>
      </c>
      <c r="D579" s="181">
        <v>3.0</v>
      </c>
      <c r="E579" s="181">
        <v>1903.4</v>
      </c>
      <c r="F579" s="181">
        <v>846.19</v>
      </c>
      <c r="G579" s="181">
        <v>564.12</v>
      </c>
      <c r="H579" s="827">
        <v>45960.83934027778</v>
      </c>
    </row>
    <row r="580">
      <c r="A580" s="181" t="s">
        <v>22</v>
      </c>
      <c r="B580" s="181" t="s">
        <v>559</v>
      </c>
      <c r="C580" s="181">
        <v>128.0</v>
      </c>
      <c r="D580" s="181">
        <v>4.0</v>
      </c>
      <c r="E580" s="181">
        <v>11.07</v>
      </c>
      <c r="F580" s="181">
        <v>0.01</v>
      </c>
      <c r="G580" s="181">
        <v>0.01</v>
      </c>
      <c r="H580" s="827">
        <v>45960.83934027778</v>
      </c>
    </row>
    <row r="581">
      <c r="A581" s="181" t="s">
        <v>22</v>
      </c>
      <c r="B581" s="181" t="s">
        <v>559</v>
      </c>
      <c r="C581" s="181">
        <v>256.0</v>
      </c>
      <c r="D581" s="181">
        <v>4.0</v>
      </c>
      <c r="E581" s="181">
        <v>11.13</v>
      </c>
      <c r="F581" s="181">
        <v>0.02</v>
      </c>
      <c r="G581" s="181">
        <v>0.02</v>
      </c>
      <c r="H581" s="827">
        <v>45960.83934027778</v>
      </c>
    </row>
    <row r="582">
      <c r="A582" s="181" t="s">
        <v>22</v>
      </c>
      <c r="B582" s="181" t="s">
        <v>559</v>
      </c>
      <c r="C582" s="181">
        <v>512.0</v>
      </c>
      <c r="D582" s="181">
        <v>4.0</v>
      </c>
      <c r="E582" s="181">
        <v>11.12</v>
      </c>
      <c r="F582" s="181">
        <v>0.05</v>
      </c>
      <c r="G582" s="181">
        <v>0.03</v>
      </c>
      <c r="H582" s="827">
        <v>45960.83934027778</v>
      </c>
    </row>
    <row r="583">
      <c r="A583" s="181" t="s">
        <v>22</v>
      </c>
      <c r="B583" s="181" t="s">
        <v>559</v>
      </c>
      <c r="C583" s="181">
        <v>1024.0</v>
      </c>
      <c r="D583" s="181">
        <v>4.0</v>
      </c>
      <c r="E583" s="181">
        <v>11.23</v>
      </c>
      <c r="F583" s="181">
        <v>0.09</v>
      </c>
      <c r="G583" s="181">
        <v>0.07</v>
      </c>
      <c r="H583" s="827">
        <v>45960.83934027778</v>
      </c>
    </row>
    <row r="584">
      <c r="A584" s="181" t="s">
        <v>22</v>
      </c>
      <c r="B584" s="181" t="s">
        <v>559</v>
      </c>
      <c r="C584" s="181">
        <v>2048.0</v>
      </c>
      <c r="D584" s="181">
        <v>4.0</v>
      </c>
      <c r="E584" s="181">
        <v>11.28</v>
      </c>
      <c r="F584" s="181">
        <v>0.18</v>
      </c>
      <c r="G584" s="181">
        <v>0.14</v>
      </c>
      <c r="H584" s="827">
        <v>45960.83934027778</v>
      </c>
    </row>
    <row r="585">
      <c r="A585" s="181" t="s">
        <v>22</v>
      </c>
      <c r="B585" s="181" t="s">
        <v>559</v>
      </c>
      <c r="C585" s="181">
        <v>4096.0</v>
      </c>
      <c r="D585" s="181">
        <v>4.0</v>
      </c>
      <c r="E585" s="181">
        <v>11.43</v>
      </c>
      <c r="F585" s="181">
        <v>0.36</v>
      </c>
      <c r="G585" s="181">
        <v>0.27</v>
      </c>
      <c r="H585" s="827">
        <v>45960.83934027778</v>
      </c>
    </row>
    <row r="586">
      <c r="A586" s="181" t="s">
        <v>22</v>
      </c>
      <c r="B586" s="181" t="s">
        <v>559</v>
      </c>
      <c r="C586" s="181">
        <v>8192.0</v>
      </c>
      <c r="D586" s="181">
        <v>4.0</v>
      </c>
      <c r="E586" s="181">
        <v>11.53</v>
      </c>
      <c r="F586" s="181">
        <v>0.71</v>
      </c>
      <c r="G586" s="181">
        <v>0.53</v>
      </c>
      <c r="H586" s="827">
        <v>45960.83934027778</v>
      </c>
    </row>
    <row r="587">
      <c r="A587" s="181" t="s">
        <v>22</v>
      </c>
      <c r="B587" s="181" t="s">
        <v>559</v>
      </c>
      <c r="C587" s="181">
        <v>16384.0</v>
      </c>
      <c r="D587" s="181">
        <v>4.0</v>
      </c>
      <c r="E587" s="181">
        <v>11.8</v>
      </c>
      <c r="F587" s="181">
        <v>1.39</v>
      </c>
      <c r="G587" s="181">
        <v>1.04</v>
      </c>
      <c r="H587" s="827">
        <v>45960.83934027778</v>
      </c>
    </row>
    <row r="588">
      <c r="A588" s="181" t="s">
        <v>22</v>
      </c>
      <c r="B588" s="181" t="s">
        <v>559</v>
      </c>
      <c r="C588" s="181">
        <v>32768.0</v>
      </c>
      <c r="D588" s="181">
        <v>4.0</v>
      </c>
      <c r="E588" s="181">
        <v>12.26</v>
      </c>
      <c r="F588" s="181">
        <v>2.67</v>
      </c>
      <c r="G588" s="181">
        <v>2.01</v>
      </c>
      <c r="H588" s="827">
        <v>45960.83934027778</v>
      </c>
    </row>
    <row r="589">
      <c r="A589" s="181" t="s">
        <v>22</v>
      </c>
      <c r="B589" s="181" t="s">
        <v>559</v>
      </c>
      <c r="C589" s="181">
        <v>65536.0</v>
      </c>
      <c r="D589" s="181">
        <v>4.0</v>
      </c>
      <c r="E589" s="181">
        <v>12.42</v>
      </c>
      <c r="F589" s="181">
        <v>5.28</v>
      </c>
      <c r="G589" s="181">
        <v>3.96</v>
      </c>
      <c r="H589" s="827">
        <v>45960.83934027778</v>
      </c>
    </row>
    <row r="590">
      <c r="A590" s="181" t="s">
        <v>22</v>
      </c>
      <c r="B590" s="181" t="s">
        <v>559</v>
      </c>
      <c r="C590" s="181">
        <v>131072.0</v>
      </c>
      <c r="D590" s="181">
        <v>4.0</v>
      </c>
      <c r="E590" s="181">
        <v>12.6</v>
      </c>
      <c r="F590" s="181">
        <v>10.41</v>
      </c>
      <c r="G590" s="181">
        <v>7.8</v>
      </c>
      <c r="H590" s="827">
        <v>45960.83934027778</v>
      </c>
    </row>
    <row r="591">
      <c r="A591" s="181" t="s">
        <v>22</v>
      </c>
      <c r="B591" s="181" t="s">
        <v>559</v>
      </c>
      <c r="C591" s="181">
        <v>262144.0</v>
      </c>
      <c r="D591" s="181">
        <v>4.0</v>
      </c>
      <c r="E591" s="181">
        <v>13.03</v>
      </c>
      <c r="F591" s="181">
        <v>20.12</v>
      </c>
      <c r="G591" s="181">
        <v>15.09</v>
      </c>
      <c r="H591" s="827">
        <v>45960.83934027778</v>
      </c>
    </row>
    <row r="592">
      <c r="A592" s="181" t="s">
        <v>22</v>
      </c>
      <c r="B592" s="181" t="s">
        <v>559</v>
      </c>
      <c r="C592" s="181">
        <v>524288.0</v>
      </c>
      <c r="D592" s="181">
        <v>4.0</v>
      </c>
      <c r="E592" s="181">
        <v>13.03</v>
      </c>
      <c r="F592" s="181">
        <v>40.25</v>
      </c>
      <c r="G592" s="181">
        <v>30.19</v>
      </c>
      <c r="H592" s="827">
        <v>45960.83934027778</v>
      </c>
    </row>
    <row r="593">
      <c r="A593" s="181" t="s">
        <v>22</v>
      </c>
      <c r="B593" s="181" t="s">
        <v>559</v>
      </c>
      <c r="C593" s="181">
        <v>1048576.0</v>
      </c>
      <c r="D593" s="181">
        <v>4.0</v>
      </c>
      <c r="E593" s="181">
        <v>14.98</v>
      </c>
      <c r="F593" s="181">
        <v>70.01</v>
      </c>
      <c r="G593" s="181">
        <v>52.51</v>
      </c>
      <c r="H593" s="827">
        <v>45960.83934027778</v>
      </c>
    </row>
    <row r="594">
      <c r="A594" s="181" t="s">
        <v>22</v>
      </c>
      <c r="B594" s="181" t="s">
        <v>559</v>
      </c>
      <c r="C594" s="181">
        <v>2097152.0</v>
      </c>
      <c r="D594" s="181">
        <v>4.0</v>
      </c>
      <c r="E594" s="181">
        <v>20.65</v>
      </c>
      <c r="F594" s="181">
        <v>101.53</v>
      </c>
      <c r="G594" s="181">
        <v>76.15</v>
      </c>
      <c r="H594" s="827">
        <v>45960.83934027778</v>
      </c>
    </row>
    <row r="595">
      <c r="A595" s="181" t="s">
        <v>22</v>
      </c>
      <c r="B595" s="181" t="s">
        <v>559</v>
      </c>
      <c r="C595" s="181">
        <v>4194304.0</v>
      </c>
      <c r="D595" s="181">
        <v>4.0</v>
      </c>
      <c r="E595" s="181">
        <v>31.71</v>
      </c>
      <c r="F595" s="181">
        <v>132.27</v>
      </c>
      <c r="G595" s="181">
        <v>99.2</v>
      </c>
      <c r="H595" s="827">
        <v>45960.83934027778</v>
      </c>
    </row>
    <row r="596">
      <c r="A596" s="181" t="s">
        <v>22</v>
      </c>
      <c r="B596" s="181" t="s">
        <v>559</v>
      </c>
      <c r="C596" s="181">
        <v>8388608.0</v>
      </c>
      <c r="D596" s="181">
        <v>4.0</v>
      </c>
      <c r="E596" s="181">
        <v>48.25</v>
      </c>
      <c r="F596" s="181">
        <v>173.86</v>
      </c>
      <c r="G596" s="181">
        <v>130.39</v>
      </c>
      <c r="H596" s="827">
        <v>45960.83934027778</v>
      </c>
    </row>
    <row r="597">
      <c r="A597" s="181" t="s">
        <v>22</v>
      </c>
      <c r="B597" s="181" t="s">
        <v>559</v>
      </c>
      <c r="C597" s="181">
        <v>1.6777216E7</v>
      </c>
      <c r="D597" s="181">
        <v>4.0</v>
      </c>
      <c r="E597" s="181">
        <v>55.02</v>
      </c>
      <c r="F597" s="181">
        <v>304.95</v>
      </c>
      <c r="G597" s="181">
        <v>228.71</v>
      </c>
      <c r="H597" s="827">
        <v>45960.83934027778</v>
      </c>
    </row>
    <row r="598">
      <c r="A598" s="181" t="s">
        <v>22</v>
      </c>
      <c r="B598" s="181" t="s">
        <v>559</v>
      </c>
      <c r="C598" s="181">
        <v>3.3554432E7</v>
      </c>
      <c r="D598" s="181">
        <v>4.0</v>
      </c>
      <c r="E598" s="181">
        <v>71.71</v>
      </c>
      <c r="F598" s="181">
        <v>467.95</v>
      </c>
      <c r="G598" s="181">
        <v>350.96</v>
      </c>
      <c r="H598" s="827">
        <v>45960.83934027778</v>
      </c>
    </row>
    <row r="599">
      <c r="A599" s="181" t="s">
        <v>22</v>
      </c>
      <c r="B599" s="181" t="s">
        <v>559</v>
      </c>
      <c r="C599" s="181">
        <v>6.7108864E7</v>
      </c>
      <c r="D599" s="181">
        <v>4.0</v>
      </c>
      <c r="E599" s="181">
        <v>107.9</v>
      </c>
      <c r="F599" s="181">
        <v>621.87</v>
      </c>
      <c r="G599" s="181">
        <v>466.4</v>
      </c>
      <c r="H599" s="827">
        <v>45960.83934027778</v>
      </c>
    </row>
    <row r="600">
      <c r="A600" s="181" t="s">
        <v>22</v>
      </c>
      <c r="B600" s="181" t="s">
        <v>559</v>
      </c>
      <c r="C600" s="181">
        <v>1.34217728E8</v>
      </c>
      <c r="D600" s="181">
        <v>4.0</v>
      </c>
      <c r="E600" s="181">
        <v>201.8</v>
      </c>
      <c r="F600" s="181">
        <v>664.95</v>
      </c>
      <c r="G600" s="181">
        <v>498.71</v>
      </c>
      <c r="H600" s="827">
        <v>45960.83934027778</v>
      </c>
    </row>
    <row r="601">
      <c r="A601" s="181" t="s">
        <v>22</v>
      </c>
      <c r="B601" s="181" t="s">
        <v>559</v>
      </c>
      <c r="C601" s="181">
        <v>2.68435456E8</v>
      </c>
      <c r="D601" s="181">
        <v>4.0</v>
      </c>
      <c r="E601" s="181">
        <v>385.7</v>
      </c>
      <c r="F601" s="181">
        <v>695.93</v>
      </c>
      <c r="G601" s="181">
        <v>521.95</v>
      </c>
      <c r="H601" s="827">
        <v>45960.83934027778</v>
      </c>
    </row>
    <row r="602">
      <c r="A602" s="181" t="s">
        <v>22</v>
      </c>
      <c r="B602" s="181" t="s">
        <v>559</v>
      </c>
      <c r="C602" s="181">
        <v>5.36870912E8</v>
      </c>
      <c r="D602" s="181">
        <v>4.0</v>
      </c>
      <c r="E602" s="181">
        <v>713.2</v>
      </c>
      <c r="F602" s="181">
        <v>752.73</v>
      </c>
      <c r="G602" s="181">
        <v>564.55</v>
      </c>
      <c r="H602" s="827">
        <v>45960.83934027778</v>
      </c>
    </row>
    <row r="603">
      <c r="A603" s="181" t="s">
        <v>22</v>
      </c>
      <c r="B603" s="181" t="s">
        <v>559</v>
      </c>
      <c r="C603" s="181">
        <v>1.073741824E9</v>
      </c>
      <c r="D603" s="181">
        <v>4.0</v>
      </c>
      <c r="E603" s="181">
        <v>1342.1</v>
      </c>
      <c r="F603" s="181">
        <v>800.07</v>
      </c>
      <c r="G603" s="181">
        <v>600.05</v>
      </c>
      <c r="H603" s="827">
        <v>45960.83934027778</v>
      </c>
    </row>
    <row r="604">
      <c r="A604" s="181" t="s">
        <v>22</v>
      </c>
      <c r="B604" s="181" t="s">
        <v>559</v>
      </c>
      <c r="C604" s="181">
        <v>2.147483648E9</v>
      </c>
      <c r="D604" s="181">
        <v>4.0</v>
      </c>
      <c r="E604" s="181">
        <v>2606.2</v>
      </c>
      <c r="F604" s="181">
        <v>823.99</v>
      </c>
      <c r="G604" s="181">
        <v>617.99</v>
      </c>
      <c r="H604" s="827">
        <v>45960.83934027778</v>
      </c>
    </row>
    <row r="605">
      <c r="A605" s="181" t="s">
        <v>22</v>
      </c>
      <c r="B605" s="181" t="s">
        <v>559</v>
      </c>
      <c r="C605" s="181">
        <v>160.0</v>
      </c>
      <c r="D605" s="181">
        <v>5.0</v>
      </c>
      <c r="E605" s="181">
        <v>11.99</v>
      </c>
      <c r="F605" s="181">
        <v>0.01</v>
      </c>
      <c r="G605" s="181">
        <v>0.01</v>
      </c>
      <c r="H605" s="827">
        <v>45960.83934027778</v>
      </c>
    </row>
    <row r="606">
      <c r="A606" s="181" t="s">
        <v>22</v>
      </c>
      <c r="B606" s="181" t="s">
        <v>559</v>
      </c>
      <c r="C606" s="181">
        <v>320.0</v>
      </c>
      <c r="D606" s="181">
        <v>5.0</v>
      </c>
      <c r="E606" s="181">
        <v>12.22</v>
      </c>
      <c r="F606" s="181">
        <v>0.03</v>
      </c>
      <c r="G606" s="181">
        <v>0.02</v>
      </c>
      <c r="H606" s="827">
        <v>45960.83934027778</v>
      </c>
    </row>
    <row r="607">
      <c r="A607" s="181" t="s">
        <v>22</v>
      </c>
      <c r="B607" s="181" t="s">
        <v>559</v>
      </c>
      <c r="C607" s="181">
        <v>640.0</v>
      </c>
      <c r="D607" s="181">
        <v>5.0</v>
      </c>
      <c r="E607" s="181">
        <v>12.37</v>
      </c>
      <c r="F607" s="181">
        <v>0.05</v>
      </c>
      <c r="G607" s="181">
        <v>0.04</v>
      </c>
      <c r="H607" s="827">
        <v>45960.83934027778</v>
      </c>
    </row>
    <row r="608">
      <c r="A608" s="181" t="s">
        <v>22</v>
      </c>
      <c r="B608" s="181" t="s">
        <v>559</v>
      </c>
      <c r="C608" s="181">
        <v>1280.0</v>
      </c>
      <c r="D608" s="181">
        <v>5.0</v>
      </c>
      <c r="E608" s="181">
        <v>12.47</v>
      </c>
      <c r="F608" s="181">
        <v>0.1</v>
      </c>
      <c r="G608" s="181">
        <v>0.08</v>
      </c>
      <c r="H608" s="827">
        <v>45960.83934027778</v>
      </c>
    </row>
    <row r="609">
      <c r="A609" s="181" t="s">
        <v>22</v>
      </c>
      <c r="B609" s="181" t="s">
        <v>559</v>
      </c>
      <c r="C609" s="181">
        <v>2560.0</v>
      </c>
      <c r="D609" s="181">
        <v>5.0</v>
      </c>
      <c r="E609" s="181">
        <v>12.5</v>
      </c>
      <c r="F609" s="181">
        <v>0.2</v>
      </c>
      <c r="G609" s="181">
        <v>0.16</v>
      </c>
      <c r="H609" s="827">
        <v>45960.83934027778</v>
      </c>
    </row>
    <row r="610">
      <c r="A610" s="181" t="s">
        <v>22</v>
      </c>
      <c r="B610" s="181" t="s">
        <v>559</v>
      </c>
      <c r="C610" s="181">
        <v>5120.0</v>
      </c>
      <c r="D610" s="181">
        <v>5.0</v>
      </c>
      <c r="E610" s="181">
        <v>12.69</v>
      </c>
      <c r="F610" s="181">
        <v>0.4</v>
      </c>
      <c r="G610" s="181">
        <v>0.32</v>
      </c>
      <c r="H610" s="827">
        <v>45960.83934027778</v>
      </c>
    </row>
    <row r="611">
      <c r="A611" s="181" t="s">
        <v>22</v>
      </c>
      <c r="B611" s="181" t="s">
        <v>559</v>
      </c>
      <c r="C611" s="181">
        <v>10240.0</v>
      </c>
      <c r="D611" s="181">
        <v>5.0</v>
      </c>
      <c r="E611" s="181">
        <v>12.93</v>
      </c>
      <c r="F611" s="181">
        <v>0.79</v>
      </c>
      <c r="G611" s="181">
        <v>0.63</v>
      </c>
      <c r="H611" s="827">
        <v>45960.83934027778</v>
      </c>
    </row>
    <row r="612">
      <c r="A612" s="181" t="s">
        <v>22</v>
      </c>
      <c r="B612" s="181" t="s">
        <v>559</v>
      </c>
      <c r="C612" s="181">
        <v>20480.0</v>
      </c>
      <c r="D612" s="181">
        <v>5.0</v>
      </c>
      <c r="E612" s="181">
        <v>13.2</v>
      </c>
      <c r="F612" s="181">
        <v>1.55</v>
      </c>
      <c r="G612" s="181">
        <v>1.24</v>
      </c>
      <c r="H612" s="827">
        <v>45960.83934027778</v>
      </c>
    </row>
    <row r="613">
      <c r="A613" s="181" t="s">
        <v>22</v>
      </c>
      <c r="B613" s="181" t="s">
        <v>559</v>
      </c>
      <c r="C613" s="181">
        <v>40960.0</v>
      </c>
      <c r="D613" s="181">
        <v>5.0</v>
      </c>
      <c r="E613" s="181">
        <v>14.46</v>
      </c>
      <c r="F613" s="181">
        <v>2.83</v>
      </c>
      <c r="G613" s="181">
        <v>2.27</v>
      </c>
      <c r="H613" s="827">
        <v>45960.83934027778</v>
      </c>
    </row>
    <row r="614">
      <c r="A614" s="181" t="s">
        <v>22</v>
      </c>
      <c r="B614" s="181" t="s">
        <v>559</v>
      </c>
      <c r="C614" s="181">
        <v>81920.0</v>
      </c>
      <c r="D614" s="181">
        <v>5.0</v>
      </c>
      <c r="E614" s="181">
        <v>14.46</v>
      </c>
      <c r="F614" s="181">
        <v>5.66</v>
      </c>
      <c r="G614" s="181">
        <v>4.53</v>
      </c>
      <c r="H614" s="827">
        <v>45960.83934027778</v>
      </c>
    </row>
    <row r="615">
      <c r="A615" s="181" t="s">
        <v>22</v>
      </c>
      <c r="B615" s="181" t="s">
        <v>559</v>
      </c>
      <c r="C615" s="181">
        <v>163840.0</v>
      </c>
      <c r="D615" s="181">
        <v>5.0</v>
      </c>
      <c r="E615" s="181">
        <v>14.71</v>
      </c>
      <c r="F615" s="181">
        <v>11.14</v>
      </c>
      <c r="G615" s="181">
        <v>8.91</v>
      </c>
      <c r="H615" s="827">
        <v>45960.83934027778</v>
      </c>
    </row>
    <row r="616">
      <c r="A616" s="181" t="s">
        <v>22</v>
      </c>
      <c r="B616" s="181" t="s">
        <v>559</v>
      </c>
      <c r="C616" s="181">
        <v>327680.0</v>
      </c>
      <c r="D616" s="181">
        <v>5.0</v>
      </c>
      <c r="E616" s="181">
        <v>15.29</v>
      </c>
      <c r="F616" s="181">
        <v>21.43</v>
      </c>
      <c r="G616" s="181">
        <v>17.14</v>
      </c>
      <c r="H616" s="827">
        <v>45960.83934027778</v>
      </c>
    </row>
    <row r="617">
      <c r="A617" s="181" t="s">
        <v>22</v>
      </c>
      <c r="B617" s="181" t="s">
        <v>559</v>
      </c>
      <c r="C617" s="181">
        <v>655360.0</v>
      </c>
      <c r="D617" s="181">
        <v>5.0</v>
      </c>
      <c r="E617" s="181">
        <v>15.24</v>
      </c>
      <c r="F617" s="181">
        <v>43.0</v>
      </c>
      <c r="G617" s="181">
        <v>34.4</v>
      </c>
      <c r="H617" s="827">
        <v>45960.83934027778</v>
      </c>
    </row>
    <row r="618">
      <c r="A618" s="181" t="s">
        <v>22</v>
      </c>
      <c r="B618" s="181" t="s">
        <v>559</v>
      </c>
      <c r="C618" s="181">
        <v>1310720.0</v>
      </c>
      <c r="D618" s="181">
        <v>5.0</v>
      </c>
      <c r="E618" s="181">
        <v>19.46</v>
      </c>
      <c r="F618" s="181">
        <v>67.37</v>
      </c>
      <c r="G618" s="181">
        <v>53.89</v>
      </c>
      <c r="H618" s="827">
        <v>45960.83934027778</v>
      </c>
    </row>
    <row r="619">
      <c r="A619" s="181" t="s">
        <v>22</v>
      </c>
      <c r="B619" s="181" t="s">
        <v>559</v>
      </c>
      <c r="C619" s="181">
        <v>2621440.0</v>
      </c>
      <c r="D619" s="181">
        <v>5.0</v>
      </c>
      <c r="E619" s="181">
        <v>26.87</v>
      </c>
      <c r="F619" s="181">
        <v>97.57</v>
      </c>
      <c r="G619" s="181">
        <v>78.05</v>
      </c>
      <c r="H619" s="827">
        <v>45960.83934027778</v>
      </c>
    </row>
    <row r="620">
      <c r="A620" s="181" t="s">
        <v>22</v>
      </c>
      <c r="B620" s="181" t="s">
        <v>559</v>
      </c>
      <c r="C620" s="181">
        <v>5242880.0</v>
      </c>
      <c r="D620" s="181">
        <v>5.0</v>
      </c>
      <c r="E620" s="181">
        <v>44.87</v>
      </c>
      <c r="F620" s="181">
        <v>116.84</v>
      </c>
      <c r="G620" s="181">
        <v>93.47</v>
      </c>
      <c r="H620" s="827">
        <v>45960.83934027778</v>
      </c>
    </row>
    <row r="621">
      <c r="A621" s="181" t="s">
        <v>22</v>
      </c>
      <c r="B621" s="181" t="s">
        <v>559</v>
      </c>
      <c r="C621" s="181">
        <v>1.048576E7</v>
      </c>
      <c r="D621" s="181">
        <v>5.0</v>
      </c>
      <c r="E621" s="181">
        <v>61.22</v>
      </c>
      <c r="F621" s="181">
        <v>171.29</v>
      </c>
      <c r="G621" s="181">
        <v>137.03</v>
      </c>
      <c r="H621" s="827">
        <v>45960.83934027778</v>
      </c>
    </row>
    <row r="622">
      <c r="A622" s="181" t="s">
        <v>22</v>
      </c>
      <c r="B622" s="181" t="s">
        <v>559</v>
      </c>
      <c r="C622" s="181">
        <v>2.097152E7</v>
      </c>
      <c r="D622" s="181">
        <v>5.0</v>
      </c>
      <c r="E622" s="181">
        <v>69.55</v>
      </c>
      <c r="F622" s="181">
        <v>301.55</v>
      </c>
      <c r="G622" s="181">
        <v>241.24</v>
      </c>
      <c r="H622" s="827">
        <v>45960.83934027778</v>
      </c>
    </row>
    <row r="623">
      <c r="A623" s="181" t="s">
        <v>22</v>
      </c>
      <c r="B623" s="181" t="s">
        <v>559</v>
      </c>
      <c r="C623" s="181">
        <v>4.194304E7</v>
      </c>
      <c r="D623" s="181">
        <v>5.0</v>
      </c>
      <c r="E623" s="181">
        <v>88.61</v>
      </c>
      <c r="F623" s="181">
        <v>473.36</v>
      </c>
      <c r="G623" s="181">
        <v>378.69</v>
      </c>
      <c r="H623" s="827">
        <v>45960.83934027778</v>
      </c>
    </row>
    <row r="624">
      <c r="A624" s="181" t="s">
        <v>22</v>
      </c>
      <c r="B624" s="181" t="s">
        <v>559</v>
      </c>
      <c r="C624" s="181">
        <v>8.388608E7</v>
      </c>
      <c r="D624" s="181">
        <v>5.0</v>
      </c>
      <c r="E624" s="181">
        <v>133.4</v>
      </c>
      <c r="F624" s="181">
        <v>628.88</v>
      </c>
      <c r="G624" s="181">
        <v>503.1</v>
      </c>
      <c r="H624" s="827">
        <v>45960.83934027778</v>
      </c>
    </row>
    <row r="625">
      <c r="A625" s="181" t="s">
        <v>22</v>
      </c>
      <c r="B625" s="181" t="s">
        <v>559</v>
      </c>
      <c r="C625" s="181">
        <v>1.6777216E8</v>
      </c>
      <c r="D625" s="181">
        <v>5.0</v>
      </c>
      <c r="E625" s="181">
        <v>253.5</v>
      </c>
      <c r="F625" s="181">
        <v>661.91</v>
      </c>
      <c r="G625" s="181">
        <v>529.53</v>
      </c>
      <c r="H625" s="827">
        <v>45960.83934027778</v>
      </c>
    </row>
    <row r="626">
      <c r="A626" s="181" t="s">
        <v>22</v>
      </c>
      <c r="B626" s="181" t="s">
        <v>559</v>
      </c>
      <c r="C626" s="181">
        <v>3.3554432E8</v>
      </c>
      <c r="D626" s="181">
        <v>5.0</v>
      </c>
      <c r="E626" s="181">
        <v>517.7</v>
      </c>
      <c r="F626" s="181">
        <v>648.2</v>
      </c>
      <c r="G626" s="181">
        <v>518.56</v>
      </c>
      <c r="H626" s="827">
        <v>45960.83934027778</v>
      </c>
    </row>
    <row r="627">
      <c r="A627" s="181" t="s">
        <v>22</v>
      </c>
      <c r="B627" s="181" t="s">
        <v>559</v>
      </c>
      <c r="C627" s="181">
        <v>6.7108864E8</v>
      </c>
      <c r="D627" s="181">
        <v>5.0</v>
      </c>
      <c r="E627" s="181">
        <v>949.8</v>
      </c>
      <c r="F627" s="181">
        <v>706.55</v>
      </c>
      <c r="G627" s="181">
        <v>565.24</v>
      </c>
      <c r="H627" s="827">
        <v>45960.83934027778</v>
      </c>
    </row>
    <row r="628">
      <c r="A628" s="181" t="s">
        <v>22</v>
      </c>
      <c r="B628" s="181" t="s">
        <v>559</v>
      </c>
      <c r="C628" s="181">
        <v>1.34217728E9</v>
      </c>
      <c r="D628" s="181">
        <v>5.0</v>
      </c>
      <c r="E628" s="181">
        <v>1765.1</v>
      </c>
      <c r="F628" s="181">
        <v>760.38</v>
      </c>
      <c r="G628" s="181">
        <v>608.31</v>
      </c>
      <c r="H628" s="827">
        <v>45960.83934027778</v>
      </c>
    </row>
    <row r="629">
      <c r="A629" s="181" t="s">
        <v>22</v>
      </c>
      <c r="B629" s="181" t="s">
        <v>559</v>
      </c>
      <c r="C629" s="181">
        <v>2.68435456E9</v>
      </c>
      <c r="D629" s="181">
        <v>5.0</v>
      </c>
      <c r="E629" s="181">
        <v>3403.5</v>
      </c>
      <c r="F629" s="181">
        <v>788.7</v>
      </c>
      <c r="G629" s="181">
        <v>630.96</v>
      </c>
      <c r="H629" s="827">
        <v>45960.83934027778</v>
      </c>
    </row>
    <row r="630">
      <c r="A630" s="181" t="s">
        <v>22</v>
      </c>
      <c r="B630" s="181" t="s">
        <v>559</v>
      </c>
      <c r="C630" s="181">
        <v>192.0</v>
      </c>
      <c r="D630" s="181">
        <v>6.0</v>
      </c>
      <c r="E630" s="181">
        <v>13.31</v>
      </c>
      <c r="F630" s="181">
        <v>0.01</v>
      </c>
      <c r="G630" s="181">
        <v>0.01</v>
      </c>
      <c r="H630" s="827">
        <v>45960.83934027778</v>
      </c>
    </row>
    <row r="631">
      <c r="A631" s="181" t="s">
        <v>22</v>
      </c>
      <c r="B631" s="181" t="s">
        <v>559</v>
      </c>
      <c r="C631" s="181">
        <v>384.0</v>
      </c>
      <c r="D631" s="181">
        <v>6.0</v>
      </c>
      <c r="E631" s="181">
        <v>13.4</v>
      </c>
      <c r="F631" s="181">
        <v>0.03</v>
      </c>
      <c r="G631" s="181">
        <v>0.02</v>
      </c>
      <c r="H631" s="827">
        <v>45960.83934027778</v>
      </c>
    </row>
    <row r="632">
      <c r="A632" s="181" t="s">
        <v>22</v>
      </c>
      <c r="B632" s="181" t="s">
        <v>559</v>
      </c>
      <c r="C632" s="181">
        <v>768.0</v>
      </c>
      <c r="D632" s="181">
        <v>6.0</v>
      </c>
      <c r="E632" s="181">
        <v>13.67</v>
      </c>
      <c r="F632" s="181">
        <v>0.06</v>
      </c>
      <c r="G632" s="181">
        <v>0.05</v>
      </c>
      <c r="H632" s="827">
        <v>45960.83934027778</v>
      </c>
    </row>
    <row r="633">
      <c r="A633" s="181" t="s">
        <v>22</v>
      </c>
      <c r="B633" s="181" t="s">
        <v>559</v>
      </c>
      <c r="C633" s="181">
        <v>1536.0</v>
      </c>
      <c r="D633" s="181">
        <v>6.0</v>
      </c>
      <c r="E633" s="181">
        <v>13.71</v>
      </c>
      <c r="F633" s="181">
        <v>0.11</v>
      </c>
      <c r="G633" s="181">
        <v>0.09</v>
      </c>
      <c r="H633" s="827">
        <v>45960.83934027778</v>
      </c>
    </row>
    <row r="634">
      <c r="A634" s="181" t="s">
        <v>22</v>
      </c>
      <c r="B634" s="181" t="s">
        <v>559</v>
      </c>
      <c r="C634" s="181">
        <v>3072.0</v>
      </c>
      <c r="D634" s="181">
        <v>6.0</v>
      </c>
      <c r="E634" s="181">
        <v>13.81</v>
      </c>
      <c r="F634" s="181">
        <v>0.22</v>
      </c>
      <c r="G634" s="181">
        <v>0.19</v>
      </c>
      <c r="H634" s="827">
        <v>45960.83934027778</v>
      </c>
    </row>
    <row r="635">
      <c r="A635" s="181" t="s">
        <v>22</v>
      </c>
      <c r="B635" s="181" t="s">
        <v>559</v>
      </c>
      <c r="C635" s="181">
        <v>6144.0</v>
      </c>
      <c r="D635" s="181">
        <v>6.0</v>
      </c>
      <c r="E635" s="181">
        <v>14.02</v>
      </c>
      <c r="F635" s="181">
        <v>0.44</v>
      </c>
      <c r="G635" s="181">
        <v>0.37</v>
      </c>
      <c r="H635" s="827">
        <v>45960.83934027778</v>
      </c>
    </row>
    <row r="636">
      <c r="A636" s="181" t="s">
        <v>22</v>
      </c>
      <c r="B636" s="181" t="s">
        <v>559</v>
      </c>
      <c r="C636" s="181">
        <v>12288.0</v>
      </c>
      <c r="D636" s="181">
        <v>6.0</v>
      </c>
      <c r="E636" s="181">
        <v>14.18</v>
      </c>
      <c r="F636" s="181">
        <v>0.87</v>
      </c>
      <c r="G636" s="181">
        <v>0.72</v>
      </c>
      <c r="H636" s="827">
        <v>45960.83934027778</v>
      </c>
    </row>
    <row r="637">
      <c r="A637" s="181" t="s">
        <v>22</v>
      </c>
      <c r="B637" s="181" t="s">
        <v>559</v>
      </c>
      <c r="C637" s="181">
        <v>24576.0</v>
      </c>
      <c r="D637" s="181">
        <v>6.0</v>
      </c>
      <c r="E637" s="181">
        <v>14.55</v>
      </c>
      <c r="F637" s="181">
        <v>1.69</v>
      </c>
      <c r="G637" s="181">
        <v>1.41</v>
      </c>
      <c r="H637" s="827">
        <v>45960.83934027778</v>
      </c>
    </row>
    <row r="638">
      <c r="A638" s="181" t="s">
        <v>22</v>
      </c>
      <c r="B638" s="181" t="s">
        <v>559</v>
      </c>
      <c r="C638" s="181">
        <v>49152.0</v>
      </c>
      <c r="D638" s="181">
        <v>6.0</v>
      </c>
      <c r="E638" s="181">
        <v>15.76</v>
      </c>
      <c r="F638" s="181">
        <v>3.12</v>
      </c>
      <c r="G638" s="181">
        <v>2.6</v>
      </c>
      <c r="H638" s="827">
        <v>45960.83934027778</v>
      </c>
    </row>
    <row r="639">
      <c r="A639" s="181" t="s">
        <v>22</v>
      </c>
      <c r="B639" s="181" t="s">
        <v>559</v>
      </c>
      <c r="C639" s="181">
        <v>98304.0</v>
      </c>
      <c r="D639" s="181">
        <v>6.0</v>
      </c>
      <c r="E639" s="181">
        <v>16.08</v>
      </c>
      <c r="F639" s="181">
        <v>6.11</v>
      </c>
      <c r="G639" s="181">
        <v>5.09</v>
      </c>
      <c r="H639" s="827">
        <v>45960.83934027778</v>
      </c>
    </row>
    <row r="640">
      <c r="A640" s="181" t="s">
        <v>22</v>
      </c>
      <c r="B640" s="181" t="s">
        <v>559</v>
      </c>
      <c r="C640" s="181">
        <v>196608.0</v>
      </c>
      <c r="D640" s="181">
        <v>6.0</v>
      </c>
      <c r="E640" s="181">
        <v>16.14</v>
      </c>
      <c r="F640" s="181">
        <v>12.18</v>
      </c>
      <c r="G640" s="181">
        <v>10.15</v>
      </c>
      <c r="H640" s="827">
        <v>45960.83934027778</v>
      </c>
    </row>
    <row r="641">
      <c r="A641" s="181" t="s">
        <v>22</v>
      </c>
      <c r="B641" s="181" t="s">
        <v>559</v>
      </c>
      <c r="C641" s="181">
        <v>393216.0</v>
      </c>
      <c r="D641" s="181">
        <v>6.0</v>
      </c>
      <c r="E641" s="181">
        <v>16.74</v>
      </c>
      <c r="F641" s="181">
        <v>23.49</v>
      </c>
      <c r="G641" s="181">
        <v>19.58</v>
      </c>
      <c r="H641" s="827">
        <v>45960.83934027778</v>
      </c>
    </row>
    <row r="642">
      <c r="A642" s="181" t="s">
        <v>22</v>
      </c>
      <c r="B642" s="181" t="s">
        <v>559</v>
      </c>
      <c r="C642" s="181">
        <v>786432.0</v>
      </c>
      <c r="D642" s="181">
        <v>6.0</v>
      </c>
      <c r="E642" s="181">
        <v>17.34</v>
      </c>
      <c r="F642" s="181">
        <v>45.35</v>
      </c>
      <c r="G642" s="181">
        <v>37.79</v>
      </c>
      <c r="H642" s="827">
        <v>45960.83934027778</v>
      </c>
    </row>
    <row r="643">
      <c r="A643" s="181" t="s">
        <v>22</v>
      </c>
      <c r="B643" s="181" t="s">
        <v>559</v>
      </c>
      <c r="C643" s="181">
        <v>1572864.0</v>
      </c>
      <c r="D643" s="181">
        <v>6.0</v>
      </c>
      <c r="E643" s="181">
        <v>21.07</v>
      </c>
      <c r="F643" s="181">
        <v>74.66</v>
      </c>
      <c r="G643" s="181">
        <v>62.21</v>
      </c>
      <c r="H643" s="827">
        <v>45960.83934027778</v>
      </c>
    </row>
    <row r="644">
      <c r="A644" s="181" t="s">
        <v>22</v>
      </c>
      <c r="B644" s="181" t="s">
        <v>559</v>
      </c>
      <c r="C644" s="181">
        <v>3145728.0</v>
      </c>
      <c r="D644" s="181">
        <v>6.0</v>
      </c>
      <c r="E644" s="181">
        <v>30.86</v>
      </c>
      <c r="F644" s="181">
        <v>101.93</v>
      </c>
      <c r="G644" s="181">
        <v>84.94</v>
      </c>
      <c r="H644" s="827">
        <v>45960.83934027778</v>
      </c>
    </row>
    <row r="645">
      <c r="A645" s="181" t="s">
        <v>22</v>
      </c>
      <c r="B645" s="181" t="s">
        <v>559</v>
      </c>
      <c r="C645" s="181">
        <v>6291456.0</v>
      </c>
      <c r="D645" s="181">
        <v>6.0</v>
      </c>
      <c r="E645" s="181">
        <v>53.03</v>
      </c>
      <c r="F645" s="181">
        <v>118.64</v>
      </c>
      <c r="G645" s="181">
        <v>98.87</v>
      </c>
      <c r="H645" s="827">
        <v>45960.83934027778</v>
      </c>
    </row>
    <row r="646">
      <c r="A646" s="181" t="s">
        <v>22</v>
      </c>
      <c r="B646" s="181" t="s">
        <v>559</v>
      </c>
      <c r="C646" s="181">
        <v>1.2582912E7</v>
      </c>
      <c r="D646" s="181">
        <v>6.0</v>
      </c>
      <c r="E646" s="181">
        <v>46.52</v>
      </c>
      <c r="F646" s="181">
        <v>270.5</v>
      </c>
      <c r="G646" s="181">
        <v>225.41</v>
      </c>
      <c r="H646" s="827">
        <v>45960.83934027778</v>
      </c>
    </row>
    <row r="647">
      <c r="A647" s="181" t="s">
        <v>22</v>
      </c>
      <c r="B647" s="181" t="s">
        <v>559</v>
      </c>
      <c r="C647" s="181">
        <v>2.5165824E7</v>
      </c>
      <c r="D647" s="181">
        <v>6.0</v>
      </c>
      <c r="E647" s="181">
        <v>83.24</v>
      </c>
      <c r="F647" s="181">
        <v>302.33</v>
      </c>
      <c r="G647" s="181">
        <v>251.94</v>
      </c>
      <c r="H647" s="827">
        <v>45960.83934027778</v>
      </c>
    </row>
    <row r="648">
      <c r="A648" s="181" t="s">
        <v>22</v>
      </c>
      <c r="B648" s="181" t="s">
        <v>559</v>
      </c>
      <c r="C648" s="181">
        <v>5.0331648E7</v>
      </c>
      <c r="D648" s="181">
        <v>6.0</v>
      </c>
      <c r="E648" s="181">
        <v>105.3</v>
      </c>
      <c r="F648" s="181">
        <v>477.84</v>
      </c>
      <c r="G648" s="181">
        <v>398.2</v>
      </c>
      <c r="H648" s="827">
        <v>45960.83934027778</v>
      </c>
    </row>
    <row r="649">
      <c r="A649" s="181" t="s">
        <v>22</v>
      </c>
      <c r="B649" s="181" t="s">
        <v>559</v>
      </c>
      <c r="C649" s="181">
        <v>1.00663296E8</v>
      </c>
      <c r="D649" s="181">
        <v>6.0</v>
      </c>
      <c r="E649" s="181">
        <v>158.6</v>
      </c>
      <c r="F649" s="181">
        <v>634.74</v>
      </c>
      <c r="G649" s="181">
        <v>528.95</v>
      </c>
      <c r="H649" s="827">
        <v>45960.83934027778</v>
      </c>
    </row>
    <row r="650">
      <c r="A650" s="181" t="s">
        <v>22</v>
      </c>
      <c r="B650" s="181" t="s">
        <v>559</v>
      </c>
      <c r="C650" s="181">
        <v>2.01326592E8</v>
      </c>
      <c r="D650" s="181">
        <v>6.0</v>
      </c>
      <c r="E650" s="181">
        <v>303.5</v>
      </c>
      <c r="F650" s="181">
        <v>663.34</v>
      </c>
      <c r="G650" s="181">
        <v>552.78</v>
      </c>
      <c r="H650" s="827">
        <v>45960.83934027778</v>
      </c>
    </row>
    <row r="651">
      <c r="A651" s="181" t="s">
        <v>22</v>
      </c>
      <c r="B651" s="181" t="s">
        <v>559</v>
      </c>
      <c r="C651" s="181">
        <v>4.02653184E8</v>
      </c>
      <c r="D651" s="181">
        <v>6.0</v>
      </c>
      <c r="E651" s="181">
        <v>631.7</v>
      </c>
      <c r="F651" s="181">
        <v>637.36</v>
      </c>
      <c r="G651" s="181">
        <v>531.14</v>
      </c>
      <c r="H651" s="827">
        <v>45960.83934027778</v>
      </c>
    </row>
    <row r="652">
      <c r="A652" s="181" t="s">
        <v>22</v>
      </c>
      <c r="B652" s="181" t="s">
        <v>559</v>
      </c>
      <c r="C652" s="181">
        <v>8.05306368E8</v>
      </c>
      <c r="D652" s="181">
        <v>6.0</v>
      </c>
      <c r="E652" s="181">
        <v>1146.3</v>
      </c>
      <c r="F652" s="181">
        <v>702.51</v>
      </c>
      <c r="G652" s="181">
        <v>585.42</v>
      </c>
      <c r="H652" s="827">
        <v>45960.83934027778</v>
      </c>
    </row>
    <row r="653">
      <c r="A653" s="181" t="s">
        <v>22</v>
      </c>
      <c r="B653" s="181" t="s">
        <v>559</v>
      </c>
      <c r="C653" s="181">
        <v>1.610612736E9</v>
      </c>
      <c r="D653" s="181">
        <v>6.0</v>
      </c>
      <c r="E653" s="181">
        <v>2152.2</v>
      </c>
      <c r="F653" s="181">
        <v>748.35</v>
      </c>
      <c r="G653" s="181">
        <v>623.62</v>
      </c>
      <c r="H653" s="827">
        <v>45960.83934027778</v>
      </c>
    </row>
    <row r="654">
      <c r="A654" s="181" t="s">
        <v>22</v>
      </c>
      <c r="B654" s="181" t="s">
        <v>559</v>
      </c>
      <c r="C654" s="181">
        <v>3.221225472E9</v>
      </c>
      <c r="D654" s="181">
        <v>6.0</v>
      </c>
      <c r="E654" s="181">
        <v>4176.0</v>
      </c>
      <c r="F654" s="181">
        <v>771.37</v>
      </c>
      <c r="G654" s="181">
        <v>642.81</v>
      </c>
      <c r="H654" s="827">
        <v>45960.83934027778</v>
      </c>
    </row>
    <row r="655">
      <c r="A655" s="181" t="s">
        <v>22</v>
      </c>
      <c r="B655" s="181" t="s">
        <v>559</v>
      </c>
      <c r="C655" s="181">
        <v>224.0</v>
      </c>
      <c r="D655" s="181">
        <v>7.0</v>
      </c>
      <c r="E655" s="181">
        <v>14.7</v>
      </c>
      <c r="F655" s="181">
        <v>0.02</v>
      </c>
      <c r="G655" s="181">
        <v>0.01</v>
      </c>
      <c r="H655" s="827">
        <v>45960.83934027778</v>
      </c>
    </row>
    <row r="656">
      <c r="A656" s="181" t="s">
        <v>22</v>
      </c>
      <c r="B656" s="181" t="s">
        <v>559</v>
      </c>
      <c r="C656" s="181">
        <v>448.0</v>
      </c>
      <c r="D656" s="181">
        <v>7.0</v>
      </c>
      <c r="E656" s="181">
        <v>14.76</v>
      </c>
      <c r="F656" s="181">
        <v>0.03</v>
      </c>
      <c r="G656" s="181">
        <v>0.03</v>
      </c>
      <c r="H656" s="827">
        <v>45960.83934027778</v>
      </c>
    </row>
    <row r="657">
      <c r="A657" s="181" t="s">
        <v>22</v>
      </c>
      <c r="B657" s="181" t="s">
        <v>559</v>
      </c>
      <c r="C657" s="181">
        <v>896.0</v>
      </c>
      <c r="D657" s="181">
        <v>7.0</v>
      </c>
      <c r="E657" s="181">
        <v>14.89</v>
      </c>
      <c r="F657" s="181">
        <v>0.06</v>
      </c>
      <c r="G657" s="181">
        <v>0.05</v>
      </c>
      <c r="H657" s="827">
        <v>45960.83934027778</v>
      </c>
    </row>
    <row r="658">
      <c r="A658" s="181" t="s">
        <v>22</v>
      </c>
      <c r="B658" s="181" t="s">
        <v>559</v>
      </c>
      <c r="C658" s="181">
        <v>1792.0</v>
      </c>
      <c r="D658" s="181">
        <v>7.0</v>
      </c>
      <c r="E658" s="181">
        <v>14.99</v>
      </c>
      <c r="F658" s="181">
        <v>0.12</v>
      </c>
      <c r="G658" s="181">
        <v>0.1</v>
      </c>
      <c r="H658" s="827">
        <v>45960.83934027778</v>
      </c>
    </row>
    <row r="659">
      <c r="A659" s="181" t="s">
        <v>22</v>
      </c>
      <c r="B659" s="181" t="s">
        <v>559</v>
      </c>
      <c r="C659" s="181">
        <v>3584.0</v>
      </c>
      <c r="D659" s="181">
        <v>7.0</v>
      </c>
      <c r="E659" s="181">
        <v>15.19</v>
      </c>
      <c r="F659" s="181">
        <v>0.24</v>
      </c>
      <c r="G659" s="181">
        <v>0.2</v>
      </c>
      <c r="H659" s="827">
        <v>45960.83934027778</v>
      </c>
    </row>
    <row r="660">
      <c r="A660" s="181" t="s">
        <v>22</v>
      </c>
      <c r="B660" s="181" t="s">
        <v>559</v>
      </c>
      <c r="C660" s="181">
        <v>7168.0</v>
      </c>
      <c r="D660" s="181">
        <v>7.0</v>
      </c>
      <c r="E660" s="181">
        <v>15.36</v>
      </c>
      <c r="F660" s="181">
        <v>0.47</v>
      </c>
      <c r="G660" s="181">
        <v>0.4</v>
      </c>
      <c r="H660" s="827">
        <v>45960.83934027778</v>
      </c>
    </row>
    <row r="661">
      <c r="A661" s="181" t="s">
        <v>22</v>
      </c>
      <c r="B661" s="181" t="s">
        <v>559</v>
      </c>
      <c r="C661" s="181">
        <v>14336.0</v>
      </c>
      <c r="D661" s="181">
        <v>7.0</v>
      </c>
      <c r="E661" s="181">
        <v>15.45</v>
      </c>
      <c r="F661" s="181">
        <v>0.93</v>
      </c>
      <c r="G661" s="181">
        <v>0.8</v>
      </c>
      <c r="H661" s="827">
        <v>45960.83934027778</v>
      </c>
    </row>
    <row r="662">
      <c r="A662" s="181" t="s">
        <v>22</v>
      </c>
      <c r="B662" s="181" t="s">
        <v>559</v>
      </c>
      <c r="C662" s="181">
        <v>28672.0</v>
      </c>
      <c r="D662" s="181">
        <v>7.0</v>
      </c>
      <c r="E662" s="181">
        <v>16.01</v>
      </c>
      <c r="F662" s="181">
        <v>1.79</v>
      </c>
      <c r="G662" s="181">
        <v>1.54</v>
      </c>
      <c r="H662" s="827">
        <v>45960.83934027778</v>
      </c>
    </row>
    <row r="663">
      <c r="A663" s="181" t="s">
        <v>22</v>
      </c>
      <c r="B663" s="181" t="s">
        <v>559</v>
      </c>
      <c r="C663" s="181">
        <v>57344.0</v>
      </c>
      <c r="D663" s="181">
        <v>7.0</v>
      </c>
      <c r="E663" s="181">
        <v>17.51</v>
      </c>
      <c r="F663" s="181">
        <v>3.27</v>
      </c>
      <c r="G663" s="181">
        <v>2.81</v>
      </c>
      <c r="H663" s="827">
        <v>45960.83934027778</v>
      </c>
    </row>
    <row r="664">
      <c r="A664" s="181" t="s">
        <v>22</v>
      </c>
      <c r="B664" s="181" t="s">
        <v>559</v>
      </c>
      <c r="C664" s="181">
        <v>114688.0</v>
      </c>
      <c r="D664" s="181">
        <v>7.0</v>
      </c>
      <c r="E664" s="181">
        <v>17.6</v>
      </c>
      <c r="F664" s="181">
        <v>6.52</v>
      </c>
      <c r="G664" s="181">
        <v>5.59</v>
      </c>
      <c r="H664" s="827">
        <v>45960.83934027778</v>
      </c>
    </row>
    <row r="665">
      <c r="A665" s="181" t="s">
        <v>22</v>
      </c>
      <c r="B665" s="181" t="s">
        <v>559</v>
      </c>
      <c r="C665" s="181">
        <v>229376.0</v>
      </c>
      <c r="D665" s="181">
        <v>7.0</v>
      </c>
      <c r="E665" s="181">
        <v>17.83</v>
      </c>
      <c r="F665" s="181">
        <v>12.87</v>
      </c>
      <c r="G665" s="181">
        <v>11.03</v>
      </c>
      <c r="H665" s="827">
        <v>45960.83934027778</v>
      </c>
    </row>
    <row r="666">
      <c r="A666" s="181" t="s">
        <v>22</v>
      </c>
      <c r="B666" s="181" t="s">
        <v>559</v>
      </c>
      <c r="C666" s="181">
        <v>458752.0</v>
      </c>
      <c r="D666" s="181">
        <v>7.0</v>
      </c>
      <c r="E666" s="181">
        <v>18.56</v>
      </c>
      <c r="F666" s="181">
        <v>24.72</v>
      </c>
      <c r="G666" s="181">
        <v>21.18</v>
      </c>
      <c r="H666" s="827">
        <v>45960.83934027778</v>
      </c>
    </row>
    <row r="667">
      <c r="A667" s="181" t="s">
        <v>22</v>
      </c>
      <c r="B667" s="181" t="s">
        <v>559</v>
      </c>
      <c r="C667" s="181">
        <v>917504.0</v>
      </c>
      <c r="D667" s="181">
        <v>7.0</v>
      </c>
      <c r="E667" s="181">
        <v>18.85</v>
      </c>
      <c r="F667" s="181">
        <v>48.66</v>
      </c>
      <c r="G667" s="181">
        <v>41.71</v>
      </c>
      <c r="H667" s="827">
        <v>45960.83934027778</v>
      </c>
    </row>
    <row r="668">
      <c r="A668" s="181" t="s">
        <v>22</v>
      </c>
      <c r="B668" s="181" t="s">
        <v>559</v>
      </c>
      <c r="C668" s="181">
        <v>1835008.0</v>
      </c>
      <c r="D668" s="181">
        <v>7.0</v>
      </c>
      <c r="E668" s="181">
        <v>23.64</v>
      </c>
      <c r="F668" s="181">
        <v>77.63</v>
      </c>
      <c r="G668" s="181">
        <v>66.54</v>
      </c>
      <c r="H668" s="827">
        <v>45960.83934027778</v>
      </c>
    </row>
    <row r="669">
      <c r="A669" s="181" t="s">
        <v>22</v>
      </c>
      <c r="B669" s="181" t="s">
        <v>559</v>
      </c>
      <c r="C669" s="181">
        <v>3670016.0</v>
      </c>
      <c r="D669" s="181">
        <v>7.0</v>
      </c>
      <c r="E669" s="181">
        <v>35.04</v>
      </c>
      <c r="F669" s="181">
        <v>104.74</v>
      </c>
      <c r="G669" s="181">
        <v>89.77</v>
      </c>
      <c r="H669" s="827">
        <v>45960.83934027778</v>
      </c>
    </row>
    <row r="670">
      <c r="A670" s="181" t="s">
        <v>22</v>
      </c>
      <c r="B670" s="181" t="s">
        <v>559</v>
      </c>
      <c r="C670" s="181">
        <v>7340032.0</v>
      </c>
      <c r="D670" s="181">
        <v>7.0</v>
      </c>
      <c r="E670" s="181">
        <v>62.87</v>
      </c>
      <c r="F670" s="181">
        <v>116.75</v>
      </c>
      <c r="G670" s="181">
        <v>100.07</v>
      </c>
      <c r="H670" s="827">
        <v>45960.83934027778</v>
      </c>
    </row>
    <row r="671">
      <c r="A671" s="181" t="s">
        <v>22</v>
      </c>
      <c r="B671" s="181" t="s">
        <v>559</v>
      </c>
      <c r="C671" s="181">
        <v>1.4680064E7</v>
      </c>
      <c r="D671" s="181">
        <v>7.0</v>
      </c>
      <c r="E671" s="181">
        <v>51.79</v>
      </c>
      <c r="F671" s="181">
        <v>283.45</v>
      </c>
      <c r="G671" s="181">
        <v>242.96</v>
      </c>
      <c r="H671" s="827">
        <v>45960.83934027778</v>
      </c>
    </row>
    <row r="672">
      <c r="A672" s="181" t="s">
        <v>22</v>
      </c>
      <c r="B672" s="181" t="s">
        <v>559</v>
      </c>
      <c r="C672" s="181">
        <v>2.9360128E7</v>
      </c>
      <c r="D672" s="181">
        <v>7.0</v>
      </c>
      <c r="E672" s="181">
        <v>81.87</v>
      </c>
      <c r="F672" s="181">
        <v>358.6</v>
      </c>
      <c r="G672" s="181">
        <v>307.37</v>
      </c>
      <c r="H672" s="827">
        <v>45960.83934027778</v>
      </c>
    </row>
    <row r="673">
      <c r="A673" s="181" t="s">
        <v>22</v>
      </c>
      <c r="B673" s="181" t="s">
        <v>559</v>
      </c>
      <c r="C673" s="181">
        <v>5.8720256E7</v>
      </c>
      <c r="D673" s="181">
        <v>7.0</v>
      </c>
      <c r="E673" s="181">
        <v>122.2</v>
      </c>
      <c r="F673" s="181">
        <v>480.34</v>
      </c>
      <c r="G673" s="181">
        <v>411.72</v>
      </c>
      <c r="H673" s="827">
        <v>45960.83934027778</v>
      </c>
    </row>
    <row r="674">
      <c r="A674" s="181" t="s">
        <v>22</v>
      </c>
      <c r="B674" s="181" t="s">
        <v>559</v>
      </c>
      <c r="C674" s="181">
        <v>1.17440512E8</v>
      </c>
      <c r="D674" s="181">
        <v>7.0</v>
      </c>
      <c r="E674" s="181">
        <v>184.4</v>
      </c>
      <c r="F674" s="181">
        <v>636.77</v>
      </c>
      <c r="G674" s="181">
        <v>545.8</v>
      </c>
      <c r="H674" s="827">
        <v>45960.83934027778</v>
      </c>
    </row>
    <row r="675">
      <c r="A675" s="181" t="s">
        <v>22</v>
      </c>
      <c r="B675" s="181" t="s">
        <v>559</v>
      </c>
      <c r="C675" s="181">
        <v>2.34881024E8</v>
      </c>
      <c r="D675" s="181">
        <v>7.0</v>
      </c>
      <c r="E675" s="181">
        <v>355.6</v>
      </c>
      <c r="F675" s="181">
        <v>660.61</v>
      </c>
      <c r="G675" s="181">
        <v>566.23</v>
      </c>
      <c r="H675" s="827">
        <v>45960.83934027778</v>
      </c>
    </row>
    <row r="676">
      <c r="A676" s="181" t="s">
        <v>22</v>
      </c>
      <c r="B676" s="181" t="s">
        <v>559</v>
      </c>
      <c r="C676" s="181">
        <v>4.69762048E8</v>
      </c>
      <c r="D676" s="181">
        <v>7.0</v>
      </c>
      <c r="E676" s="181">
        <v>731.7</v>
      </c>
      <c r="F676" s="181">
        <v>642.05</v>
      </c>
      <c r="G676" s="181">
        <v>550.33</v>
      </c>
      <c r="H676" s="827">
        <v>45960.83934027778</v>
      </c>
    </row>
    <row r="677">
      <c r="A677" s="181" t="s">
        <v>22</v>
      </c>
      <c r="B677" s="181" t="s">
        <v>559</v>
      </c>
      <c r="C677" s="181">
        <v>9.39524096E8</v>
      </c>
      <c r="D677" s="181">
        <v>7.0</v>
      </c>
      <c r="E677" s="181">
        <v>1336.7</v>
      </c>
      <c r="F677" s="181">
        <v>702.85</v>
      </c>
      <c r="G677" s="181">
        <v>602.44</v>
      </c>
      <c r="H677" s="827">
        <v>45960.83934027778</v>
      </c>
    </row>
    <row r="678">
      <c r="A678" s="181" t="s">
        <v>22</v>
      </c>
      <c r="B678" s="181" t="s">
        <v>559</v>
      </c>
      <c r="C678" s="181">
        <v>1.879048192E9</v>
      </c>
      <c r="D678" s="181">
        <v>7.0</v>
      </c>
      <c r="E678" s="181">
        <v>2526.9</v>
      </c>
      <c r="F678" s="181">
        <v>743.61</v>
      </c>
      <c r="G678" s="181">
        <v>637.38</v>
      </c>
      <c r="H678" s="827">
        <v>45960.83934027778</v>
      </c>
    </row>
    <row r="679">
      <c r="A679" s="181" t="s">
        <v>22</v>
      </c>
      <c r="B679" s="181" t="s">
        <v>559</v>
      </c>
      <c r="C679" s="181">
        <v>3.758096384E9</v>
      </c>
      <c r="D679" s="181">
        <v>7.0</v>
      </c>
      <c r="E679" s="181">
        <v>4916.6</v>
      </c>
      <c r="F679" s="181">
        <v>764.36</v>
      </c>
      <c r="G679" s="181">
        <v>655.17</v>
      </c>
      <c r="H679" s="827">
        <v>45960.83934027778</v>
      </c>
    </row>
    <row r="680">
      <c r="A680" s="181" t="s">
        <v>22</v>
      </c>
      <c r="B680" s="181" t="s">
        <v>559</v>
      </c>
      <c r="C680" s="181">
        <v>128.0</v>
      </c>
      <c r="D680" s="181">
        <v>8.0</v>
      </c>
      <c r="E680" s="181">
        <v>15.69</v>
      </c>
      <c r="F680" s="181">
        <v>0.01</v>
      </c>
      <c r="G680" s="181">
        <v>0.01</v>
      </c>
      <c r="H680" s="827">
        <v>45960.83934027778</v>
      </c>
    </row>
    <row r="681">
      <c r="A681" s="181" t="s">
        <v>22</v>
      </c>
      <c r="B681" s="181" t="s">
        <v>559</v>
      </c>
      <c r="C681" s="181">
        <v>256.0</v>
      </c>
      <c r="D681" s="181">
        <v>8.0</v>
      </c>
      <c r="E681" s="181">
        <v>15.77</v>
      </c>
      <c r="F681" s="181">
        <v>0.02</v>
      </c>
      <c r="G681" s="181">
        <v>0.01</v>
      </c>
      <c r="H681" s="827">
        <v>45960.83934027778</v>
      </c>
    </row>
    <row r="682">
      <c r="A682" s="181" t="s">
        <v>22</v>
      </c>
      <c r="B682" s="181" t="s">
        <v>559</v>
      </c>
      <c r="C682" s="181">
        <v>512.0</v>
      </c>
      <c r="D682" s="181">
        <v>8.0</v>
      </c>
      <c r="E682" s="181">
        <v>16.02</v>
      </c>
      <c r="F682" s="181">
        <v>0.03</v>
      </c>
      <c r="G682" s="181">
        <v>0.03</v>
      </c>
      <c r="H682" s="827">
        <v>45960.83934027778</v>
      </c>
    </row>
    <row r="683">
      <c r="A683" s="181" t="s">
        <v>22</v>
      </c>
      <c r="B683" s="181" t="s">
        <v>559</v>
      </c>
      <c r="C683" s="181">
        <v>1024.0</v>
      </c>
      <c r="D683" s="181">
        <v>8.0</v>
      </c>
      <c r="E683" s="181">
        <v>16.17</v>
      </c>
      <c r="F683" s="181">
        <v>0.06</v>
      </c>
      <c r="G683" s="181">
        <v>0.06</v>
      </c>
      <c r="H683" s="827">
        <v>45960.83934027778</v>
      </c>
    </row>
    <row r="684">
      <c r="A684" s="181" t="s">
        <v>22</v>
      </c>
      <c r="B684" s="181" t="s">
        <v>559</v>
      </c>
      <c r="C684" s="181">
        <v>2048.0</v>
      </c>
      <c r="D684" s="181">
        <v>8.0</v>
      </c>
      <c r="E684" s="181">
        <v>16.38</v>
      </c>
      <c r="F684" s="181">
        <v>0.13</v>
      </c>
      <c r="G684" s="181">
        <v>0.11</v>
      </c>
      <c r="H684" s="827">
        <v>45960.83934027778</v>
      </c>
    </row>
    <row r="685">
      <c r="A685" s="181" t="s">
        <v>22</v>
      </c>
      <c r="B685" s="181" t="s">
        <v>559</v>
      </c>
      <c r="C685" s="181">
        <v>4096.0</v>
      </c>
      <c r="D685" s="181">
        <v>8.0</v>
      </c>
      <c r="E685" s="181">
        <v>16.38</v>
      </c>
      <c r="F685" s="181">
        <v>0.25</v>
      </c>
      <c r="G685" s="181">
        <v>0.22</v>
      </c>
      <c r="H685" s="827">
        <v>45960.83934027778</v>
      </c>
    </row>
    <row r="686">
      <c r="A686" s="181" t="s">
        <v>22</v>
      </c>
      <c r="B686" s="181" t="s">
        <v>559</v>
      </c>
      <c r="C686" s="181">
        <v>8192.0</v>
      </c>
      <c r="D686" s="181">
        <v>8.0</v>
      </c>
      <c r="E686" s="181">
        <v>16.54</v>
      </c>
      <c r="F686" s="181">
        <v>0.5</v>
      </c>
      <c r="G686" s="181">
        <v>0.43</v>
      </c>
      <c r="H686" s="827">
        <v>45960.83934027778</v>
      </c>
    </row>
    <row r="687">
      <c r="A687" s="181" t="s">
        <v>22</v>
      </c>
      <c r="B687" s="181" t="s">
        <v>559</v>
      </c>
      <c r="C687" s="181">
        <v>16384.0</v>
      </c>
      <c r="D687" s="181">
        <v>8.0</v>
      </c>
      <c r="E687" s="181">
        <v>16.83</v>
      </c>
      <c r="F687" s="181">
        <v>0.97</v>
      </c>
      <c r="G687" s="181">
        <v>0.85</v>
      </c>
      <c r="H687" s="827">
        <v>45960.83934027778</v>
      </c>
    </row>
    <row r="688">
      <c r="A688" s="181" t="s">
        <v>22</v>
      </c>
      <c r="B688" s="181" t="s">
        <v>559</v>
      </c>
      <c r="C688" s="181">
        <v>32768.0</v>
      </c>
      <c r="D688" s="181">
        <v>8.0</v>
      </c>
      <c r="E688" s="181">
        <v>17.26</v>
      </c>
      <c r="F688" s="181">
        <v>1.9</v>
      </c>
      <c r="G688" s="181">
        <v>1.66</v>
      </c>
      <c r="H688" s="827">
        <v>45960.83934027778</v>
      </c>
    </row>
    <row r="689">
      <c r="A689" s="181" t="s">
        <v>22</v>
      </c>
      <c r="B689" s="181" t="s">
        <v>559</v>
      </c>
      <c r="C689" s="181">
        <v>65536.0</v>
      </c>
      <c r="D689" s="181">
        <v>8.0</v>
      </c>
      <c r="E689" s="181">
        <v>17.58</v>
      </c>
      <c r="F689" s="181">
        <v>3.73</v>
      </c>
      <c r="G689" s="181">
        <v>3.26</v>
      </c>
      <c r="H689" s="827">
        <v>45960.83934027778</v>
      </c>
    </row>
    <row r="690">
      <c r="A690" s="181" t="s">
        <v>22</v>
      </c>
      <c r="B690" s="181" t="s">
        <v>559</v>
      </c>
      <c r="C690" s="181">
        <v>131072.0</v>
      </c>
      <c r="D690" s="181">
        <v>8.0</v>
      </c>
      <c r="E690" s="181">
        <v>18.02</v>
      </c>
      <c r="F690" s="181">
        <v>7.28</v>
      </c>
      <c r="G690" s="181">
        <v>6.37</v>
      </c>
      <c r="H690" s="827">
        <v>45960.83934027778</v>
      </c>
    </row>
    <row r="691">
      <c r="A691" s="181" t="s">
        <v>22</v>
      </c>
      <c r="B691" s="181" t="s">
        <v>559</v>
      </c>
      <c r="C691" s="181">
        <v>262144.0</v>
      </c>
      <c r="D691" s="181">
        <v>8.0</v>
      </c>
      <c r="E691" s="181">
        <v>18.09</v>
      </c>
      <c r="F691" s="181">
        <v>14.49</v>
      </c>
      <c r="G691" s="181">
        <v>12.68</v>
      </c>
      <c r="H691" s="827">
        <v>45960.83934027778</v>
      </c>
    </row>
    <row r="692">
      <c r="A692" s="181" t="s">
        <v>22</v>
      </c>
      <c r="B692" s="181" t="s">
        <v>559</v>
      </c>
      <c r="C692" s="181">
        <v>524288.0</v>
      </c>
      <c r="D692" s="181">
        <v>8.0</v>
      </c>
      <c r="E692" s="181">
        <v>18.8</v>
      </c>
      <c r="F692" s="181">
        <v>27.89</v>
      </c>
      <c r="G692" s="181">
        <v>24.4</v>
      </c>
      <c r="H692" s="827">
        <v>45960.83934027778</v>
      </c>
    </row>
    <row r="693">
      <c r="A693" s="181" t="s">
        <v>22</v>
      </c>
      <c r="B693" s="181" t="s">
        <v>559</v>
      </c>
      <c r="C693" s="181">
        <v>1048576.0</v>
      </c>
      <c r="D693" s="181">
        <v>8.0</v>
      </c>
      <c r="E693" s="181">
        <v>18.89</v>
      </c>
      <c r="F693" s="181">
        <v>55.51</v>
      </c>
      <c r="G693" s="181">
        <v>48.57</v>
      </c>
      <c r="H693" s="827">
        <v>45960.83934027778</v>
      </c>
    </row>
    <row r="694">
      <c r="A694" s="181" t="s">
        <v>22</v>
      </c>
      <c r="B694" s="181" t="s">
        <v>559</v>
      </c>
      <c r="C694" s="181">
        <v>2097152.0</v>
      </c>
      <c r="D694" s="181">
        <v>8.0</v>
      </c>
      <c r="E694" s="181">
        <v>23.37</v>
      </c>
      <c r="F694" s="181">
        <v>89.76</v>
      </c>
      <c r="G694" s="181">
        <v>78.54</v>
      </c>
      <c r="H694" s="827">
        <v>45960.83934027778</v>
      </c>
    </row>
    <row r="695">
      <c r="A695" s="181" t="s">
        <v>22</v>
      </c>
      <c r="B695" s="181" t="s">
        <v>559</v>
      </c>
      <c r="C695" s="181">
        <v>4194304.0</v>
      </c>
      <c r="D695" s="181">
        <v>8.0</v>
      </c>
      <c r="E695" s="181">
        <v>35.2</v>
      </c>
      <c r="F695" s="181">
        <v>119.14</v>
      </c>
      <c r="G695" s="181">
        <v>104.25</v>
      </c>
      <c r="H695" s="827">
        <v>45960.83934027778</v>
      </c>
    </row>
    <row r="696">
      <c r="A696" s="181" t="s">
        <v>22</v>
      </c>
      <c r="B696" s="181" t="s">
        <v>559</v>
      </c>
      <c r="C696" s="181">
        <v>8388608.0</v>
      </c>
      <c r="D696" s="181">
        <v>8.0</v>
      </c>
      <c r="E696" s="181">
        <v>59.18</v>
      </c>
      <c r="F696" s="181">
        <v>141.74</v>
      </c>
      <c r="G696" s="181">
        <v>124.02</v>
      </c>
      <c r="H696" s="827">
        <v>45960.83934027778</v>
      </c>
    </row>
    <row r="697">
      <c r="A697" s="181" t="s">
        <v>22</v>
      </c>
      <c r="B697" s="181" t="s">
        <v>559</v>
      </c>
      <c r="C697" s="181">
        <v>1.6777216E7</v>
      </c>
      <c r="D697" s="181">
        <v>8.0</v>
      </c>
      <c r="E697" s="181">
        <v>57.41</v>
      </c>
      <c r="F697" s="181">
        <v>292.25</v>
      </c>
      <c r="G697" s="181">
        <v>255.72</v>
      </c>
      <c r="H697" s="827">
        <v>45960.83934027778</v>
      </c>
    </row>
    <row r="698">
      <c r="A698" s="181" t="s">
        <v>22</v>
      </c>
      <c r="B698" s="181" t="s">
        <v>559</v>
      </c>
      <c r="C698" s="181">
        <v>3.3554432E7</v>
      </c>
      <c r="D698" s="181">
        <v>8.0</v>
      </c>
      <c r="E698" s="181">
        <v>93.01</v>
      </c>
      <c r="F698" s="181">
        <v>360.75</v>
      </c>
      <c r="G698" s="181">
        <v>315.66</v>
      </c>
      <c r="H698" s="827">
        <v>45960.83934027778</v>
      </c>
    </row>
    <row r="699">
      <c r="A699" s="181" t="s">
        <v>22</v>
      </c>
      <c r="B699" s="181" t="s">
        <v>559</v>
      </c>
      <c r="C699" s="181">
        <v>6.7108864E7</v>
      </c>
      <c r="D699" s="181">
        <v>8.0</v>
      </c>
      <c r="E699" s="181">
        <v>137.6</v>
      </c>
      <c r="F699" s="181">
        <v>487.69</v>
      </c>
      <c r="G699" s="181">
        <v>426.73</v>
      </c>
      <c r="H699" s="827">
        <v>45960.83934027778</v>
      </c>
    </row>
    <row r="700">
      <c r="A700" s="181" t="s">
        <v>22</v>
      </c>
      <c r="B700" s="181" t="s">
        <v>559</v>
      </c>
      <c r="C700" s="181">
        <v>1.34217728E8</v>
      </c>
      <c r="D700" s="181">
        <v>8.0</v>
      </c>
      <c r="E700" s="181">
        <v>207.1</v>
      </c>
      <c r="F700" s="181">
        <v>648.18</v>
      </c>
      <c r="G700" s="181">
        <v>567.16</v>
      </c>
      <c r="H700" s="827">
        <v>45960.83934027778</v>
      </c>
    </row>
    <row r="701">
      <c r="A701" s="181" t="s">
        <v>22</v>
      </c>
      <c r="B701" s="181" t="s">
        <v>559</v>
      </c>
      <c r="C701" s="181">
        <v>2.68435456E8</v>
      </c>
      <c r="D701" s="181">
        <v>8.0</v>
      </c>
      <c r="E701" s="181">
        <v>399.9</v>
      </c>
      <c r="F701" s="181">
        <v>671.28</v>
      </c>
      <c r="G701" s="181">
        <v>587.37</v>
      </c>
      <c r="H701" s="827">
        <v>45960.83934027778</v>
      </c>
    </row>
    <row r="702">
      <c r="A702" s="181" t="s">
        <v>22</v>
      </c>
      <c r="B702" s="181" t="s">
        <v>559</v>
      </c>
      <c r="C702" s="181">
        <v>5.36870912E8</v>
      </c>
      <c r="D702" s="181">
        <v>8.0</v>
      </c>
      <c r="E702" s="181">
        <v>787.4</v>
      </c>
      <c r="F702" s="181">
        <v>681.8</v>
      </c>
      <c r="G702" s="181">
        <v>596.58</v>
      </c>
      <c r="H702" s="827">
        <v>45960.83934027778</v>
      </c>
    </row>
    <row r="703">
      <c r="A703" s="181" t="s">
        <v>22</v>
      </c>
      <c r="B703" s="181" t="s">
        <v>559</v>
      </c>
      <c r="C703" s="181">
        <v>1.073741824E9</v>
      </c>
      <c r="D703" s="181">
        <v>8.0</v>
      </c>
      <c r="E703" s="181">
        <v>1500.3</v>
      </c>
      <c r="F703" s="181">
        <v>715.68</v>
      </c>
      <c r="G703" s="181">
        <v>626.22</v>
      </c>
      <c r="H703" s="827">
        <v>45960.83934027778</v>
      </c>
    </row>
    <row r="704">
      <c r="A704" s="181" t="s">
        <v>22</v>
      </c>
      <c r="B704" s="181" t="s">
        <v>559</v>
      </c>
      <c r="C704" s="181">
        <v>2.147483648E9</v>
      </c>
      <c r="D704" s="181">
        <v>8.0</v>
      </c>
      <c r="E704" s="181">
        <v>2911.9</v>
      </c>
      <c r="F704" s="181">
        <v>737.48</v>
      </c>
      <c r="G704" s="181">
        <v>645.3</v>
      </c>
      <c r="H704" s="827">
        <v>45960.83934027778</v>
      </c>
    </row>
    <row r="705">
      <c r="A705" s="181" t="s">
        <v>22</v>
      </c>
      <c r="B705" s="181" t="s">
        <v>559</v>
      </c>
      <c r="C705" s="181">
        <v>4.294967296E9</v>
      </c>
      <c r="D705" s="181">
        <v>8.0</v>
      </c>
      <c r="E705" s="181">
        <v>5710.9</v>
      </c>
      <c r="F705" s="181">
        <v>752.07</v>
      </c>
      <c r="G705" s="181">
        <v>658.06</v>
      </c>
      <c r="H705" s="827">
        <v>45960.83934027778</v>
      </c>
    </row>
    <row r="706">
      <c r="A706" s="181" t="s">
        <v>523</v>
      </c>
      <c r="B706" s="181" t="s">
        <v>560</v>
      </c>
      <c r="C706" s="181">
        <v>128.0</v>
      </c>
      <c r="D706" s="181">
        <v>2.0</v>
      </c>
      <c r="E706" s="181">
        <v>10.29</v>
      </c>
      <c r="F706" s="181">
        <v>0.01</v>
      </c>
      <c r="G706" s="181">
        <v>0.01</v>
      </c>
      <c r="H706" s="828">
        <v>46096.0</v>
      </c>
      <c r="I706" s="829">
        <f t="shared" ref="I706:I2334" si="1">(D706-1)*(C706/D706)/(900*1000*1000*1000)*1000*1000</f>
        <v>0.00007111111111</v>
      </c>
      <c r="J706" s="830">
        <f t="shared" ref="J706:J2334" si="2">I706/E706</f>
        <v>0.000006910700788</v>
      </c>
      <c r="K706" s="830"/>
    </row>
    <row r="707">
      <c r="A707" s="181" t="s">
        <v>523</v>
      </c>
      <c r="B707" s="181" t="s">
        <v>560</v>
      </c>
      <c r="C707" s="181">
        <v>256.0</v>
      </c>
      <c r="D707" s="181">
        <v>2.0</v>
      </c>
      <c r="E707" s="181">
        <v>10.14</v>
      </c>
      <c r="F707" s="181">
        <v>0.03</v>
      </c>
      <c r="G707" s="181">
        <v>0.01</v>
      </c>
      <c r="H707" s="828">
        <v>46096.0</v>
      </c>
      <c r="I707" s="829">
        <f t="shared" si="1"/>
        <v>0.0001422222222</v>
      </c>
      <c r="J707" s="830">
        <f t="shared" si="2"/>
        <v>0.00001402586018</v>
      </c>
      <c r="K707" s="830"/>
    </row>
    <row r="708">
      <c r="A708" s="181" t="s">
        <v>523</v>
      </c>
      <c r="B708" s="181" t="s">
        <v>560</v>
      </c>
      <c r="C708" s="181">
        <v>512.0</v>
      </c>
      <c r="D708" s="181">
        <v>2.0</v>
      </c>
      <c r="E708" s="181">
        <v>10.22</v>
      </c>
      <c r="F708" s="181">
        <v>0.05</v>
      </c>
      <c r="G708" s="181">
        <v>0.03</v>
      </c>
      <c r="H708" s="828">
        <v>46096.0</v>
      </c>
      <c r="I708" s="829">
        <f t="shared" si="1"/>
        <v>0.0002844444444</v>
      </c>
      <c r="J708" s="830">
        <f t="shared" si="2"/>
        <v>0.00002783213742</v>
      </c>
      <c r="K708" s="830"/>
    </row>
    <row r="709">
      <c r="A709" s="181" t="s">
        <v>523</v>
      </c>
      <c r="B709" s="181" t="s">
        <v>560</v>
      </c>
      <c r="C709" s="181">
        <v>1024.0</v>
      </c>
      <c r="D709" s="181">
        <v>2.0</v>
      </c>
      <c r="E709" s="181">
        <v>10.26</v>
      </c>
      <c r="F709" s="181">
        <v>0.1</v>
      </c>
      <c r="G709" s="181">
        <v>0.05</v>
      </c>
      <c r="H709" s="828">
        <v>46096.0</v>
      </c>
      <c r="I709" s="829">
        <f t="shared" si="1"/>
        <v>0.0005688888889</v>
      </c>
      <c r="J709" s="830">
        <f t="shared" si="2"/>
        <v>0.00005544726013</v>
      </c>
      <c r="K709" s="830"/>
    </row>
    <row r="710">
      <c r="A710" s="181" t="s">
        <v>523</v>
      </c>
      <c r="B710" s="181" t="s">
        <v>560</v>
      </c>
      <c r="C710" s="181">
        <v>2048.0</v>
      </c>
      <c r="D710" s="181">
        <v>2.0</v>
      </c>
      <c r="E710" s="181">
        <v>10.34</v>
      </c>
      <c r="F710" s="181">
        <v>0.2</v>
      </c>
      <c r="G710" s="181">
        <v>0.1</v>
      </c>
      <c r="H710" s="828">
        <v>46096.0</v>
      </c>
      <c r="I710" s="829">
        <f t="shared" si="1"/>
        <v>0.001137777778</v>
      </c>
      <c r="J710" s="830">
        <f t="shared" si="2"/>
        <v>0.0001100365356</v>
      </c>
      <c r="K710" s="830"/>
    </row>
    <row r="711">
      <c r="A711" s="181" t="s">
        <v>523</v>
      </c>
      <c r="B711" s="181" t="s">
        <v>560</v>
      </c>
      <c r="C711" s="181">
        <v>4096.0</v>
      </c>
      <c r="D711" s="181">
        <v>2.0</v>
      </c>
      <c r="E711" s="181">
        <v>10.78</v>
      </c>
      <c r="F711" s="181">
        <v>0.38</v>
      </c>
      <c r="G711" s="181">
        <v>0.19</v>
      </c>
      <c r="H711" s="828">
        <v>46096.0</v>
      </c>
      <c r="I711" s="829">
        <f t="shared" si="1"/>
        <v>0.002275555556</v>
      </c>
      <c r="J711" s="830">
        <f t="shared" si="2"/>
        <v>0.0002110904968</v>
      </c>
      <c r="K711" s="830"/>
    </row>
    <row r="712">
      <c r="A712" s="181" t="s">
        <v>523</v>
      </c>
      <c r="B712" s="181" t="s">
        <v>560</v>
      </c>
      <c r="C712" s="181">
        <v>8192.0</v>
      </c>
      <c r="D712" s="181">
        <v>2.0</v>
      </c>
      <c r="E712" s="181">
        <v>10.8</v>
      </c>
      <c r="F712" s="181">
        <v>0.76</v>
      </c>
      <c r="G712" s="181">
        <v>0.38</v>
      </c>
      <c r="H712" s="828">
        <v>46096.0</v>
      </c>
      <c r="I712" s="829">
        <f t="shared" si="1"/>
        <v>0.004551111111</v>
      </c>
      <c r="J712" s="830">
        <f t="shared" si="2"/>
        <v>0.000421399177</v>
      </c>
      <c r="K712" s="830"/>
    </row>
    <row r="713">
      <c r="A713" s="181" t="s">
        <v>523</v>
      </c>
      <c r="B713" s="181" t="s">
        <v>560</v>
      </c>
      <c r="C713" s="181">
        <v>16384.0</v>
      </c>
      <c r="D713" s="181">
        <v>2.0</v>
      </c>
      <c r="E713" s="181">
        <v>10.89</v>
      </c>
      <c r="F713" s="181">
        <v>1.5</v>
      </c>
      <c r="G713" s="181">
        <v>0.75</v>
      </c>
      <c r="H713" s="828">
        <v>46096.0</v>
      </c>
      <c r="I713" s="829">
        <f t="shared" si="1"/>
        <v>0.009102222222</v>
      </c>
      <c r="J713" s="830">
        <f t="shared" si="2"/>
        <v>0.0008358330783</v>
      </c>
      <c r="K713" s="830"/>
    </row>
    <row r="714">
      <c r="A714" s="181" t="s">
        <v>523</v>
      </c>
      <c r="B714" s="181" t="s">
        <v>560</v>
      </c>
      <c r="C714" s="181">
        <v>32768.0</v>
      </c>
      <c r="D714" s="181">
        <v>2.0</v>
      </c>
      <c r="E714" s="181">
        <v>10.95</v>
      </c>
      <c r="F714" s="181">
        <v>2.99</v>
      </c>
      <c r="G714" s="181">
        <v>1.5</v>
      </c>
      <c r="H714" s="828">
        <v>46096.0</v>
      </c>
      <c r="I714" s="829">
        <f t="shared" si="1"/>
        <v>0.01820444444</v>
      </c>
      <c r="J714" s="830">
        <f t="shared" si="2"/>
        <v>0.001662506342</v>
      </c>
      <c r="K714" s="830"/>
    </row>
    <row r="715">
      <c r="A715" s="181" t="s">
        <v>523</v>
      </c>
      <c r="B715" s="181" t="s">
        <v>560</v>
      </c>
      <c r="C715" s="181">
        <v>65536.0</v>
      </c>
      <c r="D715" s="181">
        <v>2.0</v>
      </c>
      <c r="E715" s="181">
        <v>11.18</v>
      </c>
      <c r="F715" s="181">
        <v>5.86</v>
      </c>
      <c r="G715" s="181">
        <v>2.93</v>
      </c>
      <c r="H715" s="828">
        <v>46096.0</v>
      </c>
      <c r="I715" s="829">
        <f t="shared" si="1"/>
        <v>0.03640888889</v>
      </c>
      <c r="J715" s="830">
        <f t="shared" si="2"/>
        <v>0.003256609024</v>
      </c>
      <c r="K715" s="830"/>
    </row>
    <row r="716">
      <c r="A716" s="181" t="s">
        <v>523</v>
      </c>
      <c r="B716" s="181" t="s">
        <v>560</v>
      </c>
      <c r="C716" s="181">
        <v>131072.0</v>
      </c>
      <c r="D716" s="181">
        <v>2.0</v>
      </c>
      <c r="E716" s="181">
        <v>11.15</v>
      </c>
      <c r="F716" s="181">
        <v>11.76</v>
      </c>
      <c r="G716" s="181">
        <v>5.88</v>
      </c>
      <c r="H716" s="828">
        <v>46096.0</v>
      </c>
      <c r="I716" s="829">
        <f t="shared" si="1"/>
        <v>0.07281777778</v>
      </c>
      <c r="J716" s="830">
        <f t="shared" si="2"/>
        <v>0.006530742402</v>
      </c>
      <c r="K716" s="830"/>
    </row>
    <row r="717">
      <c r="A717" s="181" t="s">
        <v>523</v>
      </c>
      <c r="B717" s="181" t="s">
        <v>560</v>
      </c>
      <c r="C717" s="181">
        <v>262144.0</v>
      </c>
      <c r="D717" s="181">
        <v>2.0</v>
      </c>
      <c r="E717" s="181">
        <v>11.68</v>
      </c>
      <c r="F717" s="181">
        <v>22.44</v>
      </c>
      <c r="G717" s="181">
        <v>11.22</v>
      </c>
      <c r="H717" s="828">
        <v>46096.0</v>
      </c>
      <c r="I717" s="829">
        <f t="shared" si="1"/>
        <v>0.1456355556</v>
      </c>
      <c r="J717" s="830">
        <f t="shared" si="2"/>
        <v>0.01246879756</v>
      </c>
      <c r="K717" s="830"/>
    </row>
    <row r="718">
      <c r="A718" s="181" t="s">
        <v>523</v>
      </c>
      <c r="B718" s="181" t="s">
        <v>560</v>
      </c>
      <c r="C718" s="181">
        <v>524288.0</v>
      </c>
      <c r="D718" s="181">
        <v>2.0</v>
      </c>
      <c r="E718" s="181">
        <v>11.73</v>
      </c>
      <c r="F718" s="181">
        <v>44.69</v>
      </c>
      <c r="G718" s="181">
        <v>22.35</v>
      </c>
      <c r="H718" s="828">
        <v>46096.0</v>
      </c>
      <c r="I718" s="829">
        <f t="shared" si="1"/>
        <v>0.2912711111</v>
      </c>
      <c r="J718" s="830">
        <f t="shared" si="2"/>
        <v>0.02483129677</v>
      </c>
      <c r="K718" s="830"/>
    </row>
    <row r="719">
      <c r="A719" s="181" t="s">
        <v>523</v>
      </c>
      <c r="B719" s="181" t="s">
        <v>560</v>
      </c>
      <c r="C719" s="181">
        <v>1048576.0</v>
      </c>
      <c r="D719" s="181">
        <v>2.0</v>
      </c>
      <c r="E719" s="181">
        <v>12.91</v>
      </c>
      <c r="F719" s="181">
        <v>81.23</v>
      </c>
      <c r="G719" s="181">
        <v>40.62</v>
      </c>
      <c r="H719" s="828">
        <v>46096.0</v>
      </c>
      <c r="I719" s="829">
        <f t="shared" si="1"/>
        <v>0.5825422222</v>
      </c>
      <c r="J719" s="830">
        <f t="shared" si="2"/>
        <v>0.04512333247</v>
      </c>
      <c r="K719" s="830"/>
    </row>
    <row r="720">
      <c r="A720" s="181" t="s">
        <v>523</v>
      </c>
      <c r="B720" s="181" t="s">
        <v>560</v>
      </c>
      <c r="C720" s="181">
        <v>2097152.0</v>
      </c>
      <c r="D720" s="181">
        <v>2.0</v>
      </c>
      <c r="E720" s="181">
        <v>15.99</v>
      </c>
      <c r="F720" s="181">
        <v>131.15</v>
      </c>
      <c r="G720" s="181">
        <v>65.58</v>
      </c>
      <c r="H720" s="828">
        <v>46096.0</v>
      </c>
      <c r="I720" s="829">
        <f t="shared" si="1"/>
        <v>1.165084444</v>
      </c>
      <c r="J720" s="830">
        <f t="shared" si="2"/>
        <v>0.07286331735</v>
      </c>
      <c r="K720" s="830"/>
    </row>
    <row r="721">
      <c r="A721" s="181" t="s">
        <v>523</v>
      </c>
      <c r="B721" s="181" t="s">
        <v>560</v>
      </c>
      <c r="C721" s="181">
        <v>4194304.0</v>
      </c>
      <c r="D721" s="181">
        <v>2.0</v>
      </c>
      <c r="E721" s="181">
        <v>23.92</v>
      </c>
      <c r="F721" s="181">
        <v>175.36</v>
      </c>
      <c r="G721" s="181">
        <v>87.68</v>
      </c>
      <c r="H721" s="828">
        <v>46096.0</v>
      </c>
      <c r="I721" s="829">
        <f t="shared" si="1"/>
        <v>2.330168889</v>
      </c>
      <c r="J721" s="830">
        <f t="shared" si="2"/>
        <v>0.09741508733</v>
      </c>
      <c r="K721" s="830"/>
    </row>
    <row r="722">
      <c r="A722" s="181" t="s">
        <v>523</v>
      </c>
      <c r="B722" s="181" t="s">
        <v>560</v>
      </c>
      <c r="C722" s="181">
        <v>8388608.0</v>
      </c>
      <c r="D722" s="181">
        <v>2.0</v>
      </c>
      <c r="E722" s="181">
        <v>30.86</v>
      </c>
      <c r="F722" s="181">
        <v>271.79</v>
      </c>
      <c r="G722" s="181">
        <v>135.9</v>
      </c>
      <c r="H722" s="828">
        <v>46096.0</v>
      </c>
      <c r="I722" s="829">
        <f t="shared" si="1"/>
        <v>4.660337778</v>
      </c>
      <c r="J722" s="830">
        <f t="shared" si="2"/>
        <v>0.1510154821</v>
      </c>
      <c r="K722" s="830"/>
    </row>
    <row r="723">
      <c r="A723" s="181" t="s">
        <v>523</v>
      </c>
      <c r="B723" s="181" t="s">
        <v>560</v>
      </c>
      <c r="C723" s="181">
        <v>1.6777216E7</v>
      </c>
      <c r="D723" s="181">
        <v>2.0</v>
      </c>
      <c r="E723" s="181">
        <v>39.26</v>
      </c>
      <c r="F723" s="181">
        <v>427.3</v>
      </c>
      <c r="G723" s="181">
        <v>213.65</v>
      </c>
      <c r="H723" s="828">
        <v>46096.0</v>
      </c>
      <c r="I723" s="829">
        <f t="shared" si="1"/>
        <v>9.320675556</v>
      </c>
      <c r="J723" s="830">
        <f t="shared" si="2"/>
        <v>0.2374089545</v>
      </c>
      <c r="K723" s="830"/>
    </row>
    <row r="724">
      <c r="A724" s="181" t="s">
        <v>523</v>
      </c>
      <c r="B724" s="181" t="s">
        <v>560</v>
      </c>
      <c r="C724" s="181">
        <v>3.3554432E7</v>
      </c>
      <c r="D724" s="181">
        <v>2.0</v>
      </c>
      <c r="E724" s="181">
        <v>55.13</v>
      </c>
      <c r="F724" s="181">
        <v>608.64</v>
      </c>
      <c r="G724" s="181">
        <v>304.32</v>
      </c>
      <c r="H724" s="828">
        <v>46096.0</v>
      </c>
      <c r="I724" s="829">
        <f t="shared" si="1"/>
        <v>18.64135111</v>
      </c>
      <c r="J724" s="830">
        <f t="shared" si="2"/>
        <v>0.3381344297</v>
      </c>
      <c r="K724" s="830"/>
    </row>
    <row r="725">
      <c r="A725" s="181" t="s">
        <v>523</v>
      </c>
      <c r="B725" s="181" t="s">
        <v>560</v>
      </c>
      <c r="C725" s="181">
        <v>6.7108864E7</v>
      </c>
      <c r="D725" s="181">
        <v>2.0</v>
      </c>
      <c r="E725" s="181">
        <v>91.37</v>
      </c>
      <c r="F725" s="181">
        <v>734.49</v>
      </c>
      <c r="G725" s="181">
        <v>367.24</v>
      </c>
      <c r="H725" s="828">
        <v>46096.0</v>
      </c>
      <c r="I725" s="829">
        <f t="shared" si="1"/>
        <v>37.28270222</v>
      </c>
      <c r="J725" s="830">
        <f t="shared" si="2"/>
        <v>0.4080409568</v>
      </c>
      <c r="K725" s="830"/>
    </row>
    <row r="726">
      <c r="A726" s="181" t="s">
        <v>523</v>
      </c>
      <c r="B726" s="181" t="s">
        <v>560</v>
      </c>
      <c r="C726" s="181">
        <v>1.34217728E8</v>
      </c>
      <c r="D726" s="181">
        <v>2.0</v>
      </c>
      <c r="E726" s="181">
        <v>164.23</v>
      </c>
      <c r="F726" s="181">
        <v>817.23</v>
      </c>
      <c r="G726" s="181">
        <v>408.62</v>
      </c>
      <c r="H726" s="828">
        <v>46096.0</v>
      </c>
      <c r="I726" s="829">
        <f t="shared" si="1"/>
        <v>74.56540444</v>
      </c>
      <c r="J726" s="830">
        <f t="shared" si="2"/>
        <v>0.4540303504</v>
      </c>
      <c r="K726" s="830"/>
    </row>
    <row r="727">
      <c r="A727" s="181" t="s">
        <v>523</v>
      </c>
      <c r="B727" s="181" t="s">
        <v>560</v>
      </c>
      <c r="C727" s="181">
        <v>2.68435456E8</v>
      </c>
      <c r="D727" s="181">
        <v>2.0</v>
      </c>
      <c r="E727" s="181">
        <v>296.48</v>
      </c>
      <c r="F727" s="181">
        <v>905.41</v>
      </c>
      <c r="G727" s="181">
        <v>452.7</v>
      </c>
      <c r="H727" s="828">
        <v>46096.0</v>
      </c>
      <c r="I727" s="829">
        <f t="shared" si="1"/>
        <v>149.1308089</v>
      </c>
      <c r="J727" s="830">
        <f t="shared" si="2"/>
        <v>0.5030046171</v>
      </c>
      <c r="K727" s="830"/>
    </row>
    <row r="728">
      <c r="A728" s="181" t="s">
        <v>523</v>
      </c>
      <c r="B728" s="181" t="s">
        <v>560</v>
      </c>
      <c r="C728" s="181">
        <v>5.36870912E8</v>
      </c>
      <c r="D728" s="181">
        <v>2.0</v>
      </c>
      <c r="E728" s="181">
        <v>554.49</v>
      </c>
      <c r="F728" s="181">
        <v>968.22</v>
      </c>
      <c r="G728" s="181">
        <v>484.11</v>
      </c>
      <c r="H728" s="828">
        <v>46096.0</v>
      </c>
      <c r="I728" s="829">
        <f t="shared" si="1"/>
        <v>298.2616178</v>
      </c>
      <c r="J728" s="830">
        <f t="shared" si="2"/>
        <v>0.5379026092</v>
      </c>
      <c r="K728" s="830"/>
    </row>
    <row r="729">
      <c r="A729" s="181" t="s">
        <v>523</v>
      </c>
      <c r="B729" s="181" t="s">
        <v>560</v>
      </c>
      <c r="C729" s="181">
        <v>1.073741824E9</v>
      </c>
      <c r="D729" s="181">
        <v>2.0</v>
      </c>
      <c r="E729" s="181">
        <v>1032.0</v>
      </c>
      <c r="F729" s="181">
        <v>1040.4</v>
      </c>
      <c r="G729" s="181">
        <v>520.22</v>
      </c>
      <c r="H729" s="828">
        <v>46096.0</v>
      </c>
      <c r="I729" s="829">
        <f t="shared" si="1"/>
        <v>596.5232356</v>
      </c>
      <c r="J729" s="830">
        <f t="shared" si="2"/>
        <v>0.578026391</v>
      </c>
      <c r="K729" s="830"/>
    </row>
    <row r="730">
      <c r="A730" s="181" t="s">
        <v>523</v>
      </c>
      <c r="B730" s="181" t="s">
        <v>560</v>
      </c>
      <c r="C730" s="181">
        <v>2.147483648E9</v>
      </c>
      <c r="D730" s="181">
        <v>2.0</v>
      </c>
      <c r="E730" s="181">
        <v>1971.06</v>
      </c>
      <c r="F730" s="181">
        <v>1089.5</v>
      </c>
      <c r="G730" s="181">
        <v>544.75</v>
      </c>
      <c r="H730" s="828">
        <v>46096.0</v>
      </c>
      <c r="I730" s="829">
        <f t="shared" si="1"/>
        <v>1193.046471</v>
      </c>
      <c r="J730" s="830">
        <f t="shared" si="2"/>
        <v>0.6052816612</v>
      </c>
      <c r="K730" s="830"/>
    </row>
    <row r="731">
      <c r="A731" s="181" t="s">
        <v>523</v>
      </c>
      <c r="B731" s="181" t="s">
        <v>560</v>
      </c>
      <c r="C731" s="181">
        <v>4.294967296E9</v>
      </c>
      <c r="D731" s="181">
        <v>2.0</v>
      </c>
      <c r="E731" s="181">
        <v>3709.27</v>
      </c>
      <c r="F731" s="181">
        <v>1157.9</v>
      </c>
      <c r="G731" s="181">
        <v>578.95</v>
      </c>
      <c r="H731" s="828">
        <v>46096.0</v>
      </c>
      <c r="I731" s="829">
        <f t="shared" si="1"/>
        <v>2386.092942</v>
      </c>
      <c r="J731" s="830">
        <f t="shared" si="2"/>
        <v>0.6432783114</v>
      </c>
      <c r="K731" s="830"/>
    </row>
    <row r="732">
      <c r="A732" s="181" t="s">
        <v>523</v>
      </c>
      <c r="B732" s="181" t="s">
        <v>560</v>
      </c>
      <c r="C732" s="181">
        <v>8.589934592E9</v>
      </c>
      <c r="D732" s="181">
        <v>2.0</v>
      </c>
      <c r="E732" s="181">
        <v>7256.04</v>
      </c>
      <c r="F732" s="181">
        <v>1183.8</v>
      </c>
      <c r="G732" s="181">
        <v>591.92</v>
      </c>
      <c r="H732" s="828">
        <v>46096.0</v>
      </c>
      <c r="I732" s="829">
        <f t="shared" si="1"/>
        <v>4772.185884</v>
      </c>
      <c r="J732" s="830">
        <f t="shared" si="2"/>
        <v>0.6576846165</v>
      </c>
      <c r="K732" s="830"/>
    </row>
    <row r="733">
      <c r="A733" s="181" t="s">
        <v>523</v>
      </c>
      <c r="B733" s="181" t="s">
        <v>560</v>
      </c>
      <c r="C733" s="181">
        <v>1.7179869184E10</v>
      </c>
      <c r="D733" s="181">
        <v>2.0</v>
      </c>
      <c r="E733" s="181">
        <v>14283.0</v>
      </c>
      <c r="F733" s="181">
        <v>1202.8</v>
      </c>
      <c r="G733" s="181">
        <v>601.41</v>
      </c>
      <c r="H733" s="828">
        <v>46096.0</v>
      </c>
      <c r="I733" s="829">
        <f t="shared" si="1"/>
        <v>9544.371769</v>
      </c>
      <c r="J733" s="830">
        <f t="shared" si="2"/>
        <v>0.6682329881</v>
      </c>
      <c r="K733" s="830"/>
    </row>
    <row r="734">
      <c r="A734" s="181" t="s">
        <v>523</v>
      </c>
      <c r="B734" s="181" t="s">
        <v>560</v>
      </c>
      <c r="C734" s="181">
        <v>256.0</v>
      </c>
      <c r="D734" s="181">
        <v>4.0</v>
      </c>
      <c r="E734" s="181">
        <v>13.27</v>
      </c>
      <c r="F734" s="181">
        <v>0.02</v>
      </c>
      <c r="G734" s="181">
        <v>0.01</v>
      </c>
      <c r="H734" s="828">
        <v>46096.0</v>
      </c>
      <c r="I734" s="829">
        <f t="shared" si="1"/>
        <v>0.0002133333333</v>
      </c>
      <c r="J734" s="830">
        <f t="shared" si="2"/>
        <v>0.00001607636272</v>
      </c>
      <c r="K734" s="830"/>
    </row>
    <row r="735">
      <c r="A735" s="181" t="s">
        <v>523</v>
      </c>
      <c r="B735" s="181" t="s">
        <v>560</v>
      </c>
      <c r="C735" s="181">
        <v>512.0</v>
      </c>
      <c r="D735" s="181">
        <v>4.0</v>
      </c>
      <c r="E735" s="181">
        <v>12.68</v>
      </c>
      <c r="F735" s="181">
        <v>0.04</v>
      </c>
      <c r="G735" s="181">
        <v>0.03</v>
      </c>
      <c r="H735" s="828">
        <v>46096.0</v>
      </c>
      <c r="I735" s="829">
        <f t="shared" si="1"/>
        <v>0.0004266666667</v>
      </c>
      <c r="J735" s="830">
        <f t="shared" si="2"/>
        <v>0.00003364879075</v>
      </c>
      <c r="K735" s="830"/>
    </row>
    <row r="736">
      <c r="A736" s="181" t="s">
        <v>523</v>
      </c>
      <c r="B736" s="181" t="s">
        <v>560</v>
      </c>
      <c r="C736" s="181">
        <v>1024.0</v>
      </c>
      <c r="D736" s="181">
        <v>4.0</v>
      </c>
      <c r="E736" s="181">
        <v>12.89</v>
      </c>
      <c r="F736" s="181">
        <v>0.08</v>
      </c>
      <c r="G736" s="181">
        <v>0.06</v>
      </c>
      <c r="H736" s="828">
        <v>46096.0</v>
      </c>
      <c r="I736" s="829">
        <f t="shared" si="1"/>
        <v>0.0008533333333</v>
      </c>
      <c r="J736" s="830">
        <f t="shared" si="2"/>
        <v>0.00006620118955</v>
      </c>
      <c r="K736" s="830"/>
    </row>
    <row r="737">
      <c r="A737" s="181" t="s">
        <v>523</v>
      </c>
      <c r="B737" s="181" t="s">
        <v>560</v>
      </c>
      <c r="C737" s="181">
        <v>2048.0</v>
      </c>
      <c r="D737" s="181">
        <v>4.0</v>
      </c>
      <c r="E737" s="181">
        <v>13.17</v>
      </c>
      <c r="F737" s="181">
        <v>0.16</v>
      </c>
      <c r="G737" s="181">
        <v>0.12</v>
      </c>
      <c r="H737" s="828">
        <v>46096.0</v>
      </c>
      <c r="I737" s="829">
        <f t="shared" si="1"/>
        <v>0.001706666667</v>
      </c>
      <c r="J737" s="830">
        <f t="shared" si="2"/>
        <v>0.0001295874462</v>
      </c>
      <c r="K737" s="830"/>
    </row>
    <row r="738">
      <c r="A738" s="181" t="s">
        <v>523</v>
      </c>
      <c r="B738" s="181" t="s">
        <v>560</v>
      </c>
      <c r="C738" s="181">
        <v>4096.0</v>
      </c>
      <c r="D738" s="181">
        <v>4.0</v>
      </c>
      <c r="E738" s="181">
        <v>13.6</v>
      </c>
      <c r="F738" s="181">
        <v>0.3</v>
      </c>
      <c r="G738" s="181">
        <v>0.23</v>
      </c>
      <c r="H738" s="828">
        <v>46096.0</v>
      </c>
      <c r="I738" s="829">
        <f t="shared" si="1"/>
        <v>0.003413333333</v>
      </c>
      <c r="J738" s="830">
        <f t="shared" si="2"/>
        <v>0.0002509803922</v>
      </c>
      <c r="K738" s="830"/>
    </row>
    <row r="739">
      <c r="A739" s="181" t="s">
        <v>523</v>
      </c>
      <c r="B739" s="181" t="s">
        <v>560</v>
      </c>
      <c r="C739" s="181">
        <v>8192.0</v>
      </c>
      <c r="D739" s="181">
        <v>4.0</v>
      </c>
      <c r="E739" s="181">
        <v>13.72</v>
      </c>
      <c r="F739" s="181">
        <v>0.6</v>
      </c>
      <c r="G739" s="181">
        <v>0.45</v>
      </c>
      <c r="H739" s="828">
        <v>46096.0</v>
      </c>
      <c r="I739" s="829">
        <f t="shared" si="1"/>
        <v>0.006826666667</v>
      </c>
      <c r="J739" s="830">
        <f t="shared" si="2"/>
        <v>0.0004975704568</v>
      </c>
      <c r="K739" s="830"/>
    </row>
    <row r="740">
      <c r="A740" s="181" t="s">
        <v>523</v>
      </c>
      <c r="B740" s="181" t="s">
        <v>560</v>
      </c>
      <c r="C740" s="181">
        <v>16384.0</v>
      </c>
      <c r="D740" s="181">
        <v>4.0</v>
      </c>
      <c r="E740" s="181">
        <v>14.13</v>
      </c>
      <c r="F740" s="181">
        <v>1.16</v>
      </c>
      <c r="G740" s="181">
        <v>0.87</v>
      </c>
      <c r="H740" s="828">
        <v>46096.0</v>
      </c>
      <c r="I740" s="829">
        <f t="shared" si="1"/>
        <v>0.01365333333</v>
      </c>
      <c r="J740" s="830">
        <f t="shared" si="2"/>
        <v>0.0009662656287</v>
      </c>
      <c r="K740" s="830"/>
    </row>
    <row r="741">
      <c r="A741" s="181" t="s">
        <v>523</v>
      </c>
      <c r="B741" s="181" t="s">
        <v>560</v>
      </c>
      <c r="C741" s="181">
        <v>32768.0</v>
      </c>
      <c r="D741" s="181">
        <v>4.0</v>
      </c>
      <c r="E741" s="181">
        <v>14.18</v>
      </c>
      <c r="F741" s="181">
        <v>2.31</v>
      </c>
      <c r="G741" s="181">
        <v>1.73</v>
      </c>
      <c r="H741" s="828">
        <v>46096.0</v>
      </c>
      <c r="I741" s="829">
        <f t="shared" si="1"/>
        <v>0.02730666667</v>
      </c>
      <c r="J741" s="830">
        <f t="shared" si="2"/>
        <v>0.001925716972</v>
      </c>
      <c r="K741" s="830"/>
    </row>
    <row r="742">
      <c r="A742" s="181" t="s">
        <v>523</v>
      </c>
      <c r="B742" s="181" t="s">
        <v>560</v>
      </c>
      <c r="C742" s="181">
        <v>65536.0</v>
      </c>
      <c r="D742" s="181">
        <v>4.0</v>
      </c>
      <c r="E742" s="181">
        <v>14.47</v>
      </c>
      <c r="F742" s="181">
        <v>4.53</v>
      </c>
      <c r="G742" s="181">
        <v>3.4</v>
      </c>
      <c r="H742" s="828">
        <v>46096.0</v>
      </c>
      <c r="I742" s="829">
        <f t="shared" si="1"/>
        <v>0.05461333333</v>
      </c>
      <c r="J742" s="830">
        <f t="shared" si="2"/>
        <v>0.003774245566</v>
      </c>
      <c r="K742" s="830"/>
    </row>
    <row r="743">
      <c r="A743" s="181" t="s">
        <v>523</v>
      </c>
      <c r="B743" s="181" t="s">
        <v>560</v>
      </c>
      <c r="C743" s="181">
        <v>131072.0</v>
      </c>
      <c r="D743" s="181">
        <v>4.0</v>
      </c>
      <c r="E743" s="181">
        <v>14.31</v>
      </c>
      <c r="F743" s="181">
        <v>9.16</v>
      </c>
      <c r="G743" s="181">
        <v>6.87</v>
      </c>
      <c r="H743" s="828">
        <v>46096.0</v>
      </c>
      <c r="I743" s="829">
        <f t="shared" si="1"/>
        <v>0.1092266667</v>
      </c>
      <c r="J743" s="830">
        <f t="shared" si="2"/>
        <v>0.007632890752</v>
      </c>
      <c r="K743" s="830"/>
    </row>
    <row r="744">
      <c r="A744" s="181" t="s">
        <v>523</v>
      </c>
      <c r="B744" s="181" t="s">
        <v>560</v>
      </c>
      <c r="C744" s="181">
        <v>262144.0</v>
      </c>
      <c r="D744" s="181">
        <v>4.0</v>
      </c>
      <c r="E744" s="181">
        <v>14.86</v>
      </c>
      <c r="F744" s="181">
        <v>17.65</v>
      </c>
      <c r="G744" s="181">
        <v>13.23</v>
      </c>
      <c r="H744" s="828">
        <v>46096.0</v>
      </c>
      <c r="I744" s="829">
        <f t="shared" si="1"/>
        <v>0.2184533333</v>
      </c>
      <c r="J744" s="830">
        <f t="shared" si="2"/>
        <v>0.01470076267</v>
      </c>
      <c r="K744" s="830"/>
    </row>
    <row r="745">
      <c r="A745" s="181" t="s">
        <v>523</v>
      </c>
      <c r="B745" s="181" t="s">
        <v>560</v>
      </c>
      <c r="C745" s="181">
        <v>524288.0</v>
      </c>
      <c r="D745" s="181">
        <v>4.0</v>
      </c>
      <c r="E745" s="181">
        <v>14.86</v>
      </c>
      <c r="F745" s="181">
        <v>35.29</v>
      </c>
      <c r="G745" s="181">
        <v>26.47</v>
      </c>
      <c r="H745" s="828">
        <v>46096.0</v>
      </c>
      <c r="I745" s="829">
        <f t="shared" si="1"/>
        <v>0.4369066667</v>
      </c>
      <c r="J745" s="830">
        <f t="shared" si="2"/>
        <v>0.02940152535</v>
      </c>
      <c r="K745" s="830"/>
    </row>
    <row r="746">
      <c r="A746" s="181" t="s">
        <v>523</v>
      </c>
      <c r="B746" s="181" t="s">
        <v>560</v>
      </c>
      <c r="C746" s="181">
        <v>1048576.0</v>
      </c>
      <c r="D746" s="181">
        <v>4.0</v>
      </c>
      <c r="E746" s="181">
        <v>15.92</v>
      </c>
      <c r="F746" s="181">
        <v>65.86</v>
      </c>
      <c r="G746" s="181">
        <v>49.39</v>
      </c>
      <c r="H746" s="828">
        <v>46096.0</v>
      </c>
      <c r="I746" s="829">
        <f t="shared" si="1"/>
        <v>0.8738133333</v>
      </c>
      <c r="J746" s="830">
        <f t="shared" si="2"/>
        <v>0.05488777219</v>
      </c>
      <c r="K746" s="830"/>
    </row>
    <row r="747">
      <c r="A747" s="181" t="s">
        <v>523</v>
      </c>
      <c r="B747" s="181" t="s">
        <v>560</v>
      </c>
      <c r="C747" s="181">
        <v>2097152.0</v>
      </c>
      <c r="D747" s="181">
        <v>4.0</v>
      </c>
      <c r="E747" s="181">
        <v>18.77</v>
      </c>
      <c r="F747" s="181">
        <v>111.72</v>
      </c>
      <c r="G747" s="181">
        <v>83.79</v>
      </c>
      <c r="H747" s="828">
        <v>46096.0</v>
      </c>
      <c r="I747" s="829">
        <f t="shared" si="1"/>
        <v>1.747626667</v>
      </c>
      <c r="J747" s="830">
        <f t="shared" si="2"/>
        <v>0.09310744095</v>
      </c>
      <c r="K747" s="830"/>
    </row>
    <row r="748">
      <c r="A748" s="181" t="s">
        <v>523</v>
      </c>
      <c r="B748" s="181" t="s">
        <v>560</v>
      </c>
      <c r="C748" s="181">
        <v>4194304.0</v>
      </c>
      <c r="D748" s="181">
        <v>4.0</v>
      </c>
      <c r="E748" s="181">
        <v>26.43</v>
      </c>
      <c r="F748" s="181">
        <v>158.68</v>
      </c>
      <c r="G748" s="181">
        <v>119.01</v>
      </c>
      <c r="H748" s="828">
        <v>46096.0</v>
      </c>
      <c r="I748" s="829">
        <f t="shared" si="1"/>
        <v>3.495253333</v>
      </c>
      <c r="J748" s="830">
        <f t="shared" si="2"/>
        <v>0.1322456804</v>
      </c>
      <c r="K748" s="830"/>
    </row>
    <row r="749">
      <c r="A749" s="181" t="s">
        <v>523</v>
      </c>
      <c r="B749" s="181" t="s">
        <v>560</v>
      </c>
      <c r="C749" s="181">
        <v>8388608.0</v>
      </c>
      <c r="D749" s="181">
        <v>4.0</v>
      </c>
      <c r="E749" s="181">
        <v>52.95</v>
      </c>
      <c r="F749" s="181">
        <v>158.43</v>
      </c>
      <c r="G749" s="181">
        <v>118.82</v>
      </c>
      <c r="H749" s="828">
        <v>46096.0</v>
      </c>
      <c r="I749" s="829">
        <f t="shared" si="1"/>
        <v>6.990506667</v>
      </c>
      <c r="J749" s="830">
        <f t="shared" si="2"/>
        <v>0.1320209002</v>
      </c>
      <c r="K749" s="830"/>
    </row>
    <row r="750">
      <c r="A750" s="181" t="s">
        <v>523</v>
      </c>
      <c r="B750" s="181" t="s">
        <v>560</v>
      </c>
      <c r="C750" s="181">
        <v>1.6777216E7</v>
      </c>
      <c r="D750" s="181">
        <v>4.0</v>
      </c>
      <c r="E750" s="181">
        <v>59.07</v>
      </c>
      <c r="F750" s="181">
        <v>284.04</v>
      </c>
      <c r="G750" s="181">
        <v>213.03</v>
      </c>
      <c r="H750" s="828">
        <v>46096.0</v>
      </c>
      <c r="I750" s="829">
        <f t="shared" si="1"/>
        <v>13.98101333</v>
      </c>
      <c r="J750" s="830">
        <f t="shared" si="2"/>
        <v>0.2366855144</v>
      </c>
      <c r="K750" s="830"/>
    </row>
    <row r="751">
      <c r="A751" s="181" t="s">
        <v>523</v>
      </c>
      <c r="B751" s="181" t="s">
        <v>560</v>
      </c>
      <c r="C751" s="181">
        <v>3.3554432E7</v>
      </c>
      <c r="D751" s="181">
        <v>4.0</v>
      </c>
      <c r="E751" s="181">
        <v>72.48</v>
      </c>
      <c r="F751" s="181">
        <v>462.95</v>
      </c>
      <c r="G751" s="181">
        <v>347.21</v>
      </c>
      <c r="H751" s="828">
        <v>46096.0</v>
      </c>
      <c r="I751" s="829">
        <f t="shared" si="1"/>
        <v>27.96202667</v>
      </c>
      <c r="J751" s="830">
        <f t="shared" si="2"/>
        <v>0.3857895511</v>
      </c>
      <c r="K751" s="830"/>
    </row>
    <row r="752">
      <c r="A752" s="181" t="s">
        <v>523</v>
      </c>
      <c r="B752" s="181" t="s">
        <v>560</v>
      </c>
      <c r="C752" s="181">
        <v>6.7108864E7</v>
      </c>
      <c r="D752" s="181">
        <v>4.0</v>
      </c>
      <c r="E752" s="181">
        <v>110.65</v>
      </c>
      <c r="F752" s="181">
        <v>606.48</v>
      </c>
      <c r="G752" s="181">
        <v>454.86</v>
      </c>
      <c r="H752" s="828">
        <v>46096.0</v>
      </c>
      <c r="I752" s="829">
        <f t="shared" si="1"/>
        <v>55.92405333</v>
      </c>
      <c r="J752" s="830">
        <f t="shared" si="2"/>
        <v>0.5054139479</v>
      </c>
      <c r="K752" s="830"/>
    </row>
    <row r="753">
      <c r="A753" s="181" t="s">
        <v>523</v>
      </c>
      <c r="B753" s="181" t="s">
        <v>560</v>
      </c>
      <c r="C753" s="181">
        <v>1.34217728E8</v>
      </c>
      <c r="D753" s="181">
        <v>4.0</v>
      </c>
      <c r="E753" s="181">
        <v>197.4</v>
      </c>
      <c r="F753" s="181">
        <v>679.94</v>
      </c>
      <c r="G753" s="181">
        <v>509.96</v>
      </c>
      <c r="H753" s="828">
        <v>46096.0</v>
      </c>
      <c r="I753" s="829">
        <f t="shared" si="1"/>
        <v>111.8481067</v>
      </c>
      <c r="J753" s="830">
        <f t="shared" si="2"/>
        <v>0.5666064168</v>
      </c>
      <c r="K753" s="830"/>
    </row>
    <row r="754">
      <c r="A754" s="181" t="s">
        <v>523</v>
      </c>
      <c r="B754" s="181" t="s">
        <v>560</v>
      </c>
      <c r="C754" s="181">
        <v>2.68435456E8</v>
      </c>
      <c r="D754" s="181">
        <v>4.0</v>
      </c>
      <c r="E754" s="181">
        <v>373.51</v>
      </c>
      <c r="F754" s="181">
        <v>718.68</v>
      </c>
      <c r="G754" s="181">
        <v>539.01</v>
      </c>
      <c r="H754" s="828">
        <v>46096.0</v>
      </c>
      <c r="I754" s="829">
        <f t="shared" si="1"/>
        <v>223.6962133</v>
      </c>
      <c r="J754" s="830">
        <f t="shared" si="2"/>
        <v>0.5989028763</v>
      </c>
      <c r="K754" s="830"/>
    </row>
    <row r="755">
      <c r="A755" s="181" t="s">
        <v>523</v>
      </c>
      <c r="B755" s="181" t="s">
        <v>560</v>
      </c>
      <c r="C755" s="181">
        <v>5.36870912E8</v>
      </c>
      <c r="D755" s="181">
        <v>4.0</v>
      </c>
      <c r="E755" s="181">
        <v>699.43</v>
      </c>
      <c r="F755" s="181">
        <v>767.59</v>
      </c>
      <c r="G755" s="181">
        <v>575.69</v>
      </c>
      <c r="H755" s="828">
        <v>46096.0</v>
      </c>
      <c r="I755" s="829">
        <f t="shared" si="1"/>
        <v>447.3924267</v>
      </c>
      <c r="J755" s="830">
        <f t="shared" si="2"/>
        <v>0.6396528983</v>
      </c>
      <c r="K755" s="830"/>
    </row>
    <row r="756">
      <c r="A756" s="181" t="s">
        <v>523</v>
      </c>
      <c r="B756" s="181" t="s">
        <v>560</v>
      </c>
      <c r="C756" s="181">
        <v>1.073741824E9</v>
      </c>
      <c r="D756" s="181">
        <v>4.0</v>
      </c>
      <c r="E756" s="181">
        <v>1334.28</v>
      </c>
      <c r="F756" s="181">
        <v>804.74</v>
      </c>
      <c r="G756" s="181">
        <v>603.55</v>
      </c>
      <c r="H756" s="828">
        <v>46096.0</v>
      </c>
      <c r="I756" s="829">
        <f t="shared" si="1"/>
        <v>894.7848533</v>
      </c>
      <c r="J756" s="830">
        <f t="shared" si="2"/>
        <v>0.6706125051</v>
      </c>
      <c r="K756" s="830"/>
    </row>
    <row r="757">
      <c r="A757" s="181" t="s">
        <v>523</v>
      </c>
      <c r="B757" s="181" t="s">
        <v>560</v>
      </c>
      <c r="C757" s="181">
        <v>2.147483648E9</v>
      </c>
      <c r="D757" s="181">
        <v>4.0</v>
      </c>
      <c r="E757" s="181">
        <v>2551.04</v>
      </c>
      <c r="F757" s="181">
        <v>841.81</v>
      </c>
      <c r="G757" s="181">
        <v>631.35</v>
      </c>
      <c r="H757" s="828">
        <v>46096.0</v>
      </c>
      <c r="I757" s="829">
        <f t="shared" si="1"/>
        <v>1789.569707</v>
      </c>
      <c r="J757" s="830">
        <f t="shared" si="2"/>
        <v>0.7015059374</v>
      </c>
      <c r="K757" s="830"/>
    </row>
    <row r="758">
      <c r="A758" s="181" t="s">
        <v>523</v>
      </c>
      <c r="B758" s="181" t="s">
        <v>560</v>
      </c>
      <c r="C758" s="181">
        <v>4.294967296E9</v>
      </c>
      <c r="D758" s="181">
        <v>4.0</v>
      </c>
      <c r="E758" s="181">
        <v>5020.11</v>
      </c>
      <c r="F758" s="181">
        <v>855.55</v>
      </c>
      <c r="G758" s="181">
        <v>641.66</v>
      </c>
      <c r="H758" s="828">
        <v>46096.0</v>
      </c>
      <c r="I758" s="829">
        <f t="shared" si="1"/>
        <v>3579.139413</v>
      </c>
      <c r="J758" s="830">
        <f t="shared" si="2"/>
        <v>0.7129603561</v>
      </c>
      <c r="K758" s="830"/>
    </row>
    <row r="759">
      <c r="A759" s="181" t="s">
        <v>523</v>
      </c>
      <c r="B759" s="181" t="s">
        <v>560</v>
      </c>
      <c r="C759" s="181">
        <v>8.589934592E9</v>
      </c>
      <c r="D759" s="181">
        <v>4.0</v>
      </c>
      <c r="E759" s="181">
        <v>9821.82</v>
      </c>
      <c r="F759" s="181">
        <v>874.58</v>
      </c>
      <c r="G759" s="181">
        <v>655.93</v>
      </c>
      <c r="H759" s="828">
        <v>46096.0</v>
      </c>
      <c r="I759" s="829">
        <f t="shared" si="1"/>
        <v>7158.278827</v>
      </c>
      <c r="J759" s="830">
        <f t="shared" si="2"/>
        <v>0.7288138885</v>
      </c>
      <c r="K759" s="830"/>
    </row>
    <row r="760">
      <c r="A760" s="181" t="s">
        <v>523</v>
      </c>
      <c r="B760" s="181" t="s">
        <v>560</v>
      </c>
      <c r="C760" s="181">
        <v>1.7179869184E10</v>
      </c>
      <c r="D760" s="181">
        <v>4.0</v>
      </c>
      <c r="E760" s="181">
        <v>19332.9</v>
      </c>
      <c r="F760" s="181">
        <v>888.63</v>
      </c>
      <c r="G760" s="181">
        <v>666.47</v>
      </c>
      <c r="H760" s="828">
        <v>46096.0</v>
      </c>
      <c r="I760" s="829">
        <f t="shared" si="1"/>
        <v>14316.55765</v>
      </c>
      <c r="J760" s="830">
        <f t="shared" si="2"/>
        <v>0.7405282008</v>
      </c>
      <c r="K760" s="830"/>
    </row>
    <row r="761">
      <c r="A761" s="181" t="s">
        <v>523</v>
      </c>
      <c r="B761" s="181" t="s">
        <v>560</v>
      </c>
      <c r="C761" s="181">
        <v>384.0</v>
      </c>
      <c r="D761" s="181">
        <v>6.0</v>
      </c>
      <c r="E761" s="181">
        <v>16.73</v>
      </c>
      <c r="F761" s="181">
        <v>0.02</v>
      </c>
      <c r="G761" s="181">
        <v>0.02</v>
      </c>
      <c r="H761" s="828">
        <v>46096.0</v>
      </c>
      <c r="I761" s="829">
        <f t="shared" si="1"/>
        <v>0.0003555555556</v>
      </c>
      <c r="J761" s="830">
        <f t="shared" si="2"/>
        <v>0.00002125257355</v>
      </c>
      <c r="K761" s="830"/>
    </row>
    <row r="762">
      <c r="A762" s="181" t="s">
        <v>523</v>
      </c>
      <c r="B762" s="181" t="s">
        <v>560</v>
      </c>
      <c r="C762" s="181">
        <v>768.0</v>
      </c>
      <c r="D762" s="181">
        <v>6.0</v>
      </c>
      <c r="E762" s="181">
        <v>16.54</v>
      </c>
      <c r="F762" s="181">
        <v>0.05</v>
      </c>
      <c r="G762" s="181">
        <v>0.04</v>
      </c>
      <c r="H762" s="828">
        <v>46096.0</v>
      </c>
      <c r="I762" s="829">
        <f t="shared" si="1"/>
        <v>0.0007111111111</v>
      </c>
      <c r="J762" s="830">
        <f t="shared" si="2"/>
        <v>0.00004299341663</v>
      </c>
      <c r="K762" s="830"/>
    </row>
    <row r="763">
      <c r="A763" s="181" t="s">
        <v>523</v>
      </c>
      <c r="B763" s="181" t="s">
        <v>560</v>
      </c>
      <c r="C763" s="181">
        <v>1536.0</v>
      </c>
      <c r="D763" s="181">
        <v>6.0</v>
      </c>
      <c r="E763" s="181">
        <v>17.1</v>
      </c>
      <c r="F763" s="181">
        <v>0.09</v>
      </c>
      <c r="G763" s="181">
        <v>0.07</v>
      </c>
      <c r="H763" s="828">
        <v>46096.0</v>
      </c>
      <c r="I763" s="829">
        <f t="shared" si="1"/>
        <v>0.001422222222</v>
      </c>
      <c r="J763" s="830">
        <f t="shared" si="2"/>
        <v>0.00008317089019</v>
      </c>
      <c r="K763" s="830"/>
    </row>
    <row r="764">
      <c r="A764" s="181" t="s">
        <v>523</v>
      </c>
      <c r="B764" s="181" t="s">
        <v>560</v>
      </c>
      <c r="C764" s="181">
        <v>3072.0</v>
      </c>
      <c r="D764" s="181">
        <v>6.0</v>
      </c>
      <c r="E764" s="181">
        <v>16.98</v>
      </c>
      <c r="F764" s="181">
        <v>0.18</v>
      </c>
      <c r="G764" s="181">
        <v>0.15</v>
      </c>
      <c r="H764" s="828">
        <v>46096.0</v>
      </c>
      <c r="I764" s="829">
        <f t="shared" si="1"/>
        <v>0.002844444444</v>
      </c>
      <c r="J764" s="830">
        <f t="shared" si="2"/>
        <v>0.0001675173407</v>
      </c>
      <c r="K764" s="830"/>
    </row>
    <row r="765">
      <c r="A765" s="181" t="s">
        <v>523</v>
      </c>
      <c r="B765" s="181" t="s">
        <v>560</v>
      </c>
      <c r="C765" s="181">
        <v>6144.0</v>
      </c>
      <c r="D765" s="181">
        <v>6.0</v>
      </c>
      <c r="E765" s="181">
        <v>17.02</v>
      </c>
      <c r="F765" s="181">
        <v>0.36</v>
      </c>
      <c r="G765" s="181">
        <v>0.3</v>
      </c>
      <c r="H765" s="828">
        <v>46096.0</v>
      </c>
      <c r="I765" s="829">
        <f t="shared" si="1"/>
        <v>0.005688888889</v>
      </c>
      <c r="J765" s="830">
        <f t="shared" si="2"/>
        <v>0.0003342472908</v>
      </c>
      <c r="K765" s="830"/>
    </row>
    <row r="766">
      <c r="A766" s="181" t="s">
        <v>523</v>
      </c>
      <c r="B766" s="181" t="s">
        <v>560</v>
      </c>
      <c r="C766" s="181">
        <v>12288.0</v>
      </c>
      <c r="D766" s="181">
        <v>6.0</v>
      </c>
      <c r="E766" s="181">
        <v>17.83</v>
      </c>
      <c r="F766" s="181">
        <v>0.69</v>
      </c>
      <c r="G766" s="181">
        <v>0.57</v>
      </c>
      <c r="H766" s="828">
        <v>46096.0</v>
      </c>
      <c r="I766" s="829">
        <f t="shared" si="1"/>
        <v>0.01137777778</v>
      </c>
      <c r="J766" s="830">
        <f t="shared" si="2"/>
        <v>0.0006381255063</v>
      </c>
      <c r="K766" s="830"/>
    </row>
    <row r="767">
      <c r="A767" s="181" t="s">
        <v>523</v>
      </c>
      <c r="B767" s="181" t="s">
        <v>560</v>
      </c>
      <c r="C767" s="181">
        <v>24576.0</v>
      </c>
      <c r="D767" s="181">
        <v>6.0</v>
      </c>
      <c r="E767" s="181">
        <v>17.88</v>
      </c>
      <c r="F767" s="181">
        <v>1.37</v>
      </c>
      <c r="G767" s="181">
        <v>1.15</v>
      </c>
      <c r="H767" s="828">
        <v>46096.0</v>
      </c>
      <c r="I767" s="829">
        <f t="shared" si="1"/>
        <v>0.02275555556</v>
      </c>
      <c r="J767" s="830">
        <f t="shared" si="2"/>
        <v>0.001272682078</v>
      </c>
      <c r="K767" s="830"/>
    </row>
    <row r="768">
      <c r="A768" s="181" t="s">
        <v>523</v>
      </c>
      <c r="B768" s="181" t="s">
        <v>560</v>
      </c>
      <c r="C768" s="181">
        <v>49152.0</v>
      </c>
      <c r="D768" s="181">
        <v>6.0</v>
      </c>
      <c r="E768" s="181">
        <v>18.41</v>
      </c>
      <c r="F768" s="181">
        <v>2.67</v>
      </c>
      <c r="G768" s="181">
        <v>2.23</v>
      </c>
      <c r="H768" s="828">
        <v>46096.0</v>
      </c>
      <c r="I768" s="829">
        <f t="shared" si="1"/>
        <v>0.04551111111</v>
      </c>
      <c r="J768" s="830">
        <f t="shared" si="2"/>
        <v>0.002472086426</v>
      </c>
      <c r="K768" s="830"/>
    </row>
    <row r="769">
      <c r="A769" s="181" t="s">
        <v>523</v>
      </c>
      <c r="B769" s="181" t="s">
        <v>560</v>
      </c>
      <c r="C769" s="181">
        <v>98304.0</v>
      </c>
      <c r="D769" s="181">
        <v>6.0</v>
      </c>
      <c r="E769" s="181">
        <v>19.06</v>
      </c>
      <c r="F769" s="181">
        <v>5.16</v>
      </c>
      <c r="G769" s="181">
        <v>4.3</v>
      </c>
      <c r="H769" s="828">
        <v>46096.0</v>
      </c>
      <c r="I769" s="829">
        <f t="shared" si="1"/>
        <v>0.09102222222</v>
      </c>
      <c r="J769" s="830">
        <f t="shared" si="2"/>
        <v>0.004775562551</v>
      </c>
      <c r="K769" s="830"/>
    </row>
    <row r="770">
      <c r="A770" s="181" t="s">
        <v>523</v>
      </c>
      <c r="B770" s="181" t="s">
        <v>560</v>
      </c>
      <c r="C770" s="181">
        <v>196608.0</v>
      </c>
      <c r="D770" s="181">
        <v>6.0</v>
      </c>
      <c r="E770" s="181">
        <v>19.13</v>
      </c>
      <c r="F770" s="181">
        <v>10.28</v>
      </c>
      <c r="G770" s="181">
        <v>8.56</v>
      </c>
      <c r="H770" s="828">
        <v>46096.0</v>
      </c>
      <c r="I770" s="829">
        <f t="shared" si="1"/>
        <v>0.1820444444</v>
      </c>
      <c r="J770" s="830">
        <f t="shared" si="2"/>
        <v>0.009516175873</v>
      </c>
      <c r="K770" s="830"/>
    </row>
    <row r="771">
      <c r="A771" s="181" t="s">
        <v>523</v>
      </c>
      <c r="B771" s="181" t="s">
        <v>560</v>
      </c>
      <c r="C771" s="181">
        <v>393216.0</v>
      </c>
      <c r="D771" s="181">
        <v>6.0</v>
      </c>
      <c r="E771" s="181">
        <v>19.25</v>
      </c>
      <c r="F771" s="181">
        <v>20.43</v>
      </c>
      <c r="G771" s="181">
        <v>17.03</v>
      </c>
      <c r="H771" s="828">
        <v>46096.0</v>
      </c>
      <c r="I771" s="829">
        <f t="shared" si="1"/>
        <v>0.3640888889</v>
      </c>
      <c r="J771" s="830">
        <f t="shared" si="2"/>
        <v>0.01891370851</v>
      </c>
      <c r="K771" s="830"/>
    </row>
    <row r="772">
      <c r="A772" s="181" t="s">
        <v>523</v>
      </c>
      <c r="B772" s="181" t="s">
        <v>560</v>
      </c>
      <c r="C772" s="181">
        <v>786432.0</v>
      </c>
      <c r="D772" s="181">
        <v>6.0</v>
      </c>
      <c r="E772" s="181">
        <v>19.39</v>
      </c>
      <c r="F772" s="181">
        <v>40.57</v>
      </c>
      <c r="G772" s="181">
        <v>33.8</v>
      </c>
      <c r="H772" s="828">
        <v>46096.0</v>
      </c>
      <c r="I772" s="829">
        <f t="shared" si="1"/>
        <v>0.7281777778</v>
      </c>
      <c r="J772" s="830">
        <f t="shared" si="2"/>
        <v>0.03755429488</v>
      </c>
      <c r="K772" s="830"/>
    </row>
    <row r="773">
      <c r="A773" s="181" t="s">
        <v>523</v>
      </c>
      <c r="B773" s="181" t="s">
        <v>560</v>
      </c>
      <c r="C773" s="181">
        <v>1572864.0</v>
      </c>
      <c r="D773" s="181">
        <v>6.0</v>
      </c>
      <c r="E773" s="181">
        <v>21.58</v>
      </c>
      <c r="F773" s="181">
        <v>72.88</v>
      </c>
      <c r="G773" s="181">
        <v>60.73</v>
      </c>
      <c r="H773" s="828">
        <v>46096.0</v>
      </c>
      <c r="I773" s="829">
        <f t="shared" si="1"/>
        <v>1.456355556</v>
      </c>
      <c r="J773" s="830">
        <f t="shared" si="2"/>
        <v>0.06748635568</v>
      </c>
      <c r="K773" s="830"/>
    </row>
    <row r="774">
      <c r="A774" s="181" t="s">
        <v>523</v>
      </c>
      <c r="B774" s="181" t="s">
        <v>560</v>
      </c>
      <c r="C774" s="181">
        <v>3145728.0</v>
      </c>
      <c r="D774" s="181">
        <v>6.0</v>
      </c>
      <c r="E774" s="181">
        <v>26.5</v>
      </c>
      <c r="F774" s="181">
        <v>118.72</v>
      </c>
      <c r="G774" s="181">
        <v>98.93</v>
      </c>
      <c r="H774" s="828">
        <v>46096.0</v>
      </c>
      <c r="I774" s="829">
        <f t="shared" si="1"/>
        <v>2.912711111</v>
      </c>
      <c r="J774" s="830">
        <f t="shared" si="2"/>
        <v>0.1099136268</v>
      </c>
      <c r="K774" s="830"/>
    </row>
    <row r="775">
      <c r="A775" s="181" t="s">
        <v>523</v>
      </c>
      <c r="B775" s="181" t="s">
        <v>560</v>
      </c>
      <c r="C775" s="181">
        <v>6291456.0</v>
      </c>
      <c r="D775" s="181">
        <v>6.0</v>
      </c>
      <c r="E775" s="181">
        <v>45.02</v>
      </c>
      <c r="F775" s="181">
        <v>139.74</v>
      </c>
      <c r="G775" s="181">
        <v>116.45</v>
      </c>
      <c r="H775" s="828">
        <v>46096.0</v>
      </c>
      <c r="I775" s="829">
        <f t="shared" si="1"/>
        <v>5.825422222</v>
      </c>
      <c r="J775" s="830">
        <f t="shared" si="2"/>
        <v>0.1293963177</v>
      </c>
      <c r="K775" s="830"/>
    </row>
    <row r="776">
      <c r="A776" s="181" t="s">
        <v>523</v>
      </c>
      <c r="B776" s="181" t="s">
        <v>560</v>
      </c>
      <c r="C776" s="181">
        <v>1.2582912E7</v>
      </c>
      <c r="D776" s="181">
        <v>6.0</v>
      </c>
      <c r="E776" s="181">
        <v>39.69</v>
      </c>
      <c r="F776" s="181">
        <v>317.01</v>
      </c>
      <c r="G776" s="181">
        <v>264.17</v>
      </c>
      <c r="H776" s="828">
        <v>46096.0</v>
      </c>
      <c r="I776" s="829">
        <f t="shared" si="1"/>
        <v>11.65084444</v>
      </c>
      <c r="J776" s="830">
        <f t="shared" si="2"/>
        <v>0.2935460933</v>
      </c>
      <c r="K776" s="830"/>
    </row>
    <row r="777">
      <c r="A777" s="181" t="s">
        <v>523</v>
      </c>
      <c r="B777" s="181" t="s">
        <v>560</v>
      </c>
      <c r="C777" s="181">
        <v>2.5165824E7</v>
      </c>
      <c r="D777" s="181">
        <v>6.0</v>
      </c>
      <c r="E777" s="181">
        <v>113.1</v>
      </c>
      <c r="F777" s="181">
        <v>222.51</v>
      </c>
      <c r="G777" s="181">
        <v>185.43</v>
      </c>
      <c r="H777" s="828">
        <v>46096.0</v>
      </c>
      <c r="I777" s="829">
        <f t="shared" si="1"/>
        <v>23.30168889</v>
      </c>
      <c r="J777" s="830">
        <f t="shared" si="2"/>
        <v>0.2060273111</v>
      </c>
      <c r="K777" s="830"/>
    </row>
    <row r="778">
      <c r="A778" s="181" t="s">
        <v>523</v>
      </c>
      <c r="B778" s="181" t="s">
        <v>560</v>
      </c>
      <c r="C778" s="181">
        <v>5.0331648E7</v>
      </c>
      <c r="D778" s="181">
        <v>6.0</v>
      </c>
      <c r="E778" s="181">
        <v>134.11</v>
      </c>
      <c r="F778" s="181">
        <v>375.3</v>
      </c>
      <c r="G778" s="181">
        <v>312.75</v>
      </c>
      <c r="H778" s="828">
        <v>46096.0</v>
      </c>
      <c r="I778" s="829">
        <f t="shared" si="1"/>
        <v>46.60337778</v>
      </c>
      <c r="J778" s="830">
        <f t="shared" si="2"/>
        <v>0.3475011392</v>
      </c>
      <c r="K778" s="830"/>
    </row>
    <row r="779">
      <c r="A779" s="181" t="s">
        <v>523</v>
      </c>
      <c r="B779" s="181" t="s">
        <v>560</v>
      </c>
      <c r="C779" s="181">
        <v>1.00663296E8</v>
      </c>
      <c r="D779" s="181">
        <v>6.0</v>
      </c>
      <c r="E779" s="181">
        <v>163.37</v>
      </c>
      <c r="F779" s="181">
        <v>616.15</v>
      </c>
      <c r="G779" s="181">
        <v>513.46</v>
      </c>
      <c r="H779" s="828">
        <v>46096.0</v>
      </c>
      <c r="I779" s="829">
        <f t="shared" si="1"/>
        <v>93.20675556</v>
      </c>
      <c r="J779" s="830">
        <f t="shared" si="2"/>
        <v>0.5705255283</v>
      </c>
      <c r="K779" s="830"/>
    </row>
    <row r="780">
      <c r="A780" s="181" t="s">
        <v>523</v>
      </c>
      <c r="B780" s="181" t="s">
        <v>560</v>
      </c>
      <c r="C780" s="181">
        <v>2.01326592E8</v>
      </c>
      <c r="D780" s="181">
        <v>6.0</v>
      </c>
      <c r="E780" s="181">
        <v>300.65</v>
      </c>
      <c r="F780" s="181">
        <v>669.65</v>
      </c>
      <c r="G780" s="181">
        <v>558.04</v>
      </c>
      <c r="H780" s="828">
        <v>46096.0</v>
      </c>
      <c r="I780" s="829">
        <f t="shared" si="1"/>
        <v>186.4135111</v>
      </c>
      <c r="J780" s="830">
        <f t="shared" si="2"/>
        <v>0.6200349613</v>
      </c>
      <c r="K780" s="830"/>
    </row>
    <row r="781">
      <c r="A781" s="181" t="s">
        <v>523</v>
      </c>
      <c r="B781" s="181" t="s">
        <v>560</v>
      </c>
      <c r="C781" s="181">
        <v>4.02653184E8</v>
      </c>
      <c r="D781" s="181">
        <v>6.0</v>
      </c>
      <c r="E781" s="181">
        <v>632.54</v>
      </c>
      <c r="F781" s="181">
        <v>636.57</v>
      </c>
      <c r="G781" s="181">
        <v>530.47</v>
      </c>
      <c r="H781" s="828">
        <v>46096.0</v>
      </c>
      <c r="I781" s="829">
        <f t="shared" si="1"/>
        <v>372.8270222</v>
      </c>
      <c r="J781" s="830">
        <f t="shared" si="2"/>
        <v>0.5894125624</v>
      </c>
      <c r="K781" s="830"/>
    </row>
    <row r="782">
      <c r="A782" s="181" t="s">
        <v>523</v>
      </c>
      <c r="B782" s="181" t="s">
        <v>560</v>
      </c>
      <c r="C782" s="181">
        <v>8.05306368E8</v>
      </c>
      <c r="D782" s="181">
        <v>6.0</v>
      </c>
      <c r="E782" s="181">
        <v>1148.05</v>
      </c>
      <c r="F782" s="181">
        <v>701.45</v>
      </c>
      <c r="G782" s="181">
        <v>584.54</v>
      </c>
      <c r="H782" s="828">
        <v>46096.0</v>
      </c>
      <c r="I782" s="829">
        <f t="shared" si="1"/>
        <v>745.6540444</v>
      </c>
      <c r="J782" s="830">
        <f t="shared" si="2"/>
        <v>0.6494961408</v>
      </c>
      <c r="K782" s="830"/>
    </row>
    <row r="783">
      <c r="A783" s="181" t="s">
        <v>523</v>
      </c>
      <c r="B783" s="181" t="s">
        <v>560</v>
      </c>
      <c r="C783" s="181">
        <v>1.610612736E9</v>
      </c>
      <c r="D783" s="181">
        <v>6.0</v>
      </c>
      <c r="E783" s="181">
        <v>2165.56</v>
      </c>
      <c r="F783" s="181">
        <v>743.74</v>
      </c>
      <c r="G783" s="181">
        <v>619.78</v>
      </c>
      <c r="H783" s="828">
        <v>46096.0</v>
      </c>
      <c r="I783" s="829">
        <f t="shared" si="1"/>
        <v>1491.308089</v>
      </c>
      <c r="J783" s="830">
        <f t="shared" si="2"/>
        <v>0.6886477811</v>
      </c>
      <c r="K783" s="830"/>
    </row>
    <row r="784">
      <c r="A784" s="181" t="s">
        <v>523</v>
      </c>
      <c r="B784" s="181" t="s">
        <v>560</v>
      </c>
      <c r="C784" s="181">
        <v>3.221225472E9</v>
      </c>
      <c r="D784" s="181">
        <v>6.0</v>
      </c>
      <c r="E784" s="181">
        <v>4140.95</v>
      </c>
      <c r="F784" s="181">
        <v>777.9</v>
      </c>
      <c r="G784" s="181">
        <v>648.25</v>
      </c>
      <c r="H784" s="828">
        <v>46096.0</v>
      </c>
      <c r="I784" s="829">
        <f t="shared" si="1"/>
        <v>2982.616178</v>
      </c>
      <c r="J784" s="830">
        <f t="shared" si="2"/>
        <v>0.7202734102</v>
      </c>
      <c r="K784" s="830"/>
    </row>
    <row r="785">
      <c r="A785" s="181" t="s">
        <v>523</v>
      </c>
      <c r="B785" s="181" t="s">
        <v>560</v>
      </c>
      <c r="C785" s="181">
        <v>6.442450944E9</v>
      </c>
      <c r="D785" s="181">
        <v>6.0</v>
      </c>
      <c r="E785" s="181">
        <v>8115.86</v>
      </c>
      <c r="F785" s="181">
        <v>793.81</v>
      </c>
      <c r="G785" s="181">
        <v>661.51</v>
      </c>
      <c r="H785" s="828">
        <v>46096.0</v>
      </c>
      <c r="I785" s="829">
        <f t="shared" si="1"/>
        <v>5965.232356</v>
      </c>
      <c r="J785" s="830">
        <f t="shared" si="2"/>
        <v>0.7350092727</v>
      </c>
      <c r="K785" s="830"/>
    </row>
    <row r="786">
      <c r="A786" s="181" t="s">
        <v>523</v>
      </c>
      <c r="B786" s="181" t="s">
        <v>560</v>
      </c>
      <c r="C786" s="181">
        <v>1.2884901888E10</v>
      </c>
      <c r="D786" s="181">
        <v>6.0</v>
      </c>
      <c r="E786" s="181">
        <v>16051.3</v>
      </c>
      <c r="F786" s="181">
        <v>802.73</v>
      </c>
      <c r="G786" s="181">
        <v>668.94</v>
      </c>
      <c r="H786" s="828">
        <v>46096.0</v>
      </c>
      <c r="I786" s="829">
        <f t="shared" si="1"/>
        <v>11930.46471</v>
      </c>
      <c r="J786" s="830">
        <f t="shared" si="2"/>
        <v>0.743270932</v>
      </c>
      <c r="K786" s="830"/>
    </row>
    <row r="787">
      <c r="A787" s="181" t="s">
        <v>523</v>
      </c>
      <c r="B787" s="181" t="s">
        <v>560</v>
      </c>
      <c r="C787" s="181">
        <v>512.0</v>
      </c>
      <c r="D787" s="181">
        <v>8.0</v>
      </c>
      <c r="E787" s="181">
        <v>19.59</v>
      </c>
      <c r="F787" s="181">
        <v>0.03</v>
      </c>
      <c r="G787" s="181">
        <v>0.02</v>
      </c>
      <c r="H787" s="828">
        <v>46096.0</v>
      </c>
      <c r="I787" s="829">
        <f t="shared" si="1"/>
        <v>0.0004977777778</v>
      </c>
      <c r="J787" s="830">
        <f t="shared" si="2"/>
        <v>0.00002540978958</v>
      </c>
      <c r="K787" s="830"/>
    </row>
    <row r="788">
      <c r="A788" s="181" t="s">
        <v>523</v>
      </c>
      <c r="B788" s="181" t="s">
        <v>560</v>
      </c>
      <c r="C788" s="181">
        <v>1024.0</v>
      </c>
      <c r="D788" s="181">
        <v>8.0</v>
      </c>
      <c r="E788" s="181">
        <v>20.03</v>
      </c>
      <c r="F788" s="181">
        <v>0.05</v>
      </c>
      <c r="G788" s="181">
        <v>0.04</v>
      </c>
      <c r="H788" s="828">
        <v>46096.0</v>
      </c>
      <c r="I788" s="829">
        <f t="shared" si="1"/>
        <v>0.0009955555556</v>
      </c>
      <c r="J788" s="830">
        <f t="shared" si="2"/>
        <v>0.00004970322294</v>
      </c>
      <c r="K788" s="830"/>
    </row>
    <row r="789">
      <c r="A789" s="181" t="s">
        <v>523</v>
      </c>
      <c r="B789" s="181" t="s">
        <v>560</v>
      </c>
      <c r="C789" s="181">
        <v>2048.0</v>
      </c>
      <c r="D789" s="181">
        <v>8.0</v>
      </c>
      <c r="E789" s="181">
        <v>20.53</v>
      </c>
      <c r="F789" s="181">
        <v>0.1</v>
      </c>
      <c r="G789" s="181">
        <v>0.09</v>
      </c>
      <c r="H789" s="828">
        <v>46096.0</v>
      </c>
      <c r="I789" s="829">
        <f t="shared" si="1"/>
        <v>0.001991111111</v>
      </c>
      <c r="J789" s="830">
        <f t="shared" si="2"/>
        <v>0.00009698544136</v>
      </c>
      <c r="K789" s="830"/>
    </row>
    <row r="790">
      <c r="A790" s="181" t="s">
        <v>523</v>
      </c>
      <c r="B790" s="181" t="s">
        <v>560</v>
      </c>
      <c r="C790" s="181">
        <v>4096.0</v>
      </c>
      <c r="D790" s="181">
        <v>8.0</v>
      </c>
      <c r="E790" s="181">
        <v>20.05</v>
      </c>
      <c r="F790" s="181">
        <v>0.2</v>
      </c>
      <c r="G790" s="181">
        <v>0.18</v>
      </c>
      <c r="H790" s="828">
        <v>46096.0</v>
      </c>
      <c r="I790" s="829">
        <f t="shared" si="1"/>
        <v>0.003982222222</v>
      </c>
      <c r="J790" s="830">
        <f t="shared" si="2"/>
        <v>0.0001986145747</v>
      </c>
      <c r="K790" s="830"/>
    </row>
    <row r="791">
      <c r="A791" s="181" t="s">
        <v>523</v>
      </c>
      <c r="B791" s="181" t="s">
        <v>560</v>
      </c>
      <c r="C791" s="181">
        <v>8192.0</v>
      </c>
      <c r="D791" s="181">
        <v>8.0</v>
      </c>
      <c r="E791" s="181">
        <v>21.05</v>
      </c>
      <c r="F791" s="181">
        <v>0.39</v>
      </c>
      <c r="G791" s="181">
        <v>0.34</v>
      </c>
      <c r="H791" s="828">
        <v>46096.0</v>
      </c>
      <c r="I791" s="829">
        <f t="shared" si="1"/>
        <v>0.007964444444</v>
      </c>
      <c r="J791" s="830">
        <f t="shared" si="2"/>
        <v>0.0003783584059</v>
      </c>
      <c r="K791" s="830"/>
    </row>
    <row r="792">
      <c r="A792" s="181" t="s">
        <v>523</v>
      </c>
      <c r="B792" s="181" t="s">
        <v>560</v>
      </c>
      <c r="C792" s="181">
        <v>16384.0</v>
      </c>
      <c r="D792" s="181">
        <v>8.0</v>
      </c>
      <c r="E792" s="181">
        <v>21.64</v>
      </c>
      <c r="F792" s="181">
        <v>0.76</v>
      </c>
      <c r="G792" s="181">
        <v>0.66</v>
      </c>
      <c r="H792" s="828">
        <v>46096.0</v>
      </c>
      <c r="I792" s="829">
        <f t="shared" si="1"/>
        <v>0.01592888889</v>
      </c>
      <c r="J792" s="830">
        <f t="shared" si="2"/>
        <v>0.0007360854385</v>
      </c>
      <c r="K792" s="830"/>
    </row>
    <row r="793">
      <c r="A793" s="181" t="s">
        <v>523</v>
      </c>
      <c r="B793" s="181" t="s">
        <v>560</v>
      </c>
      <c r="C793" s="181">
        <v>32768.0</v>
      </c>
      <c r="D793" s="181">
        <v>8.0</v>
      </c>
      <c r="E793" s="181">
        <v>21.62</v>
      </c>
      <c r="F793" s="181">
        <v>1.52</v>
      </c>
      <c r="G793" s="181">
        <v>1.33</v>
      </c>
      <c r="H793" s="828">
        <v>46096.0</v>
      </c>
      <c r="I793" s="829">
        <f t="shared" si="1"/>
        <v>0.03185777778</v>
      </c>
      <c r="J793" s="830">
        <f t="shared" si="2"/>
        <v>0.001473532737</v>
      </c>
      <c r="K793" s="830"/>
    </row>
    <row r="794">
      <c r="A794" s="181" t="s">
        <v>523</v>
      </c>
      <c r="B794" s="181" t="s">
        <v>560</v>
      </c>
      <c r="C794" s="181">
        <v>65536.0</v>
      </c>
      <c r="D794" s="181">
        <v>8.0</v>
      </c>
      <c r="E794" s="181">
        <v>23.0</v>
      </c>
      <c r="F794" s="181">
        <v>2.85</v>
      </c>
      <c r="G794" s="181">
        <v>2.49</v>
      </c>
      <c r="H794" s="828">
        <v>46096.0</v>
      </c>
      <c r="I794" s="829">
        <f t="shared" si="1"/>
        <v>0.06371555556</v>
      </c>
      <c r="J794" s="830">
        <f t="shared" si="2"/>
        <v>0.002770241546</v>
      </c>
      <c r="K794" s="830"/>
    </row>
    <row r="795">
      <c r="A795" s="181" t="s">
        <v>523</v>
      </c>
      <c r="B795" s="181" t="s">
        <v>560</v>
      </c>
      <c r="C795" s="181">
        <v>131072.0</v>
      </c>
      <c r="D795" s="181">
        <v>8.0</v>
      </c>
      <c r="E795" s="181">
        <v>22.28</v>
      </c>
      <c r="F795" s="181">
        <v>5.88</v>
      </c>
      <c r="G795" s="181">
        <v>5.15</v>
      </c>
      <c r="H795" s="828">
        <v>46096.0</v>
      </c>
      <c r="I795" s="829">
        <f t="shared" si="1"/>
        <v>0.1274311111</v>
      </c>
      <c r="J795" s="830">
        <f t="shared" si="2"/>
        <v>0.005719529224</v>
      </c>
      <c r="K795" s="830"/>
    </row>
    <row r="796">
      <c r="A796" s="181" t="s">
        <v>523</v>
      </c>
      <c r="B796" s="181" t="s">
        <v>560</v>
      </c>
      <c r="C796" s="181">
        <v>262144.0</v>
      </c>
      <c r="D796" s="181">
        <v>8.0</v>
      </c>
      <c r="E796" s="181">
        <v>22.55</v>
      </c>
      <c r="F796" s="181">
        <v>11.63</v>
      </c>
      <c r="G796" s="181">
        <v>10.17</v>
      </c>
      <c r="H796" s="828">
        <v>46096.0</v>
      </c>
      <c r="I796" s="829">
        <f t="shared" si="1"/>
        <v>0.2548622222</v>
      </c>
      <c r="J796" s="830">
        <f t="shared" si="2"/>
        <v>0.01130209411</v>
      </c>
      <c r="K796" s="830"/>
    </row>
    <row r="797">
      <c r="A797" s="181" t="s">
        <v>523</v>
      </c>
      <c r="B797" s="181" t="s">
        <v>560</v>
      </c>
      <c r="C797" s="181">
        <v>524288.0</v>
      </c>
      <c r="D797" s="181">
        <v>8.0</v>
      </c>
      <c r="E797" s="181">
        <v>22.6</v>
      </c>
      <c r="F797" s="181">
        <v>23.2</v>
      </c>
      <c r="G797" s="181">
        <v>20.3</v>
      </c>
      <c r="H797" s="828">
        <v>46096.0</v>
      </c>
      <c r="I797" s="829">
        <f t="shared" si="1"/>
        <v>0.5097244444</v>
      </c>
      <c r="J797" s="830">
        <f t="shared" si="2"/>
        <v>0.02255417896</v>
      </c>
      <c r="K797" s="830"/>
    </row>
    <row r="798">
      <c r="A798" s="181" t="s">
        <v>523</v>
      </c>
      <c r="B798" s="181" t="s">
        <v>560</v>
      </c>
      <c r="C798" s="181">
        <v>1048576.0</v>
      </c>
      <c r="D798" s="181">
        <v>8.0</v>
      </c>
      <c r="E798" s="181">
        <v>22.34</v>
      </c>
      <c r="F798" s="181">
        <v>46.94</v>
      </c>
      <c r="G798" s="181">
        <v>41.07</v>
      </c>
      <c r="H798" s="828">
        <v>46096.0</v>
      </c>
      <c r="I798" s="829">
        <f t="shared" si="1"/>
        <v>1.019448889</v>
      </c>
      <c r="J798" s="830">
        <f t="shared" si="2"/>
        <v>0.04563334328</v>
      </c>
      <c r="K798" s="830"/>
    </row>
    <row r="799">
      <c r="A799" s="181" t="s">
        <v>523</v>
      </c>
      <c r="B799" s="181" t="s">
        <v>560</v>
      </c>
      <c r="C799" s="181">
        <v>2097152.0</v>
      </c>
      <c r="D799" s="181">
        <v>8.0</v>
      </c>
      <c r="E799" s="181">
        <v>24.27</v>
      </c>
      <c r="F799" s="181">
        <v>86.42</v>
      </c>
      <c r="G799" s="181">
        <v>75.62</v>
      </c>
      <c r="H799" s="828">
        <v>46096.0</v>
      </c>
      <c r="I799" s="829">
        <f t="shared" si="1"/>
        <v>2.038897778</v>
      </c>
      <c r="J799" s="830">
        <f t="shared" si="2"/>
        <v>0.08400897313</v>
      </c>
      <c r="K799" s="830"/>
    </row>
    <row r="800">
      <c r="A800" s="181" t="s">
        <v>523</v>
      </c>
      <c r="B800" s="181" t="s">
        <v>560</v>
      </c>
      <c r="C800" s="181">
        <v>4194304.0</v>
      </c>
      <c r="D800" s="181">
        <v>8.0</v>
      </c>
      <c r="E800" s="181">
        <v>32.21</v>
      </c>
      <c r="F800" s="181">
        <v>130.2</v>
      </c>
      <c r="G800" s="181">
        <v>113.92</v>
      </c>
      <c r="H800" s="828">
        <v>46096.0</v>
      </c>
      <c r="I800" s="829">
        <f t="shared" si="1"/>
        <v>4.077795556</v>
      </c>
      <c r="J800" s="830">
        <f t="shared" si="2"/>
        <v>0.1266002967</v>
      </c>
      <c r="K800" s="830"/>
    </row>
    <row r="801">
      <c r="A801" s="181" t="s">
        <v>523</v>
      </c>
      <c r="B801" s="181" t="s">
        <v>560</v>
      </c>
      <c r="C801" s="181">
        <v>8388608.0</v>
      </c>
      <c r="D801" s="181">
        <v>8.0</v>
      </c>
      <c r="E801" s="181">
        <v>46.31</v>
      </c>
      <c r="F801" s="181">
        <v>181.15</v>
      </c>
      <c r="G801" s="181">
        <v>158.5</v>
      </c>
      <c r="H801" s="828">
        <v>46096.0</v>
      </c>
      <c r="I801" s="829">
        <f t="shared" si="1"/>
        <v>8.155591111</v>
      </c>
      <c r="J801" s="830">
        <f t="shared" si="2"/>
        <v>0.1761086398</v>
      </c>
      <c r="K801" s="830"/>
    </row>
    <row r="802">
      <c r="A802" s="181" t="s">
        <v>523</v>
      </c>
      <c r="B802" s="181" t="s">
        <v>560</v>
      </c>
      <c r="C802" s="181">
        <v>1.6777216E7</v>
      </c>
      <c r="D802" s="181">
        <v>8.0</v>
      </c>
      <c r="E802" s="181">
        <v>50.05</v>
      </c>
      <c r="F802" s="181">
        <v>335.21</v>
      </c>
      <c r="G802" s="181">
        <v>293.31</v>
      </c>
      <c r="H802" s="828">
        <v>46096.0</v>
      </c>
      <c r="I802" s="829">
        <f t="shared" si="1"/>
        <v>16.31118222</v>
      </c>
      <c r="J802" s="830">
        <f t="shared" si="2"/>
        <v>0.3258977467</v>
      </c>
      <c r="K802" s="830"/>
    </row>
    <row r="803">
      <c r="A803" s="181" t="s">
        <v>523</v>
      </c>
      <c r="B803" s="181" t="s">
        <v>560</v>
      </c>
      <c r="C803" s="181">
        <v>3.3554432E7</v>
      </c>
      <c r="D803" s="181">
        <v>8.0</v>
      </c>
      <c r="E803" s="181">
        <v>75.26</v>
      </c>
      <c r="F803" s="181">
        <v>445.86</v>
      </c>
      <c r="G803" s="181">
        <v>390.13</v>
      </c>
      <c r="H803" s="828">
        <v>46096.0</v>
      </c>
      <c r="I803" s="829">
        <f t="shared" si="1"/>
        <v>32.62236444</v>
      </c>
      <c r="J803" s="830">
        <f t="shared" si="2"/>
        <v>0.4334621903</v>
      </c>
      <c r="K803" s="830"/>
    </row>
    <row r="804">
      <c r="A804" s="181" t="s">
        <v>523</v>
      </c>
      <c r="B804" s="181" t="s">
        <v>560</v>
      </c>
      <c r="C804" s="181">
        <v>6.7108864E7</v>
      </c>
      <c r="D804" s="181">
        <v>8.0</v>
      </c>
      <c r="E804" s="181">
        <v>179.54</v>
      </c>
      <c r="F804" s="181">
        <v>373.78</v>
      </c>
      <c r="G804" s="181">
        <v>327.06</v>
      </c>
      <c r="H804" s="828">
        <v>46096.0</v>
      </c>
      <c r="I804" s="829">
        <f t="shared" si="1"/>
        <v>65.24472889</v>
      </c>
      <c r="J804" s="830">
        <f t="shared" si="2"/>
        <v>0.3633994034</v>
      </c>
      <c r="K804" s="830"/>
    </row>
    <row r="805">
      <c r="A805" s="181" t="s">
        <v>523</v>
      </c>
      <c r="B805" s="181" t="s">
        <v>560</v>
      </c>
      <c r="C805" s="181">
        <v>1.34217728E8</v>
      </c>
      <c r="D805" s="181">
        <v>8.0</v>
      </c>
      <c r="E805" s="181">
        <v>213.46</v>
      </c>
      <c r="F805" s="181">
        <v>628.78</v>
      </c>
      <c r="G805" s="181">
        <v>550.18</v>
      </c>
      <c r="H805" s="828">
        <v>46096.0</v>
      </c>
      <c r="I805" s="829">
        <f t="shared" si="1"/>
        <v>130.4894578</v>
      </c>
      <c r="J805" s="830">
        <f t="shared" si="2"/>
        <v>0.6113063702</v>
      </c>
      <c r="K805" s="830"/>
    </row>
    <row r="806">
      <c r="A806" s="181" t="s">
        <v>523</v>
      </c>
      <c r="B806" s="181" t="s">
        <v>560</v>
      </c>
      <c r="C806" s="181">
        <v>2.68435456E8</v>
      </c>
      <c r="D806" s="181">
        <v>8.0</v>
      </c>
      <c r="E806" s="181">
        <v>414.91</v>
      </c>
      <c r="F806" s="181">
        <v>646.98</v>
      </c>
      <c r="G806" s="181">
        <v>566.11</v>
      </c>
      <c r="H806" s="828">
        <v>46096.0</v>
      </c>
      <c r="I806" s="829">
        <f t="shared" si="1"/>
        <v>260.9789156</v>
      </c>
      <c r="J806" s="830">
        <f t="shared" si="2"/>
        <v>0.6290012667</v>
      </c>
      <c r="K806" s="830"/>
    </row>
    <row r="807">
      <c r="A807" s="181" t="s">
        <v>523</v>
      </c>
      <c r="B807" s="181" t="s">
        <v>560</v>
      </c>
      <c r="C807" s="181">
        <v>5.36870912E8</v>
      </c>
      <c r="D807" s="181">
        <v>8.0</v>
      </c>
      <c r="E807" s="181">
        <v>818.41</v>
      </c>
      <c r="F807" s="181">
        <v>655.99</v>
      </c>
      <c r="G807" s="181">
        <v>573.99</v>
      </c>
      <c r="H807" s="828">
        <v>46096.0</v>
      </c>
      <c r="I807" s="829">
        <f t="shared" si="1"/>
        <v>521.9578311</v>
      </c>
      <c r="J807" s="830">
        <f t="shared" si="2"/>
        <v>0.6377705931</v>
      </c>
      <c r="K807" s="830"/>
    </row>
    <row r="808">
      <c r="A808" s="181" t="s">
        <v>523</v>
      </c>
      <c r="B808" s="181" t="s">
        <v>560</v>
      </c>
      <c r="C808" s="181">
        <v>1.073741824E9</v>
      </c>
      <c r="D808" s="181">
        <v>8.0</v>
      </c>
      <c r="E808" s="181">
        <v>1557.58</v>
      </c>
      <c r="F808" s="181">
        <v>689.36</v>
      </c>
      <c r="G808" s="181">
        <v>603.19</v>
      </c>
      <c r="H808" s="828">
        <v>46096.0</v>
      </c>
      <c r="I808" s="829">
        <f t="shared" si="1"/>
        <v>1043.915662</v>
      </c>
      <c r="J808" s="830">
        <f t="shared" si="2"/>
        <v>0.6702164012</v>
      </c>
      <c r="K808" s="830"/>
    </row>
    <row r="809">
      <c r="A809" s="181" t="s">
        <v>523</v>
      </c>
      <c r="B809" s="181" t="s">
        <v>560</v>
      </c>
      <c r="C809" s="181">
        <v>2.147483648E9</v>
      </c>
      <c r="D809" s="181">
        <v>8.0</v>
      </c>
      <c r="E809" s="181">
        <v>2986.55</v>
      </c>
      <c r="F809" s="181">
        <v>719.05</v>
      </c>
      <c r="G809" s="181">
        <v>629.17</v>
      </c>
      <c r="H809" s="828">
        <v>46096.0</v>
      </c>
      <c r="I809" s="829">
        <f t="shared" si="1"/>
        <v>2087.831324</v>
      </c>
      <c r="J809" s="830">
        <f t="shared" si="2"/>
        <v>0.6990779744</v>
      </c>
      <c r="K809" s="830"/>
    </row>
    <row r="810">
      <c r="A810" s="181" t="s">
        <v>523</v>
      </c>
      <c r="B810" s="181" t="s">
        <v>560</v>
      </c>
      <c r="C810" s="181">
        <v>4.294967296E9</v>
      </c>
      <c r="D810" s="181">
        <v>8.0</v>
      </c>
      <c r="E810" s="181">
        <v>5788.14</v>
      </c>
      <c r="F810" s="181">
        <v>742.03</v>
      </c>
      <c r="G810" s="181">
        <v>649.28</v>
      </c>
      <c r="H810" s="828">
        <v>46096.0</v>
      </c>
      <c r="I810" s="829">
        <f t="shared" si="1"/>
        <v>4175.662649</v>
      </c>
      <c r="J810" s="830">
        <f t="shared" si="2"/>
        <v>0.7214170094</v>
      </c>
      <c r="K810" s="830"/>
    </row>
    <row r="811">
      <c r="A811" s="181" t="s">
        <v>523</v>
      </c>
      <c r="B811" s="181" t="s">
        <v>560</v>
      </c>
      <c r="C811" s="181">
        <v>8.589934592E9</v>
      </c>
      <c r="D811" s="181">
        <v>8.0</v>
      </c>
      <c r="E811" s="181">
        <v>11370.1</v>
      </c>
      <c r="F811" s="181">
        <v>755.48</v>
      </c>
      <c r="G811" s="181">
        <v>661.05</v>
      </c>
      <c r="H811" s="828">
        <v>46096.0</v>
      </c>
      <c r="I811" s="829">
        <f t="shared" si="1"/>
        <v>8351.325298</v>
      </c>
      <c r="J811" s="830">
        <f t="shared" si="2"/>
        <v>0.7344988433</v>
      </c>
      <c r="K811" s="830"/>
    </row>
    <row r="812">
      <c r="A812" s="181" t="s">
        <v>523</v>
      </c>
      <c r="B812" s="181" t="s">
        <v>560</v>
      </c>
      <c r="C812" s="181">
        <v>1.7179869184E10</v>
      </c>
      <c r="D812" s="181">
        <v>8.0</v>
      </c>
      <c r="E812" s="181">
        <v>22350.4</v>
      </c>
      <c r="F812" s="181">
        <v>768.66</v>
      </c>
      <c r="G812" s="181">
        <v>672.58</v>
      </c>
      <c r="H812" s="828">
        <v>46096.0</v>
      </c>
      <c r="I812" s="829">
        <f t="shared" si="1"/>
        <v>16702.6506</v>
      </c>
      <c r="J812" s="830">
        <f t="shared" si="2"/>
        <v>0.7473087996</v>
      </c>
      <c r="K812" s="830"/>
    </row>
    <row r="813">
      <c r="A813" s="181" t="s">
        <v>523</v>
      </c>
      <c r="B813" s="181" t="s">
        <v>560</v>
      </c>
      <c r="C813" s="181">
        <v>640.0</v>
      </c>
      <c r="D813" s="181">
        <v>10.0</v>
      </c>
      <c r="E813" s="181">
        <v>22.04</v>
      </c>
      <c r="F813" s="181">
        <v>0.03</v>
      </c>
      <c r="G813" s="181">
        <v>0.03</v>
      </c>
      <c r="H813" s="828">
        <v>46096.0</v>
      </c>
      <c r="I813" s="829">
        <f t="shared" si="1"/>
        <v>0.00064</v>
      </c>
      <c r="J813" s="830">
        <f t="shared" si="2"/>
        <v>0.00002903811252</v>
      </c>
      <c r="K813" s="830"/>
    </row>
    <row r="814">
      <c r="A814" s="181" t="s">
        <v>523</v>
      </c>
      <c r="B814" s="181" t="s">
        <v>560</v>
      </c>
      <c r="C814" s="181">
        <v>1280.0</v>
      </c>
      <c r="D814" s="181">
        <v>10.0</v>
      </c>
      <c r="E814" s="181">
        <v>22.45</v>
      </c>
      <c r="F814" s="181">
        <v>0.06</v>
      </c>
      <c r="G814" s="181">
        <v>0.05</v>
      </c>
      <c r="H814" s="828">
        <v>46096.0</v>
      </c>
      <c r="I814" s="829">
        <f t="shared" si="1"/>
        <v>0.00128</v>
      </c>
      <c r="J814" s="830">
        <f t="shared" si="2"/>
        <v>0.0000570155902</v>
      </c>
      <c r="K814" s="830"/>
    </row>
    <row r="815">
      <c r="A815" s="181" t="s">
        <v>523</v>
      </c>
      <c r="B815" s="181" t="s">
        <v>560</v>
      </c>
      <c r="C815" s="181">
        <v>2560.0</v>
      </c>
      <c r="D815" s="181">
        <v>10.0</v>
      </c>
      <c r="E815" s="181">
        <v>23.22</v>
      </c>
      <c r="F815" s="181">
        <v>0.11</v>
      </c>
      <c r="G815" s="181">
        <v>0.1</v>
      </c>
      <c r="H815" s="828">
        <v>46096.0</v>
      </c>
      <c r="I815" s="829">
        <f t="shared" si="1"/>
        <v>0.00256</v>
      </c>
      <c r="J815" s="830">
        <f t="shared" si="2"/>
        <v>0.0001102497847</v>
      </c>
      <c r="K815" s="830"/>
    </row>
    <row r="816">
      <c r="A816" s="181" t="s">
        <v>523</v>
      </c>
      <c r="B816" s="181" t="s">
        <v>560</v>
      </c>
      <c r="C816" s="181">
        <v>5120.0</v>
      </c>
      <c r="D816" s="181">
        <v>10.0</v>
      </c>
      <c r="E816" s="181">
        <v>23.25</v>
      </c>
      <c r="F816" s="181">
        <v>0.22</v>
      </c>
      <c r="G816" s="181">
        <v>0.2</v>
      </c>
      <c r="H816" s="828">
        <v>46096.0</v>
      </c>
      <c r="I816" s="829">
        <f t="shared" si="1"/>
        <v>0.00512</v>
      </c>
      <c r="J816" s="830">
        <f t="shared" si="2"/>
        <v>0.0002202150538</v>
      </c>
      <c r="K816" s="830"/>
    </row>
    <row r="817">
      <c r="A817" s="181" t="s">
        <v>523</v>
      </c>
      <c r="B817" s="181" t="s">
        <v>560</v>
      </c>
      <c r="C817" s="181">
        <v>10240.0</v>
      </c>
      <c r="D817" s="181">
        <v>10.0</v>
      </c>
      <c r="E817" s="181">
        <v>23.4</v>
      </c>
      <c r="F817" s="181">
        <v>0.44</v>
      </c>
      <c r="G817" s="181">
        <v>0.39</v>
      </c>
      <c r="H817" s="828">
        <v>46096.0</v>
      </c>
      <c r="I817" s="829">
        <f t="shared" si="1"/>
        <v>0.01024</v>
      </c>
      <c r="J817" s="830">
        <f t="shared" si="2"/>
        <v>0.0004376068376</v>
      </c>
      <c r="K817" s="830"/>
    </row>
    <row r="818">
      <c r="A818" s="181" t="s">
        <v>523</v>
      </c>
      <c r="B818" s="181" t="s">
        <v>560</v>
      </c>
      <c r="C818" s="181">
        <v>20480.0</v>
      </c>
      <c r="D818" s="181">
        <v>10.0</v>
      </c>
      <c r="E818" s="181">
        <v>24.28</v>
      </c>
      <c r="F818" s="181">
        <v>0.84</v>
      </c>
      <c r="G818" s="181">
        <v>0.76</v>
      </c>
      <c r="H818" s="828">
        <v>46096.0</v>
      </c>
      <c r="I818" s="829">
        <f t="shared" si="1"/>
        <v>0.02048</v>
      </c>
      <c r="J818" s="830">
        <f t="shared" si="2"/>
        <v>0.0008434925865</v>
      </c>
      <c r="K818" s="830"/>
    </row>
    <row r="819">
      <c r="A819" s="181" t="s">
        <v>523</v>
      </c>
      <c r="B819" s="181" t="s">
        <v>560</v>
      </c>
      <c r="C819" s="181">
        <v>40960.0</v>
      </c>
      <c r="D819" s="181">
        <v>10.0</v>
      </c>
      <c r="E819" s="181">
        <v>24.62</v>
      </c>
      <c r="F819" s="181">
        <v>1.66</v>
      </c>
      <c r="G819" s="181">
        <v>1.5</v>
      </c>
      <c r="H819" s="828">
        <v>46096.0</v>
      </c>
      <c r="I819" s="829">
        <f t="shared" si="1"/>
        <v>0.04096</v>
      </c>
      <c r="J819" s="830">
        <f t="shared" si="2"/>
        <v>0.001663688058</v>
      </c>
      <c r="K819" s="830"/>
    </row>
    <row r="820">
      <c r="A820" s="181" t="s">
        <v>523</v>
      </c>
      <c r="B820" s="181" t="s">
        <v>560</v>
      </c>
      <c r="C820" s="181">
        <v>81920.0</v>
      </c>
      <c r="D820" s="181">
        <v>10.0</v>
      </c>
      <c r="E820" s="181">
        <v>25.29</v>
      </c>
      <c r="F820" s="181">
        <v>3.24</v>
      </c>
      <c r="G820" s="181">
        <v>2.92</v>
      </c>
      <c r="H820" s="828">
        <v>46096.0</v>
      </c>
      <c r="I820" s="829">
        <f t="shared" si="1"/>
        <v>0.08192</v>
      </c>
      <c r="J820" s="830">
        <f t="shared" si="2"/>
        <v>0.00323922499</v>
      </c>
      <c r="K820" s="830"/>
    </row>
    <row r="821">
      <c r="A821" s="181" t="s">
        <v>523</v>
      </c>
      <c r="B821" s="181" t="s">
        <v>560</v>
      </c>
      <c r="C821" s="181">
        <v>163840.0</v>
      </c>
      <c r="D821" s="181">
        <v>10.0</v>
      </c>
      <c r="E821" s="181">
        <v>25.79</v>
      </c>
      <c r="F821" s="181">
        <v>6.35</v>
      </c>
      <c r="G821" s="181">
        <v>5.72</v>
      </c>
      <c r="H821" s="828">
        <v>46096.0</v>
      </c>
      <c r="I821" s="829">
        <f t="shared" si="1"/>
        <v>0.16384</v>
      </c>
      <c r="J821" s="830">
        <f t="shared" si="2"/>
        <v>0.006352849942</v>
      </c>
      <c r="K821" s="830"/>
    </row>
    <row r="822">
      <c r="A822" s="181" t="s">
        <v>523</v>
      </c>
      <c r="B822" s="181" t="s">
        <v>560</v>
      </c>
      <c r="C822" s="181">
        <v>327680.0</v>
      </c>
      <c r="D822" s="181">
        <v>10.0</v>
      </c>
      <c r="E822" s="181">
        <v>25.79</v>
      </c>
      <c r="F822" s="181">
        <v>12.7</v>
      </c>
      <c r="G822" s="181">
        <v>11.43</v>
      </c>
      <c r="H822" s="828">
        <v>46096.0</v>
      </c>
      <c r="I822" s="829">
        <f t="shared" si="1"/>
        <v>0.32768</v>
      </c>
      <c r="J822" s="830">
        <f t="shared" si="2"/>
        <v>0.01270569988</v>
      </c>
      <c r="K822" s="830"/>
    </row>
    <row r="823">
      <c r="A823" s="181" t="s">
        <v>523</v>
      </c>
      <c r="B823" s="181" t="s">
        <v>560</v>
      </c>
      <c r="C823" s="181">
        <v>655360.0</v>
      </c>
      <c r="D823" s="181">
        <v>10.0</v>
      </c>
      <c r="E823" s="181">
        <v>26.39</v>
      </c>
      <c r="F823" s="181">
        <v>24.83</v>
      </c>
      <c r="G823" s="181">
        <v>22.35</v>
      </c>
      <c r="H823" s="828">
        <v>46096.0</v>
      </c>
      <c r="I823" s="829">
        <f t="shared" si="1"/>
        <v>0.65536</v>
      </c>
      <c r="J823" s="830">
        <f t="shared" si="2"/>
        <v>0.02483364911</v>
      </c>
      <c r="K823" s="830"/>
    </row>
    <row r="824">
      <c r="A824" s="181" t="s">
        <v>523</v>
      </c>
      <c r="B824" s="181" t="s">
        <v>560</v>
      </c>
      <c r="C824" s="181">
        <v>1310720.0</v>
      </c>
      <c r="D824" s="181">
        <v>10.0</v>
      </c>
      <c r="E824" s="181">
        <v>26.67</v>
      </c>
      <c r="F824" s="181">
        <v>49.14</v>
      </c>
      <c r="G824" s="181">
        <v>44.23</v>
      </c>
      <c r="H824" s="828">
        <v>46096.0</v>
      </c>
      <c r="I824" s="829">
        <f t="shared" si="1"/>
        <v>1.31072</v>
      </c>
      <c r="J824" s="830">
        <f t="shared" si="2"/>
        <v>0.04914585677</v>
      </c>
      <c r="K824" s="830"/>
    </row>
    <row r="825">
      <c r="A825" s="181" t="s">
        <v>523</v>
      </c>
      <c r="B825" s="181" t="s">
        <v>560</v>
      </c>
      <c r="C825" s="181">
        <v>2621440.0</v>
      </c>
      <c r="D825" s="181">
        <v>10.0</v>
      </c>
      <c r="E825" s="181">
        <v>30.0</v>
      </c>
      <c r="F825" s="181">
        <v>87.37</v>
      </c>
      <c r="G825" s="181">
        <v>78.64</v>
      </c>
      <c r="H825" s="828">
        <v>46096.0</v>
      </c>
      <c r="I825" s="829">
        <f t="shared" si="1"/>
        <v>2.62144</v>
      </c>
      <c r="J825" s="830">
        <f t="shared" si="2"/>
        <v>0.08738133333</v>
      </c>
      <c r="K825" s="830"/>
    </row>
    <row r="826">
      <c r="A826" s="181" t="s">
        <v>523</v>
      </c>
      <c r="B826" s="181" t="s">
        <v>560</v>
      </c>
      <c r="C826" s="181">
        <v>5242880.0</v>
      </c>
      <c r="D826" s="181">
        <v>10.0</v>
      </c>
      <c r="E826" s="181">
        <v>39.56</v>
      </c>
      <c r="F826" s="181">
        <v>132.55</v>
      </c>
      <c r="G826" s="181">
        <v>119.29</v>
      </c>
      <c r="H826" s="828">
        <v>46096.0</v>
      </c>
      <c r="I826" s="829">
        <f t="shared" si="1"/>
        <v>5.24288</v>
      </c>
      <c r="J826" s="830">
        <f t="shared" si="2"/>
        <v>0.1325298281</v>
      </c>
      <c r="K826" s="830"/>
    </row>
    <row r="827">
      <c r="A827" s="181" t="s">
        <v>523</v>
      </c>
      <c r="B827" s="181" t="s">
        <v>560</v>
      </c>
      <c r="C827" s="181">
        <v>1.048576E7</v>
      </c>
      <c r="D827" s="181">
        <v>10.0</v>
      </c>
      <c r="E827" s="181">
        <v>43.42</v>
      </c>
      <c r="F827" s="181">
        <v>241.49</v>
      </c>
      <c r="G827" s="181">
        <v>217.34</v>
      </c>
      <c r="H827" s="828">
        <v>46096.0</v>
      </c>
      <c r="I827" s="829">
        <f t="shared" si="1"/>
        <v>10.48576</v>
      </c>
      <c r="J827" s="830">
        <f t="shared" si="2"/>
        <v>0.2414960848</v>
      </c>
      <c r="K827" s="830"/>
    </row>
    <row r="828">
      <c r="A828" s="181" t="s">
        <v>523</v>
      </c>
      <c r="B828" s="181" t="s">
        <v>560</v>
      </c>
      <c r="C828" s="181">
        <v>2.097152E7</v>
      </c>
      <c r="D828" s="181">
        <v>10.0</v>
      </c>
      <c r="E828" s="181">
        <v>58.59</v>
      </c>
      <c r="F828" s="181">
        <v>357.96</v>
      </c>
      <c r="G828" s="181">
        <v>322.17</v>
      </c>
      <c r="H828" s="828">
        <v>46096.0</v>
      </c>
      <c r="I828" s="829">
        <f t="shared" si="1"/>
        <v>20.97152</v>
      </c>
      <c r="J828" s="830">
        <f t="shared" si="2"/>
        <v>0.3579368493</v>
      </c>
      <c r="K828" s="830"/>
    </row>
    <row r="829">
      <c r="A829" s="181" t="s">
        <v>523</v>
      </c>
      <c r="B829" s="181" t="s">
        <v>560</v>
      </c>
      <c r="C829" s="181">
        <v>4.194304E7</v>
      </c>
      <c r="D829" s="181">
        <v>10.0</v>
      </c>
      <c r="E829" s="181">
        <v>91.73</v>
      </c>
      <c r="F829" s="181">
        <v>457.25</v>
      </c>
      <c r="G829" s="181">
        <v>411.53</v>
      </c>
      <c r="H829" s="828">
        <v>46096.0</v>
      </c>
      <c r="I829" s="829">
        <f t="shared" si="1"/>
        <v>41.94304</v>
      </c>
      <c r="J829" s="830">
        <f t="shared" si="2"/>
        <v>0.457244522</v>
      </c>
      <c r="K829" s="830"/>
    </row>
    <row r="830">
      <c r="A830" s="181" t="s">
        <v>523</v>
      </c>
      <c r="B830" s="181" t="s">
        <v>560</v>
      </c>
      <c r="C830" s="181">
        <v>8.388608E7</v>
      </c>
      <c r="D830" s="181">
        <v>10.0</v>
      </c>
      <c r="E830" s="181">
        <v>226.65</v>
      </c>
      <c r="F830" s="181">
        <v>370.11</v>
      </c>
      <c r="G830" s="181">
        <v>333.1</v>
      </c>
      <c r="H830" s="828">
        <v>46096.0</v>
      </c>
      <c r="I830" s="829">
        <f t="shared" si="1"/>
        <v>83.88608</v>
      </c>
      <c r="J830" s="830">
        <f t="shared" si="2"/>
        <v>0.3701128612</v>
      </c>
      <c r="K830" s="830"/>
    </row>
    <row r="831">
      <c r="A831" s="181" t="s">
        <v>523</v>
      </c>
      <c r="B831" s="181" t="s">
        <v>560</v>
      </c>
      <c r="C831" s="181">
        <v>1.6777216E8</v>
      </c>
      <c r="D831" s="181">
        <v>10.0</v>
      </c>
      <c r="E831" s="181">
        <v>268.99</v>
      </c>
      <c r="F831" s="181">
        <v>623.71</v>
      </c>
      <c r="G831" s="181">
        <v>561.34</v>
      </c>
      <c r="H831" s="828">
        <v>46096.0</v>
      </c>
      <c r="I831" s="829">
        <f t="shared" si="1"/>
        <v>167.77216</v>
      </c>
      <c r="J831" s="830">
        <f t="shared" si="2"/>
        <v>0.6237115134</v>
      </c>
      <c r="K831" s="830"/>
    </row>
    <row r="832">
      <c r="A832" s="181" t="s">
        <v>523</v>
      </c>
      <c r="B832" s="181" t="s">
        <v>560</v>
      </c>
      <c r="C832" s="181">
        <v>3.3554432E8</v>
      </c>
      <c r="D832" s="181">
        <v>10.0</v>
      </c>
      <c r="E832" s="181">
        <v>521.25</v>
      </c>
      <c r="F832" s="181">
        <v>643.73</v>
      </c>
      <c r="G832" s="181">
        <v>579.36</v>
      </c>
      <c r="H832" s="828">
        <v>46096.0</v>
      </c>
      <c r="I832" s="829">
        <f t="shared" si="1"/>
        <v>335.54432</v>
      </c>
      <c r="J832" s="830">
        <f t="shared" si="2"/>
        <v>0.6437301103</v>
      </c>
      <c r="K832" s="830"/>
    </row>
    <row r="833">
      <c r="A833" s="181" t="s">
        <v>523</v>
      </c>
      <c r="B833" s="181" t="s">
        <v>560</v>
      </c>
      <c r="C833" s="181">
        <v>6.7108864E8</v>
      </c>
      <c r="D833" s="181">
        <v>10.0</v>
      </c>
      <c r="E833" s="181">
        <v>1076.41</v>
      </c>
      <c r="F833" s="181">
        <v>623.45</v>
      </c>
      <c r="G833" s="181">
        <v>561.1</v>
      </c>
      <c r="H833" s="828">
        <v>46096.0</v>
      </c>
      <c r="I833" s="829">
        <f t="shared" si="1"/>
        <v>671.08864</v>
      </c>
      <c r="J833" s="830">
        <f t="shared" si="2"/>
        <v>0.6234507669</v>
      </c>
      <c r="K833" s="830"/>
    </row>
    <row r="834">
      <c r="A834" s="181" t="s">
        <v>523</v>
      </c>
      <c r="B834" s="181" t="s">
        <v>560</v>
      </c>
      <c r="C834" s="181">
        <v>1.34217728E9</v>
      </c>
      <c r="D834" s="181">
        <v>10.0</v>
      </c>
      <c r="E834" s="181">
        <v>1988.34</v>
      </c>
      <c r="F834" s="181">
        <v>675.02</v>
      </c>
      <c r="G834" s="181">
        <v>607.52</v>
      </c>
      <c r="H834" s="828">
        <v>46096.0</v>
      </c>
      <c r="I834" s="829">
        <f t="shared" si="1"/>
        <v>1342.17728</v>
      </c>
      <c r="J834" s="830">
        <f t="shared" si="2"/>
        <v>0.6750240301</v>
      </c>
      <c r="K834" s="830"/>
    </row>
    <row r="835">
      <c r="A835" s="181" t="s">
        <v>523</v>
      </c>
      <c r="B835" s="181" t="s">
        <v>560</v>
      </c>
      <c r="C835" s="181">
        <v>2.68435456E9</v>
      </c>
      <c r="D835" s="181">
        <v>10.0</v>
      </c>
      <c r="E835" s="181">
        <v>3790.52</v>
      </c>
      <c r="F835" s="181">
        <v>708.18</v>
      </c>
      <c r="G835" s="181">
        <v>637.36</v>
      </c>
      <c r="H835" s="828">
        <v>46096.0</v>
      </c>
      <c r="I835" s="829">
        <f t="shared" si="1"/>
        <v>2684.35456</v>
      </c>
      <c r="J835" s="830">
        <f t="shared" si="2"/>
        <v>0.708175807</v>
      </c>
      <c r="K835" s="830"/>
    </row>
    <row r="836">
      <c r="A836" s="181" t="s">
        <v>523</v>
      </c>
      <c r="B836" s="181" t="s">
        <v>560</v>
      </c>
      <c r="C836" s="181">
        <v>5.36870912E9</v>
      </c>
      <c r="D836" s="181">
        <v>10.0</v>
      </c>
      <c r="E836" s="181">
        <v>7323.45</v>
      </c>
      <c r="F836" s="181">
        <v>733.09</v>
      </c>
      <c r="G836" s="181">
        <v>659.78</v>
      </c>
      <c r="H836" s="828">
        <v>46096.0</v>
      </c>
      <c r="I836" s="829">
        <f t="shared" si="1"/>
        <v>5368.70912</v>
      </c>
      <c r="J836" s="830">
        <f t="shared" si="2"/>
        <v>0.7330846964</v>
      </c>
      <c r="K836" s="830"/>
    </row>
    <row r="837">
      <c r="A837" s="181" t="s">
        <v>523</v>
      </c>
      <c r="B837" s="181" t="s">
        <v>560</v>
      </c>
      <c r="C837" s="181">
        <v>1.073741824E10</v>
      </c>
      <c r="D837" s="181">
        <v>10.0</v>
      </c>
      <c r="E837" s="181">
        <v>14430.8</v>
      </c>
      <c r="F837" s="181">
        <v>744.06</v>
      </c>
      <c r="G837" s="181">
        <v>669.66</v>
      </c>
      <c r="H837" s="828">
        <v>46096.0</v>
      </c>
      <c r="I837" s="829">
        <f t="shared" si="1"/>
        <v>10737.41824</v>
      </c>
      <c r="J837" s="830">
        <f t="shared" si="2"/>
        <v>0.7440625773</v>
      </c>
      <c r="K837" s="830"/>
    </row>
    <row r="838">
      <c r="A838" s="181" t="s">
        <v>523</v>
      </c>
      <c r="B838" s="181" t="s">
        <v>560</v>
      </c>
      <c r="C838" s="181">
        <v>768.0</v>
      </c>
      <c r="D838" s="181">
        <v>12.0</v>
      </c>
      <c r="E838" s="181">
        <v>26.16</v>
      </c>
      <c r="F838" s="181">
        <v>0.03</v>
      </c>
      <c r="G838" s="181">
        <v>0.03</v>
      </c>
      <c r="H838" s="828">
        <v>46096.0</v>
      </c>
      <c r="I838" s="829">
        <f t="shared" si="1"/>
        <v>0.0007822222222</v>
      </c>
      <c r="J838" s="830">
        <f t="shared" si="2"/>
        <v>0.00002990146109</v>
      </c>
      <c r="K838" s="830"/>
    </row>
    <row r="839">
      <c r="A839" s="181" t="s">
        <v>523</v>
      </c>
      <c r="B839" s="181" t="s">
        <v>560</v>
      </c>
      <c r="C839" s="181">
        <v>1536.0</v>
      </c>
      <c r="D839" s="181">
        <v>12.0</v>
      </c>
      <c r="E839" s="181">
        <v>26.08</v>
      </c>
      <c r="F839" s="181">
        <v>0.06</v>
      </c>
      <c r="G839" s="181">
        <v>0.05</v>
      </c>
      <c r="H839" s="828">
        <v>46096.0</v>
      </c>
      <c r="I839" s="829">
        <f t="shared" si="1"/>
        <v>0.001564444444</v>
      </c>
      <c r="J839" s="830">
        <f t="shared" si="2"/>
        <v>0.00005998636673</v>
      </c>
      <c r="K839" s="830"/>
    </row>
    <row r="840">
      <c r="A840" s="181" t="s">
        <v>523</v>
      </c>
      <c r="B840" s="181" t="s">
        <v>560</v>
      </c>
      <c r="C840" s="181">
        <v>3072.0</v>
      </c>
      <c r="D840" s="181">
        <v>12.0</v>
      </c>
      <c r="E840" s="181">
        <v>26.32</v>
      </c>
      <c r="F840" s="181">
        <v>0.12</v>
      </c>
      <c r="G840" s="181">
        <v>0.11</v>
      </c>
      <c r="H840" s="828">
        <v>46096.0</v>
      </c>
      <c r="I840" s="829">
        <f t="shared" si="1"/>
        <v>0.003128888889</v>
      </c>
      <c r="J840" s="830">
        <f t="shared" si="2"/>
        <v>0.0001188787572</v>
      </c>
      <c r="K840" s="830"/>
    </row>
    <row r="841">
      <c r="A841" s="181" t="s">
        <v>523</v>
      </c>
      <c r="B841" s="181" t="s">
        <v>560</v>
      </c>
      <c r="C841" s="181">
        <v>6144.0</v>
      </c>
      <c r="D841" s="181">
        <v>12.0</v>
      </c>
      <c r="E841" s="181">
        <v>26.87</v>
      </c>
      <c r="F841" s="181">
        <v>0.23</v>
      </c>
      <c r="G841" s="181">
        <v>0.21</v>
      </c>
      <c r="H841" s="828">
        <v>46096.0</v>
      </c>
      <c r="I841" s="829">
        <f t="shared" si="1"/>
        <v>0.006257777778</v>
      </c>
      <c r="J841" s="830">
        <f t="shared" si="2"/>
        <v>0.0002328908738</v>
      </c>
      <c r="K841" s="830"/>
    </row>
    <row r="842">
      <c r="A842" s="181" t="s">
        <v>523</v>
      </c>
      <c r="B842" s="181" t="s">
        <v>560</v>
      </c>
      <c r="C842" s="181">
        <v>12288.0</v>
      </c>
      <c r="D842" s="181">
        <v>12.0</v>
      </c>
      <c r="E842" s="181">
        <v>27.05</v>
      </c>
      <c r="F842" s="181">
        <v>0.45</v>
      </c>
      <c r="G842" s="181">
        <v>0.42</v>
      </c>
      <c r="H842" s="828">
        <v>46096.0</v>
      </c>
      <c r="I842" s="829">
        <f t="shared" si="1"/>
        <v>0.01251555556</v>
      </c>
      <c r="J842" s="830">
        <f t="shared" si="2"/>
        <v>0.0004626822756</v>
      </c>
      <c r="K842" s="830"/>
    </row>
    <row r="843">
      <c r="A843" s="181" t="s">
        <v>523</v>
      </c>
      <c r="B843" s="181" t="s">
        <v>560</v>
      </c>
      <c r="C843" s="181">
        <v>24576.0</v>
      </c>
      <c r="D843" s="181">
        <v>12.0</v>
      </c>
      <c r="E843" s="181">
        <v>27.24</v>
      </c>
      <c r="F843" s="181">
        <v>0.9</v>
      </c>
      <c r="G843" s="181">
        <v>0.83</v>
      </c>
      <c r="H843" s="828">
        <v>46096.0</v>
      </c>
      <c r="I843" s="829">
        <f t="shared" si="1"/>
        <v>0.02503111111</v>
      </c>
      <c r="J843" s="830">
        <f t="shared" si="2"/>
        <v>0.0009189100995</v>
      </c>
      <c r="K843" s="830"/>
    </row>
    <row r="844">
      <c r="A844" s="181" t="s">
        <v>523</v>
      </c>
      <c r="B844" s="181" t="s">
        <v>560</v>
      </c>
      <c r="C844" s="181">
        <v>49152.0</v>
      </c>
      <c r="D844" s="181">
        <v>12.0</v>
      </c>
      <c r="E844" s="181">
        <v>27.8</v>
      </c>
      <c r="F844" s="181">
        <v>1.77</v>
      </c>
      <c r="G844" s="181">
        <v>1.62</v>
      </c>
      <c r="H844" s="828">
        <v>46096.0</v>
      </c>
      <c r="I844" s="829">
        <f t="shared" si="1"/>
        <v>0.05006222222</v>
      </c>
      <c r="J844" s="830">
        <f t="shared" si="2"/>
        <v>0.001800799361</v>
      </c>
      <c r="K844" s="830"/>
    </row>
    <row r="845">
      <c r="A845" s="181" t="s">
        <v>523</v>
      </c>
      <c r="B845" s="181" t="s">
        <v>560</v>
      </c>
      <c r="C845" s="181">
        <v>98304.0</v>
      </c>
      <c r="D845" s="181">
        <v>12.0</v>
      </c>
      <c r="E845" s="181">
        <v>28.2</v>
      </c>
      <c r="F845" s="181">
        <v>3.49</v>
      </c>
      <c r="G845" s="181">
        <v>3.19</v>
      </c>
      <c r="H845" s="828">
        <v>46096.0</v>
      </c>
      <c r="I845" s="829">
        <f t="shared" si="1"/>
        <v>0.1001244444</v>
      </c>
      <c r="J845" s="830">
        <f t="shared" si="2"/>
        <v>0.003550512214</v>
      </c>
      <c r="K845" s="830"/>
    </row>
    <row r="846">
      <c r="A846" s="181" t="s">
        <v>523</v>
      </c>
      <c r="B846" s="181" t="s">
        <v>560</v>
      </c>
      <c r="C846" s="181">
        <v>196608.0</v>
      </c>
      <c r="D846" s="181">
        <v>12.0</v>
      </c>
      <c r="E846" s="181">
        <v>28.92</v>
      </c>
      <c r="F846" s="181">
        <v>6.8</v>
      </c>
      <c r="G846" s="181">
        <v>6.23</v>
      </c>
      <c r="H846" s="828">
        <v>46096.0</v>
      </c>
      <c r="I846" s="829">
        <f t="shared" si="1"/>
        <v>0.2002488889</v>
      </c>
      <c r="J846" s="830">
        <f t="shared" si="2"/>
        <v>0.006924235439</v>
      </c>
      <c r="K846" s="830"/>
    </row>
    <row r="847">
      <c r="A847" s="181" t="s">
        <v>523</v>
      </c>
      <c r="B847" s="181" t="s">
        <v>560</v>
      </c>
      <c r="C847" s="181">
        <v>393216.0</v>
      </c>
      <c r="D847" s="181">
        <v>12.0</v>
      </c>
      <c r="E847" s="181">
        <v>31.33</v>
      </c>
      <c r="F847" s="181">
        <v>12.55</v>
      </c>
      <c r="G847" s="181">
        <v>11.51</v>
      </c>
      <c r="H847" s="828">
        <v>46096.0</v>
      </c>
      <c r="I847" s="829">
        <f t="shared" si="1"/>
        <v>0.4004977778</v>
      </c>
      <c r="J847" s="830">
        <f t="shared" si="2"/>
        <v>0.01278320389</v>
      </c>
      <c r="K847" s="830"/>
    </row>
    <row r="848">
      <c r="A848" s="181" t="s">
        <v>523</v>
      </c>
      <c r="B848" s="181" t="s">
        <v>560</v>
      </c>
      <c r="C848" s="181">
        <v>786432.0</v>
      </c>
      <c r="D848" s="181">
        <v>12.0</v>
      </c>
      <c r="E848" s="181">
        <v>29.19</v>
      </c>
      <c r="F848" s="181">
        <v>26.94</v>
      </c>
      <c r="G848" s="181">
        <v>24.69</v>
      </c>
      <c r="H848" s="828">
        <v>46096.0</v>
      </c>
      <c r="I848" s="829">
        <f t="shared" si="1"/>
        <v>0.8009955556</v>
      </c>
      <c r="J848" s="830">
        <f t="shared" si="2"/>
        <v>0.02744075216</v>
      </c>
      <c r="K848" s="830"/>
    </row>
    <row r="849">
      <c r="A849" s="181" t="s">
        <v>523</v>
      </c>
      <c r="B849" s="181" t="s">
        <v>560</v>
      </c>
      <c r="C849" s="181">
        <v>1572864.0</v>
      </c>
      <c r="D849" s="181">
        <v>12.0</v>
      </c>
      <c r="E849" s="181">
        <v>30.29</v>
      </c>
      <c r="F849" s="181">
        <v>51.92</v>
      </c>
      <c r="G849" s="181">
        <v>47.59</v>
      </c>
      <c r="H849" s="828">
        <v>46096.0</v>
      </c>
      <c r="I849" s="829">
        <f t="shared" si="1"/>
        <v>1.601991111</v>
      </c>
      <c r="J849" s="830">
        <f t="shared" si="2"/>
        <v>0.0528884487</v>
      </c>
      <c r="K849" s="830"/>
    </row>
    <row r="850">
      <c r="A850" s="181" t="s">
        <v>523</v>
      </c>
      <c r="B850" s="181" t="s">
        <v>560</v>
      </c>
      <c r="C850" s="181">
        <v>3145728.0</v>
      </c>
      <c r="D850" s="181">
        <v>12.0</v>
      </c>
      <c r="E850" s="181">
        <v>34.12</v>
      </c>
      <c r="F850" s="181">
        <v>92.2</v>
      </c>
      <c r="G850" s="181">
        <v>84.51</v>
      </c>
      <c r="H850" s="828">
        <v>46096.0</v>
      </c>
      <c r="I850" s="829">
        <f t="shared" si="1"/>
        <v>3.203982222</v>
      </c>
      <c r="J850" s="830">
        <f t="shared" si="2"/>
        <v>0.09390334766</v>
      </c>
      <c r="K850" s="830"/>
    </row>
    <row r="851">
      <c r="A851" s="181" t="s">
        <v>523</v>
      </c>
      <c r="B851" s="181" t="s">
        <v>560</v>
      </c>
      <c r="C851" s="181">
        <v>6291456.0</v>
      </c>
      <c r="D851" s="181">
        <v>12.0</v>
      </c>
      <c r="E851" s="181">
        <v>49.17</v>
      </c>
      <c r="F851" s="181">
        <v>127.96</v>
      </c>
      <c r="G851" s="181">
        <v>117.29</v>
      </c>
      <c r="H851" s="828">
        <v>46096.0</v>
      </c>
      <c r="I851" s="829">
        <f t="shared" si="1"/>
        <v>6.407964444</v>
      </c>
      <c r="J851" s="830">
        <f t="shared" si="2"/>
        <v>0.1303226448</v>
      </c>
      <c r="K851" s="830"/>
    </row>
    <row r="852">
      <c r="A852" s="181" t="s">
        <v>523</v>
      </c>
      <c r="B852" s="181" t="s">
        <v>560</v>
      </c>
      <c r="C852" s="181">
        <v>1.2582912E7</v>
      </c>
      <c r="D852" s="181">
        <v>12.0</v>
      </c>
      <c r="E852" s="181">
        <v>49.27</v>
      </c>
      <c r="F852" s="181">
        <v>255.39</v>
      </c>
      <c r="G852" s="181">
        <v>234.11</v>
      </c>
      <c r="H852" s="828">
        <v>46096.0</v>
      </c>
      <c r="I852" s="829">
        <f t="shared" si="1"/>
        <v>12.81592889</v>
      </c>
      <c r="J852" s="830">
        <f t="shared" si="2"/>
        <v>0.2601162754</v>
      </c>
      <c r="K852" s="830"/>
    </row>
    <row r="853">
      <c r="A853" s="181" t="s">
        <v>523</v>
      </c>
      <c r="B853" s="181" t="s">
        <v>560</v>
      </c>
      <c r="C853" s="181">
        <v>2.5165824E7</v>
      </c>
      <c r="D853" s="181">
        <v>12.0</v>
      </c>
      <c r="E853" s="181">
        <v>68.34</v>
      </c>
      <c r="F853" s="181">
        <v>368.27</v>
      </c>
      <c r="G853" s="181">
        <v>337.58</v>
      </c>
      <c r="H853" s="828">
        <v>46096.0</v>
      </c>
      <c r="I853" s="829">
        <f t="shared" si="1"/>
        <v>25.63185778</v>
      </c>
      <c r="J853" s="830">
        <f t="shared" si="2"/>
        <v>0.3750637661</v>
      </c>
      <c r="K853" s="830"/>
    </row>
    <row r="854">
      <c r="A854" s="181" t="s">
        <v>523</v>
      </c>
      <c r="B854" s="181" t="s">
        <v>560</v>
      </c>
      <c r="C854" s="181">
        <v>5.0331648E7</v>
      </c>
      <c r="D854" s="181">
        <v>12.0</v>
      </c>
      <c r="E854" s="181">
        <v>107.45</v>
      </c>
      <c r="F854" s="181">
        <v>468.41</v>
      </c>
      <c r="G854" s="181">
        <v>429.38</v>
      </c>
      <c r="H854" s="828">
        <v>46096.0</v>
      </c>
      <c r="I854" s="829">
        <f t="shared" si="1"/>
        <v>51.26371556</v>
      </c>
      <c r="J854" s="830">
        <f t="shared" si="2"/>
        <v>0.4770936766</v>
      </c>
      <c r="K854" s="830"/>
    </row>
    <row r="855">
      <c r="A855" s="181" t="s">
        <v>523</v>
      </c>
      <c r="B855" s="181" t="s">
        <v>560</v>
      </c>
      <c r="C855" s="181">
        <v>1.00663296E8</v>
      </c>
      <c r="D855" s="181">
        <v>12.0</v>
      </c>
      <c r="E855" s="181">
        <v>273.48</v>
      </c>
      <c r="F855" s="181">
        <v>368.08</v>
      </c>
      <c r="G855" s="181">
        <v>337.41</v>
      </c>
      <c r="H855" s="828">
        <v>46096.0</v>
      </c>
      <c r="I855" s="829">
        <f t="shared" si="1"/>
        <v>102.5274311</v>
      </c>
      <c r="J855" s="830">
        <f t="shared" si="2"/>
        <v>0.3748991923</v>
      </c>
      <c r="K855" s="830"/>
    </row>
    <row r="856">
      <c r="A856" s="181" t="s">
        <v>523</v>
      </c>
      <c r="B856" s="181" t="s">
        <v>560</v>
      </c>
      <c r="C856" s="181">
        <v>2.01326592E8</v>
      </c>
      <c r="D856" s="181">
        <v>12.0</v>
      </c>
      <c r="E856" s="181">
        <v>318.33</v>
      </c>
      <c r="F856" s="181">
        <v>632.44</v>
      </c>
      <c r="G856" s="181">
        <v>579.73</v>
      </c>
      <c r="H856" s="828">
        <v>46096.0</v>
      </c>
      <c r="I856" s="829">
        <f t="shared" si="1"/>
        <v>205.0548622</v>
      </c>
      <c r="J856" s="830">
        <f t="shared" si="2"/>
        <v>0.6441581448</v>
      </c>
      <c r="K856" s="830"/>
    </row>
    <row r="857">
      <c r="A857" s="181" t="s">
        <v>523</v>
      </c>
      <c r="B857" s="181" t="s">
        <v>560</v>
      </c>
      <c r="C857" s="181">
        <v>4.02653184E8</v>
      </c>
      <c r="D857" s="181">
        <v>12.0</v>
      </c>
      <c r="E857" s="181">
        <v>613.63</v>
      </c>
      <c r="F857" s="181">
        <v>656.19</v>
      </c>
      <c r="G857" s="181">
        <v>601.51</v>
      </c>
      <c r="H857" s="828">
        <v>46096.0</v>
      </c>
      <c r="I857" s="829">
        <f t="shared" si="1"/>
        <v>410.1097244</v>
      </c>
      <c r="J857" s="830">
        <f t="shared" si="2"/>
        <v>0.6683338892</v>
      </c>
      <c r="K857" s="830"/>
    </row>
    <row r="858">
      <c r="A858" s="181" t="s">
        <v>523</v>
      </c>
      <c r="B858" s="181" t="s">
        <v>560</v>
      </c>
      <c r="C858" s="181">
        <v>8.05306368E8</v>
      </c>
      <c r="D858" s="181">
        <v>12.0</v>
      </c>
      <c r="E858" s="181">
        <v>1287.74</v>
      </c>
      <c r="F858" s="181">
        <v>625.36</v>
      </c>
      <c r="G858" s="181">
        <v>573.25</v>
      </c>
      <c r="H858" s="828">
        <v>46096.0</v>
      </c>
      <c r="I858" s="829">
        <f t="shared" si="1"/>
        <v>820.2194489</v>
      </c>
      <c r="J858" s="830">
        <f t="shared" si="2"/>
        <v>0.6369449181</v>
      </c>
      <c r="K858" s="830"/>
    </row>
    <row r="859">
      <c r="A859" s="181" t="s">
        <v>523</v>
      </c>
      <c r="B859" s="181" t="s">
        <v>560</v>
      </c>
      <c r="C859" s="181">
        <v>1.610612736E9</v>
      </c>
      <c r="D859" s="181">
        <v>12.0</v>
      </c>
      <c r="E859" s="181">
        <v>2379.22</v>
      </c>
      <c r="F859" s="181">
        <v>676.95</v>
      </c>
      <c r="G859" s="181">
        <v>620.54</v>
      </c>
      <c r="H859" s="828">
        <v>46096.0</v>
      </c>
      <c r="I859" s="829">
        <f t="shared" si="1"/>
        <v>1640.438898</v>
      </c>
      <c r="J859" s="830">
        <f t="shared" si="2"/>
        <v>0.6894860071</v>
      </c>
      <c r="K859" s="830"/>
    </row>
    <row r="860">
      <c r="A860" s="181" t="s">
        <v>523</v>
      </c>
      <c r="B860" s="181" t="s">
        <v>560</v>
      </c>
      <c r="C860" s="181">
        <v>3.221225472E9</v>
      </c>
      <c r="D860" s="181">
        <v>12.0</v>
      </c>
      <c r="E860" s="181">
        <v>4515.21</v>
      </c>
      <c r="F860" s="181">
        <v>713.42</v>
      </c>
      <c r="G860" s="181">
        <v>653.97</v>
      </c>
      <c r="H860" s="828">
        <v>46096.0</v>
      </c>
      <c r="I860" s="829">
        <f t="shared" si="1"/>
        <v>3280.877796</v>
      </c>
      <c r="J860" s="830">
        <f t="shared" si="2"/>
        <v>0.7266279521</v>
      </c>
      <c r="K860" s="830"/>
    </row>
    <row r="861">
      <c r="A861" s="181" t="s">
        <v>523</v>
      </c>
      <c r="B861" s="181" t="s">
        <v>560</v>
      </c>
      <c r="C861" s="181">
        <v>6.442450944E9</v>
      </c>
      <c r="D861" s="181">
        <v>12.0</v>
      </c>
      <c r="E861" s="181">
        <v>8840.56</v>
      </c>
      <c r="F861" s="181">
        <v>728.74</v>
      </c>
      <c r="G861" s="181">
        <v>668.01</v>
      </c>
      <c r="H861" s="828">
        <v>46096.0</v>
      </c>
      <c r="I861" s="829">
        <f t="shared" si="1"/>
        <v>6561.755591</v>
      </c>
      <c r="J861" s="830">
        <f t="shared" si="2"/>
        <v>0.742233025</v>
      </c>
      <c r="K861" s="830"/>
    </row>
    <row r="862">
      <c r="A862" s="181" t="s">
        <v>523</v>
      </c>
      <c r="B862" s="181" t="s">
        <v>560</v>
      </c>
      <c r="C862" s="181">
        <v>1.2884901888E10</v>
      </c>
      <c r="D862" s="181">
        <v>12.0</v>
      </c>
      <c r="E862" s="181">
        <v>17424.4</v>
      </c>
      <c r="F862" s="181">
        <v>739.47</v>
      </c>
      <c r="G862" s="181">
        <v>677.85</v>
      </c>
      <c r="H862" s="828">
        <v>46096.0</v>
      </c>
      <c r="I862" s="829">
        <f t="shared" si="1"/>
        <v>13123.51118</v>
      </c>
      <c r="J862" s="830">
        <f t="shared" si="2"/>
        <v>0.7531686131</v>
      </c>
      <c r="K862" s="830"/>
    </row>
    <row r="863">
      <c r="A863" s="181" t="s">
        <v>523</v>
      </c>
      <c r="B863" s="181" t="s">
        <v>560</v>
      </c>
      <c r="C863" s="181">
        <v>896.0</v>
      </c>
      <c r="D863" s="181">
        <v>14.0</v>
      </c>
      <c r="E863" s="181">
        <v>28.27</v>
      </c>
      <c r="F863" s="181">
        <v>0.03</v>
      </c>
      <c r="G863" s="181">
        <v>0.03</v>
      </c>
      <c r="H863" s="828">
        <v>46096.0</v>
      </c>
      <c r="I863" s="829">
        <f t="shared" si="1"/>
        <v>0.0009244444444</v>
      </c>
      <c r="J863" s="830">
        <f t="shared" si="2"/>
        <v>0.00003270054632</v>
      </c>
      <c r="K863" s="830"/>
    </row>
    <row r="864">
      <c r="A864" s="181" t="s">
        <v>523</v>
      </c>
      <c r="B864" s="181" t="s">
        <v>560</v>
      </c>
      <c r="C864" s="181">
        <v>1792.0</v>
      </c>
      <c r="D864" s="181">
        <v>14.0</v>
      </c>
      <c r="E864" s="181">
        <v>27.82</v>
      </c>
      <c r="F864" s="181">
        <v>0.06</v>
      </c>
      <c r="G864" s="181">
        <v>0.06</v>
      </c>
      <c r="H864" s="828">
        <v>46096.0</v>
      </c>
      <c r="I864" s="829">
        <f t="shared" si="1"/>
        <v>0.001848888889</v>
      </c>
      <c r="J864" s="830">
        <f t="shared" si="2"/>
        <v>0.00006645898235</v>
      </c>
      <c r="K864" s="830"/>
    </row>
    <row r="865">
      <c r="A865" s="181" t="s">
        <v>523</v>
      </c>
      <c r="B865" s="181" t="s">
        <v>560</v>
      </c>
      <c r="C865" s="181">
        <v>3584.0</v>
      </c>
      <c r="D865" s="181">
        <v>14.0</v>
      </c>
      <c r="E865" s="181">
        <v>28.54</v>
      </c>
      <c r="F865" s="181">
        <v>0.13</v>
      </c>
      <c r="G865" s="181">
        <v>0.12</v>
      </c>
      <c r="H865" s="828">
        <v>46096.0</v>
      </c>
      <c r="I865" s="829">
        <f t="shared" si="1"/>
        <v>0.003697777778</v>
      </c>
      <c r="J865" s="830">
        <f t="shared" si="2"/>
        <v>0.0001295647434</v>
      </c>
      <c r="K865" s="830"/>
    </row>
    <row r="866">
      <c r="A866" s="181" t="s">
        <v>523</v>
      </c>
      <c r="B866" s="181" t="s">
        <v>560</v>
      </c>
      <c r="C866" s="181">
        <v>7168.0</v>
      </c>
      <c r="D866" s="181">
        <v>14.0</v>
      </c>
      <c r="E866" s="181">
        <v>28.95</v>
      </c>
      <c r="F866" s="181">
        <v>0.25</v>
      </c>
      <c r="G866" s="181">
        <v>0.23</v>
      </c>
      <c r="H866" s="828">
        <v>46096.0</v>
      </c>
      <c r="I866" s="829">
        <f t="shared" si="1"/>
        <v>0.007395555556</v>
      </c>
      <c r="J866" s="830">
        <f t="shared" si="2"/>
        <v>0.0002554596047</v>
      </c>
      <c r="K866" s="830"/>
    </row>
    <row r="867">
      <c r="A867" s="181" t="s">
        <v>523</v>
      </c>
      <c r="B867" s="181" t="s">
        <v>560</v>
      </c>
      <c r="C867" s="181">
        <v>14336.0</v>
      </c>
      <c r="D867" s="181">
        <v>14.0</v>
      </c>
      <c r="E867" s="181">
        <v>29.34</v>
      </c>
      <c r="F867" s="181">
        <v>0.49</v>
      </c>
      <c r="G867" s="181">
        <v>0.45</v>
      </c>
      <c r="H867" s="828">
        <v>46096.0</v>
      </c>
      <c r="I867" s="829">
        <f t="shared" si="1"/>
        <v>0.01479111111</v>
      </c>
      <c r="J867" s="830">
        <f t="shared" si="2"/>
        <v>0.0005041278497</v>
      </c>
      <c r="K867" s="830"/>
    </row>
    <row r="868">
      <c r="A868" s="181" t="s">
        <v>523</v>
      </c>
      <c r="B868" s="181" t="s">
        <v>560</v>
      </c>
      <c r="C868" s="181">
        <v>28672.0</v>
      </c>
      <c r="D868" s="181">
        <v>14.0</v>
      </c>
      <c r="E868" s="181">
        <v>29.09</v>
      </c>
      <c r="F868" s="181">
        <v>0.99</v>
      </c>
      <c r="G868" s="181">
        <v>0.92</v>
      </c>
      <c r="H868" s="828">
        <v>46096.0</v>
      </c>
      <c r="I868" s="829">
        <f t="shared" si="1"/>
        <v>0.02958222222</v>
      </c>
      <c r="J868" s="830">
        <f t="shared" si="2"/>
        <v>0.001016920668</v>
      </c>
      <c r="K868" s="830"/>
    </row>
    <row r="869">
      <c r="A869" s="181" t="s">
        <v>523</v>
      </c>
      <c r="B869" s="181" t="s">
        <v>560</v>
      </c>
      <c r="C869" s="181">
        <v>57344.0</v>
      </c>
      <c r="D869" s="181">
        <v>14.0</v>
      </c>
      <c r="E869" s="181">
        <v>30.25</v>
      </c>
      <c r="F869" s="181">
        <v>1.9</v>
      </c>
      <c r="G869" s="181">
        <v>1.76</v>
      </c>
      <c r="H869" s="828">
        <v>46096.0</v>
      </c>
      <c r="I869" s="829">
        <f t="shared" si="1"/>
        <v>0.05916444444</v>
      </c>
      <c r="J869" s="830">
        <f t="shared" si="2"/>
        <v>0.001955849403</v>
      </c>
      <c r="K869" s="830"/>
    </row>
    <row r="870">
      <c r="A870" s="181" t="s">
        <v>523</v>
      </c>
      <c r="B870" s="181" t="s">
        <v>560</v>
      </c>
      <c r="C870" s="181">
        <v>114688.0</v>
      </c>
      <c r="D870" s="181">
        <v>14.0</v>
      </c>
      <c r="E870" s="181">
        <v>32.1</v>
      </c>
      <c r="F870" s="181">
        <v>3.57</v>
      </c>
      <c r="G870" s="181">
        <v>3.32</v>
      </c>
      <c r="H870" s="828">
        <v>46096.0</v>
      </c>
      <c r="I870" s="829">
        <f t="shared" si="1"/>
        <v>0.1183288889</v>
      </c>
      <c r="J870" s="830">
        <f t="shared" si="2"/>
        <v>0.003686258221</v>
      </c>
      <c r="K870" s="830"/>
    </row>
    <row r="871">
      <c r="A871" s="181" t="s">
        <v>523</v>
      </c>
      <c r="B871" s="181" t="s">
        <v>560</v>
      </c>
      <c r="C871" s="181">
        <v>229376.0</v>
      </c>
      <c r="D871" s="181">
        <v>14.0</v>
      </c>
      <c r="E871" s="181">
        <v>33.36</v>
      </c>
      <c r="F871" s="181">
        <v>6.88</v>
      </c>
      <c r="G871" s="181">
        <v>6.38</v>
      </c>
      <c r="H871" s="828">
        <v>46096.0</v>
      </c>
      <c r="I871" s="829">
        <f t="shared" si="1"/>
        <v>0.2366577778</v>
      </c>
      <c r="J871" s="830">
        <f t="shared" si="2"/>
        <v>0.007094058087</v>
      </c>
      <c r="K871" s="830"/>
    </row>
    <row r="872">
      <c r="A872" s="181" t="s">
        <v>523</v>
      </c>
      <c r="B872" s="181" t="s">
        <v>560</v>
      </c>
      <c r="C872" s="181">
        <v>458752.0</v>
      </c>
      <c r="D872" s="181">
        <v>14.0</v>
      </c>
      <c r="E872" s="181">
        <v>32.46</v>
      </c>
      <c r="F872" s="181">
        <v>14.13</v>
      </c>
      <c r="G872" s="181">
        <v>13.12</v>
      </c>
      <c r="H872" s="828">
        <v>46096.0</v>
      </c>
      <c r="I872" s="829">
        <f t="shared" si="1"/>
        <v>0.4733155556</v>
      </c>
      <c r="J872" s="830">
        <f t="shared" si="2"/>
        <v>0.01458150202</v>
      </c>
      <c r="K872" s="830"/>
    </row>
    <row r="873">
      <c r="A873" s="181" t="s">
        <v>523</v>
      </c>
      <c r="B873" s="181" t="s">
        <v>560</v>
      </c>
      <c r="C873" s="181">
        <v>917504.0</v>
      </c>
      <c r="D873" s="181">
        <v>14.0</v>
      </c>
      <c r="E873" s="181">
        <v>32.93</v>
      </c>
      <c r="F873" s="181">
        <v>27.87</v>
      </c>
      <c r="G873" s="181">
        <v>25.88</v>
      </c>
      <c r="H873" s="828">
        <v>46096.0</v>
      </c>
      <c r="I873" s="829">
        <f t="shared" si="1"/>
        <v>0.9466311111</v>
      </c>
      <c r="J873" s="830">
        <f t="shared" si="2"/>
        <v>0.02874676924</v>
      </c>
      <c r="K873" s="830"/>
    </row>
    <row r="874">
      <c r="A874" s="181" t="s">
        <v>523</v>
      </c>
      <c r="B874" s="181" t="s">
        <v>560</v>
      </c>
      <c r="C874" s="181">
        <v>1835008.0</v>
      </c>
      <c r="D874" s="181">
        <v>14.0</v>
      </c>
      <c r="E874" s="181">
        <v>33.64</v>
      </c>
      <c r="F874" s="181">
        <v>54.54</v>
      </c>
      <c r="G874" s="181">
        <v>50.64</v>
      </c>
      <c r="H874" s="828">
        <v>46096.0</v>
      </c>
      <c r="I874" s="829">
        <f t="shared" si="1"/>
        <v>1.893262222</v>
      </c>
      <c r="J874" s="830">
        <f t="shared" si="2"/>
        <v>0.05628008984</v>
      </c>
      <c r="K874" s="830"/>
    </row>
    <row r="875">
      <c r="A875" s="181" t="s">
        <v>523</v>
      </c>
      <c r="B875" s="181" t="s">
        <v>560</v>
      </c>
      <c r="C875" s="181">
        <v>3670016.0</v>
      </c>
      <c r="D875" s="181">
        <v>14.0</v>
      </c>
      <c r="E875" s="181">
        <v>39.68</v>
      </c>
      <c r="F875" s="181">
        <v>92.5</v>
      </c>
      <c r="G875" s="181">
        <v>85.89</v>
      </c>
      <c r="H875" s="828">
        <v>46096.0</v>
      </c>
      <c r="I875" s="829">
        <f t="shared" si="1"/>
        <v>3.786524444</v>
      </c>
      <c r="J875" s="830">
        <f t="shared" si="2"/>
        <v>0.0954265233</v>
      </c>
      <c r="K875" s="830"/>
    </row>
    <row r="876">
      <c r="A876" s="181" t="s">
        <v>523</v>
      </c>
      <c r="B876" s="181" t="s">
        <v>560</v>
      </c>
      <c r="C876" s="181">
        <v>7340032.0</v>
      </c>
      <c r="D876" s="181">
        <v>14.0</v>
      </c>
      <c r="E876" s="181">
        <v>57.02</v>
      </c>
      <c r="F876" s="181">
        <v>128.74</v>
      </c>
      <c r="G876" s="181">
        <v>119.54</v>
      </c>
      <c r="H876" s="828">
        <v>46096.0</v>
      </c>
      <c r="I876" s="829">
        <f t="shared" si="1"/>
        <v>7.573048889</v>
      </c>
      <c r="J876" s="830">
        <f t="shared" si="2"/>
        <v>0.1328139055</v>
      </c>
      <c r="K876" s="830"/>
    </row>
    <row r="877">
      <c r="A877" s="181" t="s">
        <v>523</v>
      </c>
      <c r="B877" s="181" t="s">
        <v>560</v>
      </c>
      <c r="C877" s="181">
        <v>1.4680064E7</v>
      </c>
      <c r="D877" s="181">
        <v>14.0</v>
      </c>
      <c r="E877" s="181">
        <v>54.49</v>
      </c>
      <c r="F877" s="181">
        <v>269.41</v>
      </c>
      <c r="G877" s="181">
        <v>250.16</v>
      </c>
      <c r="H877" s="828">
        <v>46096.0</v>
      </c>
      <c r="I877" s="829">
        <f t="shared" si="1"/>
        <v>15.14609778</v>
      </c>
      <c r="J877" s="830">
        <f t="shared" si="2"/>
        <v>0.277961053</v>
      </c>
      <c r="K877" s="830"/>
    </row>
    <row r="878">
      <c r="A878" s="181" t="s">
        <v>523</v>
      </c>
      <c r="B878" s="181" t="s">
        <v>560</v>
      </c>
      <c r="C878" s="181">
        <v>2.9360128E7</v>
      </c>
      <c r="D878" s="181">
        <v>14.0</v>
      </c>
      <c r="E878" s="181">
        <v>76.73</v>
      </c>
      <c r="F878" s="181">
        <v>382.63</v>
      </c>
      <c r="G878" s="181">
        <v>355.3</v>
      </c>
      <c r="H878" s="828">
        <v>46096.0</v>
      </c>
      <c r="I878" s="829">
        <f t="shared" si="1"/>
        <v>30.29219556</v>
      </c>
      <c r="J878" s="830">
        <f t="shared" si="2"/>
        <v>0.3947894638</v>
      </c>
      <c r="K878" s="830"/>
    </row>
    <row r="879">
      <c r="A879" s="181" t="s">
        <v>523</v>
      </c>
      <c r="B879" s="181" t="s">
        <v>560</v>
      </c>
      <c r="C879" s="181">
        <v>5.8720256E7</v>
      </c>
      <c r="D879" s="181">
        <v>14.0</v>
      </c>
      <c r="E879" s="181">
        <v>123.87</v>
      </c>
      <c r="F879" s="181">
        <v>474.06</v>
      </c>
      <c r="G879" s="181">
        <v>440.2</v>
      </c>
      <c r="H879" s="828">
        <v>46096.0</v>
      </c>
      <c r="I879" s="829">
        <f t="shared" si="1"/>
        <v>60.58439111</v>
      </c>
      <c r="J879" s="830">
        <f t="shared" si="2"/>
        <v>0.4890965618</v>
      </c>
      <c r="K879" s="830"/>
    </row>
    <row r="880">
      <c r="A880" s="181" t="s">
        <v>523</v>
      </c>
      <c r="B880" s="181" t="s">
        <v>560</v>
      </c>
      <c r="C880" s="181">
        <v>1.17440512E8</v>
      </c>
      <c r="D880" s="181">
        <v>14.0</v>
      </c>
      <c r="E880" s="181">
        <v>206.88</v>
      </c>
      <c r="F880" s="181">
        <v>567.66</v>
      </c>
      <c r="G880" s="181">
        <v>527.12</v>
      </c>
      <c r="H880" s="828">
        <v>46096.0</v>
      </c>
      <c r="I880" s="829">
        <f t="shared" si="1"/>
        <v>121.1687822</v>
      </c>
      <c r="J880" s="830">
        <f t="shared" si="2"/>
        <v>0.5856959698</v>
      </c>
      <c r="K880" s="830"/>
    </row>
    <row r="881">
      <c r="A881" s="181" t="s">
        <v>523</v>
      </c>
      <c r="B881" s="181" t="s">
        <v>560</v>
      </c>
      <c r="C881" s="181">
        <v>2.34881024E8</v>
      </c>
      <c r="D881" s="181">
        <v>14.0</v>
      </c>
      <c r="E881" s="181">
        <v>369.32</v>
      </c>
      <c r="F881" s="181">
        <v>635.97</v>
      </c>
      <c r="G881" s="181">
        <v>590.55</v>
      </c>
      <c r="H881" s="828">
        <v>46096.0</v>
      </c>
      <c r="I881" s="829">
        <f t="shared" si="1"/>
        <v>242.3375644</v>
      </c>
      <c r="J881" s="830">
        <f t="shared" si="2"/>
        <v>0.6561723287</v>
      </c>
      <c r="K881" s="830"/>
    </row>
    <row r="882">
      <c r="A882" s="181" t="s">
        <v>523</v>
      </c>
      <c r="B882" s="181" t="s">
        <v>560</v>
      </c>
      <c r="C882" s="181">
        <v>4.69762048E8</v>
      </c>
      <c r="D882" s="181">
        <v>14.0</v>
      </c>
      <c r="E882" s="181">
        <v>723.51</v>
      </c>
      <c r="F882" s="181">
        <v>649.28</v>
      </c>
      <c r="G882" s="181">
        <v>602.91</v>
      </c>
      <c r="H882" s="828">
        <v>46096.0</v>
      </c>
      <c r="I882" s="829">
        <f t="shared" si="1"/>
        <v>484.6751289</v>
      </c>
      <c r="J882" s="830">
        <f t="shared" si="2"/>
        <v>0.6698941672</v>
      </c>
      <c r="K882" s="830"/>
    </row>
    <row r="883">
      <c r="A883" s="181" t="s">
        <v>523</v>
      </c>
      <c r="B883" s="181" t="s">
        <v>560</v>
      </c>
      <c r="C883" s="181">
        <v>9.39524096E8</v>
      </c>
      <c r="D883" s="181">
        <v>14.0</v>
      </c>
      <c r="E883" s="181">
        <v>1493.21</v>
      </c>
      <c r="F883" s="181">
        <v>629.2</v>
      </c>
      <c r="G883" s="181">
        <v>584.25</v>
      </c>
      <c r="H883" s="828">
        <v>46096.0</v>
      </c>
      <c r="I883" s="829">
        <f t="shared" si="1"/>
        <v>969.3502578</v>
      </c>
      <c r="J883" s="830">
        <f t="shared" si="2"/>
        <v>0.6491720908</v>
      </c>
      <c r="K883" s="830"/>
    </row>
    <row r="884">
      <c r="A884" s="181" t="s">
        <v>523</v>
      </c>
      <c r="B884" s="181" t="s">
        <v>560</v>
      </c>
      <c r="C884" s="181">
        <v>1.879048192E9</v>
      </c>
      <c r="D884" s="181">
        <v>14.0</v>
      </c>
      <c r="E884" s="181">
        <v>2780.3</v>
      </c>
      <c r="F884" s="181">
        <v>675.84</v>
      </c>
      <c r="G884" s="181">
        <v>627.57</v>
      </c>
      <c r="H884" s="828">
        <v>46096.0</v>
      </c>
      <c r="I884" s="829">
        <f t="shared" si="1"/>
        <v>1938.700516</v>
      </c>
      <c r="J884" s="830">
        <f t="shared" si="2"/>
        <v>0.6972990381</v>
      </c>
      <c r="K884" s="830"/>
    </row>
    <row r="885">
      <c r="A885" s="181" t="s">
        <v>523</v>
      </c>
      <c r="B885" s="181" t="s">
        <v>560</v>
      </c>
      <c r="C885" s="181">
        <v>3.758096384E9</v>
      </c>
      <c r="D885" s="181">
        <v>14.0</v>
      </c>
      <c r="E885" s="181">
        <v>5308.84</v>
      </c>
      <c r="F885" s="181">
        <v>707.89</v>
      </c>
      <c r="G885" s="181">
        <v>657.33</v>
      </c>
      <c r="H885" s="828">
        <v>46096.0</v>
      </c>
      <c r="I885" s="829">
        <f t="shared" si="1"/>
        <v>3877.401031</v>
      </c>
      <c r="J885" s="830">
        <f t="shared" si="2"/>
        <v>0.7303669033</v>
      </c>
      <c r="K885" s="830"/>
    </row>
    <row r="886">
      <c r="A886" s="181" t="s">
        <v>523</v>
      </c>
      <c r="B886" s="181" t="s">
        <v>560</v>
      </c>
      <c r="C886" s="181">
        <v>7.516192768E9</v>
      </c>
      <c r="D886" s="181">
        <v>14.0</v>
      </c>
      <c r="E886" s="181">
        <v>10386.6</v>
      </c>
      <c r="F886" s="181">
        <v>723.65</v>
      </c>
      <c r="G886" s="181">
        <v>671.96</v>
      </c>
      <c r="H886" s="828">
        <v>46096.0</v>
      </c>
      <c r="I886" s="829">
        <f t="shared" si="1"/>
        <v>7754.802062</v>
      </c>
      <c r="J886" s="830">
        <f t="shared" si="2"/>
        <v>0.7466160305</v>
      </c>
      <c r="K886" s="830"/>
    </row>
    <row r="887">
      <c r="A887" s="181" t="s">
        <v>523</v>
      </c>
      <c r="B887" s="181" t="s">
        <v>560</v>
      </c>
      <c r="C887" s="181">
        <v>1.5032385536E10</v>
      </c>
      <c r="D887" s="181">
        <v>14.0</v>
      </c>
      <c r="E887" s="181">
        <v>20569.7</v>
      </c>
      <c r="F887" s="181">
        <v>730.8</v>
      </c>
      <c r="G887" s="181">
        <v>678.6</v>
      </c>
      <c r="H887" s="828">
        <v>46096.0</v>
      </c>
      <c r="I887" s="829">
        <f t="shared" si="1"/>
        <v>15509.60412</v>
      </c>
      <c r="J887" s="830">
        <f t="shared" si="2"/>
        <v>0.7540024465</v>
      </c>
      <c r="K887" s="830"/>
    </row>
    <row r="888">
      <c r="A888" s="181" t="s">
        <v>523</v>
      </c>
      <c r="B888" s="181" t="s">
        <v>560</v>
      </c>
      <c r="C888" s="181">
        <v>1024.0</v>
      </c>
      <c r="D888" s="181">
        <v>16.0</v>
      </c>
      <c r="E888" s="181">
        <v>31.71</v>
      </c>
      <c r="F888" s="181">
        <v>0.03</v>
      </c>
      <c r="G888" s="181">
        <v>0.03</v>
      </c>
      <c r="H888" s="828">
        <v>46096.0</v>
      </c>
      <c r="I888" s="829">
        <f t="shared" si="1"/>
        <v>0.001066666667</v>
      </c>
      <c r="J888" s="830">
        <f t="shared" si="2"/>
        <v>0.00003363817933</v>
      </c>
      <c r="K888" s="830"/>
    </row>
    <row r="889">
      <c r="A889" s="181" t="s">
        <v>523</v>
      </c>
      <c r="B889" s="181" t="s">
        <v>560</v>
      </c>
      <c r="C889" s="181">
        <v>2048.0</v>
      </c>
      <c r="D889" s="181">
        <v>16.0</v>
      </c>
      <c r="E889" s="181">
        <v>30.73</v>
      </c>
      <c r="F889" s="181">
        <v>0.07</v>
      </c>
      <c r="G889" s="181">
        <v>0.06</v>
      </c>
      <c r="H889" s="828">
        <v>46096.0</v>
      </c>
      <c r="I889" s="829">
        <f t="shared" si="1"/>
        <v>0.002133333333</v>
      </c>
      <c r="J889" s="830">
        <f t="shared" si="2"/>
        <v>0.00006942184619</v>
      </c>
      <c r="K889" s="830"/>
    </row>
    <row r="890">
      <c r="A890" s="181" t="s">
        <v>523</v>
      </c>
      <c r="B890" s="181" t="s">
        <v>560</v>
      </c>
      <c r="C890" s="181">
        <v>4096.0</v>
      </c>
      <c r="D890" s="181">
        <v>16.0</v>
      </c>
      <c r="E890" s="181">
        <v>31.54</v>
      </c>
      <c r="F890" s="181">
        <v>0.13</v>
      </c>
      <c r="G890" s="181">
        <v>0.12</v>
      </c>
      <c r="H890" s="828">
        <v>46096.0</v>
      </c>
      <c r="I890" s="829">
        <f t="shared" si="1"/>
        <v>0.004266666667</v>
      </c>
      <c r="J890" s="830">
        <f t="shared" si="2"/>
        <v>0.0001352779539</v>
      </c>
      <c r="K890" s="830"/>
    </row>
    <row r="891">
      <c r="A891" s="181" t="s">
        <v>523</v>
      </c>
      <c r="B891" s="181" t="s">
        <v>560</v>
      </c>
      <c r="C891" s="181">
        <v>8192.0</v>
      </c>
      <c r="D891" s="181">
        <v>16.0</v>
      </c>
      <c r="E891" s="181">
        <v>31.94</v>
      </c>
      <c r="F891" s="181">
        <v>0.26</v>
      </c>
      <c r="G891" s="181">
        <v>0.24</v>
      </c>
      <c r="H891" s="828">
        <v>46096.0</v>
      </c>
      <c r="I891" s="829">
        <f t="shared" si="1"/>
        <v>0.008533333333</v>
      </c>
      <c r="J891" s="830">
        <f t="shared" si="2"/>
        <v>0.0002671676059</v>
      </c>
      <c r="K891" s="830"/>
    </row>
    <row r="892">
      <c r="A892" s="181" t="s">
        <v>523</v>
      </c>
      <c r="B892" s="181" t="s">
        <v>560</v>
      </c>
      <c r="C892" s="181">
        <v>16384.0</v>
      </c>
      <c r="D892" s="181">
        <v>16.0</v>
      </c>
      <c r="E892" s="181">
        <v>32.44</v>
      </c>
      <c r="F892" s="181">
        <v>0.5</v>
      </c>
      <c r="G892" s="181">
        <v>0.47</v>
      </c>
      <c r="H892" s="828">
        <v>46096.0</v>
      </c>
      <c r="I892" s="829">
        <f t="shared" si="1"/>
        <v>0.01706666667</v>
      </c>
      <c r="J892" s="830">
        <f t="shared" si="2"/>
        <v>0.0005260994657</v>
      </c>
      <c r="K892" s="830"/>
    </row>
    <row r="893">
      <c r="A893" s="181" t="s">
        <v>523</v>
      </c>
      <c r="B893" s="181" t="s">
        <v>560</v>
      </c>
      <c r="C893" s="181">
        <v>32768.0</v>
      </c>
      <c r="D893" s="181">
        <v>16.0</v>
      </c>
      <c r="E893" s="181">
        <v>32.9</v>
      </c>
      <c r="F893" s="181">
        <v>1.0</v>
      </c>
      <c r="G893" s="181">
        <v>0.93</v>
      </c>
      <c r="H893" s="828">
        <v>46096.0</v>
      </c>
      <c r="I893" s="829">
        <f t="shared" si="1"/>
        <v>0.03413333333</v>
      </c>
      <c r="J893" s="830">
        <f t="shared" si="2"/>
        <v>0.001037487335</v>
      </c>
      <c r="K893" s="830"/>
    </row>
    <row r="894">
      <c r="A894" s="181" t="s">
        <v>523</v>
      </c>
      <c r="B894" s="181" t="s">
        <v>560</v>
      </c>
      <c r="C894" s="181">
        <v>65536.0</v>
      </c>
      <c r="D894" s="181">
        <v>16.0</v>
      </c>
      <c r="E894" s="181">
        <v>33.06</v>
      </c>
      <c r="F894" s="181">
        <v>1.98</v>
      </c>
      <c r="G894" s="181">
        <v>1.86</v>
      </c>
      <c r="H894" s="828">
        <v>46096.0</v>
      </c>
      <c r="I894" s="829">
        <f t="shared" si="1"/>
        <v>0.06826666667</v>
      </c>
      <c r="J894" s="830">
        <f t="shared" si="2"/>
        <v>0.002064932446</v>
      </c>
      <c r="K894" s="830"/>
    </row>
    <row r="895">
      <c r="A895" s="181" t="s">
        <v>523</v>
      </c>
      <c r="B895" s="181" t="s">
        <v>560</v>
      </c>
      <c r="C895" s="181">
        <v>131072.0</v>
      </c>
      <c r="D895" s="181">
        <v>16.0</v>
      </c>
      <c r="E895" s="181">
        <v>33.23</v>
      </c>
      <c r="F895" s="181">
        <v>3.94</v>
      </c>
      <c r="G895" s="181">
        <v>3.7</v>
      </c>
      <c r="H895" s="828">
        <v>46096.0</v>
      </c>
      <c r="I895" s="829">
        <f t="shared" si="1"/>
        <v>0.1365333333</v>
      </c>
      <c r="J895" s="830">
        <f t="shared" si="2"/>
        <v>0.004108737085</v>
      </c>
      <c r="K895" s="830"/>
    </row>
    <row r="896">
      <c r="A896" s="181" t="s">
        <v>523</v>
      </c>
      <c r="B896" s="181" t="s">
        <v>560</v>
      </c>
      <c r="C896" s="181">
        <v>262144.0</v>
      </c>
      <c r="D896" s="181">
        <v>16.0</v>
      </c>
      <c r="E896" s="181">
        <v>34.0</v>
      </c>
      <c r="F896" s="181">
        <v>7.71</v>
      </c>
      <c r="G896" s="181">
        <v>7.23</v>
      </c>
      <c r="H896" s="828">
        <v>46096.0</v>
      </c>
      <c r="I896" s="829">
        <f t="shared" si="1"/>
        <v>0.2730666667</v>
      </c>
      <c r="J896" s="830">
        <f t="shared" si="2"/>
        <v>0.008031372549</v>
      </c>
      <c r="K896" s="830"/>
    </row>
    <row r="897">
      <c r="A897" s="181" t="s">
        <v>523</v>
      </c>
      <c r="B897" s="181" t="s">
        <v>560</v>
      </c>
      <c r="C897" s="181">
        <v>524288.0</v>
      </c>
      <c r="D897" s="181">
        <v>16.0</v>
      </c>
      <c r="E897" s="181">
        <v>34.89</v>
      </c>
      <c r="F897" s="181">
        <v>15.03</v>
      </c>
      <c r="G897" s="181">
        <v>14.09</v>
      </c>
      <c r="H897" s="828">
        <v>46096.0</v>
      </c>
      <c r="I897" s="829">
        <f t="shared" si="1"/>
        <v>0.5461333333</v>
      </c>
      <c r="J897" s="830">
        <f t="shared" si="2"/>
        <v>0.01565300468</v>
      </c>
      <c r="K897" s="830"/>
    </row>
    <row r="898">
      <c r="A898" s="181" t="s">
        <v>523</v>
      </c>
      <c r="B898" s="181" t="s">
        <v>560</v>
      </c>
      <c r="C898" s="181">
        <v>1048576.0</v>
      </c>
      <c r="D898" s="181">
        <v>16.0</v>
      </c>
      <c r="E898" s="181">
        <v>35.33</v>
      </c>
      <c r="F898" s="181">
        <v>29.68</v>
      </c>
      <c r="G898" s="181">
        <v>27.82</v>
      </c>
      <c r="H898" s="828">
        <v>46096.0</v>
      </c>
      <c r="I898" s="829">
        <f t="shared" si="1"/>
        <v>1.092266667</v>
      </c>
      <c r="J898" s="830">
        <f t="shared" si="2"/>
        <v>0.03091612416</v>
      </c>
      <c r="K898" s="830"/>
    </row>
    <row r="899">
      <c r="A899" s="181" t="s">
        <v>523</v>
      </c>
      <c r="B899" s="181" t="s">
        <v>560</v>
      </c>
      <c r="C899" s="181">
        <v>2097152.0</v>
      </c>
      <c r="D899" s="181">
        <v>16.0</v>
      </c>
      <c r="E899" s="181">
        <v>35.34</v>
      </c>
      <c r="F899" s="181">
        <v>59.35</v>
      </c>
      <c r="G899" s="181">
        <v>55.64</v>
      </c>
      <c r="H899" s="828">
        <v>46096.0</v>
      </c>
      <c r="I899" s="829">
        <f t="shared" si="1"/>
        <v>2.184533333</v>
      </c>
      <c r="J899" s="830">
        <f t="shared" si="2"/>
        <v>0.06181475193</v>
      </c>
      <c r="K899" s="830"/>
    </row>
    <row r="900">
      <c r="A900" s="181" t="s">
        <v>523</v>
      </c>
      <c r="B900" s="181" t="s">
        <v>560</v>
      </c>
      <c r="C900" s="181">
        <v>4194304.0</v>
      </c>
      <c r="D900" s="181">
        <v>16.0</v>
      </c>
      <c r="E900" s="181">
        <v>39.27</v>
      </c>
      <c r="F900" s="181">
        <v>106.8</v>
      </c>
      <c r="G900" s="181">
        <v>100.13</v>
      </c>
      <c r="H900" s="828">
        <v>46096.0</v>
      </c>
      <c r="I900" s="829">
        <f t="shared" si="1"/>
        <v>4.369066667</v>
      </c>
      <c r="J900" s="830">
        <f t="shared" si="2"/>
        <v>0.1112571089</v>
      </c>
      <c r="K900" s="830"/>
    </row>
    <row r="901">
      <c r="A901" s="181" t="s">
        <v>523</v>
      </c>
      <c r="B901" s="181" t="s">
        <v>560</v>
      </c>
      <c r="C901" s="181">
        <v>8388608.0</v>
      </c>
      <c r="D901" s="181">
        <v>16.0</v>
      </c>
      <c r="E901" s="181">
        <v>53.9</v>
      </c>
      <c r="F901" s="181">
        <v>155.64</v>
      </c>
      <c r="G901" s="181">
        <v>145.91</v>
      </c>
      <c r="H901" s="828">
        <v>46096.0</v>
      </c>
      <c r="I901" s="829">
        <f t="shared" si="1"/>
        <v>8.738133333</v>
      </c>
      <c r="J901" s="830">
        <f t="shared" si="2"/>
        <v>0.1621175015</v>
      </c>
      <c r="K901" s="830"/>
    </row>
    <row r="902">
      <c r="A902" s="181" t="s">
        <v>523</v>
      </c>
      <c r="B902" s="181" t="s">
        <v>560</v>
      </c>
      <c r="C902" s="181">
        <v>1.6777216E7</v>
      </c>
      <c r="D902" s="181">
        <v>16.0</v>
      </c>
      <c r="E902" s="181">
        <v>85.05</v>
      </c>
      <c r="F902" s="181">
        <v>197.26</v>
      </c>
      <c r="G902" s="181">
        <v>184.93</v>
      </c>
      <c r="H902" s="828">
        <v>46096.0</v>
      </c>
      <c r="I902" s="829">
        <f t="shared" si="1"/>
        <v>17.47626667</v>
      </c>
      <c r="J902" s="830">
        <f t="shared" si="2"/>
        <v>0.2054822653</v>
      </c>
      <c r="K902" s="830"/>
    </row>
    <row r="903">
      <c r="A903" s="181" t="s">
        <v>523</v>
      </c>
      <c r="B903" s="181" t="s">
        <v>560</v>
      </c>
      <c r="C903" s="181">
        <v>3.3554432E7</v>
      </c>
      <c r="D903" s="181">
        <v>16.0</v>
      </c>
      <c r="E903" s="181">
        <v>86.69</v>
      </c>
      <c r="F903" s="181">
        <v>387.06</v>
      </c>
      <c r="G903" s="181">
        <v>362.87</v>
      </c>
      <c r="H903" s="828">
        <v>46096.0</v>
      </c>
      <c r="I903" s="829">
        <f t="shared" si="1"/>
        <v>34.95253333</v>
      </c>
      <c r="J903" s="830">
        <f t="shared" si="2"/>
        <v>0.4031899104</v>
      </c>
      <c r="K903" s="830"/>
    </row>
    <row r="904">
      <c r="A904" s="181" t="s">
        <v>523</v>
      </c>
      <c r="B904" s="181" t="s">
        <v>560</v>
      </c>
      <c r="C904" s="181">
        <v>6.7108864E7</v>
      </c>
      <c r="D904" s="181">
        <v>16.0</v>
      </c>
      <c r="E904" s="181">
        <v>139.29</v>
      </c>
      <c r="F904" s="181">
        <v>481.8</v>
      </c>
      <c r="G904" s="181">
        <v>451.69</v>
      </c>
      <c r="H904" s="828">
        <v>46096.0</v>
      </c>
      <c r="I904" s="829">
        <f t="shared" si="1"/>
        <v>69.90506667</v>
      </c>
      <c r="J904" s="830">
        <f t="shared" si="2"/>
        <v>0.5018670879</v>
      </c>
      <c r="K904" s="830"/>
    </row>
    <row r="905">
      <c r="A905" s="181" t="s">
        <v>523</v>
      </c>
      <c r="B905" s="181" t="s">
        <v>560</v>
      </c>
      <c r="C905" s="181">
        <v>1.34217728E8</v>
      </c>
      <c r="D905" s="181">
        <v>16.0</v>
      </c>
      <c r="E905" s="181">
        <v>235.35</v>
      </c>
      <c r="F905" s="181">
        <v>570.3</v>
      </c>
      <c r="G905" s="181">
        <v>534.66</v>
      </c>
      <c r="H905" s="828">
        <v>46096.0</v>
      </c>
      <c r="I905" s="829">
        <f t="shared" si="1"/>
        <v>139.8101333</v>
      </c>
      <c r="J905" s="830">
        <f t="shared" si="2"/>
        <v>0.5940519793</v>
      </c>
      <c r="K905" s="830"/>
    </row>
    <row r="906">
      <c r="A906" s="181" t="s">
        <v>523</v>
      </c>
      <c r="B906" s="181" t="s">
        <v>560</v>
      </c>
      <c r="C906" s="181">
        <v>2.68435456E8</v>
      </c>
      <c r="D906" s="181">
        <v>16.0</v>
      </c>
      <c r="E906" s="181">
        <v>415.7</v>
      </c>
      <c r="F906" s="181">
        <v>645.74</v>
      </c>
      <c r="G906" s="181">
        <v>605.38</v>
      </c>
      <c r="H906" s="828">
        <v>46096.0</v>
      </c>
      <c r="I906" s="829">
        <f t="shared" si="1"/>
        <v>279.6202667</v>
      </c>
      <c r="J906" s="830">
        <f t="shared" si="2"/>
        <v>0.6726491861</v>
      </c>
      <c r="K906" s="830"/>
    </row>
    <row r="907">
      <c r="A907" s="181" t="s">
        <v>523</v>
      </c>
      <c r="B907" s="181" t="s">
        <v>560</v>
      </c>
      <c r="C907" s="181">
        <v>5.36870912E8</v>
      </c>
      <c r="D907" s="181">
        <v>16.0</v>
      </c>
      <c r="E907" s="181">
        <v>822.17</v>
      </c>
      <c r="F907" s="181">
        <v>652.99</v>
      </c>
      <c r="G907" s="181">
        <v>612.18</v>
      </c>
      <c r="H907" s="828">
        <v>46096.0</v>
      </c>
      <c r="I907" s="829">
        <f t="shared" si="1"/>
        <v>559.2405333</v>
      </c>
      <c r="J907" s="830">
        <f t="shared" si="2"/>
        <v>0.6802006073</v>
      </c>
      <c r="K907" s="830"/>
    </row>
    <row r="908">
      <c r="A908" s="181" t="s">
        <v>523</v>
      </c>
      <c r="B908" s="181" t="s">
        <v>560</v>
      </c>
      <c r="C908" s="181">
        <v>1.073741824E9</v>
      </c>
      <c r="D908" s="181">
        <v>16.0</v>
      </c>
      <c r="E908" s="181">
        <v>1645.06</v>
      </c>
      <c r="F908" s="181">
        <v>652.71</v>
      </c>
      <c r="G908" s="181">
        <v>611.91</v>
      </c>
      <c r="H908" s="828">
        <v>46096.0</v>
      </c>
      <c r="I908" s="829">
        <f t="shared" si="1"/>
        <v>1118.481067</v>
      </c>
      <c r="J908" s="830">
        <f t="shared" si="2"/>
        <v>0.6799029012</v>
      </c>
      <c r="K908" s="830"/>
    </row>
    <row r="909">
      <c r="A909" s="181" t="s">
        <v>523</v>
      </c>
      <c r="B909" s="181" t="s">
        <v>560</v>
      </c>
      <c r="C909" s="181">
        <v>2.147483648E9</v>
      </c>
      <c r="D909" s="181">
        <v>16.0</v>
      </c>
      <c r="E909" s="181">
        <v>3139.8</v>
      </c>
      <c r="F909" s="181">
        <v>683.96</v>
      </c>
      <c r="G909" s="181">
        <v>641.21</v>
      </c>
      <c r="H909" s="828">
        <v>46096.0</v>
      </c>
      <c r="I909" s="829">
        <f t="shared" si="1"/>
        <v>2236.962133</v>
      </c>
      <c r="J909" s="830">
        <f t="shared" si="2"/>
        <v>0.7124537019</v>
      </c>
      <c r="K909" s="830"/>
    </row>
    <row r="910">
      <c r="A910" s="181" t="s">
        <v>523</v>
      </c>
      <c r="B910" s="181" t="s">
        <v>560</v>
      </c>
      <c r="C910" s="181">
        <v>4.294967296E9</v>
      </c>
      <c r="D910" s="181">
        <v>16.0</v>
      </c>
      <c r="E910" s="181">
        <v>6103.43</v>
      </c>
      <c r="F910" s="181">
        <v>703.7</v>
      </c>
      <c r="G910" s="181">
        <v>659.72</v>
      </c>
      <c r="H910" s="828">
        <v>46096.0</v>
      </c>
      <c r="I910" s="829">
        <f t="shared" si="1"/>
        <v>4473.924267</v>
      </c>
      <c r="J910" s="830">
        <f t="shared" si="2"/>
        <v>0.7330180352</v>
      </c>
      <c r="K910" s="830"/>
    </row>
    <row r="911">
      <c r="A911" s="181" t="s">
        <v>523</v>
      </c>
      <c r="B911" s="181" t="s">
        <v>560</v>
      </c>
      <c r="C911" s="181">
        <v>8.589934592E9</v>
      </c>
      <c r="D911" s="181">
        <v>16.0</v>
      </c>
      <c r="E911" s="181">
        <v>12020.7</v>
      </c>
      <c r="F911" s="181">
        <v>714.59</v>
      </c>
      <c r="G911" s="181">
        <v>669.93</v>
      </c>
      <c r="H911" s="828">
        <v>46096.0</v>
      </c>
      <c r="I911" s="829">
        <f t="shared" si="1"/>
        <v>8947.848533</v>
      </c>
      <c r="J911" s="830">
        <f t="shared" si="2"/>
        <v>0.7443700062</v>
      </c>
      <c r="K911" s="830"/>
    </row>
    <row r="912">
      <c r="A912" s="181" t="s">
        <v>523</v>
      </c>
      <c r="B912" s="181" t="s">
        <v>560</v>
      </c>
      <c r="C912" s="181">
        <v>1.7179869184E10</v>
      </c>
      <c r="D912" s="181">
        <v>16.0</v>
      </c>
      <c r="E912" s="181">
        <v>23708.3</v>
      </c>
      <c r="F912" s="181">
        <v>724.63</v>
      </c>
      <c r="G912" s="181">
        <v>679.35</v>
      </c>
      <c r="H912" s="828">
        <v>46096.0</v>
      </c>
      <c r="I912" s="829">
        <f t="shared" si="1"/>
        <v>17895.69707</v>
      </c>
      <c r="J912" s="830">
        <f t="shared" si="2"/>
        <v>0.7548283541</v>
      </c>
      <c r="K912" s="830"/>
    </row>
    <row r="913">
      <c r="A913" s="181" t="s">
        <v>523</v>
      </c>
      <c r="B913" s="181" t="s">
        <v>560</v>
      </c>
      <c r="C913" s="181">
        <v>1152.0</v>
      </c>
      <c r="D913" s="181">
        <v>18.0</v>
      </c>
      <c r="E913" s="181">
        <v>34.95</v>
      </c>
      <c r="F913" s="181">
        <v>0.03</v>
      </c>
      <c r="G913" s="181">
        <v>0.03</v>
      </c>
      <c r="H913" s="828">
        <v>46096.0</v>
      </c>
      <c r="I913" s="829">
        <f t="shared" si="1"/>
        <v>0.001208888889</v>
      </c>
      <c r="J913" s="830">
        <f t="shared" si="2"/>
        <v>0.00003458909553</v>
      </c>
      <c r="K913" s="830"/>
    </row>
    <row r="914">
      <c r="A914" s="181" t="s">
        <v>523</v>
      </c>
      <c r="B914" s="181" t="s">
        <v>560</v>
      </c>
      <c r="C914" s="181">
        <v>2304.0</v>
      </c>
      <c r="D914" s="181">
        <v>18.0</v>
      </c>
      <c r="E914" s="181">
        <v>34.99</v>
      </c>
      <c r="F914" s="181">
        <v>0.07</v>
      </c>
      <c r="G914" s="181">
        <v>0.06</v>
      </c>
      <c r="H914" s="828">
        <v>46096.0</v>
      </c>
      <c r="I914" s="829">
        <f t="shared" si="1"/>
        <v>0.002417777778</v>
      </c>
      <c r="J914" s="830">
        <f t="shared" si="2"/>
        <v>0.00006909910768</v>
      </c>
      <c r="K914" s="830"/>
    </row>
    <row r="915">
      <c r="A915" s="181" t="s">
        <v>523</v>
      </c>
      <c r="B915" s="181" t="s">
        <v>560</v>
      </c>
      <c r="C915" s="181">
        <v>4608.0</v>
      </c>
      <c r="D915" s="181">
        <v>18.0</v>
      </c>
      <c r="E915" s="181">
        <v>35.17</v>
      </c>
      <c r="F915" s="181">
        <v>0.13</v>
      </c>
      <c r="G915" s="181">
        <v>0.12</v>
      </c>
      <c r="H915" s="828">
        <v>46096.0</v>
      </c>
      <c r="I915" s="829">
        <f t="shared" si="1"/>
        <v>0.004835555556</v>
      </c>
      <c r="J915" s="830">
        <f t="shared" si="2"/>
        <v>0.0001374909171</v>
      </c>
      <c r="K915" s="830"/>
    </row>
    <row r="916">
      <c r="A916" s="181" t="s">
        <v>523</v>
      </c>
      <c r="B916" s="181" t="s">
        <v>560</v>
      </c>
      <c r="C916" s="181">
        <v>9216.0</v>
      </c>
      <c r="D916" s="181">
        <v>18.0</v>
      </c>
      <c r="E916" s="181">
        <v>35.45</v>
      </c>
      <c r="F916" s="181">
        <v>0.26</v>
      </c>
      <c r="G916" s="181">
        <v>0.25</v>
      </c>
      <c r="H916" s="828">
        <v>46096.0</v>
      </c>
      <c r="I916" s="829">
        <f t="shared" si="1"/>
        <v>0.009671111111</v>
      </c>
      <c r="J916" s="830">
        <f t="shared" si="2"/>
        <v>0.0002728099044</v>
      </c>
      <c r="K916" s="830"/>
    </row>
    <row r="917">
      <c r="A917" s="181" t="s">
        <v>523</v>
      </c>
      <c r="B917" s="181" t="s">
        <v>560</v>
      </c>
      <c r="C917" s="181">
        <v>18432.0</v>
      </c>
      <c r="D917" s="181">
        <v>18.0</v>
      </c>
      <c r="E917" s="181">
        <v>35.82</v>
      </c>
      <c r="F917" s="181">
        <v>0.51</v>
      </c>
      <c r="G917" s="181">
        <v>0.49</v>
      </c>
      <c r="H917" s="828">
        <v>46096.0</v>
      </c>
      <c r="I917" s="829">
        <f t="shared" si="1"/>
        <v>0.01934222222</v>
      </c>
      <c r="J917" s="830">
        <f t="shared" si="2"/>
        <v>0.00053998387</v>
      </c>
      <c r="K917" s="830"/>
    </row>
    <row r="918">
      <c r="A918" s="181" t="s">
        <v>523</v>
      </c>
      <c r="B918" s="181" t="s">
        <v>560</v>
      </c>
      <c r="C918" s="181">
        <v>36864.0</v>
      </c>
      <c r="D918" s="181">
        <v>18.0</v>
      </c>
      <c r="E918" s="181">
        <v>36.62</v>
      </c>
      <c r="F918" s="181">
        <v>1.01</v>
      </c>
      <c r="G918" s="181">
        <v>0.95</v>
      </c>
      <c r="H918" s="828">
        <v>46096.0</v>
      </c>
      <c r="I918" s="829">
        <f t="shared" si="1"/>
        <v>0.03868444444</v>
      </c>
      <c r="J918" s="830">
        <f t="shared" si="2"/>
        <v>0.00105637478</v>
      </c>
      <c r="K918" s="830"/>
    </row>
    <row r="919">
      <c r="A919" s="181" t="s">
        <v>523</v>
      </c>
      <c r="B919" s="181" t="s">
        <v>560</v>
      </c>
      <c r="C919" s="181">
        <v>73728.0</v>
      </c>
      <c r="D919" s="181">
        <v>18.0</v>
      </c>
      <c r="E919" s="181">
        <v>37.87</v>
      </c>
      <c r="F919" s="181">
        <v>1.95</v>
      </c>
      <c r="G919" s="181">
        <v>1.84</v>
      </c>
      <c r="H919" s="828">
        <v>46096.0</v>
      </c>
      <c r="I919" s="829">
        <f t="shared" si="1"/>
        <v>0.07736888889</v>
      </c>
      <c r="J919" s="830">
        <f t="shared" si="2"/>
        <v>0.002043012646</v>
      </c>
      <c r="K919" s="830"/>
    </row>
    <row r="920">
      <c r="A920" s="181" t="s">
        <v>523</v>
      </c>
      <c r="B920" s="181" t="s">
        <v>560</v>
      </c>
      <c r="C920" s="181">
        <v>147456.0</v>
      </c>
      <c r="D920" s="181">
        <v>18.0</v>
      </c>
      <c r="E920" s="181">
        <v>38.59</v>
      </c>
      <c r="F920" s="181">
        <v>3.82</v>
      </c>
      <c r="G920" s="181">
        <v>3.61</v>
      </c>
      <c r="H920" s="828">
        <v>46096.0</v>
      </c>
      <c r="I920" s="829">
        <f t="shared" si="1"/>
        <v>0.1547377778</v>
      </c>
      <c r="J920" s="830">
        <f t="shared" si="2"/>
        <v>0.004009789525</v>
      </c>
      <c r="K920" s="830"/>
    </row>
    <row r="921">
      <c r="A921" s="181" t="s">
        <v>523</v>
      </c>
      <c r="B921" s="181" t="s">
        <v>560</v>
      </c>
      <c r="C921" s="181">
        <v>294912.0</v>
      </c>
      <c r="D921" s="181">
        <v>18.0</v>
      </c>
      <c r="E921" s="181">
        <v>39.6</v>
      </c>
      <c r="F921" s="181">
        <v>7.45</v>
      </c>
      <c r="G921" s="181">
        <v>7.03</v>
      </c>
      <c r="H921" s="828">
        <v>46096.0</v>
      </c>
      <c r="I921" s="829">
        <f t="shared" si="1"/>
        <v>0.3094755556</v>
      </c>
      <c r="J921" s="830">
        <f t="shared" si="2"/>
        <v>0.007815039282</v>
      </c>
      <c r="K921" s="830"/>
    </row>
    <row r="922">
      <c r="A922" s="181" t="s">
        <v>523</v>
      </c>
      <c r="B922" s="181" t="s">
        <v>560</v>
      </c>
      <c r="C922" s="181">
        <v>589824.0</v>
      </c>
      <c r="D922" s="181">
        <v>18.0</v>
      </c>
      <c r="E922" s="181">
        <v>40.17</v>
      </c>
      <c r="F922" s="181">
        <v>14.68</v>
      </c>
      <c r="G922" s="181">
        <v>13.87</v>
      </c>
      <c r="H922" s="828">
        <v>46096.0</v>
      </c>
      <c r="I922" s="829">
        <f t="shared" si="1"/>
        <v>0.6189511111</v>
      </c>
      <c r="J922" s="830">
        <f t="shared" si="2"/>
        <v>0.01540829253</v>
      </c>
      <c r="K922" s="830"/>
    </row>
    <row r="923">
      <c r="A923" s="181" t="s">
        <v>523</v>
      </c>
      <c r="B923" s="181" t="s">
        <v>560</v>
      </c>
      <c r="C923" s="181">
        <v>1179648.0</v>
      </c>
      <c r="D923" s="181">
        <v>18.0</v>
      </c>
      <c r="E923" s="181">
        <v>40.33</v>
      </c>
      <c r="F923" s="181">
        <v>29.25</v>
      </c>
      <c r="G923" s="181">
        <v>27.63</v>
      </c>
      <c r="H923" s="828">
        <v>46096.0</v>
      </c>
      <c r="I923" s="829">
        <f t="shared" si="1"/>
        <v>1.237902222</v>
      </c>
      <c r="J923" s="830">
        <f t="shared" si="2"/>
        <v>0.03069432735</v>
      </c>
      <c r="K923" s="830"/>
    </row>
    <row r="924">
      <c r="A924" s="181" t="s">
        <v>523</v>
      </c>
      <c r="B924" s="181" t="s">
        <v>560</v>
      </c>
      <c r="C924" s="181">
        <v>2359296.0</v>
      </c>
      <c r="D924" s="181">
        <v>18.0</v>
      </c>
      <c r="E924" s="181">
        <v>41.69</v>
      </c>
      <c r="F924" s="181">
        <v>56.6</v>
      </c>
      <c r="G924" s="181">
        <v>53.45</v>
      </c>
      <c r="H924" s="828">
        <v>46096.0</v>
      </c>
      <c r="I924" s="829">
        <f t="shared" si="1"/>
        <v>2.475804444</v>
      </c>
      <c r="J924" s="830">
        <f t="shared" si="2"/>
        <v>0.05938605048</v>
      </c>
      <c r="K924" s="830"/>
    </row>
    <row r="925">
      <c r="A925" s="181" t="s">
        <v>523</v>
      </c>
      <c r="B925" s="181" t="s">
        <v>560</v>
      </c>
      <c r="C925" s="181">
        <v>4718592.0</v>
      </c>
      <c r="D925" s="181">
        <v>18.0</v>
      </c>
      <c r="E925" s="181">
        <v>49.79</v>
      </c>
      <c r="F925" s="181">
        <v>94.78</v>
      </c>
      <c r="G925" s="181">
        <v>89.51</v>
      </c>
      <c r="H925" s="828">
        <v>46096.0</v>
      </c>
      <c r="I925" s="829">
        <f t="shared" si="1"/>
        <v>4.951608889</v>
      </c>
      <c r="J925" s="830">
        <f t="shared" si="2"/>
        <v>0.09944986722</v>
      </c>
      <c r="K925" s="830"/>
    </row>
    <row r="926">
      <c r="A926" s="181" t="s">
        <v>523</v>
      </c>
      <c r="B926" s="181" t="s">
        <v>560</v>
      </c>
      <c r="C926" s="181">
        <v>9437184.0</v>
      </c>
      <c r="D926" s="181">
        <v>18.0</v>
      </c>
      <c r="E926" s="181">
        <v>72.63</v>
      </c>
      <c r="F926" s="181">
        <v>129.94</v>
      </c>
      <c r="G926" s="181">
        <v>122.72</v>
      </c>
      <c r="H926" s="828">
        <v>46096.0</v>
      </c>
      <c r="I926" s="829">
        <f t="shared" si="1"/>
        <v>9.903217778</v>
      </c>
      <c r="J926" s="830">
        <f t="shared" si="2"/>
        <v>0.1363516147</v>
      </c>
      <c r="K926" s="830"/>
    </row>
    <row r="927">
      <c r="A927" s="181" t="s">
        <v>523</v>
      </c>
      <c r="B927" s="181" t="s">
        <v>560</v>
      </c>
      <c r="C927" s="181">
        <v>1.8874368E7</v>
      </c>
      <c r="D927" s="181">
        <v>18.0</v>
      </c>
      <c r="E927" s="181">
        <v>66.84</v>
      </c>
      <c r="F927" s="181">
        <v>282.4</v>
      </c>
      <c r="G927" s="181">
        <v>266.71</v>
      </c>
      <c r="H927" s="828">
        <v>46096.0</v>
      </c>
      <c r="I927" s="829">
        <f t="shared" si="1"/>
        <v>19.80643556</v>
      </c>
      <c r="J927" s="830">
        <f t="shared" si="2"/>
        <v>0.2963260855</v>
      </c>
      <c r="K927" s="830"/>
    </row>
    <row r="928">
      <c r="A928" s="181" t="s">
        <v>523</v>
      </c>
      <c r="B928" s="181" t="s">
        <v>560</v>
      </c>
      <c r="C928" s="181">
        <v>3.7748736E7</v>
      </c>
      <c r="D928" s="181">
        <v>18.0</v>
      </c>
      <c r="E928" s="181">
        <v>95.98</v>
      </c>
      <c r="F928" s="181">
        <v>393.29</v>
      </c>
      <c r="G928" s="181">
        <v>371.44</v>
      </c>
      <c r="H928" s="828">
        <v>46096.0</v>
      </c>
      <c r="I928" s="829">
        <f t="shared" si="1"/>
        <v>39.61287111</v>
      </c>
      <c r="J928" s="830">
        <f t="shared" si="2"/>
        <v>0.4127200574</v>
      </c>
      <c r="K928" s="830"/>
    </row>
    <row r="929">
      <c r="A929" s="181" t="s">
        <v>523</v>
      </c>
      <c r="B929" s="181" t="s">
        <v>560</v>
      </c>
      <c r="C929" s="181">
        <v>7.5497472E7</v>
      </c>
      <c r="D929" s="181">
        <v>18.0</v>
      </c>
      <c r="E929" s="181">
        <v>155.62</v>
      </c>
      <c r="F929" s="181">
        <v>485.14</v>
      </c>
      <c r="G929" s="181">
        <v>458.19</v>
      </c>
      <c r="H929" s="828">
        <v>46096.0</v>
      </c>
      <c r="I929" s="829">
        <f t="shared" si="1"/>
        <v>79.22574222</v>
      </c>
      <c r="J929" s="830">
        <f t="shared" si="2"/>
        <v>0.5090974311</v>
      </c>
      <c r="K929" s="830"/>
    </row>
    <row r="930">
      <c r="A930" s="181" t="s">
        <v>523</v>
      </c>
      <c r="B930" s="181" t="s">
        <v>560</v>
      </c>
      <c r="C930" s="181">
        <v>1.50994944E8</v>
      </c>
      <c r="D930" s="181">
        <v>18.0</v>
      </c>
      <c r="E930" s="181">
        <v>260.4</v>
      </c>
      <c r="F930" s="181">
        <v>579.85</v>
      </c>
      <c r="G930" s="181">
        <v>547.64</v>
      </c>
      <c r="H930" s="828">
        <v>46096.0</v>
      </c>
      <c r="I930" s="829">
        <f t="shared" si="1"/>
        <v>158.4514844</v>
      </c>
      <c r="J930" s="830">
        <f t="shared" si="2"/>
        <v>0.6084926438</v>
      </c>
      <c r="K930" s="830"/>
    </row>
    <row r="931">
      <c r="A931" s="181" t="s">
        <v>523</v>
      </c>
      <c r="B931" s="181" t="s">
        <v>560</v>
      </c>
      <c r="C931" s="181">
        <v>3.01989888E8</v>
      </c>
      <c r="D931" s="181">
        <v>18.0</v>
      </c>
      <c r="E931" s="181">
        <v>476.6</v>
      </c>
      <c r="F931" s="181">
        <v>633.63</v>
      </c>
      <c r="G931" s="181">
        <v>598.43</v>
      </c>
      <c r="H931" s="828">
        <v>46096.0</v>
      </c>
      <c r="I931" s="829">
        <f t="shared" si="1"/>
        <v>316.9029689</v>
      </c>
      <c r="J931" s="830">
        <f t="shared" si="2"/>
        <v>0.6649243997</v>
      </c>
      <c r="K931" s="830"/>
    </row>
    <row r="932">
      <c r="A932" s="181" t="s">
        <v>523</v>
      </c>
      <c r="B932" s="181" t="s">
        <v>560</v>
      </c>
      <c r="C932" s="181">
        <v>6.03979776E8</v>
      </c>
      <c r="D932" s="181">
        <v>18.0</v>
      </c>
      <c r="E932" s="181">
        <v>930.69</v>
      </c>
      <c r="F932" s="181">
        <v>648.96</v>
      </c>
      <c r="G932" s="181">
        <v>612.91</v>
      </c>
      <c r="H932" s="828">
        <v>46096.0</v>
      </c>
      <c r="I932" s="829">
        <f t="shared" si="1"/>
        <v>633.8059378</v>
      </c>
      <c r="J932" s="830">
        <f t="shared" si="2"/>
        <v>0.6810064982</v>
      </c>
      <c r="K932" s="830"/>
    </row>
    <row r="933">
      <c r="A933" s="181" t="s">
        <v>523</v>
      </c>
      <c r="B933" s="181" t="s">
        <v>560</v>
      </c>
      <c r="C933" s="181">
        <v>1.207959552E9</v>
      </c>
      <c r="D933" s="181">
        <v>18.0</v>
      </c>
      <c r="E933" s="181">
        <v>1940.94</v>
      </c>
      <c r="F933" s="181">
        <v>622.36</v>
      </c>
      <c r="G933" s="181">
        <v>587.78</v>
      </c>
      <c r="H933" s="828">
        <v>46096.0</v>
      </c>
      <c r="I933" s="829">
        <f t="shared" si="1"/>
        <v>1267.611876</v>
      </c>
      <c r="J933" s="830">
        <f t="shared" si="2"/>
        <v>0.6530917368</v>
      </c>
      <c r="K933" s="830"/>
    </row>
    <row r="934">
      <c r="A934" s="181" t="s">
        <v>523</v>
      </c>
      <c r="B934" s="181" t="s">
        <v>560</v>
      </c>
      <c r="C934" s="181">
        <v>2.415919104E9</v>
      </c>
      <c r="D934" s="181">
        <v>18.0</v>
      </c>
      <c r="E934" s="181">
        <v>3605.38</v>
      </c>
      <c r="F934" s="181">
        <v>670.09</v>
      </c>
      <c r="G934" s="181">
        <v>632.86</v>
      </c>
      <c r="H934" s="828">
        <v>46096.0</v>
      </c>
      <c r="I934" s="829">
        <f t="shared" si="1"/>
        <v>2535.223751</v>
      </c>
      <c r="J934" s="830">
        <f t="shared" si="2"/>
        <v>0.7031779594</v>
      </c>
      <c r="K934" s="830"/>
    </row>
    <row r="935">
      <c r="A935" s="181" t="s">
        <v>523</v>
      </c>
      <c r="B935" s="181" t="s">
        <v>560</v>
      </c>
      <c r="C935" s="181">
        <v>4.831838208E9</v>
      </c>
      <c r="D935" s="181">
        <v>18.0</v>
      </c>
      <c r="E935" s="181">
        <v>6947.35</v>
      </c>
      <c r="F935" s="181">
        <v>695.49</v>
      </c>
      <c r="G935" s="181">
        <v>656.86</v>
      </c>
      <c r="H935" s="828">
        <v>46096.0</v>
      </c>
      <c r="I935" s="829">
        <f t="shared" si="1"/>
        <v>5070.447502</v>
      </c>
      <c r="J935" s="830">
        <f t="shared" si="2"/>
        <v>0.7298390757</v>
      </c>
      <c r="K935" s="830"/>
    </row>
    <row r="936">
      <c r="A936" s="181" t="s">
        <v>523</v>
      </c>
      <c r="B936" s="181" t="s">
        <v>560</v>
      </c>
      <c r="C936" s="181">
        <v>9.663676416E9</v>
      </c>
      <c r="D936" s="181">
        <v>18.0</v>
      </c>
      <c r="E936" s="181">
        <v>13609.2</v>
      </c>
      <c r="F936" s="181">
        <v>710.08</v>
      </c>
      <c r="G936" s="181">
        <v>670.64</v>
      </c>
      <c r="H936" s="828">
        <v>46096.0</v>
      </c>
      <c r="I936" s="829">
        <f t="shared" si="1"/>
        <v>10140.895</v>
      </c>
      <c r="J936" s="830">
        <f t="shared" si="2"/>
        <v>0.7451499724</v>
      </c>
      <c r="K936" s="830"/>
    </row>
    <row r="937">
      <c r="A937" s="181" t="s">
        <v>523</v>
      </c>
      <c r="B937" s="181" t="s">
        <v>560</v>
      </c>
      <c r="C937" s="181">
        <v>1280.0</v>
      </c>
      <c r="D937" s="181">
        <v>20.0</v>
      </c>
      <c r="E937" s="181">
        <v>36.5</v>
      </c>
      <c r="F937" s="181">
        <v>0.04</v>
      </c>
      <c r="G937" s="181">
        <v>0.03</v>
      </c>
      <c r="H937" s="828">
        <v>46096.0</v>
      </c>
      <c r="I937" s="829">
        <f t="shared" si="1"/>
        <v>0.001351111111</v>
      </c>
      <c r="J937" s="830">
        <f t="shared" si="2"/>
        <v>0.00003701674277</v>
      </c>
      <c r="K937" s="830"/>
    </row>
    <row r="938">
      <c r="A938" s="181" t="s">
        <v>523</v>
      </c>
      <c r="B938" s="181" t="s">
        <v>560</v>
      </c>
      <c r="C938" s="181">
        <v>2560.0</v>
      </c>
      <c r="D938" s="181">
        <v>20.0</v>
      </c>
      <c r="E938" s="181">
        <v>36.63</v>
      </c>
      <c r="F938" s="181">
        <v>0.07</v>
      </c>
      <c r="G938" s="181">
        <v>0.07</v>
      </c>
      <c r="H938" s="828">
        <v>46096.0</v>
      </c>
      <c r="I938" s="829">
        <f t="shared" si="1"/>
        <v>0.002702222222</v>
      </c>
      <c r="J938" s="830">
        <f t="shared" si="2"/>
        <v>0.00007377074044</v>
      </c>
      <c r="K938" s="830"/>
    </row>
    <row r="939">
      <c r="A939" s="181" t="s">
        <v>523</v>
      </c>
      <c r="B939" s="181" t="s">
        <v>560</v>
      </c>
      <c r="C939" s="181">
        <v>5120.0</v>
      </c>
      <c r="D939" s="181">
        <v>20.0</v>
      </c>
      <c r="E939" s="181">
        <v>36.99</v>
      </c>
      <c r="F939" s="181">
        <v>0.14</v>
      </c>
      <c r="G939" s="181">
        <v>0.13</v>
      </c>
      <c r="H939" s="828">
        <v>46096.0</v>
      </c>
      <c r="I939" s="829">
        <f t="shared" si="1"/>
        <v>0.005404444444</v>
      </c>
      <c r="J939" s="830">
        <f t="shared" si="2"/>
        <v>0.0001461055541</v>
      </c>
      <c r="K939" s="830"/>
    </row>
    <row r="940">
      <c r="A940" s="181" t="s">
        <v>523</v>
      </c>
      <c r="B940" s="181" t="s">
        <v>560</v>
      </c>
      <c r="C940" s="181">
        <v>10240.0</v>
      </c>
      <c r="D940" s="181">
        <v>20.0</v>
      </c>
      <c r="E940" s="181">
        <v>38.4</v>
      </c>
      <c r="F940" s="181">
        <v>0.27</v>
      </c>
      <c r="G940" s="181">
        <v>0.25</v>
      </c>
      <c r="H940" s="828">
        <v>46096.0</v>
      </c>
      <c r="I940" s="829">
        <f t="shared" si="1"/>
        <v>0.01080888889</v>
      </c>
      <c r="J940" s="830">
        <f t="shared" si="2"/>
        <v>0.0002814814815</v>
      </c>
      <c r="K940" s="830"/>
    </row>
    <row r="941">
      <c r="A941" s="181" t="s">
        <v>523</v>
      </c>
      <c r="B941" s="181" t="s">
        <v>560</v>
      </c>
      <c r="C941" s="181">
        <v>20480.0</v>
      </c>
      <c r="D941" s="181">
        <v>20.0</v>
      </c>
      <c r="E941" s="181">
        <v>38.25</v>
      </c>
      <c r="F941" s="181">
        <v>0.54</v>
      </c>
      <c r="G941" s="181">
        <v>0.51</v>
      </c>
      <c r="H941" s="828">
        <v>46096.0</v>
      </c>
      <c r="I941" s="829">
        <f t="shared" si="1"/>
        <v>0.02161777778</v>
      </c>
      <c r="J941" s="830">
        <f t="shared" si="2"/>
        <v>0.0005651706609</v>
      </c>
      <c r="K941" s="830"/>
    </row>
    <row r="942">
      <c r="A942" s="181" t="s">
        <v>523</v>
      </c>
      <c r="B942" s="181" t="s">
        <v>560</v>
      </c>
      <c r="C942" s="181">
        <v>40960.0</v>
      </c>
      <c r="D942" s="181">
        <v>20.0</v>
      </c>
      <c r="E942" s="181">
        <v>38.26</v>
      </c>
      <c r="F942" s="181">
        <v>1.07</v>
      </c>
      <c r="G942" s="181">
        <v>1.02</v>
      </c>
      <c r="H942" s="828">
        <v>46096.0</v>
      </c>
      <c r="I942" s="829">
        <f t="shared" si="1"/>
        <v>0.04323555556</v>
      </c>
      <c r="J942" s="830">
        <f t="shared" si="2"/>
        <v>0.001130045885</v>
      </c>
      <c r="K942" s="830"/>
    </row>
    <row r="943">
      <c r="A943" s="181" t="s">
        <v>523</v>
      </c>
      <c r="B943" s="181" t="s">
        <v>560</v>
      </c>
      <c r="C943" s="181">
        <v>81920.0</v>
      </c>
      <c r="D943" s="181">
        <v>20.0</v>
      </c>
      <c r="E943" s="181">
        <v>40.41</v>
      </c>
      <c r="F943" s="181">
        <v>2.03</v>
      </c>
      <c r="G943" s="181">
        <v>1.93</v>
      </c>
      <c r="H943" s="828">
        <v>46096.0</v>
      </c>
      <c r="I943" s="829">
        <f t="shared" si="1"/>
        <v>0.08647111111</v>
      </c>
      <c r="J943" s="830">
        <f t="shared" si="2"/>
        <v>0.002139844373</v>
      </c>
      <c r="K943" s="830"/>
    </row>
    <row r="944">
      <c r="A944" s="181" t="s">
        <v>523</v>
      </c>
      <c r="B944" s="181" t="s">
        <v>560</v>
      </c>
      <c r="C944" s="181">
        <v>163840.0</v>
      </c>
      <c r="D944" s="181">
        <v>20.0</v>
      </c>
      <c r="E944" s="181">
        <v>40.84</v>
      </c>
      <c r="F944" s="181">
        <v>4.01</v>
      </c>
      <c r="G944" s="181">
        <v>3.81</v>
      </c>
      <c r="H944" s="828">
        <v>46096.0</v>
      </c>
      <c r="I944" s="829">
        <f t="shared" si="1"/>
        <v>0.1729422222</v>
      </c>
      <c r="J944" s="830">
        <f t="shared" si="2"/>
        <v>0.00423462836</v>
      </c>
      <c r="K944" s="830"/>
    </row>
    <row r="945">
      <c r="A945" s="181" t="s">
        <v>523</v>
      </c>
      <c r="B945" s="181" t="s">
        <v>560</v>
      </c>
      <c r="C945" s="181">
        <v>327680.0</v>
      </c>
      <c r="D945" s="181">
        <v>20.0</v>
      </c>
      <c r="E945" s="181">
        <v>42.22</v>
      </c>
      <c r="F945" s="181">
        <v>7.76</v>
      </c>
      <c r="G945" s="181">
        <v>7.37</v>
      </c>
      <c r="H945" s="828">
        <v>46096.0</v>
      </c>
      <c r="I945" s="829">
        <f t="shared" si="1"/>
        <v>0.3458844444</v>
      </c>
      <c r="J945" s="830">
        <f t="shared" si="2"/>
        <v>0.008192431181</v>
      </c>
      <c r="K945" s="830"/>
    </row>
    <row r="946">
      <c r="A946" s="181" t="s">
        <v>523</v>
      </c>
      <c r="B946" s="181" t="s">
        <v>560</v>
      </c>
      <c r="C946" s="181">
        <v>655360.0</v>
      </c>
      <c r="D946" s="181">
        <v>20.0</v>
      </c>
      <c r="E946" s="181">
        <v>42.03</v>
      </c>
      <c r="F946" s="181">
        <v>15.59</v>
      </c>
      <c r="G946" s="181">
        <v>14.81</v>
      </c>
      <c r="H946" s="828">
        <v>46096.0</v>
      </c>
      <c r="I946" s="829">
        <f t="shared" si="1"/>
        <v>0.6917688889</v>
      </c>
      <c r="J946" s="830">
        <f t="shared" si="2"/>
        <v>0.01645893145</v>
      </c>
      <c r="K946" s="830"/>
    </row>
    <row r="947">
      <c r="A947" s="181" t="s">
        <v>523</v>
      </c>
      <c r="B947" s="181" t="s">
        <v>560</v>
      </c>
      <c r="C947" s="181">
        <v>1310720.0</v>
      </c>
      <c r="D947" s="181">
        <v>20.0</v>
      </c>
      <c r="E947" s="181">
        <v>42.95</v>
      </c>
      <c r="F947" s="181">
        <v>30.52</v>
      </c>
      <c r="G947" s="181">
        <v>28.99</v>
      </c>
      <c r="H947" s="828">
        <v>46096.0</v>
      </c>
      <c r="I947" s="829">
        <f t="shared" si="1"/>
        <v>1.383537778</v>
      </c>
      <c r="J947" s="830">
        <f t="shared" si="2"/>
        <v>0.03221275385</v>
      </c>
      <c r="K947" s="830"/>
    </row>
    <row r="948">
      <c r="A948" s="181" t="s">
        <v>523</v>
      </c>
      <c r="B948" s="181" t="s">
        <v>560</v>
      </c>
      <c r="C948" s="181">
        <v>2621440.0</v>
      </c>
      <c r="D948" s="181">
        <v>20.0</v>
      </c>
      <c r="E948" s="181">
        <v>43.21</v>
      </c>
      <c r="F948" s="181">
        <v>60.66</v>
      </c>
      <c r="G948" s="181">
        <v>57.63</v>
      </c>
      <c r="H948" s="828">
        <v>46096.0</v>
      </c>
      <c r="I948" s="829">
        <f t="shared" si="1"/>
        <v>2.767075556</v>
      </c>
      <c r="J948" s="830">
        <f t="shared" si="2"/>
        <v>0.06403785132</v>
      </c>
      <c r="K948" s="830"/>
    </row>
    <row r="949">
      <c r="A949" s="181" t="s">
        <v>523</v>
      </c>
      <c r="B949" s="181" t="s">
        <v>560</v>
      </c>
      <c r="C949" s="181">
        <v>5242880.0</v>
      </c>
      <c r="D949" s="181">
        <v>20.0</v>
      </c>
      <c r="E949" s="181">
        <v>51.13</v>
      </c>
      <c r="F949" s="181">
        <v>102.55</v>
      </c>
      <c r="G949" s="181">
        <v>97.42</v>
      </c>
      <c r="H949" s="828">
        <v>46096.0</v>
      </c>
      <c r="I949" s="829">
        <f t="shared" si="1"/>
        <v>5.534151111</v>
      </c>
      <c r="J949" s="830">
        <f t="shared" si="2"/>
        <v>0.108236869</v>
      </c>
      <c r="K949" s="830"/>
    </row>
    <row r="950">
      <c r="A950" s="181" t="s">
        <v>523</v>
      </c>
      <c r="B950" s="181" t="s">
        <v>560</v>
      </c>
      <c r="C950" s="181">
        <v>1.048576E7</v>
      </c>
      <c r="D950" s="181">
        <v>20.0</v>
      </c>
      <c r="E950" s="181">
        <v>72.74</v>
      </c>
      <c r="F950" s="181">
        <v>144.16</v>
      </c>
      <c r="G950" s="181">
        <v>136.95</v>
      </c>
      <c r="H950" s="828">
        <v>46096.0</v>
      </c>
      <c r="I950" s="829">
        <f t="shared" si="1"/>
        <v>11.06830222</v>
      </c>
      <c r="J950" s="830">
        <f t="shared" si="2"/>
        <v>0.1521625271</v>
      </c>
      <c r="K950" s="830"/>
    </row>
    <row r="951">
      <c r="A951" s="181" t="s">
        <v>523</v>
      </c>
      <c r="B951" s="181" t="s">
        <v>560</v>
      </c>
      <c r="C951" s="181">
        <v>2.097152E7</v>
      </c>
      <c r="D951" s="181">
        <v>20.0</v>
      </c>
      <c r="E951" s="181">
        <v>108.37</v>
      </c>
      <c r="F951" s="181">
        <v>193.52</v>
      </c>
      <c r="G951" s="181">
        <v>183.84</v>
      </c>
      <c r="H951" s="828">
        <v>46096.0</v>
      </c>
      <c r="I951" s="829">
        <f t="shared" si="1"/>
        <v>22.13660444</v>
      </c>
      <c r="J951" s="830">
        <f t="shared" si="2"/>
        <v>0.2042687501</v>
      </c>
      <c r="K951" s="830"/>
    </row>
    <row r="952">
      <c r="A952" s="181" t="s">
        <v>523</v>
      </c>
      <c r="B952" s="181" t="s">
        <v>560</v>
      </c>
      <c r="C952" s="181">
        <v>4.194304E7</v>
      </c>
      <c r="D952" s="181">
        <v>20.0</v>
      </c>
      <c r="E952" s="181">
        <v>104.83</v>
      </c>
      <c r="F952" s="181">
        <v>400.09</v>
      </c>
      <c r="G952" s="181">
        <v>380.08</v>
      </c>
      <c r="H952" s="828">
        <v>46096.0</v>
      </c>
      <c r="I952" s="829">
        <f t="shared" si="1"/>
        <v>44.27320889</v>
      </c>
      <c r="J952" s="830">
        <f t="shared" si="2"/>
        <v>0.4223333863</v>
      </c>
      <c r="K952" s="830"/>
    </row>
    <row r="953">
      <c r="A953" s="181" t="s">
        <v>523</v>
      </c>
      <c r="B953" s="181" t="s">
        <v>560</v>
      </c>
      <c r="C953" s="181">
        <v>8.388608E7</v>
      </c>
      <c r="D953" s="181">
        <v>20.0</v>
      </c>
      <c r="E953" s="181">
        <v>171.24</v>
      </c>
      <c r="F953" s="181">
        <v>489.88</v>
      </c>
      <c r="G953" s="181">
        <v>465.38</v>
      </c>
      <c r="H953" s="828">
        <v>46096.0</v>
      </c>
      <c r="I953" s="829">
        <f t="shared" si="1"/>
        <v>88.54641778</v>
      </c>
      <c r="J953" s="830">
        <f t="shared" si="2"/>
        <v>0.5170895689</v>
      </c>
      <c r="K953" s="830"/>
    </row>
    <row r="954">
      <c r="A954" s="181" t="s">
        <v>523</v>
      </c>
      <c r="B954" s="181" t="s">
        <v>560</v>
      </c>
      <c r="C954" s="181">
        <v>1.6777216E8</v>
      </c>
      <c r="D954" s="181">
        <v>20.0</v>
      </c>
      <c r="E954" s="181">
        <v>286.31</v>
      </c>
      <c r="F954" s="181">
        <v>585.98</v>
      </c>
      <c r="G954" s="181">
        <v>556.68</v>
      </c>
      <c r="H954" s="828">
        <v>46096.0</v>
      </c>
      <c r="I954" s="829">
        <f t="shared" si="1"/>
        <v>177.0928356</v>
      </c>
      <c r="J954" s="830">
        <f t="shared" si="2"/>
        <v>0.6185352784</v>
      </c>
      <c r="K954" s="830"/>
    </row>
    <row r="955">
      <c r="A955" s="181" t="s">
        <v>523</v>
      </c>
      <c r="B955" s="181" t="s">
        <v>560</v>
      </c>
      <c r="C955" s="181">
        <v>3.3554432E8</v>
      </c>
      <c r="D955" s="181">
        <v>20.0</v>
      </c>
      <c r="E955" s="181">
        <v>527.15</v>
      </c>
      <c r="F955" s="181">
        <v>636.52</v>
      </c>
      <c r="G955" s="181">
        <v>604.7</v>
      </c>
      <c r="H955" s="828">
        <v>46096.0</v>
      </c>
      <c r="I955" s="829">
        <f t="shared" si="1"/>
        <v>354.1856711</v>
      </c>
      <c r="J955" s="830">
        <f t="shared" si="2"/>
        <v>0.6718878329</v>
      </c>
      <c r="K955" s="830"/>
    </row>
    <row r="956">
      <c r="A956" s="181" t="s">
        <v>523</v>
      </c>
      <c r="B956" s="181" t="s">
        <v>560</v>
      </c>
      <c r="C956" s="181">
        <v>6.7108864E8</v>
      </c>
      <c r="D956" s="181">
        <v>20.0</v>
      </c>
      <c r="E956" s="181">
        <v>1022.56</v>
      </c>
      <c r="F956" s="181">
        <v>656.29</v>
      </c>
      <c r="G956" s="181">
        <v>623.47</v>
      </c>
      <c r="H956" s="828">
        <v>46096.0</v>
      </c>
      <c r="I956" s="829">
        <f t="shared" si="1"/>
        <v>708.3713422</v>
      </c>
      <c r="J956" s="830">
        <f t="shared" si="2"/>
        <v>0.6927430588</v>
      </c>
      <c r="K956" s="830"/>
    </row>
    <row r="957">
      <c r="A957" s="181" t="s">
        <v>523</v>
      </c>
      <c r="B957" s="181" t="s">
        <v>560</v>
      </c>
      <c r="C957" s="181">
        <v>1.34217728E9</v>
      </c>
      <c r="D957" s="181">
        <v>20.0</v>
      </c>
      <c r="E957" s="181">
        <v>2151.02</v>
      </c>
      <c r="F957" s="181">
        <v>623.97</v>
      </c>
      <c r="G957" s="181">
        <v>592.77</v>
      </c>
      <c r="H957" s="828">
        <v>46096.0</v>
      </c>
      <c r="I957" s="829">
        <f t="shared" si="1"/>
        <v>1416.742684</v>
      </c>
      <c r="J957" s="830">
        <f t="shared" si="2"/>
        <v>0.6586376158</v>
      </c>
      <c r="K957" s="830"/>
    </row>
    <row r="958">
      <c r="A958" s="181" t="s">
        <v>523</v>
      </c>
      <c r="B958" s="181" t="s">
        <v>560</v>
      </c>
      <c r="C958" s="181">
        <v>2.68435456E9</v>
      </c>
      <c r="D958" s="181">
        <v>20.0</v>
      </c>
      <c r="E958" s="181">
        <v>4002.47</v>
      </c>
      <c r="F958" s="181">
        <v>670.67</v>
      </c>
      <c r="G958" s="181">
        <v>637.14</v>
      </c>
      <c r="H958" s="828">
        <v>46096.0</v>
      </c>
      <c r="I958" s="829">
        <f t="shared" si="1"/>
        <v>2833.485369</v>
      </c>
      <c r="J958" s="830">
        <f t="shared" si="2"/>
        <v>0.7079341929</v>
      </c>
      <c r="K958" s="830"/>
    </row>
    <row r="959">
      <c r="A959" s="181" t="s">
        <v>523</v>
      </c>
      <c r="B959" s="181" t="s">
        <v>560</v>
      </c>
      <c r="C959" s="181">
        <v>5.36870912E9</v>
      </c>
      <c r="D959" s="181">
        <v>20.0</v>
      </c>
      <c r="E959" s="181">
        <v>7699.89</v>
      </c>
      <c r="F959" s="181">
        <v>697.25</v>
      </c>
      <c r="G959" s="181">
        <v>662.38</v>
      </c>
      <c r="H959" s="828">
        <v>46096.0</v>
      </c>
      <c r="I959" s="829">
        <f t="shared" si="1"/>
        <v>5666.970738</v>
      </c>
      <c r="J959" s="830">
        <f t="shared" si="2"/>
        <v>0.7359807397</v>
      </c>
      <c r="K959" s="830"/>
    </row>
    <row r="960">
      <c r="A960" s="181" t="s">
        <v>523</v>
      </c>
      <c r="B960" s="181" t="s">
        <v>560</v>
      </c>
      <c r="C960" s="181">
        <v>1.073741824E10</v>
      </c>
      <c r="D960" s="181">
        <v>20.0</v>
      </c>
      <c r="E960" s="181">
        <v>15040.9</v>
      </c>
      <c r="F960" s="181">
        <v>713.88</v>
      </c>
      <c r="G960" s="181">
        <v>678.19</v>
      </c>
      <c r="H960" s="828">
        <v>46096.0</v>
      </c>
      <c r="I960" s="829">
        <f t="shared" si="1"/>
        <v>11333.94148</v>
      </c>
      <c r="J960" s="830">
        <f t="shared" si="2"/>
        <v>0.753541442</v>
      </c>
      <c r="K960" s="830"/>
    </row>
    <row r="961">
      <c r="A961" s="181" t="s">
        <v>523</v>
      </c>
      <c r="B961" s="181" t="s">
        <v>560</v>
      </c>
      <c r="C961" s="181">
        <v>1408.0</v>
      </c>
      <c r="D961" s="181">
        <v>22.0</v>
      </c>
      <c r="E961" s="181">
        <v>39.93</v>
      </c>
      <c r="F961" s="181">
        <v>0.04</v>
      </c>
      <c r="G961" s="181">
        <v>0.03</v>
      </c>
      <c r="H961" s="828">
        <v>46096.0</v>
      </c>
      <c r="I961" s="829">
        <f t="shared" si="1"/>
        <v>0.001493333333</v>
      </c>
      <c r="J961" s="830">
        <f t="shared" si="2"/>
        <v>0.0000373987812</v>
      </c>
      <c r="K961" s="830"/>
    </row>
    <row r="962">
      <c r="A962" s="181" t="s">
        <v>523</v>
      </c>
      <c r="B962" s="181" t="s">
        <v>560</v>
      </c>
      <c r="C962" s="181">
        <v>2816.0</v>
      </c>
      <c r="D962" s="181">
        <v>22.0</v>
      </c>
      <c r="E962" s="181">
        <v>40.36</v>
      </c>
      <c r="F962" s="181">
        <v>0.07</v>
      </c>
      <c r="G962" s="181">
        <v>0.07</v>
      </c>
      <c r="H962" s="828">
        <v>46096.0</v>
      </c>
      <c r="I962" s="829">
        <f t="shared" si="1"/>
        <v>0.002986666667</v>
      </c>
      <c r="J962" s="830">
        <f t="shared" si="2"/>
        <v>0.00007400066072</v>
      </c>
      <c r="K962" s="830"/>
    </row>
    <row r="963">
      <c r="A963" s="181" t="s">
        <v>523</v>
      </c>
      <c r="B963" s="181" t="s">
        <v>560</v>
      </c>
      <c r="C963" s="181">
        <v>5632.0</v>
      </c>
      <c r="D963" s="181">
        <v>22.0</v>
      </c>
      <c r="E963" s="181">
        <v>40.52</v>
      </c>
      <c r="F963" s="181">
        <v>0.14</v>
      </c>
      <c r="G963" s="181">
        <v>0.13</v>
      </c>
      <c r="H963" s="828">
        <v>46096.0</v>
      </c>
      <c r="I963" s="829">
        <f t="shared" si="1"/>
        <v>0.005973333333</v>
      </c>
      <c r="J963" s="830">
        <f t="shared" si="2"/>
        <v>0.0001474169135</v>
      </c>
      <c r="K963" s="830"/>
    </row>
    <row r="964">
      <c r="A964" s="181" t="s">
        <v>523</v>
      </c>
      <c r="B964" s="181" t="s">
        <v>560</v>
      </c>
      <c r="C964" s="181">
        <v>11264.0</v>
      </c>
      <c r="D964" s="181">
        <v>22.0</v>
      </c>
      <c r="E964" s="181">
        <v>41.45</v>
      </c>
      <c r="F964" s="181">
        <v>0.27</v>
      </c>
      <c r="G964" s="181">
        <v>0.26</v>
      </c>
      <c r="H964" s="828">
        <v>46096.0</v>
      </c>
      <c r="I964" s="829">
        <f t="shared" si="1"/>
        <v>0.01194666667</v>
      </c>
      <c r="J964" s="830">
        <f t="shared" si="2"/>
        <v>0.0002882187374</v>
      </c>
      <c r="K964" s="830"/>
    </row>
    <row r="965">
      <c r="A965" s="181" t="s">
        <v>523</v>
      </c>
      <c r="B965" s="181" t="s">
        <v>560</v>
      </c>
      <c r="C965" s="181">
        <v>22528.0</v>
      </c>
      <c r="D965" s="181">
        <v>22.0</v>
      </c>
      <c r="E965" s="181">
        <v>41.52</v>
      </c>
      <c r="F965" s="181">
        <v>0.54</v>
      </c>
      <c r="G965" s="181">
        <v>0.52</v>
      </c>
      <c r="H965" s="828">
        <v>46096.0</v>
      </c>
      <c r="I965" s="829">
        <f t="shared" si="1"/>
        <v>0.02389333333</v>
      </c>
      <c r="J965" s="830">
        <f t="shared" si="2"/>
        <v>0.000575465639</v>
      </c>
      <c r="K965" s="830"/>
    </row>
    <row r="966">
      <c r="A966" s="181" t="s">
        <v>523</v>
      </c>
      <c r="B966" s="181" t="s">
        <v>560</v>
      </c>
      <c r="C966" s="181">
        <v>45056.0</v>
      </c>
      <c r="D966" s="181">
        <v>22.0</v>
      </c>
      <c r="E966" s="181">
        <v>42.34</v>
      </c>
      <c r="F966" s="181">
        <v>1.06</v>
      </c>
      <c r="G966" s="181">
        <v>1.02</v>
      </c>
      <c r="H966" s="828">
        <v>46096.0</v>
      </c>
      <c r="I966" s="829">
        <f t="shared" si="1"/>
        <v>0.04778666667</v>
      </c>
      <c r="J966" s="830">
        <f t="shared" si="2"/>
        <v>0.001128641159</v>
      </c>
      <c r="K966" s="830"/>
    </row>
    <row r="967">
      <c r="A967" s="181" t="s">
        <v>523</v>
      </c>
      <c r="B967" s="181" t="s">
        <v>560</v>
      </c>
      <c r="C967" s="181">
        <v>90112.0</v>
      </c>
      <c r="D967" s="181">
        <v>22.0</v>
      </c>
      <c r="E967" s="181">
        <v>43.94</v>
      </c>
      <c r="F967" s="181">
        <v>2.05</v>
      </c>
      <c r="G967" s="181">
        <v>1.96</v>
      </c>
      <c r="H967" s="828">
        <v>46096.0</v>
      </c>
      <c r="I967" s="829">
        <f t="shared" si="1"/>
        <v>0.09557333333</v>
      </c>
      <c r="J967" s="830">
        <f t="shared" si="2"/>
        <v>0.00217508724</v>
      </c>
      <c r="K967" s="830"/>
    </row>
    <row r="968">
      <c r="A968" s="181" t="s">
        <v>523</v>
      </c>
      <c r="B968" s="181" t="s">
        <v>560</v>
      </c>
      <c r="C968" s="181">
        <v>180224.0</v>
      </c>
      <c r="D968" s="181">
        <v>22.0</v>
      </c>
      <c r="E968" s="181">
        <v>45.2</v>
      </c>
      <c r="F968" s="181">
        <v>3.99</v>
      </c>
      <c r="G968" s="181">
        <v>3.81</v>
      </c>
      <c r="H968" s="828">
        <v>46096.0</v>
      </c>
      <c r="I968" s="829">
        <f t="shared" si="1"/>
        <v>0.1911466667</v>
      </c>
      <c r="J968" s="830">
        <f t="shared" si="2"/>
        <v>0.004228908555</v>
      </c>
      <c r="K968" s="830"/>
    </row>
    <row r="969">
      <c r="A969" s="181" t="s">
        <v>523</v>
      </c>
      <c r="B969" s="181" t="s">
        <v>560</v>
      </c>
      <c r="C969" s="181">
        <v>360448.0</v>
      </c>
      <c r="D969" s="181">
        <v>22.0</v>
      </c>
      <c r="E969" s="181">
        <v>44.79</v>
      </c>
      <c r="F969" s="181">
        <v>8.05</v>
      </c>
      <c r="G969" s="181">
        <v>7.68</v>
      </c>
      <c r="H969" s="828">
        <v>46096.0</v>
      </c>
      <c r="I969" s="829">
        <f t="shared" si="1"/>
        <v>0.3822933333</v>
      </c>
      <c r="J969" s="830">
        <f t="shared" si="2"/>
        <v>0.008535238521</v>
      </c>
      <c r="K969" s="830"/>
    </row>
    <row r="970">
      <c r="A970" s="181" t="s">
        <v>523</v>
      </c>
      <c r="B970" s="181" t="s">
        <v>560</v>
      </c>
      <c r="C970" s="181">
        <v>720896.0</v>
      </c>
      <c r="D970" s="181">
        <v>22.0</v>
      </c>
      <c r="E970" s="181">
        <v>45.22</v>
      </c>
      <c r="F970" s="181">
        <v>15.94</v>
      </c>
      <c r="G970" s="181">
        <v>15.22</v>
      </c>
      <c r="H970" s="828">
        <v>46096.0</v>
      </c>
      <c r="I970" s="829">
        <f t="shared" si="1"/>
        <v>0.7645866667</v>
      </c>
      <c r="J970" s="830">
        <f t="shared" si="2"/>
        <v>0.01690815273</v>
      </c>
      <c r="K970" s="830"/>
    </row>
    <row r="971">
      <c r="A971" s="181" t="s">
        <v>523</v>
      </c>
      <c r="B971" s="181" t="s">
        <v>560</v>
      </c>
      <c r="C971" s="181">
        <v>1441792.0</v>
      </c>
      <c r="D971" s="181">
        <v>22.0</v>
      </c>
      <c r="E971" s="181">
        <v>46.28</v>
      </c>
      <c r="F971" s="181">
        <v>31.15</v>
      </c>
      <c r="G971" s="181">
        <v>29.74</v>
      </c>
      <c r="H971" s="828">
        <v>46096.0</v>
      </c>
      <c r="I971" s="829">
        <f t="shared" si="1"/>
        <v>1.529173333</v>
      </c>
      <c r="J971" s="830">
        <f t="shared" si="2"/>
        <v>0.0330417747</v>
      </c>
      <c r="K971" s="830"/>
    </row>
    <row r="972">
      <c r="A972" s="181" t="s">
        <v>523</v>
      </c>
      <c r="B972" s="181" t="s">
        <v>560</v>
      </c>
      <c r="C972" s="181">
        <v>2883584.0</v>
      </c>
      <c r="D972" s="181">
        <v>22.0</v>
      </c>
      <c r="E972" s="181">
        <v>46.08</v>
      </c>
      <c r="F972" s="181">
        <v>62.58</v>
      </c>
      <c r="G972" s="181">
        <v>59.73</v>
      </c>
      <c r="H972" s="828">
        <v>46096.0</v>
      </c>
      <c r="I972" s="829">
        <f t="shared" si="1"/>
        <v>3.058346667</v>
      </c>
      <c r="J972" s="830">
        <f t="shared" si="2"/>
        <v>0.06637037037</v>
      </c>
      <c r="K972" s="830"/>
    </row>
    <row r="973">
      <c r="A973" s="181" t="s">
        <v>523</v>
      </c>
      <c r="B973" s="181" t="s">
        <v>560</v>
      </c>
      <c r="C973" s="181">
        <v>5767168.0</v>
      </c>
      <c r="D973" s="181">
        <v>22.0</v>
      </c>
      <c r="E973" s="181">
        <v>62.75</v>
      </c>
      <c r="F973" s="181">
        <v>91.91</v>
      </c>
      <c r="G973" s="181">
        <v>87.73</v>
      </c>
      <c r="H973" s="828">
        <v>46096.0</v>
      </c>
      <c r="I973" s="829">
        <f t="shared" si="1"/>
        <v>6.116693333</v>
      </c>
      <c r="J973" s="830">
        <f t="shared" si="2"/>
        <v>0.09747718459</v>
      </c>
      <c r="K973" s="830"/>
    </row>
    <row r="974">
      <c r="A974" s="181" t="s">
        <v>523</v>
      </c>
      <c r="B974" s="181" t="s">
        <v>560</v>
      </c>
      <c r="C974" s="181">
        <v>1.1534336E7</v>
      </c>
      <c r="D974" s="181">
        <v>22.0</v>
      </c>
      <c r="E974" s="181">
        <v>77.95</v>
      </c>
      <c r="F974" s="181">
        <v>147.97</v>
      </c>
      <c r="G974" s="181">
        <v>141.24</v>
      </c>
      <c r="H974" s="828">
        <v>46096.0</v>
      </c>
      <c r="I974" s="829">
        <f t="shared" si="1"/>
        <v>12.23338667</v>
      </c>
      <c r="J974" s="830">
        <f t="shared" si="2"/>
        <v>0.1569388925</v>
      </c>
      <c r="K974" s="830"/>
    </row>
    <row r="975">
      <c r="A975" s="181" t="s">
        <v>523</v>
      </c>
      <c r="B975" s="181" t="s">
        <v>560</v>
      </c>
      <c r="C975" s="181">
        <v>2.3068672E7</v>
      </c>
      <c r="D975" s="181">
        <v>22.0</v>
      </c>
      <c r="E975" s="181">
        <v>117.91</v>
      </c>
      <c r="F975" s="181">
        <v>195.65</v>
      </c>
      <c r="G975" s="181">
        <v>186.75</v>
      </c>
      <c r="H975" s="828">
        <v>46096.0</v>
      </c>
      <c r="I975" s="829">
        <f t="shared" si="1"/>
        <v>24.46677333</v>
      </c>
      <c r="J975" s="830">
        <f t="shared" si="2"/>
        <v>0.2075038023</v>
      </c>
      <c r="K975" s="830"/>
    </row>
    <row r="976">
      <c r="A976" s="181" t="s">
        <v>523</v>
      </c>
      <c r="B976" s="181" t="s">
        <v>560</v>
      </c>
      <c r="C976" s="181">
        <v>4.6137344E7</v>
      </c>
      <c r="D976" s="181">
        <v>22.0</v>
      </c>
      <c r="E976" s="181">
        <v>114.32</v>
      </c>
      <c r="F976" s="181">
        <v>403.58</v>
      </c>
      <c r="G976" s="181">
        <v>385.24</v>
      </c>
      <c r="H976" s="828">
        <v>46096.0</v>
      </c>
      <c r="I976" s="829">
        <f t="shared" si="1"/>
        <v>48.93354667</v>
      </c>
      <c r="J976" s="830">
        <f t="shared" si="2"/>
        <v>0.4280401213</v>
      </c>
      <c r="K976" s="830"/>
    </row>
    <row r="977">
      <c r="A977" s="181" t="s">
        <v>523</v>
      </c>
      <c r="B977" s="181" t="s">
        <v>560</v>
      </c>
      <c r="C977" s="181">
        <v>9.2274688E7</v>
      </c>
      <c r="D977" s="181">
        <v>22.0</v>
      </c>
      <c r="E977" s="181">
        <v>190.83</v>
      </c>
      <c r="F977" s="181">
        <v>483.54</v>
      </c>
      <c r="G977" s="181">
        <v>461.56</v>
      </c>
      <c r="H977" s="828">
        <v>46096.0</v>
      </c>
      <c r="I977" s="829">
        <f t="shared" si="1"/>
        <v>97.86709333</v>
      </c>
      <c r="J977" s="830">
        <f t="shared" si="2"/>
        <v>0.5128496218</v>
      </c>
      <c r="K977" s="830"/>
    </row>
    <row r="978">
      <c r="A978" s="181" t="s">
        <v>523</v>
      </c>
      <c r="B978" s="181" t="s">
        <v>560</v>
      </c>
      <c r="C978" s="181">
        <v>1.84549376E8</v>
      </c>
      <c r="D978" s="181">
        <v>22.0</v>
      </c>
      <c r="E978" s="181">
        <v>320.57</v>
      </c>
      <c r="F978" s="181">
        <v>575.69</v>
      </c>
      <c r="G978" s="181">
        <v>549.52</v>
      </c>
      <c r="H978" s="828">
        <v>46096.0</v>
      </c>
      <c r="I978" s="829">
        <f t="shared" si="1"/>
        <v>195.7341867</v>
      </c>
      <c r="J978" s="830">
        <f t="shared" si="2"/>
        <v>0.6105817346</v>
      </c>
      <c r="K978" s="830"/>
    </row>
    <row r="979">
      <c r="A979" s="181" t="s">
        <v>523</v>
      </c>
      <c r="B979" s="181" t="s">
        <v>560</v>
      </c>
      <c r="C979" s="181">
        <v>3.69098752E8</v>
      </c>
      <c r="D979" s="181">
        <v>22.0</v>
      </c>
      <c r="E979" s="181">
        <v>577.55</v>
      </c>
      <c r="F979" s="181">
        <v>639.08</v>
      </c>
      <c r="G979" s="181">
        <v>610.03</v>
      </c>
      <c r="H979" s="828">
        <v>46096.0</v>
      </c>
      <c r="I979" s="829">
        <f t="shared" si="1"/>
        <v>391.4683733</v>
      </c>
      <c r="J979" s="830">
        <f t="shared" si="2"/>
        <v>0.6778086284</v>
      </c>
      <c r="K979" s="830"/>
    </row>
    <row r="980">
      <c r="A980" s="181" t="s">
        <v>523</v>
      </c>
      <c r="B980" s="181" t="s">
        <v>560</v>
      </c>
      <c r="C980" s="181">
        <v>7.38197504E8</v>
      </c>
      <c r="D980" s="181">
        <v>22.0</v>
      </c>
      <c r="E980" s="181">
        <v>1121.15</v>
      </c>
      <c r="F980" s="181">
        <v>658.43</v>
      </c>
      <c r="G980" s="181">
        <v>628.5</v>
      </c>
      <c r="H980" s="828">
        <v>46096.0</v>
      </c>
      <c r="I980" s="829">
        <f t="shared" si="1"/>
        <v>782.9367467</v>
      </c>
      <c r="J980" s="830">
        <f t="shared" si="2"/>
        <v>0.6983336277</v>
      </c>
      <c r="K980" s="830"/>
    </row>
    <row r="981">
      <c r="A981" s="181" t="s">
        <v>523</v>
      </c>
      <c r="B981" s="181" t="s">
        <v>560</v>
      </c>
      <c r="C981" s="181">
        <v>1.476395008E9</v>
      </c>
      <c r="D981" s="181">
        <v>22.0</v>
      </c>
      <c r="E981" s="181">
        <v>2363.39</v>
      </c>
      <c r="F981" s="181">
        <v>624.69</v>
      </c>
      <c r="G981" s="181">
        <v>596.3</v>
      </c>
      <c r="H981" s="828">
        <v>46096.0</v>
      </c>
      <c r="I981" s="829">
        <f t="shared" si="1"/>
        <v>1565.873493</v>
      </c>
      <c r="J981" s="830">
        <f t="shared" si="2"/>
        <v>0.662553998</v>
      </c>
      <c r="K981" s="830"/>
    </row>
    <row r="982">
      <c r="A982" s="181" t="s">
        <v>523</v>
      </c>
      <c r="B982" s="181" t="s">
        <v>560</v>
      </c>
      <c r="C982" s="181">
        <v>2.952790016E9</v>
      </c>
      <c r="D982" s="181">
        <v>22.0</v>
      </c>
      <c r="E982" s="181">
        <v>4410.94</v>
      </c>
      <c r="F982" s="181">
        <v>669.42</v>
      </c>
      <c r="G982" s="181">
        <v>639.0</v>
      </c>
      <c r="H982" s="828">
        <v>46096.0</v>
      </c>
      <c r="I982" s="829">
        <f t="shared" si="1"/>
        <v>3131.746987</v>
      </c>
      <c r="J982" s="830">
        <f t="shared" si="2"/>
        <v>0.7099953721</v>
      </c>
      <c r="K982" s="830"/>
    </row>
    <row r="983">
      <c r="A983" s="181" t="s">
        <v>523</v>
      </c>
      <c r="B983" s="181" t="s">
        <v>560</v>
      </c>
      <c r="C983" s="181">
        <v>5.905580032E9</v>
      </c>
      <c r="D983" s="181">
        <v>22.0</v>
      </c>
      <c r="E983" s="181">
        <v>8472.7</v>
      </c>
      <c r="F983" s="181">
        <v>697.01</v>
      </c>
      <c r="G983" s="181">
        <v>665.33</v>
      </c>
      <c r="H983" s="828">
        <v>46096.0</v>
      </c>
      <c r="I983" s="829">
        <f t="shared" si="1"/>
        <v>6263.493973</v>
      </c>
      <c r="J983" s="830">
        <f t="shared" si="2"/>
        <v>0.7392559601</v>
      </c>
      <c r="K983" s="830"/>
    </row>
    <row r="984">
      <c r="A984" s="181" t="s">
        <v>523</v>
      </c>
      <c r="B984" s="181" t="s">
        <v>560</v>
      </c>
      <c r="C984" s="181">
        <v>1.1811160064E10</v>
      </c>
      <c r="D984" s="181">
        <v>22.0</v>
      </c>
      <c r="E984" s="181">
        <v>16691.0</v>
      </c>
      <c r="F984" s="181">
        <v>707.64</v>
      </c>
      <c r="G984" s="181">
        <v>675.47</v>
      </c>
      <c r="H984" s="828">
        <v>46096.0</v>
      </c>
      <c r="I984" s="829">
        <f t="shared" si="1"/>
        <v>12526.98795</v>
      </c>
      <c r="J984" s="830">
        <f t="shared" si="2"/>
        <v>0.7505235125</v>
      </c>
      <c r="K984" s="830"/>
    </row>
    <row r="985">
      <c r="A985" s="181" t="s">
        <v>523</v>
      </c>
      <c r="B985" s="181" t="s">
        <v>560</v>
      </c>
      <c r="C985" s="181">
        <v>1536.0</v>
      </c>
      <c r="D985" s="181">
        <v>24.0</v>
      </c>
      <c r="E985" s="181">
        <v>44.36</v>
      </c>
      <c r="F985" s="181">
        <v>0.03</v>
      </c>
      <c r="G985" s="181">
        <v>0.03</v>
      </c>
      <c r="H985" s="828">
        <v>46096.0</v>
      </c>
      <c r="I985" s="829">
        <f t="shared" si="1"/>
        <v>0.001635555556</v>
      </c>
      <c r="J985" s="830">
        <f t="shared" si="2"/>
        <v>0.0000368700531</v>
      </c>
      <c r="K985" s="830"/>
    </row>
    <row r="986">
      <c r="A986" s="181" t="s">
        <v>523</v>
      </c>
      <c r="B986" s="181" t="s">
        <v>560</v>
      </c>
      <c r="C986" s="181">
        <v>3072.0</v>
      </c>
      <c r="D986" s="181">
        <v>24.0</v>
      </c>
      <c r="E986" s="181">
        <v>43.08</v>
      </c>
      <c r="F986" s="181">
        <v>0.07</v>
      </c>
      <c r="G986" s="181">
        <v>0.07</v>
      </c>
      <c r="H986" s="828">
        <v>46096.0</v>
      </c>
      <c r="I986" s="829">
        <f t="shared" si="1"/>
        <v>0.003271111111</v>
      </c>
      <c r="J986" s="830">
        <f t="shared" si="2"/>
        <v>0.00007593108429</v>
      </c>
      <c r="K986" s="830"/>
    </row>
    <row r="987">
      <c r="A987" s="181" t="s">
        <v>523</v>
      </c>
      <c r="B987" s="181" t="s">
        <v>560</v>
      </c>
      <c r="C987" s="181">
        <v>6144.0</v>
      </c>
      <c r="D987" s="181">
        <v>24.0</v>
      </c>
      <c r="E987" s="181">
        <v>42.72</v>
      </c>
      <c r="F987" s="181">
        <v>0.14</v>
      </c>
      <c r="G987" s="181">
        <v>0.14</v>
      </c>
      <c r="H987" s="828">
        <v>46096.0</v>
      </c>
      <c r="I987" s="829">
        <f t="shared" si="1"/>
        <v>0.006542222222</v>
      </c>
      <c r="J987" s="830">
        <f t="shared" si="2"/>
        <v>0.000153141906</v>
      </c>
      <c r="K987" s="830"/>
    </row>
    <row r="988">
      <c r="A988" s="181" t="s">
        <v>523</v>
      </c>
      <c r="B988" s="181" t="s">
        <v>560</v>
      </c>
      <c r="C988" s="181">
        <v>12288.0</v>
      </c>
      <c r="D988" s="181">
        <v>24.0</v>
      </c>
      <c r="E988" s="181">
        <v>44.12</v>
      </c>
      <c r="F988" s="181">
        <v>0.28</v>
      </c>
      <c r="G988" s="181">
        <v>0.27</v>
      </c>
      <c r="H988" s="828">
        <v>46096.0</v>
      </c>
      <c r="I988" s="829">
        <f t="shared" si="1"/>
        <v>0.01308444444</v>
      </c>
      <c r="J988" s="830">
        <f t="shared" si="2"/>
        <v>0.0002965649239</v>
      </c>
      <c r="K988" s="830"/>
    </row>
    <row r="989">
      <c r="A989" s="181" t="s">
        <v>523</v>
      </c>
      <c r="B989" s="181" t="s">
        <v>560</v>
      </c>
      <c r="C989" s="181">
        <v>24576.0</v>
      </c>
      <c r="D989" s="181">
        <v>24.0</v>
      </c>
      <c r="E989" s="181">
        <v>44.22</v>
      </c>
      <c r="F989" s="181">
        <v>0.56</v>
      </c>
      <c r="G989" s="181">
        <v>0.53</v>
      </c>
      <c r="H989" s="828">
        <v>46096.0</v>
      </c>
      <c r="I989" s="829">
        <f t="shared" si="1"/>
        <v>0.02616888889</v>
      </c>
      <c r="J989" s="830">
        <f t="shared" si="2"/>
        <v>0.0005917885321</v>
      </c>
      <c r="K989" s="830"/>
    </row>
    <row r="990">
      <c r="A990" s="181" t="s">
        <v>523</v>
      </c>
      <c r="B990" s="181" t="s">
        <v>560</v>
      </c>
      <c r="C990" s="181">
        <v>49152.0</v>
      </c>
      <c r="D990" s="181">
        <v>24.0</v>
      </c>
      <c r="E990" s="181">
        <v>44.54</v>
      </c>
      <c r="F990" s="181">
        <v>1.1</v>
      </c>
      <c r="G990" s="181">
        <v>1.06</v>
      </c>
      <c r="H990" s="828">
        <v>46096.0</v>
      </c>
      <c r="I990" s="829">
        <f t="shared" si="1"/>
        <v>0.05233777778</v>
      </c>
      <c r="J990" s="830">
        <f t="shared" si="2"/>
        <v>0.001175073592</v>
      </c>
      <c r="K990" s="830"/>
    </row>
    <row r="991">
      <c r="A991" s="181" t="s">
        <v>523</v>
      </c>
      <c r="B991" s="181" t="s">
        <v>560</v>
      </c>
      <c r="C991" s="181">
        <v>98304.0</v>
      </c>
      <c r="D991" s="181">
        <v>24.0</v>
      </c>
      <c r="E991" s="181">
        <v>46.29</v>
      </c>
      <c r="F991" s="181">
        <v>2.12</v>
      </c>
      <c r="G991" s="181">
        <v>2.04</v>
      </c>
      <c r="H991" s="828">
        <v>46096.0</v>
      </c>
      <c r="I991" s="829">
        <f t="shared" si="1"/>
        <v>0.1046755556</v>
      </c>
      <c r="J991" s="830">
        <f t="shared" si="2"/>
        <v>0.002261299537</v>
      </c>
      <c r="K991" s="830"/>
    </row>
    <row r="992">
      <c r="A992" s="181" t="s">
        <v>523</v>
      </c>
      <c r="B992" s="181" t="s">
        <v>560</v>
      </c>
      <c r="C992" s="181">
        <v>196608.0</v>
      </c>
      <c r="D992" s="181">
        <v>24.0</v>
      </c>
      <c r="E992" s="181">
        <v>47.76</v>
      </c>
      <c r="F992" s="181">
        <v>4.12</v>
      </c>
      <c r="G992" s="181">
        <v>3.94</v>
      </c>
      <c r="H992" s="828">
        <v>46096.0</v>
      </c>
      <c r="I992" s="829">
        <f t="shared" si="1"/>
        <v>0.2093511111</v>
      </c>
      <c r="J992" s="830">
        <f t="shared" si="2"/>
        <v>0.004383398474</v>
      </c>
      <c r="K992" s="830"/>
    </row>
    <row r="993">
      <c r="A993" s="181" t="s">
        <v>523</v>
      </c>
      <c r="B993" s="181" t="s">
        <v>560</v>
      </c>
      <c r="C993" s="181">
        <v>393216.0</v>
      </c>
      <c r="D993" s="181">
        <v>24.0</v>
      </c>
      <c r="E993" s="181">
        <v>48.38</v>
      </c>
      <c r="F993" s="181">
        <v>8.13</v>
      </c>
      <c r="G993" s="181">
        <v>7.79</v>
      </c>
      <c r="H993" s="828">
        <v>46096.0</v>
      </c>
      <c r="I993" s="829">
        <f t="shared" si="1"/>
        <v>0.4187022222</v>
      </c>
      <c r="J993" s="830">
        <f t="shared" si="2"/>
        <v>0.008654448578</v>
      </c>
      <c r="K993" s="830"/>
    </row>
    <row r="994">
      <c r="A994" s="181" t="s">
        <v>523</v>
      </c>
      <c r="B994" s="181" t="s">
        <v>560</v>
      </c>
      <c r="C994" s="181">
        <v>786432.0</v>
      </c>
      <c r="D994" s="181">
        <v>24.0</v>
      </c>
      <c r="E994" s="181">
        <v>48.57</v>
      </c>
      <c r="F994" s="181">
        <v>16.19</v>
      </c>
      <c r="G994" s="181">
        <v>15.52</v>
      </c>
      <c r="H994" s="828">
        <v>46096.0</v>
      </c>
      <c r="I994" s="829">
        <f t="shared" si="1"/>
        <v>0.8374044444</v>
      </c>
      <c r="J994" s="830">
        <f t="shared" si="2"/>
        <v>0.01724118683</v>
      </c>
      <c r="K994" s="830"/>
    </row>
    <row r="995">
      <c r="A995" s="181" t="s">
        <v>523</v>
      </c>
      <c r="B995" s="181" t="s">
        <v>560</v>
      </c>
      <c r="C995" s="181">
        <v>1572864.0</v>
      </c>
      <c r="D995" s="181">
        <v>24.0</v>
      </c>
      <c r="E995" s="181">
        <v>49.71</v>
      </c>
      <c r="F995" s="181">
        <v>31.64</v>
      </c>
      <c r="G995" s="181">
        <v>30.32</v>
      </c>
      <c r="H995" s="828">
        <v>46096.0</v>
      </c>
      <c r="I995" s="829">
        <f t="shared" si="1"/>
        <v>1.674808889</v>
      </c>
      <c r="J995" s="830">
        <f t="shared" si="2"/>
        <v>0.03369158899</v>
      </c>
      <c r="K995" s="830"/>
    </row>
    <row r="996">
      <c r="A996" s="181" t="s">
        <v>523</v>
      </c>
      <c r="B996" s="181" t="s">
        <v>560</v>
      </c>
      <c r="C996" s="181">
        <v>3145728.0</v>
      </c>
      <c r="D996" s="181">
        <v>24.0</v>
      </c>
      <c r="E996" s="181">
        <v>49.51</v>
      </c>
      <c r="F996" s="181">
        <v>63.54</v>
      </c>
      <c r="G996" s="181">
        <v>60.9</v>
      </c>
      <c r="H996" s="828">
        <v>46096.0</v>
      </c>
      <c r="I996" s="829">
        <f t="shared" si="1"/>
        <v>3.349617778</v>
      </c>
      <c r="J996" s="830">
        <f t="shared" si="2"/>
        <v>0.06765537826</v>
      </c>
      <c r="K996" s="830"/>
    </row>
    <row r="997">
      <c r="A997" s="181" t="s">
        <v>523</v>
      </c>
      <c r="B997" s="181" t="s">
        <v>560</v>
      </c>
      <c r="C997" s="181">
        <v>6291456.0</v>
      </c>
      <c r="D997" s="181">
        <v>24.0</v>
      </c>
      <c r="E997" s="181">
        <v>54.54</v>
      </c>
      <c r="F997" s="181">
        <v>115.36</v>
      </c>
      <c r="G997" s="181">
        <v>110.56</v>
      </c>
      <c r="H997" s="828">
        <v>46096.0</v>
      </c>
      <c r="I997" s="829">
        <f t="shared" si="1"/>
        <v>6.699235556</v>
      </c>
      <c r="J997" s="830">
        <f t="shared" si="2"/>
        <v>0.1228316017</v>
      </c>
      <c r="K997" s="830"/>
    </row>
    <row r="998">
      <c r="A998" s="181" t="s">
        <v>523</v>
      </c>
      <c r="B998" s="181" t="s">
        <v>560</v>
      </c>
      <c r="C998" s="181">
        <v>1.2582912E7</v>
      </c>
      <c r="D998" s="181">
        <v>24.0</v>
      </c>
      <c r="E998" s="181">
        <v>82.34</v>
      </c>
      <c r="F998" s="181">
        <v>152.82</v>
      </c>
      <c r="G998" s="181">
        <v>146.45</v>
      </c>
      <c r="H998" s="828">
        <v>46096.0</v>
      </c>
      <c r="I998" s="829">
        <f t="shared" si="1"/>
        <v>13.39847111</v>
      </c>
      <c r="J998" s="830">
        <f t="shared" si="2"/>
        <v>0.1627212911</v>
      </c>
      <c r="K998" s="830"/>
    </row>
    <row r="999">
      <c r="A999" s="181" t="s">
        <v>523</v>
      </c>
      <c r="B999" s="181" t="s">
        <v>560</v>
      </c>
      <c r="C999" s="181">
        <v>2.5165824E7</v>
      </c>
      <c r="D999" s="181">
        <v>24.0</v>
      </c>
      <c r="E999" s="181">
        <v>114.63</v>
      </c>
      <c r="F999" s="181">
        <v>219.53</v>
      </c>
      <c r="G999" s="181">
        <v>210.39</v>
      </c>
      <c r="H999" s="828">
        <v>46096.0</v>
      </c>
      <c r="I999" s="829">
        <f t="shared" si="1"/>
        <v>26.79694222</v>
      </c>
      <c r="J999" s="830">
        <f t="shared" si="2"/>
        <v>0.2337690153</v>
      </c>
      <c r="K999" s="830"/>
    </row>
    <row r="1000">
      <c r="A1000" s="181" t="s">
        <v>523</v>
      </c>
      <c r="B1000" s="181" t="s">
        <v>560</v>
      </c>
      <c r="C1000" s="181">
        <v>5.0331648E7</v>
      </c>
      <c r="D1000" s="181">
        <v>24.0</v>
      </c>
      <c r="E1000" s="181">
        <v>123.74</v>
      </c>
      <c r="F1000" s="181">
        <v>406.75</v>
      </c>
      <c r="G1000" s="181">
        <v>389.8</v>
      </c>
      <c r="H1000" s="828">
        <v>46096.0</v>
      </c>
      <c r="I1000" s="829">
        <f t="shared" si="1"/>
        <v>53.59388444</v>
      </c>
      <c r="J1000" s="830">
        <f t="shared" si="2"/>
        <v>0.4331168938</v>
      </c>
      <c r="K1000" s="830"/>
    </row>
    <row r="1001">
      <c r="A1001" s="181" t="s">
        <v>523</v>
      </c>
      <c r="B1001" s="181" t="s">
        <v>560</v>
      </c>
      <c r="C1001" s="181">
        <v>1.00663296E8</v>
      </c>
      <c r="D1001" s="181">
        <v>24.0</v>
      </c>
      <c r="E1001" s="181">
        <v>206.4</v>
      </c>
      <c r="F1001" s="181">
        <v>487.7</v>
      </c>
      <c r="G1001" s="181">
        <v>467.38</v>
      </c>
      <c r="H1001" s="828">
        <v>46096.0</v>
      </c>
      <c r="I1001" s="829">
        <f t="shared" si="1"/>
        <v>107.1877689</v>
      </c>
      <c r="J1001" s="830">
        <f t="shared" si="2"/>
        <v>0.5193205857</v>
      </c>
      <c r="K1001" s="830"/>
    </row>
    <row r="1002">
      <c r="A1002" s="181" t="s">
        <v>523</v>
      </c>
      <c r="B1002" s="181" t="s">
        <v>560</v>
      </c>
      <c r="C1002" s="181">
        <v>2.01326592E8</v>
      </c>
      <c r="D1002" s="181">
        <v>24.0</v>
      </c>
      <c r="E1002" s="181">
        <v>341.26</v>
      </c>
      <c r="F1002" s="181">
        <v>589.95</v>
      </c>
      <c r="G1002" s="181">
        <v>565.36</v>
      </c>
      <c r="H1002" s="828">
        <v>46096.0</v>
      </c>
      <c r="I1002" s="829">
        <f t="shared" si="1"/>
        <v>214.3755378</v>
      </c>
      <c r="J1002" s="830">
        <f t="shared" si="2"/>
        <v>0.6281882957</v>
      </c>
      <c r="K1002" s="830"/>
    </row>
    <row r="1003">
      <c r="A1003" s="181" t="s">
        <v>523</v>
      </c>
      <c r="B1003" s="181" t="s">
        <v>560</v>
      </c>
      <c r="C1003" s="181">
        <v>4.02653184E8</v>
      </c>
      <c r="D1003" s="181">
        <v>24.0</v>
      </c>
      <c r="E1003" s="181">
        <v>629.02</v>
      </c>
      <c r="F1003" s="181">
        <v>640.13</v>
      </c>
      <c r="G1003" s="181">
        <v>613.46</v>
      </c>
      <c r="H1003" s="828">
        <v>46096.0</v>
      </c>
      <c r="I1003" s="829">
        <f t="shared" si="1"/>
        <v>428.7510756</v>
      </c>
      <c r="J1003" s="830">
        <f t="shared" si="2"/>
        <v>0.6816175568</v>
      </c>
      <c r="K1003" s="830"/>
    </row>
    <row r="1004">
      <c r="A1004" s="181" t="s">
        <v>523</v>
      </c>
      <c r="B1004" s="181" t="s">
        <v>560</v>
      </c>
      <c r="C1004" s="181">
        <v>8.05306368E8</v>
      </c>
      <c r="D1004" s="181">
        <v>24.0</v>
      </c>
      <c r="E1004" s="181">
        <v>1224.72</v>
      </c>
      <c r="F1004" s="181">
        <v>657.55</v>
      </c>
      <c r="G1004" s="181">
        <v>630.15</v>
      </c>
      <c r="H1004" s="828">
        <v>46096.0</v>
      </c>
      <c r="I1004" s="829">
        <f t="shared" si="1"/>
        <v>857.5021511</v>
      </c>
      <c r="J1004" s="830">
        <f t="shared" si="2"/>
        <v>0.700161793</v>
      </c>
      <c r="K1004" s="830"/>
    </row>
    <row r="1005">
      <c r="A1005" s="181" t="s">
        <v>523</v>
      </c>
      <c r="B1005" s="181" t="s">
        <v>560</v>
      </c>
      <c r="C1005" s="181">
        <v>1.610612736E9</v>
      </c>
      <c r="D1005" s="181">
        <v>24.0</v>
      </c>
      <c r="E1005" s="181">
        <v>2573.94</v>
      </c>
      <c r="F1005" s="181">
        <v>625.74</v>
      </c>
      <c r="G1005" s="181">
        <v>599.67</v>
      </c>
      <c r="H1005" s="828">
        <v>46096.0</v>
      </c>
      <c r="I1005" s="829">
        <f t="shared" si="1"/>
        <v>1715.004302</v>
      </c>
      <c r="J1005" s="830">
        <f t="shared" si="2"/>
        <v>0.6662953691</v>
      </c>
      <c r="K1005" s="830"/>
    </row>
    <row r="1006">
      <c r="A1006" s="181" t="s">
        <v>523</v>
      </c>
      <c r="B1006" s="181" t="s">
        <v>560</v>
      </c>
      <c r="C1006" s="181">
        <v>3.221225472E9</v>
      </c>
      <c r="D1006" s="181">
        <v>24.0</v>
      </c>
      <c r="E1006" s="181">
        <v>4844.5</v>
      </c>
      <c r="F1006" s="181">
        <v>664.92</v>
      </c>
      <c r="G1006" s="181">
        <v>637.22</v>
      </c>
      <c r="H1006" s="828">
        <v>46096.0</v>
      </c>
      <c r="I1006" s="829">
        <f t="shared" si="1"/>
        <v>3430.008604</v>
      </c>
      <c r="J1006" s="830">
        <f t="shared" si="2"/>
        <v>0.7080211796</v>
      </c>
      <c r="K1006" s="830"/>
    </row>
    <row r="1007">
      <c r="A1007" s="181" t="s">
        <v>523</v>
      </c>
      <c r="B1007" s="181" t="s">
        <v>560</v>
      </c>
      <c r="C1007" s="181">
        <v>6.442450944E9</v>
      </c>
      <c r="D1007" s="181">
        <v>24.0</v>
      </c>
      <c r="E1007" s="181">
        <v>9302.1</v>
      </c>
      <c r="F1007" s="181">
        <v>692.58</v>
      </c>
      <c r="G1007" s="181">
        <v>663.72</v>
      </c>
      <c r="H1007" s="828">
        <v>46096.0</v>
      </c>
      <c r="I1007" s="829">
        <f t="shared" si="1"/>
        <v>6860.017209</v>
      </c>
      <c r="J1007" s="830">
        <f t="shared" si="2"/>
        <v>0.7374697336</v>
      </c>
      <c r="K1007" s="830"/>
    </row>
    <row r="1008">
      <c r="A1008" s="181" t="s">
        <v>523</v>
      </c>
      <c r="B1008" s="181" t="s">
        <v>560</v>
      </c>
      <c r="C1008" s="181">
        <v>1.2884901888E10</v>
      </c>
      <c r="D1008" s="181">
        <v>24.0</v>
      </c>
      <c r="E1008" s="181">
        <v>18172.0</v>
      </c>
      <c r="F1008" s="181">
        <v>709.05</v>
      </c>
      <c r="G1008" s="181">
        <v>679.51</v>
      </c>
      <c r="H1008" s="828">
        <v>46096.0</v>
      </c>
      <c r="I1008" s="829">
        <f t="shared" si="1"/>
        <v>13720.03442</v>
      </c>
      <c r="J1008" s="830">
        <f t="shared" si="2"/>
        <v>0.7550095982</v>
      </c>
      <c r="K1008" s="830"/>
    </row>
    <row r="1009">
      <c r="A1009" s="181" t="s">
        <v>523</v>
      </c>
      <c r="B1009" s="181" t="s">
        <v>560</v>
      </c>
      <c r="C1009" s="181">
        <v>1664.0</v>
      </c>
      <c r="D1009" s="181">
        <v>26.0</v>
      </c>
      <c r="E1009" s="181">
        <v>44.36</v>
      </c>
      <c r="F1009" s="181">
        <v>0.04</v>
      </c>
      <c r="G1009" s="181">
        <v>0.04</v>
      </c>
      <c r="H1009" s="828">
        <v>46096.0</v>
      </c>
      <c r="I1009" s="829">
        <f t="shared" si="1"/>
        <v>0.001777777778</v>
      </c>
      <c r="J1009" s="830">
        <f t="shared" si="2"/>
        <v>0.00004007614467</v>
      </c>
      <c r="K1009" s="830"/>
    </row>
    <row r="1010">
      <c r="A1010" s="181" t="s">
        <v>523</v>
      </c>
      <c r="B1010" s="181" t="s">
        <v>560</v>
      </c>
      <c r="C1010" s="181">
        <v>3328.0</v>
      </c>
      <c r="D1010" s="181">
        <v>26.0</v>
      </c>
      <c r="E1010" s="181">
        <v>44.93</v>
      </c>
      <c r="F1010" s="181">
        <v>0.07</v>
      </c>
      <c r="G1010" s="181">
        <v>0.07</v>
      </c>
      <c r="H1010" s="828">
        <v>46096.0</v>
      </c>
      <c r="I1010" s="829">
        <f t="shared" si="1"/>
        <v>0.003555555556</v>
      </c>
      <c r="J1010" s="830">
        <f t="shared" si="2"/>
        <v>0.00007913544526</v>
      </c>
      <c r="K1010" s="830"/>
    </row>
    <row r="1011">
      <c r="A1011" s="181" t="s">
        <v>523</v>
      </c>
      <c r="B1011" s="181" t="s">
        <v>560</v>
      </c>
      <c r="C1011" s="181">
        <v>6656.0</v>
      </c>
      <c r="D1011" s="181">
        <v>26.0</v>
      </c>
      <c r="E1011" s="181">
        <v>46.25</v>
      </c>
      <c r="F1011" s="181">
        <v>0.14</v>
      </c>
      <c r="G1011" s="181">
        <v>0.14</v>
      </c>
      <c r="H1011" s="828">
        <v>46096.0</v>
      </c>
      <c r="I1011" s="829">
        <f t="shared" si="1"/>
        <v>0.007111111111</v>
      </c>
      <c r="J1011" s="830">
        <f t="shared" si="2"/>
        <v>0.0001537537538</v>
      </c>
      <c r="K1011" s="830"/>
    </row>
    <row r="1012">
      <c r="A1012" s="181" t="s">
        <v>523</v>
      </c>
      <c r="B1012" s="181" t="s">
        <v>560</v>
      </c>
      <c r="C1012" s="181">
        <v>13312.0</v>
      </c>
      <c r="D1012" s="181">
        <v>26.0</v>
      </c>
      <c r="E1012" s="181">
        <v>46.12</v>
      </c>
      <c r="F1012" s="181">
        <v>0.29</v>
      </c>
      <c r="G1012" s="181">
        <v>0.28</v>
      </c>
      <c r="H1012" s="828">
        <v>46096.0</v>
      </c>
      <c r="I1012" s="829">
        <f t="shared" si="1"/>
        <v>0.01422222222</v>
      </c>
      <c r="J1012" s="830">
        <f t="shared" si="2"/>
        <v>0.0003083742893</v>
      </c>
      <c r="K1012" s="830"/>
    </row>
    <row r="1013">
      <c r="A1013" s="181" t="s">
        <v>523</v>
      </c>
      <c r="B1013" s="181" t="s">
        <v>560</v>
      </c>
      <c r="C1013" s="181">
        <v>26624.0</v>
      </c>
      <c r="D1013" s="181">
        <v>26.0</v>
      </c>
      <c r="E1013" s="181">
        <v>46.03</v>
      </c>
      <c r="F1013" s="181">
        <v>0.58</v>
      </c>
      <c r="G1013" s="181">
        <v>0.56</v>
      </c>
      <c r="H1013" s="828">
        <v>46096.0</v>
      </c>
      <c r="I1013" s="829">
        <f t="shared" si="1"/>
        <v>0.02844444444</v>
      </c>
      <c r="J1013" s="830">
        <f t="shared" si="2"/>
        <v>0.0006179544741</v>
      </c>
      <c r="K1013" s="830"/>
    </row>
    <row r="1014">
      <c r="A1014" s="181" t="s">
        <v>523</v>
      </c>
      <c r="B1014" s="181" t="s">
        <v>560</v>
      </c>
      <c r="C1014" s="181">
        <v>53248.0</v>
      </c>
      <c r="D1014" s="181">
        <v>26.0</v>
      </c>
      <c r="E1014" s="181">
        <v>47.81</v>
      </c>
      <c r="F1014" s="181">
        <v>1.11</v>
      </c>
      <c r="G1014" s="181">
        <v>1.07</v>
      </c>
      <c r="H1014" s="828">
        <v>46096.0</v>
      </c>
      <c r="I1014" s="829">
        <f t="shared" si="1"/>
        <v>0.05688888889</v>
      </c>
      <c r="J1014" s="830">
        <f t="shared" si="2"/>
        <v>0.001189895187</v>
      </c>
      <c r="K1014" s="830"/>
    </row>
    <row r="1015">
      <c r="A1015" s="181" t="s">
        <v>523</v>
      </c>
      <c r="B1015" s="181" t="s">
        <v>560</v>
      </c>
      <c r="C1015" s="181">
        <v>106496.0</v>
      </c>
      <c r="D1015" s="181">
        <v>26.0</v>
      </c>
      <c r="E1015" s="181">
        <v>48.52</v>
      </c>
      <c r="F1015" s="181">
        <v>2.19</v>
      </c>
      <c r="G1015" s="181">
        <v>2.11</v>
      </c>
      <c r="H1015" s="828">
        <v>46096.0</v>
      </c>
      <c r="I1015" s="829">
        <f t="shared" si="1"/>
        <v>0.1137777778</v>
      </c>
      <c r="J1015" s="830">
        <f t="shared" si="2"/>
        <v>0.002344966566</v>
      </c>
      <c r="K1015" s="830"/>
    </row>
    <row r="1016">
      <c r="A1016" s="181" t="s">
        <v>523</v>
      </c>
      <c r="B1016" s="181" t="s">
        <v>560</v>
      </c>
      <c r="C1016" s="181">
        <v>212992.0</v>
      </c>
      <c r="D1016" s="181">
        <v>26.0</v>
      </c>
      <c r="E1016" s="181">
        <v>50.94</v>
      </c>
      <c r="F1016" s="181">
        <v>4.18</v>
      </c>
      <c r="G1016" s="181">
        <v>4.02</v>
      </c>
      <c r="H1016" s="828">
        <v>46096.0</v>
      </c>
      <c r="I1016" s="829">
        <f t="shared" si="1"/>
        <v>0.2275555556</v>
      </c>
      <c r="J1016" s="830">
        <f t="shared" si="2"/>
        <v>0.004467129084</v>
      </c>
      <c r="K1016" s="830"/>
    </row>
    <row r="1017">
      <c r="A1017" s="181" t="s">
        <v>523</v>
      </c>
      <c r="B1017" s="181" t="s">
        <v>560</v>
      </c>
      <c r="C1017" s="181">
        <v>425984.0</v>
      </c>
      <c r="D1017" s="181">
        <v>26.0</v>
      </c>
      <c r="E1017" s="181">
        <v>51.72</v>
      </c>
      <c r="F1017" s="181">
        <v>8.24</v>
      </c>
      <c r="G1017" s="181">
        <v>7.92</v>
      </c>
      <c r="H1017" s="828">
        <v>46096.0</v>
      </c>
      <c r="I1017" s="829">
        <f t="shared" si="1"/>
        <v>0.4551111111</v>
      </c>
      <c r="J1017" s="830">
        <f t="shared" si="2"/>
        <v>0.008799518776</v>
      </c>
      <c r="K1017" s="830"/>
    </row>
    <row r="1018">
      <c r="A1018" s="181" t="s">
        <v>523</v>
      </c>
      <c r="B1018" s="181" t="s">
        <v>560</v>
      </c>
      <c r="C1018" s="181">
        <v>851968.0</v>
      </c>
      <c r="D1018" s="181">
        <v>26.0</v>
      </c>
      <c r="E1018" s="181">
        <v>52.6</v>
      </c>
      <c r="F1018" s="181">
        <v>16.2</v>
      </c>
      <c r="G1018" s="181">
        <v>15.57</v>
      </c>
      <c r="H1018" s="828">
        <v>46096.0</v>
      </c>
      <c r="I1018" s="829">
        <f t="shared" si="1"/>
        <v>0.9102222222</v>
      </c>
      <c r="J1018" s="830">
        <f t="shared" si="2"/>
        <v>0.01730460499</v>
      </c>
      <c r="K1018" s="830"/>
    </row>
    <row r="1019">
      <c r="A1019" s="181" t="s">
        <v>523</v>
      </c>
      <c r="B1019" s="181" t="s">
        <v>560</v>
      </c>
      <c r="C1019" s="181">
        <v>1703936.0</v>
      </c>
      <c r="D1019" s="181">
        <v>26.0</v>
      </c>
      <c r="E1019" s="181">
        <v>52.45</v>
      </c>
      <c r="F1019" s="181">
        <v>32.48</v>
      </c>
      <c r="G1019" s="181">
        <v>31.24</v>
      </c>
      <c r="H1019" s="828">
        <v>46096.0</v>
      </c>
      <c r="I1019" s="829">
        <f t="shared" si="1"/>
        <v>1.820444444</v>
      </c>
      <c r="J1019" s="830">
        <f t="shared" si="2"/>
        <v>0.03470818769</v>
      </c>
      <c r="K1019" s="830"/>
    </row>
    <row r="1020">
      <c r="A1020" s="181" t="s">
        <v>523</v>
      </c>
      <c r="B1020" s="181" t="s">
        <v>560</v>
      </c>
      <c r="C1020" s="181">
        <v>3407872.0</v>
      </c>
      <c r="D1020" s="181">
        <v>26.0</v>
      </c>
      <c r="E1020" s="181">
        <v>52.06</v>
      </c>
      <c r="F1020" s="181">
        <v>65.47</v>
      </c>
      <c r="G1020" s="181">
        <v>62.95</v>
      </c>
      <c r="H1020" s="828">
        <v>46096.0</v>
      </c>
      <c r="I1020" s="829">
        <f t="shared" si="1"/>
        <v>3.640888889</v>
      </c>
      <c r="J1020" s="830">
        <f t="shared" si="2"/>
        <v>0.06993639817</v>
      </c>
      <c r="K1020" s="830"/>
    </row>
    <row r="1021">
      <c r="A1021" s="181" t="s">
        <v>523</v>
      </c>
      <c r="B1021" s="181" t="s">
        <v>560</v>
      </c>
      <c r="C1021" s="181">
        <v>6815744.0</v>
      </c>
      <c r="D1021" s="181">
        <v>26.0</v>
      </c>
      <c r="E1021" s="181">
        <v>64.55</v>
      </c>
      <c r="F1021" s="181">
        <v>105.6</v>
      </c>
      <c r="G1021" s="181">
        <v>101.53</v>
      </c>
      <c r="H1021" s="828">
        <v>46096.0</v>
      </c>
      <c r="I1021" s="829">
        <f t="shared" si="1"/>
        <v>7.281777778</v>
      </c>
      <c r="J1021" s="830">
        <f t="shared" si="2"/>
        <v>0.1128083312</v>
      </c>
      <c r="K1021" s="830"/>
    </row>
    <row r="1022">
      <c r="A1022" s="181" t="s">
        <v>523</v>
      </c>
      <c r="B1022" s="181" t="s">
        <v>560</v>
      </c>
      <c r="C1022" s="181">
        <v>1.3631488E7</v>
      </c>
      <c r="D1022" s="181">
        <v>26.0</v>
      </c>
      <c r="E1022" s="181">
        <v>85.0</v>
      </c>
      <c r="F1022" s="181">
        <v>160.37</v>
      </c>
      <c r="G1022" s="181">
        <v>154.2</v>
      </c>
      <c r="H1022" s="828">
        <v>46096.0</v>
      </c>
      <c r="I1022" s="829">
        <f t="shared" si="1"/>
        <v>14.56355556</v>
      </c>
      <c r="J1022" s="830">
        <f t="shared" si="2"/>
        <v>0.1713359477</v>
      </c>
      <c r="K1022" s="830"/>
    </row>
    <row r="1023">
      <c r="A1023" s="181" t="s">
        <v>523</v>
      </c>
      <c r="B1023" s="181" t="s">
        <v>560</v>
      </c>
      <c r="C1023" s="181">
        <v>2.7262976E7</v>
      </c>
      <c r="D1023" s="181">
        <v>26.0</v>
      </c>
      <c r="E1023" s="181">
        <v>132.65</v>
      </c>
      <c r="F1023" s="181">
        <v>205.52</v>
      </c>
      <c r="G1023" s="181">
        <v>197.62</v>
      </c>
      <c r="H1023" s="828">
        <v>46096.0</v>
      </c>
      <c r="I1023" s="829">
        <f t="shared" si="1"/>
        <v>29.12711111</v>
      </c>
      <c r="J1023" s="830">
        <f t="shared" si="2"/>
        <v>0.219578674</v>
      </c>
      <c r="K1023" s="830"/>
    </row>
    <row r="1024">
      <c r="A1024" s="181" t="s">
        <v>523</v>
      </c>
      <c r="B1024" s="181" t="s">
        <v>560</v>
      </c>
      <c r="C1024" s="181">
        <v>5.4525952E7</v>
      </c>
      <c r="D1024" s="181">
        <v>26.0</v>
      </c>
      <c r="E1024" s="181">
        <v>133.86</v>
      </c>
      <c r="F1024" s="181">
        <v>407.34</v>
      </c>
      <c r="G1024" s="181">
        <v>391.68</v>
      </c>
      <c r="H1024" s="828">
        <v>46096.0</v>
      </c>
      <c r="I1024" s="829">
        <f t="shared" si="1"/>
        <v>58.25422222</v>
      </c>
      <c r="J1024" s="830">
        <f t="shared" si="2"/>
        <v>0.4351876753</v>
      </c>
      <c r="K1024" s="830"/>
    </row>
    <row r="1025">
      <c r="A1025" s="181" t="s">
        <v>523</v>
      </c>
      <c r="B1025" s="181" t="s">
        <v>560</v>
      </c>
      <c r="C1025" s="181">
        <v>1.09051904E8</v>
      </c>
      <c r="D1025" s="181">
        <v>26.0</v>
      </c>
      <c r="E1025" s="181">
        <v>216.6</v>
      </c>
      <c r="F1025" s="181">
        <v>503.47</v>
      </c>
      <c r="G1025" s="181">
        <v>484.11</v>
      </c>
      <c r="H1025" s="828">
        <v>46096.0</v>
      </c>
      <c r="I1025" s="829">
        <f t="shared" si="1"/>
        <v>116.5084444</v>
      </c>
      <c r="J1025" s="830">
        <f t="shared" si="2"/>
        <v>0.5378967888</v>
      </c>
      <c r="K1025" s="830"/>
    </row>
    <row r="1026">
      <c r="A1026" s="181" t="s">
        <v>523</v>
      </c>
      <c r="B1026" s="181" t="s">
        <v>560</v>
      </c>
      <c r="C1026" s="181">
        <v>2.18103808E8</v>
      </c>
      <c r="D1026" s="181">
        <v>26.0</v>
      </c>
      <c r="E1026" s="181">
        <v>371.01</v>
      </c>
      <c r="F1026" s="181">
        <v>587.86</v>
      </c>
      <c r="G1026" s="181">
        <v>565.25</v>
      </c>
      <c r="H1026" s="828">
        <v>46096.0</v>
      </c>
      <c r="I1026" s="829">
        <f t="shared" si="1"/>
        <v>233.0168889</v>
      </c>
      <c r="J1026" s="830">
        <f t="shared" si="2"/>
        <v>0.6280609388</v>
      </c>
      <c r="K1026" s="830"/>
    </row>
    <row r="1027">
      <c r="A1027" s="181" t="s">
        <v>523</v>
      </c>
      <c r="B1027" s="181" t="s">
        <v>560</v>
      </c>
      <c r="C1027" s="181">
        <v>4.36207616E8</v>
      </c>
      <c r="D1027" s="181">
        <v>26.0</v>
      </c>
      <c r="E1027" s="181">
        <v>677.73</v>
      </c>
      <c r="F1027" s="181">
        <v>643.63</v>
      </c>
      <c r="G1027" s="181">
        <v>618.88</v>
      </c>
      <c r="H1027" s="828">
        <v>46096.0</v>
      </c>
      <c r="I1027" s="829">
        <f t="shared" si="1"/>
        <v>466.0337778</v>
      </c>
      <c r="J1027" s="830">
        <f t="shared" si="2"/>
        <v>0.6876392926</v>
      </c>
      <c r="K1027" s="830"/>
    </row>
    <row r="1028">
      <c r="A1028" s="181" t="s">
        <v>523</v>
      </c>
      <c r="B1028" s="181" t="s">
        <v>560</v>
      </c>
      <c r="C1028" s="181">
        <v>8.72415232E8</v>
      </c>
      <c r="D1028" s="181">
        <v>26.0</v>
      </c>
      <c r="E1028" s="181">
        <v>1315.97</v>
      </c>
      <c r="F1028" s="181">
        <v>662.95</v>
      </c>
      <c r="G1028" s="181">
        <v>637.45</v>
      </c>
      <c r="H1028" s="828">
        <v>46096.0</v>
      </c>
      <c r="I1028" s="829">
        <f t="shared" si="1"/>
        <v>932.0675556</v>
      </c>
      <c r="J1028" s="830">
        <f t="shared" si="2"/>
        <v>0.708274167</v>
      </c>
      <c r="K1028" s="830"/>
    </row>
    <row r="1029">
      <c r="A1029" s="181" t="s">
        <v>523</v>
      </c>
      <c r="B1029" s="181" t="s">
        <v>560</v>
      </c>
      <c r="C1029" s="181">
        <v>1.744830464E9</v>
      </c>
      <c r="D1029" s="181">
        <v>26.0</v>
      </c>
      <c r="E1029" s="181">
        <v>2773.0</v>
      </c>
      <c r="F1029" s="181">
        <v>629.22</v>
      </c>
      <c r="G1029" s="181">
        <v>605.02</v>
      </c>
      <c r="H1029" s="828">
        <v>46096.0</v>
      </c>
      <c r="I1029" s="829">
        <f t="shared" si="1"/>
        <v>1864.135111</v>
      </c>
      <c r="J1029" s="830">
        <f t="shared" si="2"/>
        <v>0.6722449012</v>
      </c>
      <c r="K1029" s="830"/>
    </row>
    <row r="1030">
      <c r="A1030" s="181" t="s">
        <v>523</v>
      </c>
      <c r="B1030" s="181" t="s">
        <v>560</v>
      </c>
      <c r="C1030" s="181">
        <v>3.489660928E9</v>
      </c>
      <c r="D1030" s="181">
        <v>26.0</v>
      </c>
      <c r="E1030" s="181">
        <v>5229.43</v>
      </c>
      <c r="F1030" s="181">
        <v>667.31</v>
      </c>
      <c r="G1030" s="181">
        <v>641.65</v>
      </c>
      <c r="H1030" s="828">
        <v>46096.0</v>
      </c>
      <c r="I1030" s="829">
        <f t="shared" si="1"/>
        <v>3728.270222</v>
      </c>
      <c r="J1030" s="830">
        <f t="shared" si="2"/>
        <v>0.7129400761</v>
      </c>
      <c r="K1030" s="830"/>
    </row>
    <row r="1031">
      <c r="A1031" s="181" t="s">
        <v>523</v>
      </c>
      <c r="B1031" s="181" t="s">
        <v>560</v>
      </c>
      <c r="C1031" s="181">
        <v>6.979321856E9</v>
      </c>
      <c r="D1031" s="181">
        <v>26.0</v>
      </c>
      <c r="E1031" s="181">
        <v>10057.3</v>
      </c>
      <c r="F1031" s="181">
        <v>693.95</v>
      </c>
      <c r="G1031" s="181">
        <v>667.26</v>
      </c>
      <c r="H1031" s="828">
        <v>46096.0</v>
      </c>
      <c r="I1031" s="829">
        <f t="shared" si="1"/>
        <v>7456.540444</v>
      </c>
      <c r="J1031" s="830">
        <f t="shared" si="2"/>
        <v>0.7414057893</v>
      </c>
      <c r="K1031" s="830"/>
    </row>
    <row r="1032">
      <c r="A1032" s="181" t="s">
        <v>523</v>
      </c>
      <c r="B1032" s="181" t="s">
        <v>560</v>
      </c>
      <c r="C1032" s="181">
        <v>1.3958643712E10</v>
      </c>
      <c r="D1032" s="181">
        <v>26.0</v>
      </c>
      <c r="E1032" s="181">
        <v>19734.5</v>
      </c>
      <c r="F1032" s="181">
        <v>707.32</v>
      </c>
      <c r="G1032" s="181">
        <v>680.12</v>
      </c>
      <c r="H1032" s="828">
        <v>46096.0</v>
      </c>
      <c r="I1032" s="829">
        <f t="shared" si="1"/>
        <v>14913.08089</v>
      </c>
      <c r="J1032" s="830">
        <f t="shared" si="2"/>
        <v>0.7556857731</v>
      </c>
      <c r="K1032" s="830"/>
    </row>
    <row r="1033">
      <c r="A1033" s="181" t="s">
        <v>523</v>
      </c>
      <c r="B1033" s="181" t="s">
        <v>560</v>
      </c>
      <c r="C1033" s="181">
        <v>1792.0</v>
      </c>
      <c r="D1033" s="181">
        <v>28.0</v>
      </c>
      <c r="E1033" s="181">
        <v>47.62</v>
      </c>
      <c r="F1033" s="181">
        <v>0.04</v>
      </c>
      <c r="G1033" s="181">
        <v>0.04</v>
      </c>
      <c r="H1033" s="828">
        <v>46096.0</v>
      </c>
      <c r="I1033" s="829">
        <f t="shared" si="1"/>
        <v>0.00192</v>
      </c>
      <c r="J1033" s="830">
        <f t="shared" si="2"/>
        <v>0.00004031919362</v>
      </c>
      <c r="K1033" s="830"/>
    </row>
    <row r="1034">
      <c r="A1034" s="181" t="s">
        <v>523</v>
      </c>
      <c r="B1034" s="181" t="s">
        <v>560</v>
      </c>
      <c r="C1034" s="181">
        <v>3584.0</v>
      </c>
      <c r="D1034" s="181">
        <v>28.0</v>
      </c>
      <c r="E1034" s="181">
        <v>47.48</v>
      </c>
      <c r="F1034" s="181">
        <v>0.08</v>
      </c>
      <c r="G1034" s="181">
        <v>0.07</v>
      </c>
      <c r="H1034" s="828">
        <v>46096.0</v>
      </c>
      <c r="I1034" s="829">
        <f t="shared" si="1"/>
        <v>0.00384</v>
      </c>
      <c r="J1034" s="830">
        <f t="shared" si="2"/>
        <v>0.00008087615838</v>
      </c>
      <c r="K1034" s="830"/>
    </row>
    <row r="1035">
      <c r="A1035" s="181" t="s">
        <v>523</v>
      </c>
      <c r="B1035" s="181" t="s">
        <v>560</v>
      </c>
      <c r="C1035" s="181">
        <v>7168.0</v>
      </c>
      <c r="D1035" s="181">
        <v>28.0</v>
      </c>
      <c r="E1035" s="181">
        <v>48.6</v>
      </c>
      <c r="F1035" s="181">
        <v>0.15</v>
      </c>
      <c r="G1035" s="181">
        <v>0.14</v>
      </c>
      <c r="H1035" s="828">
        <v>46096.0</v>
      </c>
      <c r="I1035" s="829">
        <f t="shared" si="1"/>
        <v>0.00768</v>
      </c>
      <c r="J1035" s="830">
        <f t="shared" si="2"/>
        <v>0.0001580246914</v>
      </c>
      <c r="K1035" s="830"/>
    </row>
    <row r="1036">
      <c r="A1036" s="181" t="s">
        <v>523</v>
      </c>
      <c r="B1036" s="181" t="s">
        <v>560</v>
      </c>
      <c r="C1036" s="181">
        <v>14336.0</v>
      </c>
      <c r="D1036" s="181">
        <v>28.0</v>
      </c>
      <c r="E1036" s="181">
        <v>48.35</v>
      </c>
      <c r="F1036" s="181">
        <v>0.3</v>
      </c>
      <c r="G1036" s="181">
        <v>0.29</v>
      </c>
      <c r="H1036" s="828">
        <v>46096.0</v>
      </c>
      <c r="I1036" s="829">
        <f t="shared" si="1"/>
        <v>0.01536</v>
      </c>
      <c r="J1036" s="830">
        <f t="shared" si="2"/>
        <v>0.0003176835574</v>
      </c>
      <c r="K1036" s="830"/>
    </row>
    <row r="1037">
      <c r="A1037" s="181" t="s">
        <v>523</v>
      </c>
      <c r="B1037" s="181" t="s">
        <v>560</v>
      </c>
      <c r="C1037" s="181">
        <v>28672.0</v>
      </c>
      <c r="D1037" s="181">
        <v>28.0</v>
      </c>
      <c r="E1037" s="181">
        <v>49.45</v>
      </c>
      <c r="F1037" s="181">
        <v>0.58</v>
      </c>
      <c r="G1037" s="181">
        <v>0.56</v>
      </c>
      <c r="H1037" s="828">
        <v>46096.0</v>
      </c>
      <c r="I1037" s="829">
        <f t="shared" si="1"/>
        <v>0.03072</v>
      </c>
      <c r="J1037" s="830">
        <f t="shared" si="2"/>
        <v>0.0006212335693</v>
      </c>
      <c r="K1037" s="830"/>
    </row>
    <row r="1038">
      <c r="A1038" s="181" t="s">
        <v>523</v>
      </c>
      <c r="B1038" s="181" t="s">
        <v>560</v>
      </c>
      <c r="C1038" s="181">
        <v>57344.0</v>
      </c>
      <c r="D1038" s="181">
        <v>28.0</v>
      </c>
      <c r="E1038" s="181">
        <v>50.13</v>
      </c>
      <c r="F1038" s="181">
        <v>1.14</v>
      </c>
      <c r="G1038" s="181">
        <v>1.1</v>
      </c>
      <c r="H1038" s="828">
        <v>46096.0</v>
      </c>
      <c r="I1038" s="829">
        <f t="shared" si="1"/>
        <v>0.06144</v>
      </c>
      <c r="J1038" s="830">
        <f t="shared" si="2"/>
        <v>0.001225613405</v>
      </c>
      <c r="K1038" s="830"/>
    </row>
    <row r="1039">
      <c r="A1039" s="181" t="s">
        <v>523</v>
      </c>
      <c r="B1039" s="181" t="s">
        <v>560</v>
      </c>
      <c r="C1039" s="181">
        <v>114688.0</v>
      </c>
      <c r="D1039" s="181">
        <v>28.0</v>
      </c>
      <c r="E1039" s="181">
        <v>52.26</v>
      </c>
      <c r="F1039" s="181">
        <v>2.19</v>
      </c>
      <c r="G1039" s="181">
        <v>2.12</v>
      </c>
      <c r="H1039" s="828">
        <v>46096.0</v>
      </c>
      <c r="I1039" s="829">
        <f t="shared" si="1"/>
        <v>0.12288</v>
      </c>
      <c r="J1039" s="830">
        <f t="shared" si="2"/>
        <v>0.002351320321</v>
      </c>
      <c r="K1039" s="830"/>
    </row>
    <row r="1040">
      <c r="A1040" s="181" t="s">
        <v>523</v>
      </c>
      <c r="B1040" s="181" t="s">
        <v>560</v>
      </c>
      <c r="C1040" s="181">
        <v>229376.0</v>
      </c>
      <c r="D1040" s="181">
        <v>28.0</v>
      </c>
      <c r="E1040" s="181">
        <v>53.52</v>
      </c>
      <c r="F1040" s="181">
        <v>4.29</v>
      </c>
      <c r="G1040" s="181">
        <v>4.13</v>
      </c>
      <c r="H1040" s="828">
        <v>46096.0</v>
      </c>
      <c r="I1040" s="829">
        <f t="shared" si="1"/>
        <v>0.24576</v>
      </c>
      <c r="J1040" s="830">
        <f t="shared" si="2"/>
        <v>0.004591928251</v>
      </c>
      <c r="K1040" s="830"/>
    </row>
    <row r="1041">
      <c r="A1041" s="181" t="s">
        <v>523</v>
      </c>
      <c r="B1041" s="181" t="s">
        <v>560</v>
      </c>
      <c r="C1041" s="181">
        <v>458752.0</v>
      </c>
      <c r="D1041" s="181">
        <v>28.0</v>
      </c>
      <c r="E1041" s="181">
        <v>55.02</v>
      </c>
      <c r="F1041" s="181">
        <v>8.34</v>
      </c>
      <c r="G1041" s="181">
        <v>8.04</v>
      </c>
      <c r="H1041" s="828">
        <v>46096.0</v>
      </c>
      <c r="I1041" s="829">
        <f t="shared" si="1"/>
        <v>0.49152</v>
      </c>
      <c r="J1041" s="830">
        <f t="shared" si="2"/>
        <v>0.008933478735</v>
      </c>
      <c r="K1041" s="830"/>
    </row>
    <row r="1042">
      <c r="A1042" s="181" t="s">
        <v>523</v>
      </c>
      <c r="B1042" s="181" t="s">
        <v>560</v>
      </c>
      <c r="C1042" s="181">
        <v>917504.0</v>
      </c>
      <c r="D1042" s="181">
        <v>28.0</v>
      </c>
      <c r="E1042" s="181">
        <v>54.79</v>
      </c>
      <c r="F1042" s="181">
        <v>16.75</v>
      </c>
      <c r="G1042" s="181">
        <v>16.15</v>
      </c>
      <c r="H1042" s="828">
        <v>46096.0</v>
      </c>
      <c r="I1042" s="829">
        <f t="shared" si="1"/>
        <v>0.98304</v>
      </c>
      <c r="J1042" s="830">
        <f t="shared" si="2"/>
        <v>0.01794196021</v>
      </c>
      <c r="K1042" s="830"/>
    </row>
    <row r="1043">
      <c r="A1043" s="181" t="s">
        <v>523</v>
      </c>
      <c r="B1043" s="181" t="s">
        <v>560</v>
      </c>
      <c r="C1043" s="181">
        <v>1835008.0</v>
      </c>
      <c r="D1043" s="181">
        <v>28.0</v>
      </c>
      <c r="E1043" s="181">
        <v>49.86</v>
      </c>
      <c r="F1043" s="181">
        <v>36.8</v>
      </c>
      <c r="G1043" s="181">
        <v>35.49</v>
      </c>
      <c r="H1043" s="828">
        <v>46096.0</v>
      </c>
      <c r="I1043" s="829">
        <f t="shared" si="1"/>
        <v>1.96608</v>
      </c>
      <c r="J1043" s="830">
        <f t="shared" si="2"/>
        <v>0.03943200963</v>
      </c>
      <c r="K1043" s="830"/>
    </row>
    <row r="1044">
      <c r="A1044" s="181" t="s">
        <v>523</v>
      </c>
      <c r="B1044" s="181" t="s">
        <v>560</v>
      </c>
      <c r="C1044" s="181">
        <v>3670016.0</v>
      </c>
      <c r="D1044" s="181">
        <v>28.0</v>
      </c>
      <c r="E1044" s="181">
        <v>52.67</v>
      </c>
      <c r="F1044" s="181">
        <v>69.68</v>
      </c>
      <c r="G1044" s="181">
        <v>67.19</v>
      </c>
      <c r="H1044" s="828">
        <v>46096.0</v>
      </c>
      <c r="I1044" s="829">
        <f t="shared" si="1"/>
        <v>3.93216</v>
      </c>
      <c r="J1044" s="830">
        <f t="shared" si="2"/>
        <v>0.07465654073</v>
      </c>
      <c r="K1044" s="830"/>
    </row>
    <row r="1045">
      <c r="A1045" s="181" t="s">
        <v>523</v>
      </c>
      <c r="B1045" s="181" t="s">
        <v>560</v>
      </c>
      <c r="C1045" s="181">
        <v>7340032.0</v>
      </c>
      <c r="D1045" s="181">
        <v>28.0</v>
      </c>
      <c r="E1045" s="181">
        <v>62.55</v>
      </c>
      <c r="F1045" s="181">
        <v>117.34</v>
      </c>
      <c r="G1045" s="181">
        <v>113.15</v>
      </c>
      <c r="H1045" s="828">
        <v>46096.0</v>
      </c>
      <c r="I1045" s="829">
        <f t="shared" si="1"/>
        <v>7.86432</v>
      </c>
      <c r="J1045" s="830">
        <f t="shared" si="2"/>
        <v>0.1257285372</v>
      </c>
      <c r="K1045" s="830"/>
    </row>
    <row r="1046">
      <c r="A1046" s="181" t="s">
        <v>523</v>
      </c>
      <c r="B1046" s="181" t="s">
        <v>560</v>
      </c>
      <c r="C1046" s="181">
        <v>1.4680064E7</v>
      </c>
      <c r="D1046" s="181">
        <v>28.0</v>
      </c>
      <c r="E1046" s="181">
        <v>93.8</v>
      </c>
      <c r="F1046" s="181">
        <v>156.5</v>
      </c>
      <c r="G1046" s="181">
        <v>150.91</v>
      </c>
      <c r="H1046" s="828">
        <v>46096.0</v>
      </c>
      <c r="I1046" s="829">
        <f t="shared" si="1"/>
        <v>15.72864</v>
      </c>
      <c r="J1046" s="830">
        <f t="shared" si="2"/>
        <v>0.1676827292</v>
      </c>
      <c r="K1046" s="830"/>
    </row>
    <row r="1047">
      <c r="A1047" s="181" t="s">
        <v>523</v>
      </c>
      <c r="B1047" s="181" t="s">
        <v>560</v>
      </c>
      <c r="C1047" s="181">
        <v>2.9360128E7</v>
      </c>
      <c r="D1047" s="181">
        <v>28.0</v>
      </c>
      <c r="E1047" s="181">
        <v>132.47</v>
      </c>
      <c r="F1047" s="181">
        <v>221.64</v>
      </c>
      <c r="G1047" s="181">
        <v>213.72</v>
      </c>
      <c r="H1047" s="828">
        <v>46096.0</v>
      </c>
      <c r="I1047" s="829">
        <f t="shared" si="1"/>
        <v>31.45728</v>
      </c>
      <c r="J1047" s="830">
        <f t="shared" si="2"/>
        <v>0.2374672001</v>
      </c>
      <c r="K1047" s="830"/>
    </row>
    <row r="1048">
      <c r="A1048" s="181" t="s">
        <v>523</v>
      </c>
      <c r="B1048" s="181" t="s">
        <v>560</v>
      </c>
      <c r="C1048" s="181">
        <v>5.8720256E7</v>
      </c>
      <c r="D1048" s="181">
        <v>28.0</v>
      </c>
      <c r="E1048" s="181">
        <v>147.4</v>
      </c>
      <c r="F1048" s="181">
        <v>398.38</v>
      </c>
      <c r="G1048" s="181">
        <v>384.15</v>
      </c>
      <c r="H1048" s="828">
        <v>46096.0</v>
      </c>
      <c r="I1048" s="829">
        <f t="shared" si="1"/>
        <v>62.91456</v>
      </c>
      <c r="J1048" s="830">
        <f t="shared" si="2"/>
        <v>0.4268287653</v>
      </c>
      <c r="K1048" s="830"/>
    </row>
    <row r="1049">
      <c r="A1049" s="181" t="s">
        <v>523</v>
      </c>
      <c r="B1049" s="181" t="s">
        <v>560</v>
      </c>
      <c r="C1049" s="181">
        <v>1.17440512E8</v>
      </c>
      <c r="D1049" s="181">
        <v>28.0</v>
      </c>
      <c r="E1049" s="181">
        <v>232.84</v>
      </c>
      <c r="F1049" s="181">
        <v>504.39</v>
      </c>
      <c r="G1049" s="181">
        <v>486.37</v>
      </c>
      <c r="H1049" s="828">
        <v>46096.0</v>
      </c>
      <c r="I1049" s="829">
        <f t="shared" si="1"/>
        <v>125.82912</v>
      </c>
      <c r="J1049" s="830">
        <f t="shared" si="2"/>
        <v>0.5404102388</v>
      </c>
      <c r="K1049" s="830"/>
    </row>
    <row r="1050">
      <c r="A1050" s="181" t="s">
        <v>523</v>
      </c>
      <c r="B1050" s="181" t="s">
        <v>560</v>
      </c>
      <c r="C1050" s="181">
        <v>2.34881024E8</v>
      </c>
      <c r="D1050" s="181">
        <v>28.0</v>
      </c>
      <c r="E1050" s="181">
        <v>401.75</v>
      </c>
      <c r="F1050" s="181">
        <v>584.64</v>
      </c>
      <c r="G1050" s="181">
        <v>563.76</v>
      </c>
      <c r="H1050" s="828">
        <v>46096.0</v>
      </c>
      <c r="I1050" s="829">
        <f t="shared" si="1"/>
        <v>251.65824</v>
      </c>
      <c r="J1050" s="830">
        <f t="shared" si="2"/>
        <v>0.6264050778</v>
      </c>
      <c r="K1050" s="830"/>
    </row>
    <row r="1051">
      <c r="A1051" s="181" t="s">
        <v>523</v>
      </c>
      <c r="B1051" s="181" t="s">
        <v>560</v>
      </c>
      <c r="C1051" s="181">
        <v>4.69762048E8</v>
      </c>
      <c r="D1051" s="181">
        <v>28.0</v>
      </c>
      <c r="E1051" s="181">
        <v>732.07</v>
      </c>
      <c r="F1051" s="181">
        <v>641.69</v>
      </c>
      <c r="G1051" s="181">
        <v>618.77</v>
      </c>
      <c r="H1051" s="828">
        <v>46096.0</v>
      </c>
      <c r="I1051" s="829">
        <f t="shared" si="1"/>
        <v>503.31648</v>
      </c>
      <c r="J1051" s="830">
        <f t="shared" si="2"/>
        <v>0.6875250727</v>
      </c>
      <c r="K1051" s="830"/>
    </row>
    <row r="1052">
      <c r="A1052" s="181" t="s">
        <v>523</v>
      </c>
      <c r="B1052" s="181" t="s">
        <v>560</v>
      </c>
      <c r="C1052" s="181">
        <v>9.39524096E8</v>
      </c>
      <c r="D1052" s="181">
        <v>28.0</v>
      </c>
      <c r="E1052" s="181">
        <v>1391.17</v>
      </c>
      <c r="F1052" s="181">
        <v>675.35</v>
      </c>
      <c r="G1052" s="181">
        <v>651.23</v>
      </c>
      <c r="H1052" s="828">
        <v>46096.0</v>
      </c>
      <c r="I1052" s="829">
        <f t="shared" si="1"/>
        <v>1006.63296</v>
      </c>
      <c r="J1052" s="830">
        <f t="shared" si="2"/>
        <v>0.7235873114</v>
      </c>
      <c r="K1052" s="830"/>
    </row>
    <row r="1053">
      <c r="A1053" s="181" t="s">
        <v>523</v>
      </c>
      <c r="B1053" s="181" t="s">
        <v>560</v>
      </c>
      <c r="C1053" s="181">
        <v>1.879048192E9</v>
      </c>
      <c r="D1053" s="181">
        <v>28.0</v>
      </c>
      <c r="E1053" s="181">
        <v>3002.22</v>
      </c>
      <c r="F1053" s="181">
        <v>625.89</v>
      </c>
      <c r="G1053" s="181">
        <v>603.53</v>
      </c>
      <c r="H1053" s="828">
        <v>46096.0</v>
      </c>
      <c r="I1053" s="829">
        <f t="shared" si="1"/>
        <v>2013.26592</v>
      </c>
      <c r="J1053" s="830">
        <f t="shared" si="2"/>
        <v>0.6705924016</v>
      </c>
      <c r="K1053" s="830"/>
    </row>
    <row r="1054">
      <c r="A1054" s="181" t="s">
        <v>523</v>
      </c>
      <c r="B1054" s="181" t="s">
        <v>560</v>
      </c>
      <c r="C1054" s="181">
        <v>3.758096384E9</v>
      </c>
      <c r="D1054" s="181">
        <v>28.0</v>
      </c>
      <c r="E1054" s="181">
        <v>5656.89</v>
      </c>
      <c r="F1054" s="181">
        <v>664.34</v>
      </c>
      <c r="G1054" s="181">
        <v>640.61</v>
      </c>
      <c r="H1054" s="828">
        <v>46096.0</v>
      </c>
      <c r="I1054" s="829">
        <f t="shared" si="1"/>
        <v>4026.53184</v>
      </c>
      <c r="J1054" s="830">
        <f t="shared" si="2"/>
        <v>0.7117924938</v>
      </c>
      <c r="K1054" s="830"/>
    </row>
    <row r="1055">
      <c r="A1055" s="181" t="s">
        <v>523</v>
      </c>
      <c r="B1055" s="181" t="s">
        <v>560</v>
      </c>
      <c r="C1055" s="181">
        <v>7.516192768E9</v>
      </c>
      <c r="D1055" s="181">
        <v>28.0</v>
      </c>
      <c r="E1055" s="181">
        <v>10873.5</v>
      </c>
      <c r="F1055" s="181">
        <v>691.24</v>
      </c>
      <c r="G1055" s="181">
        <v>666.55</v>
      </c>
      <c r="H1055" s="828">
        <v>46096.0</v>
      </c>
      <c r="I1055" s="829">
        <f t="shared" si="1"/>
        <v>8053.06368</v>
      </c>
      <c r="J1055" s="830">
        <f t="shared" si="2"/>
        <v>0.7406137564</v>
      </c>
      <c r="K1055" s="830"/>
    </row>
    <row r="1056">
      <c r="A1056" s="181" t="s">
        <v>523</v>
      </c>
      <c r="B1056" s="181" t="s">
        <v>560</v>
      </c>
      <c r="C1056" s="181">
        <v>1.5032385536E10</v>
      </c>
      <c r="D1056" s="181">
        <v>28.0</v>
      </c>
      <c r="E1056" s="181">
        <v>21332.0</v>
      </c>
      <c r="F1056" s="181">
        <v>704.69</v>
      </c>
      <c r="G1056" s="181">
        <v>679.52</v>
      </c>
      <c r="H1056" s="828">
        <v>46096.0</v>
      </c>
      <c r="I1056" s="829">
        <f t="shared" si="1"/>
        <v>16106.12736</v>
      </c>
      <c r="J1056" s="830">
        <f t="shared" si="2"/>
        <v>0.7550219089</v>
      </c>
      <c r="K1056" s="830"/>
    </row>
    <row r="1057">
      <c r="A1057" s="181" t="s">
        <v>523</v>
      </c>
      <c r="B1057" s="181" t="s">
        <v>560</v>
      </c>
      <c r="C1057" s="181">
        <v>1920.0</v>
      </c>
      <c r="D1057" s="181">
        <v>30.0</v>
      </c>
      <c r="E1057" s="181">
        <v>49.16</v>
      </c>
      <c r="F1057" s="181">
        <v>0.04</v>
      </c>
      <c r="G1057" s="181">
        <v>0.04</v>
      </c>
      <c r="H1057" s="828">
        <v>46096.0</v>
      </c>
      <c r="I1057" s="829">
        <f t="shared" si="1"/>
        <v>0.002062222222</v>
      </c>
      <c r="J1057" s="830">
        <f t="shared" si="2"/>
        <v>0.00004194919085</v>
      </c>
      <c r="K1057" s="830"/>
    </row>
    <row r="1058">
      <c r="A1058" s="181" t="s">
        <v>523</v>
      </c>
      <c r="B1058" s="181" t="s">
        <v>560</v>
      </c>
      <c r="C1058" s="181">
        <v>3840.0</v>
      </c>
      <c r="D1058" s="181">
        <v>30.0</v>
      </c>
      <c r="E1058" s="181">
        <v>51.07</v>
      </c>
      <c r="F1058" s="181">
        <v>0.08</v>
      </c>
      <c r="G1058" s="181">
        <v>0.07</v>
      </c>
      <c r="H1058" s="828">
        <v>46096.0</v>
      </c>
      <c r="I1058" s="829">
        <f t="shared" si="1"/>
        <v>0.004124444444</v>
      </c>
      <c r="J1058" s="830">
        <f t="shared" si="2"/>
        <v>0.0000807606118</v>
      </c>
      <c r="K1058" s="830"/>
    </row>
    <row r="1059">
      <c r="A1059" s="181" t="s">
        <v>523</v>
      </c>
      <c r="B1059" s="181" t="s">
        <v>560</v>
      </c>
      <c r="C1059" s="181">
        <v>7680.0</v>
      </c>
      <c r="D1059" s="181">
        <v>30.0</v>
      </c>
      <c r="E1059" s="181">
        <v>51.09</v>
      </c>
      <c r="F1059" s="181">
        <v>0.15</v>
      </c>
      <c r="G1059" s="181">
        <v>0.15</v>
      </c>
      <c r="H1059" s="828">
        <v>46096.0</v>
      </c>
      <c r="I1059" s="829">
        <f t="shared" si="1"/>
        <v>0.008248888889</v>
      </c>
      <c r="J1059" s="830">
        <f t="shared" si="2"/>
        <v>0.0001614579935</v>
      </c>
      <c r="K1059" s="830"/>
    </row>
    <row r="1060">
      <c r="A1060" s="181" t="s">
        <v>523</v>
      </c>
      <c r="B1060" s="181" t="s">
        <v>560</v>
      </c>
      <c r="C1060" s="181">
        <v>15360.0</v>
      </c>
      <c r="D1060" s="181">
        <v>30.0</v>
      </c>
      <c r="E1060" s="181">
        <v>50.85</v>
      </c>
      <c r="F1060" s="181">
        <v>0.3</v>
      </c>
      <c r="G1060" s="181">
        <v>0.29</v>
      </c>
      <c r="H1060" s="828">
        <v>46096.0</v>
      </c>
      <c r="I1060" s="829">
        <f t="shared" si="1"/>
        <v>0.01649777778</v>
      </c>
      <c r="J1060" s="830">
        <f t="shared" si="2"/>
        <v>0.0003244400743</v>
      </c>
      <c r="K1060" s="830"/>
    </row>
    <row r="1061">
      <c r="A1061" s="181" t="s">
        <v>523</v>
      </c>
      <c r="B1061" s="181" t="s">
        <v>560</v>
      </c>
      <c r="C1061" s="181">
        <v>30720.0</v>
      </c>
      <c r="D1061" s="181">
        <v>30.0</v>
      </c>
      <c r="E1061" s="181">
        <v>51.64</v>
      </c>
      <c r="F1061" s="181">
        <v>0.59</v>
      </c>
      <c r="G1061" s="181">
        <v>0.58</v>
      </c>
      <c r="H1061" s="828">
        <v>46096.0</v>
      </c>
      <c r="I1061" s="829">
        <f t="shared" si="1"/>
        <v>0.03299555556</v>
      </c>
      <c r="J1061" s="830">
        <f t="shared" si="2"/>
        <v>0.0006389534383</v>
      </c>
      <c r="K1061" s="830"/>
    </row>
    <row r="1062">
      <c r="A1062" s="181" t="s">
        <v>523</v>
      </c>
      <c r="B1062" s="181" t="s">
        <v>560</v>
      </c>
      <c r="C1062" s="181">
        <v>61440.0</v>
      </c>
      <c r="D1062" s="181">
        <v>30.0</v>
      </c>
      <c r="E1062" s="181">
        <v>52.89</v>
      </c>
      <c r="F1062" s="181">
        <v>1.16</v>
      </c>
      <c r="G1062" s="181">
        <v>1.12</v>
      </c>
      <c r="H1062" s="828">
        <v>46096.0</v>
      </c>
      <c r="I1062" s="829">
        <f t="shared" si="1"/>
        <v>0.06599111111</v>
      </c>
      <c r="J1062" s="830">
        <f t="shared" si="2"/>
        <v>0.00124770488</v>
      </c>
      <c r="K1062" s="830"/>
    </row>
    <row r="1063">
      <c r="A1063" s="181" t="s">
        <v>523</v>
      </c>
      <c r="B1063" s="181" t="s">
        <v>560</v>
      </c>
      <c r="C1063" s="181">
        <v>122880.0</v>
      </c>
      <c r="D1063" s="181">
        <v>30.0</v>
      </c>
      <c r="E1063" s="181">
        <v>53.99</v>
      </c>
      <c r="F1063" s="181">
        <v>2.28</v>
      </c>
      <c r="G1063" s="181">
        <v>2.2</v>
      </c>
      <c r="H1063" s="828">
        <v>46096.0</v>
      </c>
      <c r="I1063" s="829">
        <f t="shared" si="1"/>
        <v>0.1319822222</v>
      </c>
      <c r="J1063" s="830">
        <f t="shared" si="2"/>
        <v>0.002444567924</v>
      </c>
      <c r="K1063" s="830"/>
    </row>
    <row r="1064">
      <c r="A1064" s="181" t="s">
        <v>523</v>
      </c>
      <c r="B1064" s="181" t="s">
        <v>560</v>
      </c>
      <c r="C1064" s="181">
        <v>245760.0</v>
      </c>
      <c r="D1064" s="181">
        <v>30.0</v>
      </c>
      <c r="E1064" s="181">
        <v>56.22</v>
      </c>
      <c r="F1064" s="181">
        <v>4.37</v>
      </c>
      <c r="G1064" s="181">
        <v>4.23</v>
      </c>
      <c r="H1064" s="828">
        <v>46096.0</v>
      </c>
      <c r="I1064" s="829">
        <f t="shared" si="1"/>
        <v>0.2639644444</v>
      </c>
      <c r="J1064" s="830">
        <f t="shared" si="2"/>
        <v>0.004695205344</v>
      </c>
      <c r="K1064" s="830"/>
    </row>
    <row r="1065">
      <c r="A1065" s="181" t="s">
        <v>523</v>
      </c>
      <c r="B1065" s="181" t="s">
        <v>560</v>
      </c>
      <c r="C1065" s="181">
        <v>491520.0</v>
      </c>
      <c r="D1065" s="181">
        <v>30.0</v>
      </c>
      <c r="E1065" s="181">
        <v>58.73</v>
      </c>
      <c r="F1065" s="181">
        <v>8.37</v>
      </c>
      <c r="G1065" s="181">
        <v>8.09</v>
      </c>
      <c r="H1065" s="828">
        <v>46096.0</v>
      </c>
      <c r="I1065" s="829">
        <f t="shared" si="1"/>
        <v>0.5279288889</v>
      </c>
      <c r="J1065" s="830">
        <f t="shared" si="2"/>
        <v>0.008989083754</v>
      </c>
      <c r="K1065" s="830"/>
    </row>
    <row r="1066">
      <c r="A1066" s="181" t="s">
        <v>523</v>
      </c>
      <c r="B1066" s="181" t="s">
        <v>560</v>
      </c>
      <c r="C1066" s="181">
        <v>983040.0</v>
      </c>
      <c r="D1066" s="181">
        <v>30.0</v>
      </c>
      <c r="E1066" s="181">
        <v>49.66</v>
      </c>
      <c r="F1066" s="181">
        <v>19.79</v>
      </c>
      <c r="G1066" s="181">
        <v>19.13</v>
      </c>
      <c r="H1066" s="828">
        <v>46096.0</v>
      </c>
      <c r="I1066" s="829">
        <f t="shared" si="1"/>
        <v>1.055857778</v>
      </c>
      <c r="J1066" s="830">
        <f t="shared" si="2"/>
        <v>0.02126173536</v>
      </c>
      <c r="K1066" s="830"/>
    </row>
    <row r="1067">
      <c r="A1067" s="181" t="s">
        <v>523</v>
      </c>
      <c r="B1067" s="181" t="s">
        <v>560</v>
      </c>
      <c r="C1067" s="181">
        <v>1966080.0</v>
      </c>
      <c r="D1067" s="181">
        <v>30.0</v>
      </c>
      <c r="E1067" s="181">
        <v>50.16</v>
      </c>
      <c r="F1067" s="181">
        <v>39.19</v>
      </c>
      <c r="G1067" s="181">
        <v>37.89</v>
      </c>
      <c r="H1067" s="828">
        <v>46096.0</v>
      </c>
      <c r="I1067" s="829">
        <f t="shared" si="1"/>
        <v>2.111715556</v>
      </c>
      <c r="J1067" s="830">
        <f t="shared" si="2"/>
        <v>0.04209959242</v>
      </c>
      <c r="K1067" s="830"/>
    </row>
    <row r="1068">
      <c r="A1068" s="181" t="s">
        <v>523</v>
      </c>
      <c r="B1068" s="181" t="s">
        <v>560</v>
      </c>
      <c r="C1068" s="181">
        <v>3932160.0</v>
      </c>
      <c r="D1068" s="181">
        <v>30.0</v>
      </c>
      <c r="E1068" s="181">
        <v>53.88</v>
      </c>
      <c r="F1068" s="181">
        <v>72.97</v>
      </c>
      <c r="G1068" s="181">
        <v>70.54</v>
      </c>
      <c r="H1068" s="828">
        <v>46096.0</v>
      </c>
      <c r="I1068" s="829">
        <f t="shared" si="1"/>
        <v>4.223431111</v>
      </c>
      <c r="J1068" s="830">
        <f t="shared" si="2"/>
        <v>0.07838587808</v>
      </c>
      <c r="K1068" s="830"/>
    </row>
    <row r="1069">
      <c r="A1069" s="181" t="s">
        <v>523</v>
      </c>
      <c r="B1069" s="181" t="s">
        <v>560</v>
      </c>
      <c r="C1069" s="181">
        <v>7864320.0</v>
      </c>
      <c r="D1069" s="181">
        <v>30.0</v>
      </c>
      <c r="E1069" s="181">
        <v>63.65</v>
      </c>
      <c r="F1069" s="181">
        <v>123.56</v>
      </c>
      <c r="G1069" s="181">
        <v>119.44</v>
      </c>
      <c r="H1069" s="828">
        <v>46096.0</v>
      </c>
      <c r="I1069" s="829">
        <f t="shared" si="1"/>
        <v>8.446862222</v>
      </c>
      <c r="J1069" s="830">
        <f t="shared" si="2"/>
        <v>0.1327079689</v>
      </c>
      <c r="K1069" s="830"/>
    </row>
    <row r="1070">
      <c r="A1070" s="181" t="s">
        <v>523</v>
      </c>
      <c r="B1070" s="181" t="s">
        <v>560</v>
      </c>
      <c r="C1070" s="181">
        <v>1.572864E7</v>
      </c>
      <c r="D1070" s="181">
        <v>30.0</v>
      </c>
      <c r="E1070" s="181">
        <v>95.17</v>
      </c>
      <c r="F1070" s="181">
        <v>165.27</v>
      </c>
      <c r="G1070" s="181">
        <v>159.76</v>
      </c>
      <c r="H1070" s="828">
        <v>46096.0</v>
      </c>
      <c r="I1070" s="829">
        <f t="shared" si="1"/>
        <v>16.89372444</v>
      </c>
      <c r="J1070" s="830">
        <f t="shared" si="2"/>
        <v>0.1775110271</v>
      </c>
      <c r="K1070" s="830"/>
    </row>
    <row r="1071">
      <c r="A1071" s="181" t="s">
        <v>523</v>
      </c>
      <c r="B1071" s="181" t="s">
        <v>560</v>
      </c>
      <c r="C1071" s="181">
        <v>3.145728E7</v>
      </c>
      <c r="D1071" s="181">
        <v>30.0</v>
      </c>
      <c r="E1071" s="181">
        <v>156.45</v>
      </c>
      <c r="F1071" s="181">
        <v>201.07</v>
      </c>
      <c r="G1071" s="181">
        <v>194.37</v>
      </c>
      <c r="H1071" s="828">
        <v>46096.0</v>
      </c>
      <c r="I1071" s="829">
        <f t="shared" si="1"/>
        <v>33.78744889</v>
      </c>
      <c r="J1071" s="830">
        <f t="shared" si="2"/>
        <v>0.2159632399</v>
      </c>
      <c r="K1071" s="830"/>
    </row>
    <row r="1072">
      <c r="A1072" s="181" t="s">
        <v>523</v>
      </c>
      <c r="B1072" s="181" t="s">
        <v>560</v>
      </c>
      <c r="C1072" s="181">
        <v>6.291456E7</v>
      </c>
      <c r="D1072" s="181">
        <v>30.0</v>
      </c>
      <c r="E1072" s="181">
        <v>158.3</v>
      </c>
      <c r="F1072" s="181">
        <v>397.45</v>
      </c>
      <c r="G1072" s="181">
        <v>384.2</v>
      </c>
      <c r="H1072" s="828">
        <v>46096.0</v>
      </c>
      <c r="I1072" s="829">
        <f t="shared" si="1"/>
        <v>67.57489778</v>
      </c>
      <c r="J1072" s="830">
        <f t="shared" si="2"/>
        <v>0.4268786973</v>
      </c>
      <c r="K1072" s="830"/>
    </row>
    <row r="1073">
      <c r="A1073" s="181" t="s">
        <v>523</v>
      </c>
      <c r="B1073" s="181" t="s">
        <v>560</v>
      </c>
      <c r="C1073" s="181">
        <v>1.2582912E8</v>
      </c>
      <c r="D1073" s="181">
        <v>30.0</v>
      </c>
      <c r="E1073" s="181">
        <v>263.23</v>
      </c>
      <c r="F1073" s="181">
        <v>478.02</v>
      </c>
      <c r="G1073" s="181">
        <v>462.08</v>
      </c>
      <c r="H1073" s="828">
        <v>46096.0</v>
      </c>
      <c r="I1073" s="829">
        <f t="shared" si="1"/>
        <v>135.1497956</v>
      </c>
      <c r="J1073" s="830">
        <f t="shared" si="2"/>
        <v>0.5134285437</v>
      </c>
      <c r="K1073" s="830"/>
    </row>
    <row r="1074">
      <c r="A1074" s="181" t="s">
        <v>523</v>
      </c>
      <c r="B1074" s="181" t="s">
        <v>560</v>
      </c>
      <c r="C1074" s="181">
        <v>2.5165824E8</v>
      </c>
      <c r="D1074" s="181">
        <v>30.0</v>
      </c>
      <c r="E1074" s="181">
        <v>455.74</v>
      </c>
      <c r="F1074" s="181">
        <v>552.2</v>
      </c>
      <c r="G1074" s="181">
        <v>533.79</v>
      </c>
      <c r="H1074" s="828">
        <v>46096.0</v>
      </c>
      <c r="I1074" s="829">
        <f t="shared" si="1"/>
        <v>270.2995911</v>
      </c>
      <c r="J1074" s="830">
        <f t="shared" si="2"/>
        <v>0.5931004325</v>
      </c>
      <c r="K1074" s="830"/>
    </row>
    <row r="1075">
      <c r="A1075" s="181" t="s">
        <v>523</v>
      </c>
      <c r="B1075" s="181" t="s">
        <v>560</v>
      </c>
      <c r="C1075" s="181">
        <v>5.0331648E8</v>
      </c>
      <c r="D1075" s="181">
        <v>30.0</v>
      </c>
      <c r="E1075" s="181">
        <v>789.21</v>
      </c>
      <c r="F1075" s="181">
        <v>637.75</v>
      </c>
      <c r="G1075" s="181">
        <v>616.49</v>
      </c>
      <c r="H1075" s="828">
        <v>46096.0</v>
      </c>
      <c r="I1075" s="829">
        <f t="shared" si="1"/>
        <v>540.5991822</v>
      </c>
      <c r="J1075" s="830">
        <f t="shared" si="2"/>
        <v>0.6849877501</v>
      </c>
      <c r="K1075" s="830"/>
    </row>
    <row r="1076">
      <c r="A1076" s="181" t="s">
        <v>523</v>
      </c>
      <c r="B1076" s="181" t="s">
        <v>560</v>
      </c>
      <c r="C1076" s="181">
        <v>1.00663296E9</v>
      </c>
      <c r="D1076" s="181">
        <v>30.0</v>
      </c>
      <c r="E1076" s="181">
        <v>1526.03</v>
      </c>
      <c r="F1076" s="181">
        <v>659.64</v>
      </c>
      <c r="G1076" s="181">
        <v>637.65</v>
      </c>
      <c r="H1076" s="828">
        <v>46096.0</v>
      </c>
      <c r="I1076" s="829">
        <f t="shared" si="1"/>
        <v>1081.198364</v>
      </c>
      <c r="J1076" s="830">
        <f t="shared" si="2"/>
        <v>0.7085040035</v>
      </c>
      <c r="K1076" s="830"/>
    </row>
    <row r="1077">
      <c r="A1077" s="181" t="s">
        <v>523</v>
      </c>
      <c r="B1077" s="181" t="s">
        <v>560</v>
      </c>
      <c r="C1077" s="181">
        <v>2.01326592E9</v>
      </c>
      <c r="D1077" s="181">
        <v>30.0</v>
      </c>
      <c r="E1077" s="181">
        <v>3217.63</v>
      </c>
      <c r="F1077" s="181">
        <v>625.7</v>
      </c>
      <c r="G1077" s="181">
        <v>604.84</v>
      </c>
      <c r="H1077" s="828">
        <v>46096.0</v>
      </c>
      <c r="I1077" s="829">
        <f t="shared" si="1"/>
        <v>2162.396729</v>
      </c>
      <c r="J1077" s="830">
        <f t="shared" si="2"/>
        <v>0.672046422</v>
      </c>
      <c r="K1077" s="830"/>
    </row>
    <row r="1078">
      <c r="A1078" s="181" t="s">
        <v>523</v>
      </c>
      <c r="B1078" s="181" t="s">
        <v>560</v>
      </c>
      <c r="C1078" s="181">
        <v>4.02653184E9</v>
      </c>
      <c r="D1078" s="181">
        <v>30.0</v>
      </c>
      <c r="E1078" s="181">
        <v>6041.52</v>
      </c>
      <c r="F1078" s="181">
        <v>666.48</v>
      </c>
      <c r="G1078" s="181">
        <v>644.26</v>
      </c>
      <c r="H1078" s="828">
        <v>46096.0</v>
      </c>
      <c r="I1078" s="829">
        <f t="shared" si="1"/>
        <v>4324.793458</v>
      </c>
      <c r="J1078" s="830">
        <f t="shared" si="2"/>
        <v>0.7158452604</v>
      </c>
      <c r="K1078" s="830"/>
    </row>
    <row r="1079">
      <c r="A1079" s="181" t="s">
        <v>523</v>
      </c>
      <c r="B1079" s="181" t="s">
        <v>560</v>
      </c>
      <c r="C1079" s="181">
        <v>8.05306368E9</v>
      </c>
      <c r="D1079" s="181">
        <v>30.0</v>
      </c>
      <c r="E1079" s="181">
        <v>11681.6</v>
      </c>
      <c r="F1079" s="181">
        <v>689.38</v>
      </c>
      <c r="G1079" s="181">
        <v>666.4</v>
      </c>
      <c r="H1079" s="828">
        <v>46096.0</v>
      </c>
      <c r="I1079" s="829">
        <f t="shared" si="1"/>
        <v>8649.586916</v>
      </c>
      <c r="J1079" s="830">
        <f t="shared" si="2"/>
        <v>0.7404453941</v>
      </c>
      <c r="K1079" s="830"/>
    </row>
    <row r="1080">
      <c r="A1080" s="181" t="s">
        <v>523</v>
      </c>
      <c r="B1080" s="181" t="s">
        <v>560</v>
      </c>
      <c r="C1080" s="181">
        <v>1.610612736E10</v>
      </c>
      <c r="D1080" s="181">
        <v>30.0</v>
      </c>
      <c r="E1080" s="181">
        <v>22912.6</v>
      </c>
      <c r="F1080" s="181">
        <v>702.94</v>
      </c>
      <c r="G1080" s="181">
        <v>679.51</v>
      </c>
      <c r="H1080" s="828">
        <v>46096.0</v>
      </c>
      <c r="I1080" s="829">
        <f t="shared" si="1"/>
        <v>17299.17383</v>
      </c>
      <c r="J1080" s="830">
        <f t="shared" si="2"/>
        <v>0.7550070193</v>
      </c>
      <c r="K1080" s="830"/>
    </row>
    <row r="1081">
      <c r="A1081" s="181" t="s">
        <v>523</v>
      </c>
      <c r="B1081" s="181" t="s">
        <v>560</v>
      </c>
      <c r="C1081" s="181">
        <v>2048.0</v>
      </c>
      <c r="D1081" s="181">
        <v>32.0</v>
      </c>
      <c r="E1081" s="181">
        <v>48.14</v>
      </c>
      <c r="F1081" s="181">
        <v>0.04</v>
      </c>
      <c r="G1081" s="181">
        <v>0.04</v>
      </c>
      <c r="H1081" s="828">
        <v>46096.0</v>
      </c>
      <c r="I1081" s="829">
        <f t="shared" si="1"/>
        <v>0.002204444444</v>
      </c>
      <c r="J1081" s="830">
        <f t="shared" si="2"/>
        <v>0.00004579236486</v>
      </c>
      <c r="K1081" s="830"/>
    </row>
    <row r="1082">
      <c r="A1082" s="181" t="s">
        <v>523</v>
      </c>
      <c r="B1082" s="181" t="s">
        <v>560</v>
      </c>
      <c r="C1082" s="181">
        <v>4096.0</v>
      </c>
      <c r="D1082" s="181">
        <v>32.0</v>
      </c>
      <c r="E1082" s="181">
        <v>47.6</v>
      </c>
      <c r="F1082" s="181">
        <v>0.09</v>
      </c>
      <c r="G1082" s="181">
        <v>0.08</v>
      </c>
      <c r="H1082" s="828">
        <v>46096.0</v>
      </c>
      <c r="I1082" s="829">
        <f t="shared" si="1"/>
        <v>0.004408888889</v>
      </c>
      <c r="J1082" s="830">
        <f t="shared" si="2"/>
        <v>0.00009262371615</v>
      </c>
      <c r="K1082" s="830"/>
    </row>
    <row r="1083">
      <c r="A1083" s="181" t="s">
        <v>523</v>
      </c>
      <c r="B1083" s="181" t="s">
        <v>560</v>
      </c>
      <c r="C1083" s="181">
        <v>8192.0</v>
      </c>
      <c r="D1083" s="181">
        <v>32.0</v>
      </c>
      <c r="E1083" s="181">
        <v>47.82</v>
      </c>
      <c r="F1083" s="181">
        <v>0.17</v>
      </c>
      <c r="G1083" s="181">
        <v>0.17</v>
      </c>
      <c r="H1083" s="828">
        <v>46096.0</v>
      </c>
      <c r="I1083" s="829">
        <f t="shared" si="1"/>
        <v>0.008817777778</v>
      </c>
      <c r="J1083" s="830">
        <f t="shared" si="2"/>
        <v>0.0001843951856</v>
      </c>
      <c r="K1083" s="830"/>
    </row>
    <row r="1084">
      <c r="A1084" s="181" t="s">
        <v>523</v>
      </c>
      <c r="B1084" s="181" t="s">
        <v>560</v>
      </c>
      <c r="C1084" s="181">
        <v>16384.0</v>
      </c>
      <c r="D1084" s="181">
        <v>32.0</v>
      </c>
      <c r="E1084" s="181">
        <v>47.57</v>
      </c>
      <c r="F1084" s="181">
        <v>0.34</v>
      </c>
      <c r="G1084" s="181">
        <v>0.33</v>
      </c>
      <c r="H1084" s="828">
        <v>46096.0</v>
      </c>
      <c r="I1084" s="829">
        <f t="shared" si="1"/>
        <v>0.01763555556</v>
      </c>
      <c r="J1084" s="830">
        <f t="shared" si="2"/>
        <v>0.000370728517</v>
      </c>
      <c r="K1084" s="830"/>
    </row>
    <row r="1085">
      <c r="A1085" s="181" t="s">
        <v>523</v>
      </c>
      <c r="B1085" s="181" t="s">
        <v>560</v>
      </c>
      <c r="C1085" s="181">
        <v>32768.0</v>
      </c>
      <c r="D1085" s="181">
        <v>32.0</v>
      </c>
      <c r="E1085" s="181">
        <v>47.29</v>
      </c>
      <c r="F1085" s="181">
        <v>0.69</v>
      </c>
      <c r="G1085" s="181">
        <v>0.67</v>
      </c>
      <c r="H1085" s="828">
        <v>46096.0</v>
      </c>
      <c r="I1085" s="829">
        <f t="shared" si="1"/>
        <v>0.03527111111</v>
      </c>
      <c r="J1085" s="830">
        <f t="shared" si="2"/>
        <v>0.0007458471371</v>
      </c>
      <c r="K1085" s="830"/>
    </row>
    <row r="1086">
      <c r="A1086" s="181" t="s">
        <v>523</v>
      </c>
      <c r="B1086" s="181" t="s">
        <v>560</v>
      </c>
      <c r="C1086" s="181">
        <v>65536.0</v>
      </c>
      <c r="D1086" s="181">
        <v>32.0</v>
      </c>
      <c r="E1086" s="181">
        <v>46.79</v>
      </c>
      <c r="F1086" s="181">
        <v>1.4</v>
      </c>
      <c r="G1086" s="181">
        <v>1.36</v>
      </c>
      <c r="H1086" s="828">
        <v>46096.0</v>
      </c>
      <c r="I1086" s="829">
        <f t="shared" si="1"/>
        <v>0.07054222222</v>
      </c>
      <c r="J1086" s="830">
        <f t="shared" si="2"/>
        <v>0.001507634585</v>
      </c>
      <c r="K1086" s="830"/>
    </row>
    <row r="1087">
      <c r="A1087" s="181" t="s">
        <v>523</v>
      </c>
      <c r="B1087" s="181" t="s">
        <v>560</v>
      </c>
      <c r="C1087" s="181">
        <v>131072.0</v>
      </c>
      <c r="D1087" s="181">
        <v>32.0</v>
      </c>
      <c r="E1087" s="181">
        <v>49.47</v>
      </c>
      <c r="F1087" s="181">
        <v>2.65</v>
      </c>
      <c r="G1087" s="181">
        <v>2.57</v>
      </c>
      <c r="H1087" s="828">
        <v>46096.0</v>
      </c>
      <c r="I1087" s="829">
        <f t="shared" si="1"/>
        <v>0.1410844444</v>
      </c>
      <c r="J1087" s="830">
        <f t="shared" si="2"/>
        <v>0.002851919233</v>
      </c>
      <c r="K1087" s="830"/>
    </row>
    <row r="1088">
      <c r="A1088" s="181" t="s">
        <v>523</v>
      </c>
      <c r="B1088" s="181" t="s">
        <v>560</v>
      </c>
      <c r="C1088" s="181">
        <v>262144.0</v>
      </c>
      <c r="D1088" s="181">
        <v>32.0</v>
      </c>
      <c r="E1088" s="181">
        <v>48.97</v>
      </c>
      <c r="F1088" s="181">
        <v>5.35</v>
      </c>
      <c r="G1088" s="181">
        <v>5.19</v>
      </c>
      <c r="H1088" s="828">
        <v>46096.0</v>
      </c>
      <c r="I1088" s="829">
        <f t="shared" si="1"/>
        <v>0.2821688889</v>
      </c>
      <c r="J1088" s="830">
        <f t="shared" si="2"/>
        <v>0.005762076555</v>
      </c>
      <c r="K1088" s="830"/>
    </row>
    <row r="1089">
      <c r="A1089" s="181" t="s">
        <v>523</v>
      </c>
      <c r="B1089" s="181" t="s">
        <v>560</v>
      </c>
      <c r="C1089" s="181">
        <v>524288.0</v>
      </c>
      <c r="D1089" s="181">
        <v>32.0</v>
      </c>
      <c r="E1089" s="181">
        <v>49.08</v>
      </c>
      <c r="F1089" s="181">
        <v>10.68</v>
      </c>
      <c r="G1089" s="181">
        <v>10.35</v>
      </c>
      <c r="H1089" s="828">
        <v>46096.0</v>
      </c>
      <c r="I1089" s="829">
        <f t="shared" si="1"/>
        <v>0.5643377778</v>
      </c>
      <c r="J1089" s="830">
        <f t="shared" si="2"/>
        <v>0.01149832473</v>
      </c>
      <c r="K1089" s="830"/>
    </row>
    <row r="1090">
      <c r="A1090" s="181" t="s">
        <v>523</v>
      </c>
      <c r="B1090" s="181" t="s">
        <v>560</v>
      </c>
      <c r="C1090" s="181">
        <v>1048576.0</v>
      </c>
      <c r="D1090" s="181">
        <v>32.0</v>
      </c>
      <c r="E1090" s="181">
        <v>50.91</v>
      </c>
      <c r="F1090" s="181">
        <v>20.6</v>
      </c>
      <c r="G1090" s="181">
        <v>19.95</v>
      </c>
      <c r="H1090" s="828">
        <v>46096.0</v>
      </c>
      <c r="I1090" s="829">
        <f t="shared" si="1"/>
        <v>1.128675556</v>
      </c>
      <c r="J1090" s="830">
        <f t="shared" si="2"/>
        <v>0.02217001681</v>
      </c>
      <c r="K1090" s="830"/>
    </row>
    <row r="1091">
      <c r="A1091" s="181" t="s">
        <v>523</v>
      </c>
      <c r="B1091" s="181" t="s">
        <v>560</v>
      </c>
      <c r="C1091" s="181">
        <v>2097152.0</v>
      </c>
      <c r="D1091" s="181">
        <v>32.0</v>
      </c>
      <c r="E1091" s="181">
        <v>51.61</v>
      </c>
      <c r="F1091" s="181">
        <v>40.64</v>
      </c>
      <c r="G1091" s="181">
        <v>39.37</v>
      </c>
      <c r="H1091" s="828">
        <v>46096.0</v>
      </c>
      <c r="I1091" s="829">
        <f t="shared" si="1"/>
        <v>2.257351111</v>
      </c>
      <c r="J1091" s="830">
        <f t="shared" si="2"/>
        <v>0.04373863808</v>
      </c>
      <c r="K1091" s="830"/>
    </row>
    <row r="1092">
      <c r="A1092" s="181" t="s">
        <v>523</v>
      </c>
      <c r="B1092" s="181" t="s">
        <v>560</v>
      </c>
      <c r="C1092" s="181">
        <v>4194304.0</v>
      </c>
      <c r="D1092" s="181">
        <v>32.0</v>
      </c>
      <c r="E1092" s="181">
        <v>55.46</v>
      </c>
      <c r="F1092" s="181">
        <v>75.63</v>
      </c>
      <c r="G1092" s="181">
        <v>73.27</v>
      </c>
      <c r="H1092" s="828">
        <v>46096.0</v>
      </c>
      <c r="I1092" s="829">
        <f t="shared" si="1"/>
        <v>4.514702222</v>
      </c>
      <c r="J1092" s="830">
        <f t="shared" si="2"/>
        <v>0.08140465601</v>
      </c>
      <c r="K1092" s="830"/>
    </row>
    <row r="1093">
      <c r="A1093" s="181" t="s">
        <v>523</v>
      </c>
      <c r="B1093" s="181" t="s">
        <v>560</v>
      </c>
      <c r="C1093" s="181">
        <v>8388608.0</v>
      </c>
      <c r="D1093" s="181">
        <v>32.0</v>
      </c>
      <c r="E1093" s="181">
        <v>63.95</v>
      </c>
      <c r="F1093" s="181">
        <v>131.17</v>
      </c>
      <c r="G1093" s="181">
        <v>127.07</v>
      </c>
      <c r="H1093" s="828">
        <v>46096.0</v>
      </c>
      <c r="I1093" s="829">
        <f t="shared" si="1"/>
        <v>9.029404444</v>
      </c>
      <c r="J1093" s="830">
        <f t="shared" si="2"/>
        <v>0.1411947528</v>
      </c>
      <c r="K1093" s="830"/>
    </row>
    <row r="1094">
      <c r="A1094" s="181" t="s">
        <v>523</v>
      </c>
      <c r="B1094" s="181" t="s">
        <v>560</v>
      </c>
      <c r="C1094" s="181">
        <v>1.6777216E7</v>
      </c>
      <c r="D1094" s="181">
        <v>32.0</v>
      </c>
      <c r="E1094" s="181">
        <v>97.96</v>
      </c>
      <c r="F1094" s="181">
        <v>171.27</v>
      </c>
      <c r="G1094" s="181">
        <v>165.92</v>
      </c>
      <c r="H1094" s="828">
        <v>46096.0</v>
      </c>
      <c r="I1094" s="829">
        <f t="shared" si="1"/>
        <v>18.05880889</v>
      </c>
      <c r="J1094" s="830">
        <f t="shared" si="2"/>
        <v>0.1843488045</v>
      </c>
      <c r="K1094" s="830"/>
    </row>
    <row r="1095">
      <c r="A1095" s="181" t="s">
        <v>523</v>
      </c>
      <c r="B1095" s="181" t="s">
        <v>560</v>
      </c>
      <c r="C1095" s="181">
        <v>3.3554432E7</v>
      </c>
      <c r="D1095" s="181">
        <v>32.0</v>
      </c>
      <c r="E1095" s="181">
        <v>148.69</v>
      </c>
      <c r="F1095" s="181">
        <v>225.66</v>
      </c>
      <c r="G1095" s="181">
        <v>218.61</v>
      </c>
      <c r="H1095" s="828">
        <v>46096.0</v>
      </c>
      <c r="I1095" s="829">
        <f t="shared" si="1"/>
        <v>36.11761778</v>
      </c>
      <c r="J1095" s="830">
        <f t="shared" si="2"/>
        <v>0.2429054932</v>
      </c>
      <c r="K1095" s="830"/>
    </row>
    <row r="1096">
      <c r="A1096" s="181" t="s">
        <v>523</v>
      </c>
      <c r="B1096" s="181" t="s">
        <v>560</v>
      </c>
      <c r="C1096" s="181">
        <v>6.7108864E7</v>
      </c>
      <c r="D1096" s="181">
        <v>32.0</v>
      </c>
      <c r="E1096" s="181">
        <v>167.32</v>
      </c>
      <c r="F1096" s="181">
        <v>401.08</v>
      </c>
      <c r="G1096" s="181">
        <v>388.55</v>
      </c>
      <c r="H1096" s="828">
        <v>46096.0</v>
      </c>
      <c r="I1096" s="829">
        <f t="shared" si="1"/>
        <v>72.23523556</v>
      </c>
      <c r="J1096" s="830">
        <f t="shared" si="2"/>
        <v>0.4317190746</v>
      </c>
      <c r="K1096" s="830"/>
    </row>
    <row r="1097">
      <c r="A1097" s="181" t="s">
        <v>523</v>
      </c>
      <c r="B1097" s="181" t="s">
        <v>560</v>
      </c>
      <c r="C1097" s="181">
        <v>1.34217728E8</v>
      </c>
      <c r="D1097" s="181">
        <v>32.0</v>
      </c>
      <c r="E1097" s="181">
        <v>274.18</v>
      </c>
      <c r="F1097" s="181">
        <v>489.53</v>
      </c>
      <c r="G1097" s="181">
        <v>474.23</v>
      </c>
      <c r="H1097" s="828">
        <v>46096.0</v>
      </c>
      <c r="I1097" s="829">
        <f t="shared" si="1"/>
        <v>144.4704711</v>
      </c>
      <c r="J1097" s="830">
        <f t="shared" si="2"/>
        <v>0.5269183424</v>
      </c>
      <c r="K1097" s="830"/>
    </row>
    <row r="1098">
      <c r="A1098" s="181" t="s">
        <v>523</v>
      </c>
      <c r="B1098" s="181" t="s">
        <v>560</v>
      </c>
      <c r="C1098" s="181">
        <v>2.68435456E8</v>
      </c>
      <c r="D1098" s="181">
        <v>32.0</v>
      </c>
      <c r="E1098" s="181">
        <v>474.98</v>
      </c>
      <c r="F1098" s="181">
        <v>565.15</v>
      </c>
      <c r="G1098" s="181">
        <v>547.49</v>
      </c>
      <c r="H1098" s="828">
        <v>46096.0</v>
      </c>
      <c r="I1098" s="829">
        <f t="shared" si="1"/>
        <v>288.9409422</v>
      </c>
      <c r="J1098" s="830">
        <f t="shared" si="2"/>
        <v>0.608322334</v>
      </c>
      <c r="K1098" s="830"/>
    </row>
    <row r="1099">
      <c r="A1099" s="181" t="s">
        <v>523</v>
      </c>
      <c r="B1099" s="181" t="s">
        <v>560</v>
      </c>
      <c r="C1099" s="181">
        <v>5.36870912E8</v>
      </c>
      <c r="D1099" s="181">
        <v>32.0</v>
      </c>
      <c r="E1099" s="181">
        <v>828.53</v>
      </c>
      <c r="F1099" s="181">
        <v>647.98</v>
      </c>
      <c r="G1099" s="181">
        <v>627.73</v>
      </c>
      <c r="H1099" s="828">
        <v>46096.0</v>
      </c>
      <c r="I1099" s="829">
        <f t="shared" si="1"/>
        <v>577.8818844</v>
      </c>
      <c r="J1099" s="830">
        <f t="shared" si="2"/>
        <v>0.6974785276</v>
      </c>
      <c r="K1099" s="830"/>
    </row>
    <row r="1100">
      <c r="A1100" s="181" t="s">
        <v>523</v>
      </c>
      <c r="B1100" s="181" t="s">
        <v>560</v>
      </c>
      <c r="C1100" s="181">
        <v>1.073741824E9</v>
      </c>
      <c r="D1100" s="181">
        <v>32.0</v>
      </c>
      <c r="E1100" s="181">
        <v>1599.26</v>
      </c>
      <c r="F1100" s="181">
        <v>671.4</v>
      </c>
      <c r="G1100" s="181">
        <v>650.42</v>
      </c>
      <c r="H1100" s="828">
        <v>46096.0</v>
      </c>
      <c r="I1100" s="829">
        <f t="shared" si="1"/>
        <v>1155.763769</v>
      </c>
      <c r="J1100" s="830">
        <f t="shared" si="2"/>
        <v>0.7226865981</v>
      </c>
      <c r="K1100" s="830"/>
    </row>
    <row r="1101">
      <c r="A1101" s="181" t="s">
        <v>523</v>
      </c>
      <c r="B1101" s="181" t="s">
        <v>560</v>
      </c>
      <c r="C1101" s="181">
        <v>2.147483648E9</v>
      </c>
      <c r="D1101" s="181">
        <v>32.0</v>
      </c>
      <c r="E1101" s="181">
        <v>3249.16</v>
      </c>
      <c r="F1101" s="181">
        <v>660.93</v>
      </c>
      <c r="G1101" s="181">
        <v>640.28</v>
      </c>
      <c r="H1101" s="828">
        <v>46096.0</v>
      </c>
      <c r="I1101" s="829">
        <f t="shared" si="1"/>
        <v>2311.527538</v>
      </c>
      <c r="J1101" s="830">
        <f t="shared" si="2"/>
        <v>0.7114231179</v>
      </c>
      <c r="K1101" s="830"/>
    </row>
    <row r="1102">
      <c r="A1102" s="181" t="s">
        <v>523</v>
      </c>
      <c r="B1102" s="181" t="s">
        <v>560</v>
      </c>
      <c r="C1102" s="181">
        <v>4.294967296E9</v>
      </c>
      <c r="D1102" s="181">
        <v>32.0</v>
      </c>
      <c r="E1102" s="181">
        <v>6358.12</v>
      </c>
      <c r="F1102" s="181">
        <v>675.51</v>
      </c>
      <c r="G1102" s="181">
        <v>654.4</v>
      </c>
      <c r="H1102" s="828">
        <v>46096.0</v>
      </c>
      <c r="I1102" s="829">
        <f t="shared" si="1"/>
        <v>4623.055076</v>
      </c>
      <c r="J1102" s="830">
        <f t="shared" si="2"/>
        <v>0.7271103841</v>
      </c>
      <c r="K1102" s="830"/>
    </row>
    <row r="1103">
      <c r="A1103" s="181" t="s">
        <v>523</v>
      </c>
      <c r="B1103" s="181" t="s">
        <v>560</v>
      </c>
      <c r="C1103" s="181">
        <v>8.589934592E9</v>
      </c>
      <c r="D1103" s="181">
        <v>32.0</v>
      </c>
      <c r="E1103" s="181">
        <v>12408.6</v>
      </c>
      <c r="F1103" s="181">
        <v>692.26</v>
      </c>
      <c r="G1103" s="181">
        <v>670.62</v>
      </c>
      <c r="H1103" s="828">
        <v>46096.0</v>
      </c>
      <c r="I1103" s="829">
        <f t="shared" si="1"/>
        <v>9246.110151</v>
      </c>
      <c r="J1103" s="830">
        <f t="shared" si="2"/>
        <v>0.7451372557</v>
      </c>
      <c r="K1103" s="830"/>
    </row>
    <row r="1104">
      <c r="A1104" s="181" t="s">
        <v>523</v>
      </c>
      <c r="B1104" s="181" t="s">
        <v>560</v>
      </c>
      <c r="C1104" s="181">
        <v>1.7179869184E10</v>
      </c>
      <c r="D1104" s="181">
        <v>32.0</v>
      </c>
      <c r="E1104" s="181">
        <v>24496.2</v>
      </c>
      <c r="F1104" s="181">
        <v>701.33</v>
      </c>
      <c r="G1104" s="181">
        <v>679.41</v>
      </c>
      <c r="H1104" s="828">
        <v>46096.0</v>
      </c>
      <c r="I1104" s="829">
        <f t="shared" si="1"/>
        <v>18492.2203</v>
      </c>
      <c r="J1104" s="830">
        <f t="shared" si="2"/>
        <v>0.7549015889</v>
      </c>
      <c r="K1104" s="830"/>
    </row>
    <row r="1105">
      <c r="A1105" s="181" t="s">
        <v>523</v>
      </c>
      <c r="B1105" s="181" t="s">
        <v>561</v>
      </c>
      <c r="C1105" s="181">
        <v>256.0</v>
      </c>
      <c r="D1105" s="181">
        <v>2.0</v>
      </c>
      <c r="E1105" s="181">
        <v>11.81</v>
      </c>
      <c r="F1105" s="181">
        <v>0.02</v>
      </c>
      <c r="G1105" s="181">
        <v>0.02</v>
      </c>
      <c r="H1105" s="828">
        <v>46096.0</v>
      </c>
      <c r="I1105" s="829">
        <f t="shared" si="1"/>
        <v>0.0001422222222</v>
      </c>
      <c r="J1105" s="830">
        <f t="shared" si="2"/>
        <v>0.00001204252517</v>
      </c>
      <c r="K1105" s="830"/>
    </row>
    <row r="1106">
      <c r="A1106" s="181" t="s">
        <v>523</v>
      </c>
      <c r="B1106" s="181" t="s">
        <v>561</v>
      </c>
      <c r="C1106" s="181">
        <v>512.0</v>
      </c>
      <c r="D1106" s="181">
        <v>2.0</v>
      </c>
      <c r="E1106" s="181">
        <v>11.58</v>
      </c>
      <c r="F1106" s="181">
        <v>0.04</v>
      </c>
      <c r="G1106" s="181">
        <v>0.04</v>
      </c>
      <c r="H1106" s="828">
        <v>46096.0</v>
      </c>
      <c r="I1106" s="829">
        <f t="shared" si="1"/>
        <v>0.0002844444444</v>
      </c>
      <c r="J1106" s="830">
        <f t="shared" si="2"/>
        <v>0.00002456342353</v>
      </c>
      <c r="K1106" s="830"/>
    </row>
    <row r="1107">
      <c r="A1107" s="181" t="s">
        <v>523</v>
      </c>
      <c r="B1107" s="181" t="s">
        <v>561</v>
      </c>
      <c r="C1107" s="181">
        <v>1024.0</v>
      </c>
      <c r="D1107" s="181">
        <v>2.0</v>
      </c>
      <c r="E1107" s="181">
        <v>11.69</v>
      </c>
      <c r="F1107" s="181">
        <v>0.09</v>
      </c>
      <c r="G1107" s="181">
        <v>0.09</v>
      </c>
      <c r="H1107" s="828">
        <v>46096.0</v>
      </c>
      <c r="I1107" s="829">
        <f t="shared" si="1"/>
        <v>0.0005688888889</v>
      </c>
      <c r="J1107" s="830">
        <f t="shared" si="2"/>
        <v>0.00004866457561</v>
      </c>
      <c r="K1107" s="830"/>
    </row>
    <row r="1108">
      <c r="A1108" s="181" t="s">
        <v>523</v>
      </c>
      <c r="B1108" s="181" t="s">
        <v>561</v>
      </c>
      <c r="C1108" s="181">
        <v>2048.0</v>
      </c>
      <c r="D1108" s="181">
        <v>2.0</v>
      </c>
      <c r="E1108" s="181">
        <v>11.82</v>
      </c>
      <c r="F1108" s="181">
        <v>0.17</v>
      </c>
      <c r="G1108" s="181">
        <v>0.17</v>
      </c>
      <c r="H1108" s="828">
        <v>46096.0</v>
      </c>
      <c r="I1108" s="829">
        <f t="shared" si="1"/>
        <v>0.001137777778</v>
      </c>
      <c r="J1108" s="830">
        <f t="shared" si="2"/>
        <v>0.00009625869524</v>
      </c>
      <c r="K1108" s="830"/>
    </row>
    <row r="1109">
      <c r="A1109" s="181" t="s">
        <v>523</v>
      </c>
      <c r="B1109" s="181" t="s">
        <v>561</v>
      </c>
      <c r="C1109" s="181">
        <v>4096.0</v>
      </c>
      <c r="D1109" s="181">
        <v>2.0</v>
      </c>
      <c r="E1109" s="181">
        <v>11.92</v>
      </c>
      <c r="F1109" s="181">
        <v>0.34</v>
      </c>
      <c r="G1109" s="181">
        <v>0.34</v>
      </c>
      <c r="H1109" s="828">
        <v>46096.0</v>
      </c>
      <c r="I1109" s="829">
        <f t="shared" si="1"/>
        <v>0.002275555556</v>
      </c>
      <c r="J1109" s="830">
        <f t="shared" si="2"/>
        <v>0.0001909023117</v>
      </c>
      <c r="K1109" s="830"/>
    </row>
    <row r="1110">
      <c r="A1110" s="181" t="s">
        <v>523</v>
      </c>
      <c r="B1110" s="181" t="s">
        <v>561</v>
      </c>
      <c r="C1110" s="181">
        <v>8192.0</v>
      </c>
      <c r="D1110" s="181">
        <v>2.0</v>
      </c>
      <c r="E1110" s="181">
        <v>12.44</v>
      </c>
      <c r="F1110" s="181">
        <v>0.66</v>
      </c>
      <c r="G1110" s="181">
        <v>0.66</v>
      </c>
      <c r="H1110" s="828">
        <v>46096.0</v>
      </c>
      <c r="I1110" s="829">
        <f t="shared" si="1"/>
        <v>0.004551111111</v>
      </c>
      <c r="J1110" s="830">
        <f t="shared" si="2"/>
        <v>0.0003658449446</v>
      </c>
      <c r="K1110" s="830"/>
    </row>
    <row r="1111">
      <c r="A1111" s="181" t="s">
        <v>523</v>
      </c>
      <c r="B1111" s="181" t="s">
        <v>561</v>
      </c>
      <c r="C1111" s="181">
        <v>16384.0</v>
      </c>
      <c r="D1111" s="181">
        <v>2.0</v>
      </c>
      <c r="E1111" s="181">
        <v>12.01</v>
      </c>
      <c r="F1111" s="181">
        <v>1.36</v>
      </c>
      <c r="G1111" s="181">
        <v>1.36</v>
      </c>
      <c r="H1111" s="828">
        <v>46096.0</v>
      </c>
      <c r="I1111" s="829">
        <f t="shared" si="1"/>
        <v>0.009102222222</v>
      </c>
      <c r="J1111" s="830">
        <f t="shared" si="2"/>
        <v>0.0007578869461</v>
      </c>
      <c r="K1111" s="830"/>
    </row>
    <row r="1112">
      <c r="A1112" s="181" t="s">
        <v>523</v>
      </c>
      <c r="B1112" s="181" t="s">
        <v>561</v>
      </c>
      <c r="C1112" s="181">
        <v>32768.0</v>
      </c>
      <c r="D1112" s="181">
        <v>2.0</v>
      </c>
      <c r="E1112" s="181">
        <v>12.04</v>
      </c>
      <c r="F1112" s="181">
        <v>2.72</v>
      </c>
      <c r="G1112" s="181">
        <v>2.72</v>
      </c>
      <c r="H1112" s="828">
        <v>46096.0</v>
      </c>
      <c r="I1112" s="829">
        <f t="shared" si="1"/>
        <v>0.01820444444</v>
      </c>
      <c r="J1112" s="830">
        <f t="shared" si="2"/>
        <v>0.001511997047</v>
      </c>
      <c r="K1112" s="830"/>
    </row>
    <row r="1113">
      <c r="A1113" s="181" t="s">
        <v>523</v>
      </c>
      <c r="B1113" s="181" t="s">
        <v>561</v>
      </c>
      <c r="C1113" s="181">
        <v>65536.0</v>
      </c>
      <c r="D1113" s="181">
        <v>2.0</v>
      </c>
      <c r="E1113" s="181">
        <v>12.22</v>
      </c>
      <c r="F1113" s="181">
        <v>5.36</v>
      </c>
      <c r="G1113" s="181">
        <v>5.36</v>
      </c>
      <c r="H1113" s="828">
        <v>46096.0</v>
      </c>
      <c r="I1113" s="829">
        <f t="shared" si="1"/>
        <v>0.03640888889</v>
      </c>
      <c r="J1113" s="830">
        <f t="shared" si="2"/>
        <v>0.002979450809</v>
      </c>
      <c r="K1113" s="830"/>
    </row>
    <row r="1114">
      <c r="A1114" s="181" t="s">
        <v>523</v>
      </c>
      <c r="B1114" s="181" t="s">
        <v>561</v>
      </c>
      <c r="C1114" s="181">
        <v>131072.0</v>
      </c>
      <c r="D1114" s="181">
        <v>2.0</v>
      </c>
      <c r="E1114" s="181">
        <v>12.69</v>
      </c>
      <c r="F1114" s="181">
        <v>10.33</v>
      </c>
      <c r="G1114" s="181">
        <v>10.33</v>
      </c>
      <c r="H1114" s="828">
        <v>46096.0</v>
      </c>
      <c r="I1114" s="829">
        <f t="shared" si="1"/>
        <v>0.07281777778</v>
      </c>
      <c r="J1114" s="830">
        <f t="shared" si="2"/>
        <v>0.005738201559</v>
      </c>
      <c r="K1114" s="830"/>
    </row>
    <row r="1115">
      <c r="A1115" s="181" t="s">
        <v>523</v>
      </c>
      <c r="B1115" s="181" t="s">
        <v>561</v>
      </c>
      <c r="C1115" s="181">
        <v>262144.0</v>
      </c>
      <c r="D1115" s="181">
        <v>2.0</v>
      </c>
      <c r="E1115" s="181">
        <v>12.57</v>
      </c>
      <c r="F1115" s="181">
        <v>20.85</v>
      </c>
      <c r="G1115" s="181">
        <v>20.85</v>
      </c>
      <c r="H1115" s="828">
        <v>46096.0</v>
      </c>
      <c r="I1115" s="829">
        <f t="shared" si="1"/>
        <v>0.1456355556</v>
      </c>
      <c r="J1115" s="830">
        <f t="shared" si="2"/>
        <v>0.01158596305</v>
      </c>
      <c r="K1115" s="830"/>
    </row>
    <row r="1116">
      <c r="A1116" s="181" t="s">
        <v>523</v>
      </c>
      <c r="B1116" s="181" t="s">
        <v>561</v>
      </c>
      <c r="C1116" s="181">
        <v>524288.0</v>
      </c>
      <c r="D1116" s="181">
        <v>2.0</v>
      </c>
      <c r="E1116" s="181">
        <v>13.29</v>
      </c>
      <c r="F1116" s="181">
        <v>39.46</v>
      </c>
      <c r="G1116" s="181">
        <v>39.46</v>
      </c>
      <c r="H1116" s="828">
        <v>46096.0</v>
      </c>
      <c r="I1116" s="829">
        <f t="shared" si="1"/>
        <v>0.2912711111</v>
      </c>
      <c r="J1116" s="830">
        <f t="shared" si="2"/>
        <v>0.02191656216</v>
      </c>
      <c r="K1116" s="830"/>
    </row>
    <row r="1117">
      <c r="A1117" s="181" t="s">
        <v>523</v>
      </c>
      <c r="B1117" s="181" t="s">
        <v>561</v>
      </c>
      <c r="C1117" s="181">
        <v>1048576.0</v>
      </c>
      <c r="D1117" s="181">
        <v>2.0</v>
      </c>
      <c r="E1117" s="181">
        <v>14.55</v>
      </c>
      <c r="F1117" s="181">
        <v>72.05</v>
      </c>
      <c r="G1117" s="181">
        <v>72.05</v>
      </c>
      <c r="H1117" s="828">
        <v>46096.0</v>
      </c>
      <c r="I1117" s="829">
        <f t="shared" si="1"/>
        <v>0.5825422222</v>
      </c>
      <c r="J1117" s="830">
        <f t="shared" si="2"/>
        <v>0.04003726613</v>
      </c>
      <c r="K1117" s="830"/>
    </row>
    <row r="1118">
      <c r="A1118" s="181" t="s">
        <v>523</v>
      </c>
      <c r="B1118" s="181" t="s">
        <v>561</v>
      </c>
      <c r="C1118" s="181">
        <v>2097152.0</v>
      </c>
      <c r="D1118" s="181">
        <v>2.0</v>
      </c>
      <c r="E1118" s="181">
        <v>20.97</v>
      </c>
      <c r="F1118" s="181">
        <v>100.02</v>
      </c>
      <c r="G1118" s="181">
        <v>100.02</v>
      </c>
      <c r="H1118" s="828">
        <v>46096.0</v>
      </c>
      <c r="I1118" s="829">
        <f t="shared" si="1"/>
        <v>1.165084444</v>
      </c>
      <c r="J1118" s="830">
        <f t="shared" si="2"/>
        <v>0.05555958247</v>
      </c>
      <c r="K1118" s="830"/>
    </row>
    <row r="1119">
      <c r="A1119" s="181" t="s">
        <v>523</v>
      </c>
      <c r="B1119" s="181" t="s">
        <v>561</v>
      </c>
      <c r="C1119" s="181">
        <v>4194304.0</v>
      </c>
      <c r="D1119" s="181">
        <v>2.0</v>
      </c>
      <c r="E1119" s="181">
        <v>38.19</v>
      </c>
      <c r="F1119" s="181">
        <v>109.82</v>
      </c>
      <c r="G1119" s="181">
        <v>109.82</v>
      </c>
      <c r="H1119" s="828">
        <v>46096.0</v>
      </c>
      <c r="I1119" s="829">
        <f t="shared" si="1"/>
        <v>2.330168889</v>
      </c>
      <c r="J1119" s="830">
        <f t="shared" si="2"/>
        <v>0.06101515813</v>
      </c>
      <c r="K1119" s="830"/>
    </row>
    <row r="1120">
      <c r="A1120" s="181" t="s">
        <v>523</v>
      </c>
      <c r="B1120" s="181" t="s">
        <v>561</v>
      </c>
      <c r="C1120" s="181">
        <v>8388608.0</v>
      </c>
      <c r="D1120" s="181">
        <v>2.0</v>
      </c>
      <c r="E1120" s="181">
        <v>44.35</v>
      </c>
      <c r="F1120" s="181">
        <v>189.14</v>
      </c>
      <c r="G1120" s="181">
        <v>189.14</v>
      </c>
      <c r="H1120" s="828">
        <v>46096.0</v>
      </c>
      <c r="I1120" s="829">
        <f t="shared" si="1"/>
        <v>4.660337778</v>
      </c>
      <c r="J1120" s="830">
        <f t="shared" si="2"/>
        <v>0.1050808969</v>
      </c>
      <c r="K1120" s="830"/>
    </row>
    <row r="1121">
      <c r="A1121" s="181" t="s">
        <v>523</v>
      </c>
      <c r="B1121" s="181" t="s">
        <v>561</v>
      </c>
      <c r="C1121" s="181">
        <v>1.6777216E7</v>
      </c>
      <c r="D1121" s="181">
        <v>2.0</v>
      </c>
      <c r="E1121" s="181">
        <v>55.0</v>
      </c>
      <c r="F1121" s="181">
        <v>305.04</v>
      </c>
      <c r="G1121" s="181">
        <v>305.04</v>
      </c>
      <c r="H1121" s="828">
        <v>46096.0</v>
      </c>
      <c r="I1121" s="829">
        <f t="shared" si="1"/>
        <v>9.320675556</v>
      </c>
      <c r="J1121" s="830">
        <f t="shared" si="2"/>
        <v>0.1694668283</v>
      </c>
      <c r="K1121" s="830"/>
    </row>
    <row r="1122">
      <c r="A1122" s="181" t="s">
        <v>523</v>
      </c>
      <c r="B1122" s="181" t="s">
        <v>561</v>
      </c>
      <c r="C1122" s="181">
        <v>3.3554432E7</v>
      </c>
      <c r="D1122" s="181">
        <v>2.0</v>
      </c>
      <c r="E1122" s="181">
        <v>82.49</v>
      </c>
      <c r="F1122" s="181">
        <v>406.78</v>
      </c>
      <c r="G1122" s="181">
        <v>406.78</v>
      </c>
      <c r="H1122" s="828">
        <v>46096.0</v>
      </c>
      <c r="I1122" s="829">
        <f t="shared" si="1"/>
        <v>18.64135111</v>
      </c>
      <c r="J1122" s="830">
        <f t="shared" si="2"/>
        <v>0.2259831629</v>
      </c>
      <c r="K1122" s="830"/>
    </row>
    <row r="1123">
      <c r="A1123" s="181" t="s">
        <v>523</v>
      </c>
      <c r="B1123" s="181" t="s">
        <v>561</v>
      </c>
      <c r="C1123" s="181">
        <v>6.7108864E7</v>
      </c>
      <c r="D1123" s="181">
        <v>2.0</v>
      </c>
      <c r="E1123" s="181">
        <v>149.2</v>
      </c>
      <c r="F1123" s="181">
        <v>449.78</v>
      </c>
      <c r="G1123" s="181">
        <v>449.78</v>
      </c>
      <c r="H1123" s="828">
        <v>46096.0</v>
      </c>
      <c r="I1123" s="829">
        <f t="shared" si="1"/>
        <v>37.28270222</v>
      </c>
      <c r="J1123" s="830">
        <f t="shared" si="2"/>
        <v>0.2498840632</v>
      </c>
      <c r="K1123" s="830"/>
    </row>
    <row r="1124">
      <c r="A1124" s="181" t="s">
        <v>523</v>
      </c>
      <c r="B1124" s="181" t="s">
        <v>561</v>
      </c>
      <c r="C1124" s="181">
        <v>1.34217728E8</v>
      </c>
      <c r="D1124" s="181">
        <v>2.0</v>
      </c>
      <c r="E1124" s="181">
        <v>276.69</v>
      </c>
      <c r="F1124" s="181">
        <v>485.08</v>
      </c>
      <c r="G1124" s="181">
        <v>485.08</v>
      </c>
      <c r="H1124" s="828">
        <v>46096.0</v>
      </c>
      <c r="I1124" s="829">
        <f t="shared" si="1"/>
        <v>74.56540444</v>
      </c>
      <c r="J1124" s="830">
        <f t="shared" si="2"/>
        <v>0.2694907819</v>
      </c>
      <c r="K1124" s="830"/>
    </row>
    <row r="1125">
      <c r="A1125" s="181" t="s">
        <v>523</v>
      </c>
      <c r="B1125" s="181" t="s">
        <v>561</v>
      </c>
      <c r="C1125" s="181">
        <v>2.68435456E8</v>
      </c>
      <c r="D1125" s="181">
        <v>2.0</v>
      </c>
      <c r="E1125" s="181">
        <v>516.37</v>
      </c>
      <c r="F1125" s="181">
        <v>519.85</v>
      </c>
      <c r="G1125" s="181">
        <v>519.85</v>
      </c>
      <c r="H1125" s="828">
        <v>46096.0</v>
      </c>
      <c r="I1125" s="829">
        <f t="shared" si="1"/>
        <v>149.1308089</v>
      </c>
      <c r="J1125" s="830">
        <f t="shared" si="2"/>
        <v>0.2888061059</v>
      </c>
      <c r="K1125" s="830"/>
    </row>
    <row r="1126">
      <c r="A1126" s="181" t="s">
        <v>523</v>
      </c>
      <c r="B1126" s="181" t="s">
        <v>561</v>
      </c>
      <c r="C1126" s="181">
        <v>5.36870912E8</v>
      </c>
      <c r="D1126" s="181">
        <v>2.0</v>
      </c>
      <c r="E1126" s="181">
        <v>956.59</v>
      </c>
      <c r="F1126" s="181">
        <v>561.23</v>
      </c>
      <c r="G1126" s="181">
        <v>561.23</v>
      </c>
      <c r="H1126" s="828">
        <v>46096.0</v>
      </c>
      <c r="I1126" s="829">
        <f t="shared" si="1"/>
        <v>298.2616178</v>
      </c>
      <c r="J1126" s="830">
        <f t="shared" si="2"/>
        <v>0.3117967131</v>
      </c>
      <c r="K1126" s="830"/>
    </row>
    <row r="1127">
      <c r="A1127" s="181" t="s">
        <v>523</v>
      </c>
      <c r="B1127" s="181" t="s">
        <v>561</v>
      </c>
      <c r="C1127" s="181">
        <v>1.073741824E9</v>
      </c>
      <c r="D1127" s="181">
        <v>2.0</v>
      </c>
      <c r="E1127" s="181">
        <v>1830.31</v>
      </c>
      <c r="F1127" s="181">
        <v>586.65</v>
      </c>
      <c r="G1127" s="181">
        <v>586.65</v>
      </c>
      <c r="H1127" s="828">
        <v>46096.0</v>
      </c>
      <c r="I1127" s="829">
        <f t="shared" si="1"/>
        <v>596.5232356</v>
      </c>
      <c r="J1127" s="830">
        <f t="shared" si="2"/>
        <v>0.3259137717</v>
      </c>
      <c r="K1127" s="830"/>
    </row>
    <row r="1128">
      <c r="A1128" s="181" t="s">
        <v>523</v>
      </c>
      <c r="B1128" s="181" t="s">
        <v>561</v>
      </c>
      <c r="C1128" s="181">
        <v>2.147483648E9</v>
      </c>
      <c r="D1128" s="181">
        <v>2.0</v>
      </c>
      <c r="E1128" s="181">
        <v>3499.31</v>
      </c>
      <c r="F1128" s="181">
        <v>613.69</v>
      </c>
      <c r="G1128" s="181">
        <v>613.69</v>
      </c>
      <c r="H1128" s="828">
        <v>46096.0</v>
      </c>
      <c r="I1128" s="829">
        <f t="shared" si="1"/>
        <v>1193.046471</v>
      </c>
      <c r="J1128" s="830">
        <f t="shared" si="2"/>
        <v>0.3409376337</v>
      </c>
      <c r="K1128" s="830"/>
    </row>
    <row r="1129">
      <c r="A1129" s="181" t="s">
        <v>523</v>
      </c>
      <c r="B1129" s="181" t="s">
        <v>561</v>
      </c>
      <c r="C1129" s="181">
        <v>4.294967296E9</v>
      </c>
      <c r="D1129" s="181">
        <v>2.0</v>
      </c>
      <c r="E1129" s="181">
        <v>6802.91</v>
      </c>
      <c r="F1129" s="181">
        <v>631.34</v>
      </c>
      <c r="G1129" s="181">
        <v>631.34</v>
      </c>
      <c r="H1129" s="828">
        <v>46096.0</v>
      </c>
      <c r="I1129" s="829">
        <f t="shared" si="1"/>
        <v>2386.092942</v>
      </c>
      <c r="J1129" s="830">
        <f t="shared" si="2"/>
        <v>0.3507459223</v>
      </c>
      <c r="K1129" s="830"/>
    </row>
    <row r="1130">
      <c r="A1130" s="181" t="s">
        <v>523</v>
      </c>
      <c r="B1130" s="181" t="s">
        <v>561</v>
      </c>
      <c r="C1130" s="181">
        <v>8.589934592E9</v>
      </c>
      <c r="D1130" s="181">
        <v>2.0</v>
      </c>
      <c r="E1130" s="181">
        <v>13314.0</v>
      </c>
      <c r="F1130" s="181">
        <v>645.18</v>
      </c>
      <c r="G1130" s="181">
        <v>645.18</v>
      </c>
      <c r="H1130" s="828">
        <v>46096.0</v>
      </c>
      <c r="I1130" s="829">
        <f t="shared" si="1"/>
        <v>4772.185884</v>
      </c>
      <c r="J1130" s="830">
        <f t="shared" si="2"/>
        <v>0.3584336702</v>
      </c>
      <c r="K1130" s="830"/>
    </row>
    <row r="1131">
      <c r="A1131" s="181" t="s">
        <v>523</v>
      </c>
      <c r="B1131" s="181" t="s">
        <v>561</v>
      </c>
      <c r="C1131" s="181">
        <v>1.7179869184E10</v>
      </c>
      <c r="D1131" s="181">
        <v>2.0</v>
      </c>
      <c r="E1131" s="181">
        <v>26239.7</v>
      </c>
      <c r="F1131" s="181">
        <v>654.73</v>
      </c>
      <c r="G1131" s="181">
        <v>654.73</v>
      </c>
      <c r="H1131" s="828">
        <v>46096.0</v>
      </c>
      <c r="I1131" s="829">
        <f t="shared" si="1"/>
        <v>9544.371769</v>
      </c>
      <c r="J1131" s="830">
        <f t="shared" si="2"/>
        <v>0.3637378388</v>
      </c>
      <c r="K1131" s="830"/>
    </row>
    <row r="1132">
      <c r="A1132" s="181" t="s">
        <v>523</v>
      </c>
      <c r="B1132" s="181" t="s">
        <v>561</v>
      </c>
      <c r="C1132" s="181">
        <v>256.0</v>
      </c>
      <c r="D1132" s="181">
        <v>4.0</v>
      </c>
      <c r="E1132" s="181">
        <v>16.07</v>
      </c>
      <c r="F1132" s="181">
        <v>0.02</v>
      </c>
      <c r="G1132" s="181">
        <v>0.02</v>
      </c>
      <c r="H1132" s="828">
        <v>46096.0</v>
      </c>
      <c r="I1132" s="829">
        <f t="shared" si="1"/>
        <v>0.0002133333333</v>
      </c>
      <c r="J1132" s="830">
        <f t="shared" si="2"/>
        <v>0.0000132752541</v>
      </c>
      <c r="K1132" s="830"/>
    </row>
    <row r="1133">
      <c r="A1133" s="181" t="s">
        <v>523</v>
      </c>
      <c r="B1133" s="181" t="s">
        <v>561</v>
      </c>
      <c r="C1133" s="181">
        <v>512.0</v>
      </c>
      <c r="D1133" s="181">
        <v>4.0</v>
      </c>
      <c r="E1133" s="181">
        <v>16.37</v>
      </c>
      <c r="F1133" s="181">
        <v>0.03</v>
      </c>
      <c r="G1133" s="181">
        <v>0.05</v>
      </c>
      <c r="H1133" s="828">
        <v>46096.0</v>
      </c>
      <c r="I1133" s="829">
        <f t="shared" si="1"/>
        <v>0.0004266666667</v>
      </c>
      <c r="J1133" s="830">
        <f t="shared" si="2"/>
        <v>0.0000260639381</v>
      </c>
      <c r="K1133" s="830"/>
    </row>
    <row r="1134">
      <c r="A1134" s="181" t="s">
        <v>523</v>
      </c>
      <c r="B1134" s="181" t="s">
        <v>561</v>
      </c>
      <c r="C1134" s="181">
        <v>1024.0</v>
      </c>
      <c r="D1134" s="181">
        <v>4.0</v>
      </c>
      <c r="E1134" s="181">
        <v>16.49</v>
      </c>
      <c r="F1134" s="181">
        <v>0.06</v>
      </c>
      <c r="G1134" s="181">
        <v>0.09</v>
      </c>
      <c r="H1134" s="828">
        <v>46096.0</v>
      </c>
      <c r="I1134" s="829">
        <f t="shared" si="1"/>
        <v>0.0008533333333</v>
      </c>
      <c r="J1134" s="830">
        <f t="shared" si="2"/>
        <v>0.00005174853447</v>
      </c>
      <c r="K1134" s="830"/>
    </row>
    <row r="1135">
      <c r="A1135" s="181" t="s">
        <v>523</v>
      </c>
      <c r="B1135" s="181" t="s">
        <v>561</v>
      </c>
      <c r="C1135" s="181">
        <v>2048.0</v>
      </c>
      <c r="D1135" s="181">
        <v>4.0</v>
      </c>
      <c r="E1135" s="181">
        <v>16.59</v>
      </c>
      <c r="F1135" s="181">
        <v>0.12</v>
      </c>
      <c r="G1135" s="181">
        <v>0.19</v>
      </c>
      <c r="H1135" s="828">
        <v>46096.0</v>
      </c>
      <c r="I1135" s="829">
        <f t="shared" si="1"/>
        <v>0.001706666667</v>
      </c>
      <c r="J1135" s="830">
        <f t="shared" si="2"/>
        <v>0.0001028732168</v>
      </c>
      <c r="K1135" s="830"/>
    </row>
    <row r="1136">
      <c r="A1136" s="181" t="s">
        <v>523</v>
      </c>
      <c r="B1136" s="181" t="s">
        <v>561</v>
      </c>
      <c r="C1136" s="181">
        <v>4096.0</v>
      </c>
      <c r="D1136" s="181">
        <v>4.0</v>
      </c>
      <c r="E1136" s="181">
        <v>16.53</v>
      </c>
      <c r="F1136" s="181">
        <v>0.25</v>
      </c>
      <c r="G1136" s="181">
        <v>0.37</v>
      </c>
      <c r="H1136" s="828">
        <v>46096.0</v>
      </c>
      <c r="I1136" s="829">
        <f t="shared" si="1"/>
        <v>0.003413333333</v>
      </c>
      <c r="J1136" s="830">
        <f t="shared" si="2"/>
        <v>0.0002064932446</v>
      </c>
      <c r="K1136" s="830"/>
    </row>
    <row r="1137">
      <c r="A1137" s="181" t="s">
        <v>523</v>
      </c>
      <c r="B1137" s="181" t="s">
        <v>561</v>
      </c>
      <c r="C1137" s="181">
        <v>8192.0</v>
      </c>
      <c r="D1137" s="181">
        <v>4.0</v>
      </c>
      <c r="E1137" s="181">
        <v>16.86</v>
      </c>
      <c r="F1137" s="181">
        <v>0.49</v>
      </c>
      <c r="G1137" s="181">
        <v>0.73</v>
      </c>
      <c r="H1137" s="828">
        <v>46096.0</v>
      </c>
      <c r="I1137" s="829">
        <f t="shared" si="1"/>
        <v>0.006826666667</v>
      </c>
      <c r="J1137" s="830">
        <f t="shared" si="2"/>
        <v>0.0004049031238</v>
      </c>
      <c r="K1137" s="830"/>
    </row>
    <row r="1138">
      <c r="A1138" s="181" t="s">
        <v>523</v>
      </c>
      <c r="B1138" s="181" t="s">
        <v>561</v>
      </c>
      <c r="C1138" s="181">
        <v>16384.0</v>
      </c>
      <c r="D1138" s="181">
        <v>4.0</v>
      </c>
      <c r="E1138" s="181">
        <v>17.3</v>
      </c>
      <c r="F1138" s="181">
        <v>0.95</v>
      </c>
      <c r="G1138" s="181">
        <v>1.42</v>
      </c>
      <c r="H1138" s="828">
        <v>46096.0</v>
      </c>
      <c r="I1138" s="829">
        <f t="shared" si="1"/>
        <v>0.01365333333</v>
      </c>
      <c r="J1138" s="830">
        <f t="shared" si="2"/>
        <v>0.0007892100193</v>
      </c>
      <c r="K1138" s="830"/>
    </row>
    <row r="1139">
      <c r="A1139" s="181" t="s">
        <v>523</v>
      </c>
      <c r="B1139" s="181" t="s">
        <v>561</v>
      </c>
      <c r="C1139" s="181">
        <v>32768.0</v>
      </c>
      <c r="D1139" s="181">
        <v>4.0</v>
      </c>
      <c r="E1139" s="181">
        <v>18.38</v>
      </c>
      <c r="F1139" s="181">
        <v>1.78</v>
      </c>
      <c r="G1139" s="181">
        <v>2.67</v>
      </c>
      <c r="H1139" s="828">
        <v>46096.0</v>
      </c>
      <c r="I1139" s="829">
        <f t="shared" si="1"/>
        <v>0.02730666667</v>
      </c>
      <c r="J1139" s="830">
        <f t="shared" si="2"/>
        <v>0.001485672833</v>
      </c>
      <c r="K1139" s="830"/>
    </row>
    <row r="1140">
      <c r="A1140" s="181" t="s">
        <v>523</v>
      </c>
      <c r="B1140" s="181" t="s">
        <v>561</v>
      </c>
      <c r="C1140" s="181">
        <v>65536.0</v>
      </c>
      <c r="D1140" s="181">
        <v>4.0</v>
      </c>
      <c r="E1140" s="181">
        <v>17.9</v>
      </c>
      <c r="F1140" s="181">
        <v>3.66</v>
      </c>
      <c r="G1140" s="181">
        <v>5.49</v>
      </c>
      <c r="H1140" s="828">
        <v>46096.0</v>
      </c>
      <c r="I1140" s="829">
        <f t="shared" si="1"/>
        <v>0.05461333333</v>
      </c>
      <c r="J1140" s="830">
        <f t="shared" si="2"/>
        <v>0.003051024209</v>
      </c>
      <c r="K1140" s="830"/>
    </row>
    <row r="1141">
      <c r="A1141" s="181" t="s">
        <v>523</v>
      </c>
      <c r="B1141" s="181" t="s">
        <v>561</v>
      </c>
      <c r="C1141" s="181">
        <v>131072.0</v>
      </c>
      <c r="D1141" s="181">
        <v>4.0</v>
      </c>
      <c r="E1141" s="181">
        <v>18.11</v>
      </c>
      <c r="F1141" s="181">
        <v>7.24</v>
      </c>
      <c r="G1141" s="181">
        <v>10.85</v>
      </c>
      <c r="H1141" s="828">
        <v>46096.0</v>
      </c>
      <c r="I1141" s="829">
        <f t="shared" si="1"/>
        <v>0.1092266667</v>
      </c>
      <c r="J1141" s="830">
        <f t="shared" si="2"/>
        <v>0.006031290263</v>
      </c>
      <c r="K1141" s="830"/>
    </row>
    <row r="1142">
      <c r="A1142" s="181" t="s">
        <v>523</v>
      </c>
      <c r="B1142" s="181" t="s">
        <v>561</v>
      </c>
      <c r="C1142" s="181">
        <v>262144.0</v>
      </c>
      <c r="D1142" s="181">
        <v>4.0</v>
      </c>
      <c r="E1142" s="181">
        <v>18.21</v>
      </c>
      <c r="F1142" s="181">
        <v>14.39</v>
      </c>
      <c r="G1142" s="181">
        <v>21.59</v>
      </c>
      <c r="H1142" s="828">
        <v>46096.0</v>
      </c>
      <c r="I1142" s="829">
        <f t="shared" si="1"/>
        <v>0.2184533333</v>
      </c>
      <c r="J1142" s="830">
        <f t="shared" si="2"/>
        <v>0.01199633901</v>
      </c>
      <c r="K1142" s="830"/>
    </row>
    <row r="1143">
      <c r="A1143" s="181" t="s">
        <v>523</v>
      </c>
      <c r="B1143" s="181" t="s">
        <v>561</v>
      </c>
      <c r="C1143" s="181">
        <v>524288.0</v>
      </c>
      <c r="D1143" s="181">
        <v>4.0</v>
      </c>
      <c r="E1143" s="181">
        <v>18.58</v>
      </c>
      <c r="F1143" s="181">
        <v>28.22</v>
      </c>
      <c r="G1143" s="181">
        <v>42.33</v>
      </c>
      <c r="H1143" s="828">
        <v>46096.0</v>
      </c>
      <c r="I1143" s="829">
        <f t="shared" si="1"/>
        <v>0.4369066667</v>
      </c>
      <c r="J1143" s="830">
        <f t="shared" si="2"/>
        <v>0.02351489056</v>
      </c>
      <c r="K1143" s="830"/>
    </row>
    <row r="1144">
      <c r="A1144" s="181" t="s">
        <v>523</v>
      </c>
      <c r="B1144" s="181" t="s">
        <v>561</v>
      </c>
      <c r="C1144" s="181">
        <v>1048576.0</v>
      </c>
      <c r="D1144" s="181">
        <v>4.0</v>
      </c>
      <c r="E1144" s="181">
        <v>19.87</v>
      </c>
      <c r="F1144" s="181">
        <v>52.77</v>
      </c>
      <c r="G1144" s="181">
        <v>79.16</v>
      </c>
      <c r="H1144" s="828">
        <v>46096.0</v>
      </c>
      <c r="I1144" s="829">
        <f t="shared" si="1"/>
        <v>0.8738133333</v>
      </c>
      <c r="J1144" s="830">
        <f t="shared" si="2"/>
        <v>0.04397651401</v>
      </c>
      <c r="K1144" s="830"/>
    </row>
    <row r="1145">
      <c r="A1145" s="181" t="s">
        <v>523</v>
      </c>
      <c r="B1145" s="181" t="s">
        <v>561</v>
      </c>
      <c r="C1145" s="181">
        <v>2097152.0</v>
      </c>
      <c r="D1145" s="181">
        <v>4.0</v>
      </c>
      <c r="E1145" s="181">
        <v>24.67</v>
      </c>
      <c r="F1145" s="181">
        <v>85.01</v>
      </c>
      <c r="G1145" s="181">
        <v>127.51</v>
      </c>
      <c r="H1145" s="828">
        <v>46096.0</v>
      </c>
      <c r="I1145" s="829">
        <f t="shared" si="1"/>
        <v>1.747626667</v>
      </c>
      <c r="J1145" s="830">
        <f t="shared" si="2"/>
        <v>0.07084015674</v>
      </c>
      <c r="K1145" s="830"/>
    </row>
    <row r="1146">
      <c r="A1146" s="181" t="s">
        <v>523</v>
      </c>
      <c r="B1146" s="181" t="s">
        <v>561</v>
      </c>
      <c r="C1146" s="181">
        <v>4194304.0</v>
      </c>
      <c r="D1146" s="181">
        <v>4.0</v>
      </c>
      <c r="E1146" s="181">
        <v>42.24</v>
      </c>
      <c r="F1146" s="181">
        <v>99.29</v>
      </c>
      <c r="G1146" s="181">
        <v>148.94</v>
      </c>
      <c r="H1146" s="828">
        <v>46096.0</v>
      </c>
      <c r="I1146" s="829">
        <f t="shared" si="1"/>
        <v>3.495253333</v>
      </c>
      <c r="J1146" s="830">
        <f t="shared" si="2"/>
        <v>0.08274747475</v>
      </c>
      <c r="K1146" s="830"/>
    </row>
    <row r="1147">
      <c r="A1147" s="181" t="s">
        <v>523</v>
      </c>
      <c r="B1147" s="181" t="s">
        <v>561</v>
      </c>
      <c r="C1147" s="181">
        <v>8388608.0</v>
      </c>
      <c r="D1147" s="181">
        <v>4.0</v>
      </c>
      <c r="E1147" s="181">
        <v>49.27</v>
      </c>
      <c r="F1147" s="181">
        <v>170.26</v>
      </c>
      <c r="G1147" s="181">
        <v>255.39</v>
      </c>
      <c r="H1147" s="828">
        <v>46096.0</v>
      </c>
      <c r="I1147" s="829">
        <f t="shared" si="1"/>
        <v>6.990506667</v>
      </c>
      <c r="J1147" s="830">
        <f t="shared" si="2"/>
        <v>0.1418816048</v>
      </c>
      <c r="K1147" s="830"/>
    </row>
    <row r="1148">
      <c r="A1148" s="181" t="s">
        <v>523</v>
      </c>
      <c r="B1148" s="181" t="s">
        <v>561</v>
      </c>
      <c r="C1148" s="181">
        <v>1.6777216E7</v>
      </c>
      <c r="D1148" s="181">
        <v>4.0</v>
      </c>
      <c r="E1148" s="181">
        <v>75.13</v>
      </c>
      <c r="F1148" s="181">
        <v>223.31</v>
      </c>
      <c r="G1148" s="181">
        <v>334.96</v>
      </c>
      <c r="H1148" s="828">
        <v>46096.0</v>
      </c>
      <c r="I1148" s="829">
        <f t="shared" si="1"/>
        <v>13.98101333</v>
      </c>
      <c r="J1148" s="830">
        <f t="shared" si="2"/>
        <v>0.1860909535</v>
      </c>
      <c r="K1148" s="830"/>
    </row>
    <row r="1149">
      <c r="A1149" s="181" t="s">
        <v>523</v>
      </c>
      <c r="B1149" s="181" t="s">
        <v>561</v>
      </c>
      <c r="C1149" s="181">
        <v>3.3554432E7</v>
      </c>
      <c r="D1149" s="181">
        <v>4.0</v>
      </c>
      <c r="E1149" s="181">
        <v>122.03</v>
      </c>
      <c r="F1149" s="181">
        <v>274.96</v>
      </c>
      <c r="G1149" s="181">
        <v>412.44</v>
      </c>
      <c r="H1149" s="828">
        <v>46096.0</v>
      </c>
      <c r="I1149" s="829">
        <f t="shared" si="1"/>
        <v>27.96202667</v>
      </c>
      <c r="J1149" s="830">
        <f t="shared" si="2"/>
        <v>0.2291405938</v>
      </c>
      <c r="K1149" s="830"/>
    </row>
    <row r="1150">
      <c r="A1150" s="181" t="s">
        <v>523</v>
      </c>
      <c r="B1150" s="181" t="s">
        <v>561</v>
      </c>
      <c r="C1150" s="181">
        <v>6.7108864E7</v>
      </c>
      <c r="D1150" s="181">
        <v>4.0</v>
      </c>
      <c r="E1150" s="181">
        <v>187.58</v>
      </c>
      <c r="F1150" s="181">
        <v>357.77</v>
      </c>
      <c r="G1150" s="181">
        <v>536.65</v>
      </c>
      <c r="H1150" s="828">
        <v>46096.0</v>
      </c>
      <c r="I1150" s="829">
        <f t="shared" si="1"/>
        <v>55.92405333</v>
      </c>
      <c r="J1150" s="830">
        <f t="shared" si="2"/>
        <v>0.2981344138</v>
      </c>
      <c r="K1150" s="830"/>
    </row>
    <row r="1151">
      <c r="A1151" s="181" t="s">
        <v>523</v>
      </c>
      <c r="B1151" s="181" t="s">
        <v>561</v>
      </c>
      <c r="C1151" s="181">
        <v>1.34217728E8</v>
      </c>
      <c r="D1151" s="181">
        <v>4.0</v>
      </c>
      <c r="E1151" s="181">
        <v>346.29</v>
      </c>
      <c r="F1151" s="181">
        <v>387.59</v>
      </c>
      <c r="G1151" s="181">
        <v>581.38</v>
      </c>
      <c r="H1151" s="828">
        <v>46096.0</v>
      </c>
      <c r="I1151" s="829">
        <f t="shared" si="1"/>
        <v>111.8481067</v>
      </c>
      <c r="J1151" s="830">
        <f t="shared" si="2"/>
        <v>0.32298971</v>
      </c>
      <c r="K1151" s="830"/>
    </row>
    <row r="1152">
      <c r="A1152" s="181" t="s">
        <v>523</v>
      </c>
      <c r="B1152" s="181" t="s">
        <v>561</v>
      </c>
      <c r="C1152" s="181">
        <v>2.68435456E8</v>
      </c>
      <c r="D1152" s="181">
        <v>4.0</v>
      </c>
      <c r="E1152" s="181">
        <v>672.1</v>
      </c>
      <c r="F1152" s="181">
        <v>399.4</v>
      </c>
      <c r="G1152" s="181">
        <v>599.1</v>
      </c>
      <c r="H1152" s="828">
        <v>46096.0</v>
      </c>
      <c r="I1152" s="829">
        <f t="shared" si="1"/>
        <v>223.6962133</v>
      </c>
      <c r="J1152" s="830">
        <f t="shared" si="2"/>
        <v>0.3328317413</v>
      </c>
      <c r="K1152" s="830"/>
    </row>
    <row r="1153">
      <c r="A1153" s="181" t="s">
        <v>523</v>
      </c>
      <c r="B1153" s="181" t="s">
        <v>561</v>
      </c>
      <c r="C1153" s="181">
        <v>5.36870912E8</v>
      </c>
      <c r="D1153" s="181">
        <v>4.0</v>
      </c>
      <c r="E1153" s="181">
        <v>1293.92</v>
      </c>
      <c r="F1153" s="181">
        <v>414.92</v>
      </c>
      <c r="G1153" s="181">
        <v>622.38</v>
      </c>
      <c r="H1153" s="828">
        <v>46096.0</v>
      </c>
      <c r="I1153" s="829">
        <f t="shared" si="1"/>
        <v>447.3924267</v>
      </c>
      <c r="J1153" s="830">
        <f t="shared" si="2"/>
        <v>0.3457651375</v>
      </c>
      <c r="K1153" s="830"/>
    </row>
    <row r="1154">
      <c r="A1154" s="181" t="s">
        <v>523</v>
      </c>
      <c r="B1154" s="181" t="s">
        <v>561</v>
      </c>
      <c r="C1154" s="181">
        <v>1.073741824E9</v>
      </c>
      <c r="D1154" s="181">
        <v>4.0</v>
      </c>
      <c r="E1154" s="181">
        <v>2463.51</v>
      </c>
      <c r="F1154" s="181">
        <v>435.86</v>
      </c>
      <c r="G1154" s="181">
        <v>653.79</v>
      </c>
      <c r="H1154" s="828">
        <v>46096.0</v>
      </c>
      <c r="I1154" s="829">
        <f t="shared" si="1"/>
        <v>894.7848533</v>
      </c>
      <c r="J1154" s="830">
        <f t="shared" si="2"/>
        <v>0.3632154338</v>
      </c>
      <c r="K1154" s="830"/>
    </row>
    <row r="1155">
      <c r="A1155" s="181" t="s">
        <v>523</v>
      </c>
      <c r="B1155" s="181" t="s">
        <v>561</v>
      </c>
      <c r="C1155" s="181">
        <v>2.147483648E9</v>
      </c>
      <c r="D1155" s="181">
        <v>4.0</v>
      </c>
      <c r="E1155" s="181">
        <v>4805.79</v>
      </c>
      <c r="F1155" s="181">
        <v>446.85</v>
      </c>
      <c r="G1155" s="181">
        <v>670.28</v>
      </c>
      <c r="H1155" s="828">
        <v>46096.0</v>
      </c>
      <c r="I1155" s="829">
        <f t="shared" si="1"/>
        <v>1789.569707</v>
      </c>
      <c r="J1155" s="830">
        <f t="shared" si="2"/>
        <v>0.3723778415</v>
      </c>
      <c r="K1155" s="830"/>
    </row>
    <row r="1156">
      <c r="A1156" s="181" t="s">
        <v>523</v>
      </c>
      <c r="B1156" s="181" t="s">
        <v>561</v>
      </c>
      <c r="C1156" s="181">
        <v>4.294967296E9</v>
      </c>
      <c r="D1156" s="181">
        <v>4.0</v>
      </c>
      <c r="E1156" s="181">
        <v>9484.19</v>
      </c>
      <c r="F1156" s="181">
        <v>452.86</v>
      </c>
      <c r="G1156" s="181">
        <v>679.28</v>
      </c>
      <c r="H1156" s="828">
        <v>46096.0</v>
      </c>
      <c r="I1156" s="829">
        <f t="shared" si="1"/>
        <v>3579.139413</v>
      </c>
      <c r="J1156" s="830">
        <f t="shared" si="2"/>
        <v>0.3773795562</v>
      </c>
      <c r="K1156" s="830"/>
    </row>
    <row r="1157">
      <c r="A1157" s="181" t="s">
        <v>523</v>
      </c>
      <c r="B1157" s="181" t="s">
        <v>561</v>
      </c>
      <c r="C1157" s="181">
        <v>8.589934592E9</v>
      </c>
      <c r="D1157" s="181">
        <v>4.0</v>
      </c>
      <c r="E1157" s="181">
        <v>18794.5</v>
      </c>
      <c r="F1157" s="181">
        <v>457.04</v>
      </c>
      <c r="G1157" s="181">
        <v>685.57</v>
      </c>
      <c r="H1157" s="828">
        <v>46096.0</v>
      </c>
      <c r="I1157" s="829">
        <f t="shared" si="1"/>
        <v>7158.278827</v>
      </c>
      <c r="J1157" s="830">
        <f t="shared" si="2"/>
        <v>0.3808709371</v>
      </c>
      <c r="K1157" s="830"/>
    </row>
    <row r="1158">
      <c r="A1158" s="181" t="s">
        <v>523</v>
      </c>
      <c r="B1158" s="181" t="s">
        <v>561</v>
      </c>
      <c r="C1158" s="181">
        <v>1.7179869184E10</v>
      </c>
      <c r="D1158" s="181">
        <v>4.0</v>
      </c>
      <c r="E1158" s="181">
        <v>37357.5</v>
      </c>
      <c r="F1158" s="181">
        <v>459.88</v>
      </c>
      <c r="G1158" s="181">
        <v>689.82</v>
      </c>
      <c r="H1158" s="828">
        <v>46096.0</v>
      </c>
      <c r="I1158" s="829">
        <f t="shared" si="1"/>
        <v>14316.55765</v>
      </c>
      <c r="J1158" s="830">
        <f t="shared" si="2"/>
        <v>0.3832311491</v>
      </c>
      <c r="K1158" s="830"/>
    </row>
    <row r="1159">
      <c r="A1159" s="181" t="s">
        <v>523</v>
      </c>
      <c r="B1159" s="181" t="s">
        <v>561</v>
      </c>
      <c r="C1159" s="181">
        <v>256.0</v>
      </c>
      <c r="D1159" s="181">
        <v>6.0</v>
      </c>
      <c r="E1159" s="181">
        <v>26.59</v>
      </c>
      <c r="F1159" s="181">
        <v>0.01</v>
      </c>
      <c r="G1159" s="181">
        <v>0.02</v>
      </c>
      <c r="H1159" s="828">
        <v>46096.0</v>
      </c>
      <c r="I1159" s="829">
        <f t="shared" si="1"/>
        <v>0.000237037037</v>
      </c>
      <c r="J1159" s="830">
        <f t="shared" si="2"/>
        <v>0.000008914518129</v>
      </c>
      <c r="K1159" s="830"/>
    </row>
    <row r="1160">
      <c r="A1160" s="181" t="s">
        <v>523</v>
      </c>
      <c r="B1160" s="181" t="s">
        <v>561</v>
      </c>
      <c r="C1160" s="181">
        <v>512.0</v>
      </c>
      <c r="D1160" s="181">
        <v>6.0</v>
      </c>
      <c r="E1160" s="181">
        <v>26.26</v>
      </c>
      <c r="F1160" s="181">
        <v>0.02</v>
      </c>
      <c r="G1160" s="181">
        <v>0.03</v>
      </c>
      <c r="H1160" s="828">
        <v>46096.0</v>
      </c>
      <c r="I1160" s="829">
        <f t="shared" si="1"/>
        <v>0.0004740740741</v>
      </c>
      <c r="J1160" s="830">
        <f t="shared" si="2"/>
        <v>0.00001805308736</v>
      </c>
      <c r="K1160" s="830"/>
    </row>
    <row r="1161">
      <c r="A1161" s="181" t="s">
        <v>523</v>
      </c>
      <c r="B1161" s="181" t="s">
        <v>561</v>
      </c>
      <c r="C1161" s="181">
        <v>1024.0</v>
      </c>
      <c r="D1161" s="181">
        <v>6.0</v>
      </c>
      <c r="E1161" s="181">
        <v>27.01</v>
      </c>
      <c r="F1161" s="181">
        <v>0.04</v>
      </c>
      <c r="G1161" s="181">
        <v>0.06</v>
      </c>
      <c r="H1161" s="828">
        <v>46096.0</v>
      </c>
      <c r="I1161" s="829">
        <f t="shared" si="1"/>
        <v>0.0009481481481</v>
      </c>
      <c r="J1161" s="830">
        <f t="shared" si="2"/>
        <v>0.00003510359675</v>
      </c>
      <c r="K1161" s="830"/>
    </row>
    <row r="1162">
      <c r="A1162" s="181" t="s">
        <v>523</v>
      </c>
      <c r="B1162" s="181" t="s">
        <v>561</v>
      </c>
      <c r="C1162" s="181">
        <v>2048.0</v>
      </c>
      <c r="D1162" s="181">
        <v>6.0</v>
      </c>
      <c r="E1162" s="181">
        <v>27.5</v>
      </c>
      <c r="F1162" s="181">
        <v>0.07</v>
      </c>
      <c r="G1162" s="181">
        <v>0.12</v>
      </c>
      <c r="H1162" s="828">
        <v>46096.0</v>
      </c>
      <c r="I1162" s="829">
        <f t="shared" si="1"/>
        <v>0.001896296296</v>
      </c>
      <c r="J1162" s="830">
        <f t="shared" si="2"/>
        <v>0.00006895622896</v>
      </c>
      <c r="K1162" s="830"/>
    </row>
    <row r="1163">
      <c r="A1163" s="181" t="s">
        <v>523</v>
      </c>
      <c r="B1163" s="181" t="s">
        <v>561</v>
      </c>
      <c r="C1163" s="181">
        <v>4096.0</v>
      </c>
      <c r="D1163" s="181">
        <v>6.0</v>
      </c>
      <c r="E1163" s="181">
        <v>27.56</v>
      </c>
      <c r="F1163" s="181">
        <v>0.15</v>
      </c>
      <c r="G1163" s="181">
        <v>0.25</v>
      </c>
      <c r="H1163" s="828">
        <v>46096.0</v>
      </c>
      <c r="I1163" s="829">
        <f t="shared" si="1"/>
        <v>0.003792592593</v>
      </c>
      <c r="J1163" s="830">
        <f t="shared" si="2"/>
        <v>0.0001376122131</v>
      </c>
      <c r="K1163" s="830"/>
    </row>
    <row r="1164">
      <c r="A1164" s="181" t="s">
        <v>523</v>
      </c>
      <c r="B1164" s="181" t="s">
        <v>561</v>
      </c>
      <c r="C1164" s="181">
        <v>8192.0</v>
      </c>
      <c r="D1164" s="181">
        <v>6.0</v>
      </c>
      <c r="E1164" s="181">
        <v>28.86</v>
      </c>
      <c r="F1164" s="181">
        <v>0.28</v>
      </c>
      <c r="G1164" s="181">
        <v>0.47</v>
      </c>
      <c r="H1164" s="828">
        <v>46096.0</v>
      </c>
      <c r="I1164" s="829">
        <f t="shared" si="1"/>
        <v>0.007585185185</v>
      </c>
      <c r="J1164" s="830">
        <f t="shared" si="2"/>
        <v>0.0002628269295</v>
      </c>
      <c r="K1164" s="830"/>
    </row>
    <row r="1165">
      <c r="A1165" s="181" t="s">
        <v>523</v>
      </c>
      <c r="B1165" s="181" t="s">
        <v>561</v>
      </c>
      <c r="C1165" s="181">
        <v>16384.0</v>
      </c>
      <c r="D1165" s="181">
        <v>6.0</v>
      </c>
      <c r="E1165" s="181">
        <v>29.45</v>
      </c>
      <c r="F1165" s="181">
        <v>0.56</v>
      </c>
      <c r="G1165" s="181">
        <v>0.93</v>
      </c>
      <c r="H1165" s="828">
        <v>46096.0</v>
      </c>
      <c r="I1165" s="829">
        <f t="shared" si="1"/>
        <v>0.01517037037</v>
      </c>
      <c r="J1165" s="830">
        <f t="shared" si="2"/>
        <v>0.0005151229328</v>
      </c>
      <c r="K1165" s="830"/>
    </row>
    <row r="1166">
      <c r="A1166" s="181" t="s">
        <v>523</v>
      </c>
      <c r="B1166" s="181" t="s">
        <v>561</v>
      </c>
      <c r="C1166" s="181">
        <v>32768.0</v>
      </c>
      <c r="D1166" s="181">
        <v>6.0</v>
      </c>
      <c r="E1166" s="181">
        <v>29.73</v>
      </c>
      <c r="F1166" s="181">
        <v>1.1</v>
      </c>
      <c r="G1166" s="181">
        <v>1.84</v>
      </c>
      <c r="H1166" s="828">
        <v>46096.0</v>
      </c>
      <c r="I1166" s="829">
        <f t="shared" si="1"/>
        <v>0.03034074074</v>
      </c>
      <c r="J1166" s="830">
        <f t="shared" si="2"/>
        <v>0.001020542911</v>
      </c>
      <c r="K1166" s="830"/>
    </row>
    <row r="1167">
      <c r="A1167" s="181" t="s">
        <v>523</v>
      </c>
      <c r="B1167" s="181" t="s">
        <v>561</v>
      </c>
      <c r="C1167" s="181">
        <v>65536.0</v>
      </c>
      <c r="D1167" s="181">
        <v>6.0</v>
      </c>
      <c r="E1167" s="181">
        <v>29.64</v>
      </c>
      <c r="F1167" s="181">
        <v>2.21</v>
      </c>
      <c r="G1167" s="181">
        <v>3.68</v>
      </c>
      <c r="H1167" s="828">
        <v>46096.0</v>
      </c>
      <c r="I1167" s="829">
        <f t="shared" si="1"/>
        <v>0.06068148148</v>
      </c>
      <c r="J1167" s="830">
        <f t="shared" si="2"/>
        <v>0.002047283451</v>
      </c>
      <c r="K1167" s="830"/>
    </row>
    <row r="1168">
      <c r="A1168" s="181" t="s">
        <v>523</v>
      </c>
      <c r="B1168" s="181" t="s">
        <v>561</v>
      </c>
      <c r="C1168" s="181">
        <v>131072.0</v>
      </c>
      <c r="D1168" s="181">
        <v>6.0</v>
      </c>
      <c r="E1168" s="181">
        <v>29.91</v>
      </c>
      <c r="F1168" s="181">
        <v>4.38</v>
      </c>
      <c r="G1168" s="181">
        <v>7.3</v>
      </c>
      <c r="H1168" s="828">
        <v>46096.0</v>
      </c>
      <c r="I1168" s="829">
        <f t="shared" si="1"/>
        <v>0.121362963</v>
      </c>
      <c r="J1168" s="830">
        <f t="shared" si="2"/>
        <v>0.004057604914</v>
      </c>
      <c r="K1168" s="830"/>
    </row>
    <row r="1169">
      <c r="A1169" s="181" t="s">
        <v>523</v>
      </c>
      <c r="B1169" s="181" t="s">
        <v>561</v>
      </c>
      <c r="C1169" s="181">
        <v>262144.0</v>
      </c>
      <c r="D1169" s="181">
        <v>6.0</v>
      </c>
      <c r="E1169" s="181">
        <v>30.08</v>
      </c>
      <c r="F1169" s="181">
        <v>8.72</v>
      </c>
      <c r="G1169" s="181">
        <v>14.53</v>
      </c>
      <c r="H1169" s="828">
        <v>46096.0</v>
      </c>
      <c r="I1169" s="829">
        <f t="shared" si="1"/>
        <v>0.2427259259</v>
      </c>
      <c r="J1169" s="830">
        <f t="shared" si="2"/>
        <v>0.008069345942</v>
      </c>
      <c r="K1169" s="830"/>
    </row>
    <row r="1170">
      <c r="A1170" s="181" t="s">
        <v>523</v>
      </c>
      <c r="B1170" s="181" t="s">
        <v>561</v>
      </c>
      <c r="C1170" s="181">
        <v>524288.0</v>
      </c>
      <c r="D1170" s="181">
        <v>6.0</v>
      </c>
      <c r="E1170" s="181">
        <v>30.18</v>
      </c>
      <c r="F1170" s="181">
        <v>17.37</v>
      </c>
      <c r="G1170" s="181">
        <v>28.95</v>
      </c>
      <c r="H1170" s="828">
        <v>46096.0</v>
      </c>
      <c r="I1170" s="829">
        <f t="shared" si="1"/>
        <v>0.4854518519</v>
      </c>
      <c r="J1170" s="830">
        <f t="shared" si="2"/>
        <v>0.01608521709</v>
      </c>
      <c r="K1170" s="830"/>
    </row>
    <row r="1171">
      <c r="A1171" s="181" t="s">
        <v>523</v>
      </c>
      <c r="B1171" s="181" t="s">
        <v>561</v>
      </c>
      <c r="C1171" s="181">
        <v>1048576.0</v>
      </c>
      <c r="D1171" s="181">
        <v>6.0</v>
      </c>
      <c r="E1171" s="181">
        <v>31.2</v>
      </c>
      <c r="F1171" s="181">
        <v>33.6</v>
      </c>
      <c r="G1171" s="181">
        <v>56.01</v>
      </c>
      <c r="H1171" s="828">
        <v>46096.0</v>
      </c>
      <c r="I1171" s="829">
        <f t="shared" si="1"/>
        <v>0.9709037037</v>
      </c>
      <c r="J1171" s="830">
        <f t="shared" si="2"/>
        <v>0.03111870845</v>
      </c>
      <c r="K1171" s="830"/>
    </row>
    <row r="1172">
      <c r="A1172" s="181" t="s">
        <v>523</v>
      </c>
      <c r="B1172" s="181" t="s">
        <v>561</v>
      </c>
      <c r="C1172" s="181">
        <v>2097152.0</v>
      </c>
      <c r="D1172" s="181">
        <v>6.0</v>
      </c>
      <c r="E1172" s="181">
        <v>33.88</v>
      </c>
      <c r="F1172" s="181">
        <v>61.9</v>
      </c>
      <c r="G1172" s="181">
        <v>103.17</v>
      </c>
      <c r="H1172" s="828">
        <v>46096.0</v>
      </c>
      <c r="I1172" s="829">
        <f t="shared" si="1"/>
        <v>1.941807407</v>
      </c>
      <c r="J1172" s="830">
        <f t="shared" si="2"/>
        <v>0.05731426822</v>
      </c>
      <c r="K1172" s="830"/>
    </row>
    <row r="1173">
      <c r="A1173" s="181" t="s">
        <v>523</v>
      </c>
      <c r="B1173" s="181" t="s">
        <v>561</v>
      </c>
      <c r="C1173" s="181">
        <v>4194304.0</v>
      </c>
      <c r="D1173" s="181">
        <v>6.0</v>
      </c>
      <c r="E1173" s="181">
        <v>52.44</v>
      </c>
      <c r="F1173" s="181">
        <v>79.99</v>
      </c>
      <c r="G1173" s="181">
        <v>133.32</v>
      </c>
      <c r="H1173" s="828">
        <v>46096.0</v>
      </c>
      <c r="I1173" s="829">
        <f t="shared" si="1"/>
        <v>3.883614815</v>
      </c>
      <c r="J1173" s="830">
        <f t="shared" si="2"/>
        <v>0.07405825352</v>
      </c>
      <c r="K1173" s="830"/>
    </row>
    <row r="1174">
      <c r="A1174" s="181" t="s">
        <v>523</v>
      </c>
      <c r="B1174" s="181" t="s">
        <v>561</v>
      </c>
      <c r="C1174" s="181">
        <v>8388608.0</v>
      </c>
      <c r="D1174" s="181">
        <v>6.0</v>
      </c>
      <c r="E1174" s="181">
        <v>107.17</v>
      </c>
      <c r="F1174" s="181">
        <v>78.27</v>
      </c>
      <c r="G1174" s="181">
        <v>130.45</v>
      </c>
      <c r="H1174" s="828">
        <v>46096.0</v>
      </c>
      <c r="I1174" s="829">
        <f t="shared" si="1"/>
        <v>7.76722963</v>
      </c>
      <c r="J1174" s="830">
        <f t="shared" si="2"/>
        <v>0.07247578268</v>
      </c>
      <c r="K1174" s="830"/>
    </row>
    <row r="1175">
      <c r="A1175" s="181" t="s">
        <v>523</v>
      </c>
      <c r="B1175" s="181" t="s">
        <v>561</v>
      </c>
      <c r="C1175" s="181">
        <v>1.6777216E7</v>
      </c>
      <c r="D1175" s="181">
        <v>6.0</v>
      </c>
      <c r="E1175" s="181">
        <v>88.15</v>
      </c>
      <c r="F1175" s="181">
        <v>190.32</v>
      </c>
      <c r="G1175" s="181">
        <v>317.2</v>
      </c>
      <c r="H1175" s="828">
        <v>46096.0</v>
      </c>
      <c r="I1175" s="829">
        <f t="shared" si="1"/>
        <v>15.53445926</v>
      </c>
      <c r="J1175" s="830">
        <f t="shared" si="2"/>
        <v>0.1762275582</v>
      </c>
      <c r="K1175" s="830"/>
    </row>
    <row r="1176">
      <c r="A1176" s="181" t="s">
        <v>523</v>
      </c>
      <c r="B1176" s="181" t="s">
        <v>561</v>
      </c>
      <c r="C1176" s="181">
        <v>3.3554432E7</v>
      </c>
      <c r="D1176" s="181">
        <v>6.0</v>
      </c>
      <c r="E1176" s="181">
        <v>136.92</v>
      </c>
      <c r="F1176" s="181">
        <v>245.07</v>
      </c>
      <c r="G1176" s="181">
        <v>408.45</v>
      </c>
      <c r="H1176" s="828">
        <v>46096.0</v>
      </c>
      <c r="I1176" s="829">
        <f t="shared" si="1"/>
        <v>31.06891852</v>
      </c>
      <c r="J1176" s="830">
        <f t="shared" si="2"/>
        <v>0.226912931</v>
      </c>
      <c r="K1176" s="830"/>
    </row>
    <row r="1177">
      <c r="A1177" s="181" t="s">
        <v>523</v>
      </c>
      <c r="B1177" s="181" t="s">
        <v>561</v>
      </c>
      <c r="C1177" s="181">
        <v>6.7108864E7</v>
      </c>
      <c r="D1177" s="181">
        <v>6.0</v>
      </c>
      <c r="E1177" s="181">
        <v>264.71</v>
      </c>
      <c r="F1177" s="181">
        <v>253.52</v>
      </c>
      <c r="G1177" s="181">
        <v>422.53</v>
      </c>
      <c r="H1177" s="828">
        <v>46096.0</v>
      </c>
      <c r="I1177" s="829">
        <f t="shared" si="1"/>
        <v>62.13783704</v>
      </c>
      <c r="J1177" s="830">
        <f t="shared" si="2"/>
        <v>0.2347392884</v>
      </c>
      <c r="K1177" s="830"/>
    </row>
    <row r="1178">
      <c r="A1178" s="181" t="s">
        <v>523</v>
      </c>
      <c r="B1178" s="181" t="s">
        <v>561</v>
      </c>
      <c r="C1178" s="181">
        <v>1.34217728E8</v>
      </c>
      <c r="D1178" s="181">
        <v>6.0</v>
      </c>
      <c r="E1178" s="181">
        <v>374.71</v>
      </c>
      <c r="F1178" s="181">
        <v>358.19</v>
      </c>
      <c r="G1178" s="181">
        <v>596.99</v>
      </c>
      <c r="H1178" s="828">
        <v>46096.0</v>
      </c>
      <c r="I1178" s="829">
        <f t="shared" si="1"/>
        <v>124.2756741</v>
      </c>
      <c r="J1178" s="830">
        <f t="shared" si="2"/>
        <v>0.3316582799</v>
      </c>
      <c r="K1178" s="830"/>
    </row>
    <row r="1179">
      <c r="A1179" s="181" t="s">
        <v>523</v>
      </c>
      <c r="B1179" s="181" t="s">
        <v>561</v>
      </c>
      <c r="C1179" s="181">
        <v>2.68435456E8</v>
      </c>
      <c r="D1179" s="181">
        <v>6.0</v>
      </c>
      <c r="E1179" s="181">
        <v>718.39</v>
      </c>
      <c r="F1179" s="181">
        <v>373.66</v>
      </c>
      <c r="G1179" s="181">
        <v>622.77</v>
      </c>
      <c r="H1179" s="828">
        <v>46096.0</v>
      </c>
      <c r="I1179" s="829">
        <f t="shared" si="1"/>
        <v>248.5513481</v>
      </c>
      <c r="J1179" s="830">
        <f t="shared" si="2"/>
        <v>0.3459838641</v>
      </c>
      <c r="K1179" s="830"/>
    </row>
    <row r="1180">
      <c r="A1180" s="181" t="s">
        <v>523</v>
      </c>
      <c r="B1180" s="181" t="s">
        <v>561</v>
      </c>
      <c r="C1180" s="181">
        <v>5.36870912E8</v>
      </c>
      <c r="D1180" s="181">
        <v>6.0</v>
      </c>
      <c r="E1180" s="181">
        <v>1389.62</v>
      </c>
      <c r="F1180" s="181">
        <v>386.34</v>
      </c>
      <c r="G1180" s="181">
        <v>643.91</v>
      </c>
      <c r="H1180" s="828">
        <v>46096.0</v>
      </c>
      <c r="I1180" s="829">
        <f t="shared" si="1"/>
        <v>497.1026963</v>
      </c>
      <c r="J1180" s="830">
        <f t="shared" si="2"/>
        <v>0.3577256346</v>
      </c>
      <c r="K1180" s="830"/>
    </row>
    <row r="1181">
      <c r="A1181" s="181" t="s">
        <v>523</v>
      </c>
      <c r="B1181" s="181" t="s">
        <v>561</v>
      </c>
      <c r="C1181" s="181">
        <v>1.073741824E9</v>
      </c>
      <c r="D1181" s="181">
        <v>6.0</v>
      </c>
      <c r="E1181" s="181">
        <v>2693.79</v>
      </c>
      <c r="F1181" s="181">
        <v>398.6</v>
      </c>
      <c r="G1181" s="181">
        <v>664.33</v>
      </c>
      <c r="H1181" s="828">
        <v>46096.0</v>
      </c>
      <c r="I1181" s="829">
        <f t="shared" si="1"/>
        <v>994.2053926</v>
      </c>
      <c r="J1181" s="830">
        <f t="shared" si="2"/>
        <v>0.3690730876</v>
      </c>
      <c r="K1181" s="830"/>
    </row>
    <row r="1182">
      <c r="A1182" s="181" t="s">
        <v>523</v>
      </c>
      <c r="B1182" s="181" t="s">
        <v>561</v>
      </c>
      <c r="C1182" s="181">
        <v>2.147483648E9</v>
      </c>
      <c r="D1182" s="181">
        <v>6.0</v>
      </c>
      <c r="E1182" s="181">
        <v>5304.98</v>
      </c>
      <c r="F1182" s="181">
        <v>404.81</v>
      </c>
      <c r="G1182" s="181">
        <v>674.68</v>
      </c>
      <c r="H1182" s="828">
        <v>46096.0</v>
      </c>
      <c r="I1182" s="829">
        <f t="shared" si="1"/>
        <v>1988.410785</v>
      </c>
      <c r="J1182" s="830">
        <f t="shared" si="2"/>
        <v>0.3748196572</v>
      </c>
      <c r="K1182" s="830"/>
    </row>
    <row r="1183">
      <c r="A1183" s="181" t="s">
        <v>523</v>
      </c>
      <c r="B1183" s="181" t="s">
        <v>561</v>
      </c>
      <c r="C1183" s="181">
        <v>4.294967296E9</v>
      </c>
      <c r="D1183" s="181">
        <v>6.0</v>
      </c>
      <c r="E1183" s="181">
        <v>10466.2</v>
      </c>
      <c r="F1183" s="181">
        <v>410.36</v>
      </c>
      <c r="G1183" s="181">
        <v>683.94</v>
      </c>
      <c r="H1183" s="828">
        <v>46096.0</v>
      </c>
      <c r="I1183" s="829">
        <f t="shared" si="1"/>
        <v>3976.82157</v>
      </c>
      <c r="J1183" s="830">
        <f t="shared" si="2"/>
        <v>0.3799680467</v>
      </c>
      <c r="K1183" s="830"/>
    </row>
    <row r="1184">
      <c r="A1184" s="181" t="s">
        <v>523</v>
      </c>
      <c r="B1184" s="181" t="s">
        <v>561</v>
      </c>
      <c r="C1184" s="181">
        <v>8.589934592E9</v>
      </c>
      <c r="D1184" s="181">
        <v>6.0</v>
      </c>
      <c r="E1184" s="181">
        <v>20684.9</v>
      </c>
      <c r="F1184" s="181">
        <v>415.28</v>
      </c>
      <c r="G1184" s="181">
        <v>692.13</v>
      </c>
      <c r="H1184" s="828">
        <v>46096.0</v>
      </c>
      <c r="I1184" s="829">
        <f t="shared" si="1"/>
        <v>7953.643141</v>
      </c>
      <c r="J1184" s="830">
        <f t="shared" si="2"/>
        <v>0.3845144594</v>
      </c>
      <c r="K1184" s="830"/>
    </row>
    <row r="1185">
      <c r="A1185" s="181" t="s">
        <v>523</v>
      </c>
      <c r="B1185" s="181" t="s">
        <v>561</v>
      </c>
      <c r="C1185" s="181">
        <v>1.7179869184E10</v>
      </c>
      <c r="D1185" s="181">
        <v>6.0</v>
      </c>
      <c r="E1185" s="181">
        <v>41096.2</v>
      </c>
      <c r="F1185" s="181">
        <v>418.04</v>
      </c>
      <c r="G1185" s="181">
        <v>696.73</v>
      </c>
      <c r="H1185" s="828">
        <v>46096.0</v>
      </c>
      <c r="I1185" s="829">
        <f t="shared" si="1"/>
        <v>15907.28628</v>
      </c>
      <c r="J1185" s="830">
        <f t="shared" si="2"/>
        <v>0.3870743836</v>
      </c>
      <c r="K1185" s="830"/>
    </row>
    <row r="1186">
      <c r="A1186" s="181" t="s">
        <v>523</v>
      </c>
      <c r="B1186" s="181" t="s">
        <v>561</v>
      </c>
      <c r="C1186" s="181">
        <v>256.0</v>
      </c>
      <c r="D1186" s="181">
        <v>8.0</v>
      </c>
      <c r="E1186" s="181">
        <v>28.89</v>
      </c>
      <c r="F1186" s="181">
        <v>0.01</v>
      </c>
      <c r="G1186" s="181">
        <v>0.02</v>
      </c>
      <c r="H1186" s="828">
        <v>46096.0</v>
      </c>
      <c r="I1186" s="829">
        <f t="shared" si="1"/>
        <v>0.0002488888889</v>
      </c>
      <c r="J1186" s="830">
        <f t="shared" si="2"/>
        <v>0.000008615053267</v>
      </c>
      <c r="K1186" s="830"/>
    </row>
    <row r="1187">
      <c r="A1187" s="181" t="s">
        <v>523</v>
      </c>
      <c r="B1187" s="181" t="s">
        <v>561</v>
      </c>
      <c r="C1187" s="181">
        <v>512.0</v>
      </c>
      <c r="D1187" s="181">
        <v>8.0</v>
      </c>
      <c r="E1187" s="181">
        <v>29.86</v>
      </c>
      <c r="F1187" s="181">
        <v>0.02</v>
      </c>
      <c r="G1187" s="181">
        <v>0.03</v>
      </c>
      <c r="H1187" s="828">
        <v>46096.0</v>
      </c>
      <c r="I1187" s="829">
        <f t="shared" si="1"/>
        <v>0.0004977777778</v>
      </c>
      <c r="J1187" s="830">
        <f t="shared" si="2"/>
        <v>0.00001667038774</v>
      </c>
      <c r="K1187" s="830"/>
    </row>
    <row r="1188">
      <c r="A1188" s="181" t="s">
        <v>523</v>
      </c>
      <c r="B1188" s="181" t="s">
        <v>561</v>
      </c>
      <c r="C1188" s="181">
        <v>1024.0</v>
      </c>
      <c r="D1188" s="181">
        <v>8.0</v>
      </c>
      <c r="E1188" s="181">
        <v>29.62</v>
      </c>
      <c r="F1188" s="181">
        <v>0.03</v>
      </c>
      <c r="G1188" s="181">
        <v>0.06</v>
      </c>
      <c r="H1188" s="828">
        <v>46096.0</v>
      </c>
      <c r="I1188" s="829">
        <f t="shared" si="1"/>
        <v>0.0009955555556</v>
      </c>
      <c r="J1188" s="830">
        <f t="shared" si="2"/>
        <v>0.00003361092355</v>
      </c>
      <c r="K1188" s="830"/>
    </row>
    <row r="1189">
      <c r="A1189" s="181" t="s">
        <v>523</v>
      </c>
      <c r="B1189" s="181" t="s">
        <v>561</v>
      </c>
      <c r="C1189" s="181">
        <v>2048.0</v>
      </c>
      <c r="D1189" s="181">
        <v>8.0</v>
      </c>
      <c r="E1189" s="181">
        <v>30.15</v>
      </c>
      <c r="F1189" s="181">
        <v>0.07</v>
      </c>
      <c r="G1189" s="181">
        <v>0.12</v>
      </c>
      <c r="H1189" s="828">
        <v>46096.0</v>
      </c>
      <c r="I1189" s="829">
        <f t="shared" si="1"/>
        <v>0.001991111111</v>
      </c>
      <c r="J1189" s="830">
        <f t="shared" si="2"/>
        <v>0.00006604016952</v>
      </c>
      <c r="K1189" s="830"/>
    </row>
    <row r="1190">
      <c r="A1190" s="181" t="s">
        <v>523</v>
      </c>
      <c r="B1190" s="181" t="s">
        <v>561</v>
      </c>
      <c r="C1190" s="181">
        <v>4096.0</v>
      </c>
      <c r="D1190" s="181">
        <v>8.0</v>
      </c>
      <c r="E1190" s="181">
        <v>30.43</v>
      </c>
      <c r="F1190" s="181">
        <v>0.13</v>
      </c>
      <c r="G1190" s="181">
        <v>0.24</v>
      </c>
      <c r="H1190" s="828">
        <v>46096.0</v>
      </c>
      <c r="I1190" s="829">
        <f t="shared" si="1"/>
        <v>0.003982222222</v>
      </c>
      <c r="J1190" s="830">
        <f t="shared" si="2"/>
        <v>0.0001308650089</v>
      </c>
      <c r="K1190" s="830"/>
    </row>
    <row r="1191">
      <c r="A1191" s="181" t="s">
        <v>523</v>
      </c>
      <c r="B1191" s="181" t="s">
        <v>561</v>
      </c>
      <c r="C1191" s="181">
        <v>8192.0</v>
      </c>
      <c r="D1191" s="181">
        <v>8.0</v>
      </c>
      <c r="E1191" s="181">
        <v>31.26</v>
      </c>
      <c r="F1191" s="181">
        <v>0.26</v>
      </c>
      <c r="G1191" s="181">
        <v>0.46</v>
      </c>
      <c r="H1191" s="828">
        <v>46096.0</v>
      </c>
      <c r="I1191" s="829">
        <f t="shared" si="1"/>
        <v>0.007964444444</v>
      </c>
      <c r="J1191" s="830">
        <f t="shared" si="2"/>
        <v>0.0002547806924</v>
      </c>
      <c r="K1191" s="830"/>
    </row>
    <row r="1192">
      <c r="A1192" s="181" t="s">
        <v>523</v>
      </c>
      <c r="B1192" s="181" t="s">
        <v>561</v>
      </c>
      <c r="C1192" s="181">
        <v>16384.0</v>
      </c>
      <c r="D1192" s="181">
        <v>8.0</v>
      </c>
      <c r="E1192" s="181">
        <v>30.43</v>
      </c>
      <c r="F1192" s="181">
        <v>0.54</v>
      </c>
      <c r="G1192" s="181">
        <v>0.94</v>
      </c>
      <c r="H1192" s="828">
        <v>46096.0</v>
      </c>
      <c r="I1192" s="829">
        <f t="shared" si="1"/>
        <v>0.01592888889</v>
      </c>
      <c r="J1192" s="830">
        <f t="shared" si="2"/>
        <v>0.0005234600358</v>
      </c>
      <c r="K1192" s="830"/>
    </row>
    <row r="1193">
      <c r="A1193" s="181" t="s">
        <v>523</v>
      </c>
      <c r="B1193" s="181" t="s">
        <v>561</v>
      </c>
      <c r="C1193" s="181">
        <v>32768.0</v>
      </c>
      <c r="D1193" s="181">
        <v>8.0</v>
      </c>
      <c r="E1193" s="181">
        <v>31.29</v>
      </c>
      <c r="F1193" s="181">
        <v>1.05</v>
      </c>
      <c r="G1193" s="181">
        <v>1.83</v>
      </c>
      <c r="H1193" s="828">
        <v>46096.0</v>
      </c>
      <c r="I1193" s="829">
        <f t="shared" si="1"/>
        <v>0.03185777778</v>
      </c>
      <c r="J1193" s="830">
        <f t="shared" si="2"/>
        <v>0.001018145662</v>
      </c>
      <c r="K1193" s="830"/>
    </row>
    <row r="1194">
      <c r="A1194" s="181" t="s">
        <v>523</v>
      </c>
      <c r="B1194" s="181" t="s">
        <v>561</v>
      </c>
      <c r="C1194" s="181">
        <v>65536.0</v>
      </c>
      <c r="D1194" s="181">
        <v>8.0</v>
      </c>
      <c r="E1194" s="181">
        <v>31.43</v>
      </c>
      <c r="F1194" s="181">
        <v>2.08</v>
      </c>
      <c r="G1194" s="181">
        <v>3.65</v>
      </c>
      <c r="H1194" s="828">
        <v>46096.0</v>
      </c>
      <c r="I1194" s="829">
        <f t="shared" si="1"/>
        <v>0.06371555556</v>
      </c>
      <c r="J1194" s="830">
        <f t="shared" si="2"/>
        <v>0.002027220985</v>
      </c>
      <c r="K1194" s="830"/>
    </row>
    <row r="1195">
      <c r="A1195" s="181" t="s">
        <v>523</v>
      </c>
      <c r="B1195" s="181" t="s">
        <v>561</v>
      </c>
      <c r="C1195" s="181">
        <v>131072.0</v>
      </c>
      <c r="D1195" s="181">
        <v>8.0</v>
      </c>
      <c r="E1195" s="181">
        <v>33.25</v>
      </c>
      <c r="F1195" s="181">
        <v>3.94</v>
      </c>
      <c r="G1195" s="181">
        <v>6.9</v>
      </c>
      <c r="H1195" s="828">
        <v>46096.0</v>
      </c>
      <c r="I1195" s="829">
        <f t="shared" si="1"/>
        <v>0.1274311111</v>
      </c>
      <c r="J1195" s="830">
        <f t="shared" si="2"/>
        <v>0.00383251462</v>
      </c>
      <c r="K1195" s="830"/>
    </row>
    <row r="1196">
      <c r="A1196" s="181" t="s">
        <v>523</v>
      </c>
      <c r="B1196" s="181" t="s">
        <v>561</v>
      </c>
      <c r="C1196" s="181">
        <v>262144.0</v>
      </c>
      <c r="D1196" s="181">
        <v>8.0</v>
      </c>
      <c r="E1196" s="181">
        <v>32.71</v>
      </c>
      <c r="F1196" s="181">
        <v>8.01</v>
      </c>
      <c r="G1196" s="181">
        <v>14.02</v>
      </c>
      <c r="H1196" s="828">
        <v>46096.0</v>
      </c>
      <c r="I1196" s="829">
        <f t="shared" si="1"/>
        <v>0.2548622222</v>
      </c>
      <c r="J1196" s="830">
        <f t="shared" si="2"/>
        <v>0.007791569007</v>
      </c>
      <c r="K1196" s="830"/>
    </row>
    <row r="1197">
      <c r="A1197" s="181" t="s">
        <v>523</v>
      </c>
      <c r="B1197" s="181" t="s">
        <v>561</v>
      </c>
      <c r="C1197" s="181">
        <v>524288.0</v>
      </c>
      <c r="D1197" s="181">
        <v>8.0</v>
      </c>
      <c r="E1197" s="181">
        <v>33.17</v>
      </c>
      <c r="F1197" s="181">
        <v>15.81</v>
      </c>
      <c r="G1197" s="181">
        <v>27.66</v>
      </c>
      <c r="H1197" s="828">
        <v>46096.0</v>
      </c>
      <c r="I1197" s="829">
        <f t="shared" si="1"/>
        <v>0.5097244444</v>
      </c>
      <c r="J1197" s="830">
        <f t="shared" si="2"/>
        <v>0.01536703179</v>
      </c>
      <c r="K1197" s="830"/>
    </row>
    <row r="1198">
      <c r="A1198" s="181" t="s">
        <v>523</v>
      </c>
      <c r="B1198" s="181" t="s">
        <v>561</v>
      </c>
      <c r="C1198" s="181">
        <v>1048576.0</v>
      </c>
      <c r="D1198" s="181">
        <v>8.0</v>
      </c>
      <c r="E1198" s="181">
        <v>34.31</v>
      </c>
      <c r="F1198" s="181">
        <v>30.56</v>
      </c>
      <c r="G1198" s="181">
        <v>53.48</v>
      </c>
      <c r="H1198" s="828">
        <v>46096.0</v>
      </c>
      <c r="I1198" s="829">
        <f t="shared" si="1"/>
        <v>1.019448889</v>
      </c>
      <c r="J1198" s="830">
        <f t="shared" si="2"/>
        <v>0.0297128793</v>
      </c>
      <c r="K1198" s="830"/>
    </row>
    <row r="1199">
      <c r="A1199" s="181" t="s">
        <v>523</v>
      </c>
      <c r="B1199" s="181" t="s">
        <v>561</v>
      </c>
      <c r="C1199" s="181">
        <v>2097152.0</v>
      </c>
      <c r="D1199" s="181">
        <v>8.0</v>
      </c>
      <c r="E1199" s="181">
        <v>36.03</v>
      </c>
      <c r="F1199" s="181">
        <v>58.21</v>
      </c>
      <c r="G1199" s="181">
        <v>101.86</v>
      </c>
      <c r="H1199" s="828">
        <v>46096.0</v>
      </c>
      <c r="I1199" s="829">
        <f t="shared" si="1"/>
        <v>2.038897778</v>
      </c>
      <c r="J1199" s="830">
        <f t="shared" si="2"/>
        <v>0.05658889197</v>
      </c>
      <c r="K1199" s="830"/>
    </row>
    <row r="1200">
      <c r="A1200" s="181" t="s">
        <v>523</v>
      </c>
      <c r="B1200" s="181" t="s">
        <v>561</v>
      </c>
      <c r="C1200" s="181">
        <v>4194304.0</v>
      </c>
      <c r="D1200" s="181">
        <v>8.0</v>
      </c>
      <c r="E1200" s="181">
        <v>67.92</v>
      </c>
      <c r="F1200" s="181">
        <v>61.75</v>
      </c>
      <c r="G1200" s="181">
        <v>108.07</v>
      </c>
      <c r="H1200" s="828">
        <v>46096.0</v>
      </c>
      <c r="I1200" s="829">
        <f t="shared" si="1"/>
        <v>4.077795556</v>
      </c>
      <c r="J1200" s="830">
        <f t="shared" si="2"/>
        <v>0.06003821489</v>
      </c>
      <c r="K1200" s="830"/>
    </row>
    <row r="1201">
      <c r="A1201" s="181" t="s">
        <v>523</v>
      </c>
      <c r="B1201" s="181" t="s">
        <v>561</v>
      </c>
      <c r="C1201" s="181">
        <v>8388608.0</v>
      </c>
      <c r="D1201" s="181">
        <v>8.0</v>
      </c>
      <c r="E1201" s="181">
        <v>90.7</v>
      </c>
      <c r="F1201" s="181">
        <v>92.49</v>
      </c>
      <c r="G1201" s="181">
        <v>161.86</v>
      </c>
      <c r="H1201" s="828">
        <v>46096.0</v>
      </c>
      <c r="I1201" s="829">
        <f t="shared" si="1"/>
        <v>8.155591111</v>
      </c>
      <c r="J1201" s="830">
        <f t="shared" si="2"/>
        <v>0.08991831435</v>
      </c>
      <c r="K1201" s="830"/>
    </row>
    <row r="1202">
      <c r="A1202" s="181" t="s">
        <v>523</v>
      </c>
      <c r="B1202" s="181" t="s">
        <v>561</v>
      </c>
      <c r="C1202" s="181">
        <v>1.6777216E7</v>
      </c>
      <c r="D1202" s="181">
        <v>8.0</v>
      </c>
      <c r="E1202" s="181">
        <v>116.37</v>
      </c>
      <c r="F1202" s="181">
        <v>144.18</v>
      </c>
      <c r="G1202" s="181">
        <v>252.31</v>
      </c>
      <c r="H1202" s="828">
        <v>46096.0</v>
      </c>
      <c r="I1202" s="829">
        <f t="shared" si="1"/>
        <v>16.31118222</v>
      </c>
      <c r="J1202" s="830">
        <f t="shared" si="2"/>
        <v>0.1401665569</v>
      </c>
      <c r="K1202" s="830"/>
    </row>
    <row r="1203">
      <c r="A1203" s="181" t="s">
        <v>523</v>
      </c>
      <c r="B1203" s="181" t="s">
        <v>561</v>
      </c>
      <c r="C1203" s="181">
        <v>3.3554432E7</v>
      </c>
      <c r="D1203" s="181">
        <v>8.0</v>
      </c>
      <c r="E1203" s="181">
        <v>194.33</v>
      </c>
      <c r="F1203" s="181">
        <v>172.67</v>
      </c>
      <c r="G1203" s="181">
        <v>302.17</v>
      </c>
      <c r="H1203" s="828">
        <v>46096.0</v>
      </c>
      <c r="I1203" s="829">
        <f t="shared" si="1"/>
        <v>32.62236444</v>
      </c>
      <c r="J1203" s="830">
        <f t="shared" si="2"/>
        <v>0.1678709641</v>
      </c>
      <c r="K1203" s="830"/>
    </row>
    <row r="1204">
      <c r="A1204" s="181" t="s">
        <v>523</v>
      </c>
      <c r="B1204" s="181" t="s">
        <v>561</v>
      </c>
      <c r="C1204" s="181">
        <v>6.7108864E7</v>
      </c>
      <c r="D1204" s="181">
        <v>8.0</v>
      </c>
      <c r="E1204" s="181">
        <v>331.06</v>
      </c>
      <c r="F1204" s="181">
        <v>202.71</v>
      </c>
      <c r="G1204" s="181">
        <v>354.74</v>
      </c>
      <c r="H1204" s="828">
        <v>46096.0</v>
      </c>
      <c r="I1204" s="829">
        <f t="shared" si="1"/>
        <v>65.24472889</v>
      </c>
      <c r="J1204" s="830">
        <f t="shared" si="2"/>
        <v>0.1970782604</v>
      </c>
      <c r="K1204" s="830"/>
    </row>
    <row r="1205">
      <c r="A1205" s="181" t="s">
        <v>523</v>
      </c>
      <c r="B1205" s="181" t="s">
        <v>561</v>
      </c>
      <c r="C1205" s="181">
        <v>1.34217728E8</v>
      </c>
      <c r="D1205" s="181">
        <v>8.0</v>
      </c>
      <c r="E1205" s="181">
        <v>431.33</v>
      </c>
      <c r="F1205" s="181">
        <v>311.17</v>
      </c>
      <c r="G1205" s="181">
        <v>544.55</v>
      </c>
      <c r="H1205" s="828">
        <v>46096.0</v>
      </c>
      <c r="I1205" s="829">
        <f t="shared" si="1"/>
        <v>130.4894578</v>
      </c>
      <c r="J1205" s="830">
        <f t="shared" si="2"/>
        <v>0.3025281288</v>
      </c>
      <c r="K1205" s="830"/>
    </row>
    <row r="1206">
      <c r="A1206" s="181" t="s">
        <v>523</v>
      </c>
      <c r="B1206" s="181" t="s">
        <v>561</v>
      </c>
      <c r="C1206" s="181">
        <v>2.68435456E8</v>
      </c>
      <c r="D1206" s="181">
        <v>8.0</v>
      </c>
      <c r="E1206" s="181">
        <v>790.25</v>
      </c>
      <c r="F1206" s="181">
        <v>339.69</v>
      </c>
      <c r="G1206" s="181">
        <v>594.45</v>
      </c>
      <c r="H1206" s="828">
        <v>46096.0</v>
      </c>
      <c r="I1206" s="829">
        <f t="shared" si="1"/>
        <v>260.9789156</v>
      </c>
      <c r="J1206" s="830">
        <f t="shared" si="2"/>
        <v>0.3302485486</v>
      </c>
      <c r="K1206" s="830"/>
    </row>
    <row r="1207">
      <c r="A1207" s="181" t="s">
        <v>523</v>
      </c>
      <c r="B1207" s="181" t="s">
        <v>561</v>
      </c>
      <c r="C1207" s="181">
        <v>5.36870912E8</v>
      </c>
      <c r="D1207" s="181">
        <v>8.0</v>
      </c>
      <c r="E1207" s="181">
        <v>1485.34</v>
      </c>
      <c r="F1207" s="181">
        <v>361.45</v>
      </c>
      <c r="G1207" s="181">
        <v>632.53</v>
      </c>
      <c r="H1207" s="828">
        <v>46096.0</v>
      </c>
      <c r="I1207" s="829">
        <f t="shared" si="1"/>
        <v>521.9578311</v>
      </c>
      <c r="J1207" s="830">
        <f t="shared" si="2"/>
        <v>0.3514062983</v>
      </c>
      <c r="K1207" s="830"/>
    </row>
    <row r="1208">
      <c r="A1208" s="181" t="s">
        <v>523</v>
      </c>
      <c r="B1208" s="181" t="s">
        <v>561</v>
      </c>
      <c r="C1208" s="181">
        <v>1.073741824E9</v>
      </c>
      <c r="D1208" s="181">
        <v>8.0</v>
      </c>
      <c r="E1208" s="181">
        <v>2871.68</v>
      </c>
      <c r="F1208" s="181">
        <v>373.91</v>
      </c>
      <c r="G1208" s="181">
        <v>654.34</v>
      </c>
      <c r="H1208" s="828">
        <v>46096.0</v>
      </c>
      <c r="I1208" s="829">
        <f t="shared" si="1"/>
        <v>1043.915662</v>
      </c>
      <c r="J1208" s="830">
        <f t="shared" si="2"/>
        <v>0.3635208875</v>
      </c>
      <c r="K1208" s="830"/>
    </row>
    <row r="1209">
      <c r="A1209" s="181" t="s">
        <v>523</v>
      </c>
      <c r="B1209" s="181" t="s">
        <v>561</v>
      </c>
      <c r="C1209" s="181">
        <v>2.147483648E9</v>
      </c>
      <c r="D1209" s="181">
        <v>8.0</v>
      </c>
      <c r="E1209" s="181">
        <v>4616.78</v>
      </c>
      <c r="F1209" s="181">
        <v>465.15</v>
      </c>
      <c r="G1209" s="181">
        <v>814.01</v>
      </c>
      <c r="H1209" s="828">
        <v>46096.0</v>
      </c>
      <c r="I1209" s="829">
        <f t="shared" si="1"/>
        <v>2087.831324</v>
      </c>
      <c r="J1209" s="830">
        <f t="shared" si="2"/>
        <v>0.4522267304</v>
      </c>
      <c r="K1209" s="830"/>
    </row>
    <row r="1210">
      <c r="A1210" s="181" t="s">
        <v>523</v>
      </c>
      <c r="B1210" s="181" t="s">
        <v>561</v>
      </c>
      <c r="C1210" s="181">
        <v>4.294967296E9</v>
      </c>
      <c r="D1210" s="181">
        <v>8.0</v>
      </c>
      <c r="E1210" s="181">
        <v>9068.11</v>
      </c>
      <c r="F1210" s="181">
        <v>473.63</v>
      </c>
      <c r="G1210" s="181">
        <v>828.86</v>
      </c>
      <c r="H1210" s="828">
        <v>46096.0</v>
      </c>
      <c r="I1210" s="829">
        <f t="shared" si="1"/>
        <v>4175.662649</v>
      </c>
      <c r="J1210" s="830">
        <f t="shared" si="2"/>
        <v>0.4604777235</v>
      </c>
      <c r="K1210" s="830"/>
    </row>
    <row r="1211">
      <c r="A1211" s="181" t="s">
        <v>523</v>
      </c>
      <c r="B1211" s="181" t="s">
        <v>561</v>
      </c>
      <c r="C1211" s="181">
        <v>8.589934592E9</v>
      </c>
      <c r="D1211" s="181">
        <v>8.0</v>
      </c>
      <c r="E1211" s="181">
        <v>17963.8</v>
      </c>
      <c r="F1211" s="181">
        <v>478.18</v>
      </c>
      <c r="G1211" s="181">
        <v>836.82</v>
      </c>
      <c r="H1211" s="828">
        <v>46096.0</v>
      </c>
      <c r="I1211" s="829">
        <f t="shared" si="1"/>
        <v>8351.325298</v>
      </c>
      <c r="J1211" s="830">
        <f t="shared" si="2"/>
        <v>0.464897477</v>
      </c>
      <c r="K1211" s="830"/>
    </row>
    <row r="1212">
      <c r="A1212" s="181" t="s">
        <v>523</v>
      </c>
      <c r="B1212" s="181" t="s">
        <v>561</v>
      </c>
      <c r="C1212" s="181">
        <v>1.7179869184E10</v>
      </c>
      <c r="D1212" s="181">
        <v>8.0</v>
      </c>
      <c r="E1212" s="181">
        <v>35722.6</v>
      </c>
      <c r="F1212" s="181">
        <v>480.92</v>
      </c>
      <c r="G1212" s="181">
        <v>841.62</v>
      </c>
      <c r="H1212" s="828">
        <v>46096.0</v>
      </c>
      <c r="I1212" s="829">
        <f t="shared" si="1"/>
        <v>16702.6506</v>
      </c>
      <c r="J1212" s="830">
        <f t="shared" si="2"/>
        <v>0.4675653675</v>
      </c>
      <c r="K1212" s="830"/>
    </row>
    <row r="1213">
      <c r="A1213" s="181" t="s">
        <v>523</v>
      </c>
      <c r="B1213" s="181" t="s">
        <v>561</v>
      </c>
      <c r="C1213" s="181">
        <v>256.0</v>
      </c>
      <c r="D1213" s="181">
        <v>10.0</v>
      </c>
      <c r="E1213" s="181">
        <v>34.77</v>
      </c>
      <c r="F1213" s="181">
        <v>0.01</v>
      </c>
      <c r="G1213" s="181">
        <v>0.01</v>
      </c>
      <c r="H1213" s="828">
        <v>46096.0</v>
      </c>
      <c r="I1213" s="829">
        <f t="shared" si="1"/>
        <v>0.000256</v>
      </c>
      <c r="J1213" s="830">
        <f t="shared" si="2"/>
        <v>0.000007362668968</v>
      </c>
      <c r="K1213" s="830"/>
    </row>
    <row r="1214">
      <c r="A1214" s="181" t="s">
        <v>523</v>
      </c>
      <c r="B1214" s="181" t="s">
        <v>561</v>
      </c>
      <c r="C1214" s="181">
        <v>512.0</v>
      </c>
      <c r="D1214" s="181">
        <v>10.0</v>
      </c>
      <c r="E1214" s="181">
        <v>34.98</v>
      </c>
      <c r="F1214" s="181">
        <v>0.01</v>
      </c>
      <c r="G1214" s="181">
        <v>0.03</v>
      </c>
      <c r="H1214" s="828">
        <v>46096.0</v>
      </c>
      <c r="I1214" s="829">
        <f t="shared" si="1"/>
        <v>0.000512</v>
      </c>
      <c r="J1214" s="830">
        <f t="shared" si="2"/>
        <v>0.00001463693539</v>
      </c>
      <c r="K1214" s="830"/>
    </row>
    <row r="1215">
      <c r="A1215" s="181" t="s">
        <v>523</v>
      </c>
      <c r="B1215" s="181" t="s">
        <v>561</v>
      </c>
      <c r="C1215" s="181">
        <v>1024.0</v>
      </c>
      <c r="D1215" s="181">
        <v>10.0</v>
      </c>
      <c r="E1215" s="181">
        <v>35.92</v>
      </c>
      <c r="F1215" s="181">
        <v>0.03</v>
      </c>
      <c r="G1215" s="181">
        <v>0.05</v>
      </c>
      <c r="H1215" s="828">
        <v>46096.0</v>
      </c>
      <c r="I1215" s="829">
        <f t="shared" si="1"/>
        <v>0.001024</v>
      </c>
      <c r="J1215" s="830">
        <f t="shared" si="2"/>
        <v>0.0000285077951</v>
      </c>
      <c r="K1215" s="830"/>
    </row>
    <row r="1216">
      <c r="A1216" s="181" t="s">
        <v>523</v>
      </c>
      <c r="B1216" s="181" t="s">
        <v>561</v>
      </c>
      <c r="C1216" s="181">
        <v>2048.0</v>
      </c>
      <c r="D1216" s="181">
        <v>10.0</v>
      </c>
      <c r="E1216" s="181">
        <v>36.69</v>
      </c>
      <c r="F1216" s="181">
        <v>0.06</v>
      </c>
      <c r="G1216" s="181">
        <v>0.1</v>
      </c>
      <c r="H1216" s="828">
        <v>46096.0</v>
      </c>
      <c r="I1216" s="829">
        <f t="shared" si="1"/>
        <v>0.002048</v>
      </c>
      <c r="J1216" s="830">
        <f t="shared" si="2"/>
        <v>0.00005581902426</v>
      </c>
      <c r="K1216" s="830"/>
    </row>
    <row r="1217">
      <c r="A1217" s="181" t="s">
        <v>523</v>
      </c>
      <c r="B1217" s="181" t="s">
        <v>561</v>
      </c>
      <c r="C1217" s="181">
        <v>4096.0</v>
      </c>
      <c r="D1217" s="181">
        <v>10.0</v>
      </c>
      <c r="E1217" s="181">
        <v>36.98</v>
      </c>
      <c r="F1217" s="181">
        <v>0.11</v>
      </c>
      <c r="G1217" s="181">
        <v>0.2</v>
      </c>
      <c r="H1217" s="828">
        <v>46096.0</v>
      </c>
      <c r="I1217" s="829">
        <f t="shared" si="1"/>
        <v>0.004096</v>
      </c>
      <c r="J1217" s="830">
        <f t="shared" si="2"/>
        <v>0.0001107625744</v>
      </c>
      <c r="K1217" s="830"/>
    </row>
    <row r="1218">
      <c r="A1218" s="181" t="s">
        <v>523</v>
      </c>
      <c r="B1218" s="181" t="s">
        <v>561</v>
      </c>
      <c r="C1218" s="181">
        <v>8192.0</v>
      </c>
      <c r="D1218" s="181">
        <v>10.0</v>
      </c>
      <c r="E1218" s="181">
        <v>37.96</v>
      </c>
      <c r="F1218" s="181">
        <v>0.22</v>
      </c>
      <c r="G1218" s="181">
        <v>0.39</v>
      </c>
      <c r="H1218" s="828">
        <v>46096.0</v>
      </c>
      <c r="I1218" s="829">
        <f t="shared" si="1"/>
        <v>0.008192</v>
      </c>
      <c r="J1218" s="830">
        <f t="shared" si="2"/>
        <v>0.0002158061117</v>
      </c>
      <c r="K1218" s="830"/>
    </row>
    <row r="1219">
      <c r="A1219" s="181" t="s">
        <v>523</v>
      </c>
      <c r="B1219" s="181" t="s">
        <v>561</v>
      </c>
      <c r="C1219" s="181">
        <v>16384.0</v>
      </c>
      <c r="D1219" s="181">
        <v>10.0</v>
      </c>
      <c r="E1219" s="181">
        <v>39.52</v>
      </c>
      <c r="F1219" s="181">
        <v>0.41</v>
      </c>
      <c r="G1219" s="181">
        <v>0.75</v>
      </c>
      <c r="H1219" s="828">
        <v>46096.0</v>
      </c>
      <c r="I1219" s="829">
        <f t="shared" si="1"/>
        <v>0.016384</v>
      </c>
      <c r="J1219" s="830">
        <f t="shared" si="2"/>
        <v>0.0004145748988</v>
      </c>
      <c r="K1219" s="830"/>
    </row>
    <row r="1220">
      <c r="A1220" s="181" t="s">
        <v>523</v>
      </c>
      <c r="B1220" s="181" t="s">
        <v>561</v>
      </c>
      <c r="C1220" s="181">
        <v>32768.0</v>
      </c>
      <c r="D1220" s="181">
        <v>10.0</v>
      </c>
      <c r="E1220" s="181">
        <v>39.7</v>
      </c>
      <c r="F1220" s="181">
        <v>0.83</v>
      </c>
      <c r="G1220" s="181">
        <v>1.49</v>
      </c>
      <c r="H1220" s="828">
        <v>46096.0</v>
      </c>
      <c r="I1220" s="829">
        <f t="shared" si="1"/>
        <v>0.032768</v>
      </c>
      <c r="J1220" s="830">
        <f t="shared" si="2"/>
        <v>0.0008253904282</v>
      </c>
      <c r="K1220" s="830"/>
    </row>
    <row r="1221">
      <c r="A1221" s="181" t="s">
        <v>523</v>
      </c>
      <c r="B1221" s="181" t="s">
        <v>561</v>
      </c>
      <c r="C1221" s="181">
        <v>65536.0</v>
      </c>
      <c r="D1221" s="181">
        <v>10.0</v>
      </c>
      <c r="E1221" s="181">
        <v>40.42</v>
      </c>
      <c r="F1221" s="181">
        <v>1.62</v>
      </c>
      <c r="G1221" s="181">
        <v>2.92</v>
      </c>
      <c r="H1221" s="828">
        <v>46096.0</v>
      </c>
      <c r="I1221" s="829">
        <f t="shared" si="1"/>
        <v>0.065536</v>
      </c>
      <c r="J1221" s="830">
        <f t="shared" si="2"/>
        <v>0.001621375557</v>
      </c>
      <c r="K1221" s="830"/>
    </row>
    <row r="1222">
      <c r="A1222" s="181" t="s">
        <v>523</v>
      </c>
      <c r="B1222" s="181" t="s">
        <v>561</v>
      </c>
      <c r="C1222" s="181">
        <v>131072.0</v>
      </c>
      <c r="D1222" s="181">
        <v>10.0</v>
      </c>
      <c r="E1222" s="181">
        <v>39.72</v>
      </c>
      <c r="F1222" s="181">
        <v>3.3</v>
      </c>
      <c r="G1222" s="181">
        <v>5.94</v>
      </c>
      <c r="H1222" s="828">
        <v>46096.0</v>
      </c>
      <c r="I1222" s="829">
        <f t="shared" si="1"/>
        <v>0.131072</v>
      </c>
      <c r="J1222" s="830">
        <f t="shared" si="2"/>
        <v>0.003299899295</v>
      </c>
      <c r="K1222" s="830"/>
    </row>
    <row r="1223">
      <c r="A1223" s="181" t="s">
        <v>523</v>
      </c>
      <c r="B1223" s="181" t="s">
        <v>561</v>
      </c>
      <c r="C1223" s="181">
        <v>262144.0</v>
      </c>
      <c r="D1223" s="181">
        <v>10.0</v>
      </c>
      <c r="E1223" s="181">
        <v>40.92</v>
      </c>
      <c r="F1223" s="181">
        <v>6.41</v>
      </c>
      <c r="G1223" s="181">
        <v>11.53</v>
      </c>
      <c r="H1223" s="828">
        <v>46096.0</v>
      </c>
      <c r="I1223" s="829">
        <f t="shared" si="1"/>
        <v>0.262144</v>
      </c>
      <c r="J1223" s="830">
        <f t="shared" si="2"/>
        <v>0.006406256109</v>
      </c>
      <c r="K1223" s="830"/>
    </row>
    <row r="1224">
      <c r="A1224" s="181" t="s">
        <v>523</v>
      </c>
      <c r="B1224" s="181" t="s">
        <v>561</v>
      </c>
      <c r="C1224" s="181">
        <v>524288.0</v>
      </c>
      <c r="D1224" s="181">
        <v>10.0</v>
      </c>
      <c r="E1224" s="181">
        <v>40.66</v>
      </c>
      <c r="F1224" s="181">
        <v>12.89</v>
      </c>
      <c r="G1224" s="181">
        <v>23.21</v>
      </c>
      <c r="H1224" s="828">
        <v>46096.0</v>
      </c>
      <c r="I1224" s="829">
        <f t="shared" si="1"/>
        <v>0.524288</v>
      </c>
      <c r="J1224" s="830">
        <f t="shared" si="2"/>
        <v>0.01289444171</v>
      </c>
      <c r="K1224" s="830"/>
    </row>
    <row r="1225">
      <c r="A1225" s="181" t="s">
        <v>523</v>
      </c>
      <c r="B1225" s="181" t="s">
        <v>561</v>
      </c>
      <c r="C1225" s="181">
        <v>1048576.0</v>
      </c>
      <c r="D1225" s="181">
        <v>10.0</v>
      </c>
      <c r="E1225" s="181">
        <v>40.88</v>
      </c>
      <c r="F1225" s="181">
        <v>25.65</v>
      </c>
      <c r="G1225" s="181">
        <v>46.17</v>
      </c>
      <c r="H1225" s="828">
        <v>46096.0</v>
      </c>
      <c r="I1225" s="829">
        <f t="shared" si="1"/>
        <v>1.048576</v>
      </c>
      <c r="J1225" s="830">
        <f t="shared" si="2"/>
        <v>0.02565009785</v>
      </c>
      <c r="K1225" s="830"/>
    </row>
    <row r="1226">
      <c r="A1226" s="181" t="s">
        <v>523</v>
      </c>
      <c r="B1226" s="181" t="s">
        <v>561</v>
      </c>
      <c r="C1226" s="181">
        <v>2097152.0</v>
      </c>
      <c r="D1226" s="181">
        <v>10.0</v>
      </c>
      <c r="E1226" s="181">
        <v>57.2</v>
      </c>
      <c r="F1226" s="181">
        <v>36.66</v>
      </c>
      <c r="G1226" s="181">
        <v>66.0</v>
      </c>
      <c r="H1226" s="828">
        <v>46096.0</v>
      </c>
      <c r="I1226" s="829">
        <f t="shared" si="1"/>
        <v>2.097152</v>
      </c>
      <c r="J1226" s="830">
        <f t="shared" si="2"/>
        <v>0.0366634965</v>
      </c>
      <c r="K1226" s="830"/>
    </row>
    <row r="1227">
      <c r="A1227" s="181" t="s">
        <v>523</v>
      </c>
      <c r="B1227" s="181" t="s">
        <v>561</v>
      </c>
      <c r="C1227" s="181">
        <v>4194304.0</v>
      </c>
      <c r="D1227" s="181">
        <v>10.0</v>
      </c>
      <c r="E1227" s="181">
        <v>71.76</v>
      </c>
      <c r="F1227" s="181">
        <v>58.45</v>
      </c>
      <c r="G1227" s="181">
        <v>105.21</v>
      </c>
      <c r="H1227" s="828">
        <v>46096.0</v>
      </c>
      <c r="I1227" s="829">
        <f t="shared" si="1"/>
        <v>4.194304</v>
      </c>
      <c r="J1227" s="830">
        <f t="shared" si="2"/>
        <v>0.0584490524</v>
      </c>
      <c r="K1227" s="830"/>
    </row>
    <row r="1228">
      <c r="A1228" s="181" t="s">
        <v>523</v>
      </c>
      <c r="B1228" s="181" t="s">
        <v>561</v>
      </c>
      <c r="C1228" s="181">
        <v>8388608.0</v>
      </c>
      <c r="D1228" s="181">
        <v>10.0</v>
      </c>
      <c r="E1228" s="181">
        <v>95.08</v>
      </c>
      <c r="F1228" s="181">
        <v>88.22</v>
      </c>
      <c r="G1228" s="181">
        <v>158.8</v>
      </c>
      <c r="H1228" s="828">
        <v>46096.0</v>
      </c>
      <c r="I1228" s="829">
        <f t="shared" si="1"/>
        <v>8.388608</v>
      </c>
      <c r="J1228" s="830">
        <f t="shared" si="2"/>
        <v>0.08822684056</v>
      </c>
      <c r="K1228" s="830"/>
    </row>
    <row r="1229">
      <c r="A1229" s="181" t="s">
        <v>523</v>
      </c>
      <c r="B1229" s="181" t="s">
        <v>561</v>
      </c>
      <c r="C1229" s="181">
        <v>1.6777216E7</v>
      </c>
      <c r="D1229" s="181">
        <v>10.0</v>
      </c>
      <c r="E1229" s="181">
        <v>127.59</v>
      </c>
      <c r="F1229" s="181">
        <v>131.5</v>
      </c>
      <c r="G1229" s="181">
        <v>236.7</v>
      </c>
      <c r="H1229" s="828">
        <v>46096.0</v>
      </c>
      <c r="I1229" s="829">
        <f t="shared" si="1"/>
        <v>16.777216</v>
      </c>
      <c r="J1229" s="830">
        <f t="shared" si="2"/>
        <v>0.1314931891</v>
      </c>
      <c r="K1229" s="830"/>
    </row>
    <row r="1230">
      <c r="A1230" s="181" t="s">
        <v>523</v>
      </c>
      <c r="B1230" s="181" t="s">
        <v>561</v>
      </c>
      <c r="C1230" s="181">
        <v>3.3554432E7</v>
      </c>
      <c r="D1230" s="181">
        <v>10.0</v>
      </c>
      <c r="E1230" s="181">
        <v>192.68</v>
      </c>
      <c r="F1230" s="181">
        <v>174.14</v>
      </c>
      <c r="G1230" s="181">
        <v>313.46</v>
      </c>
      <c r="H1230" s="828">
        <v>46096.0</v>
      </c>
      <c r="I1230" s="829">
        <f t="shared" si="1"/>
        <v>33.554432</v>
      </c>
      <c r="J1230" s="830">
        <f t="shared" si="2"/>
        <v>0.1741458999</v>
      </c>
      <c r="K1230" s="830"/>
    </row>
    <row r="1231">
      <c r="A1231" s="181" t="s">
        <v>523</v>
      </c>
      <c r="B1231" s="181" t="s">
        <v>561</v>
      </c>
      <c r="C1231" s="181">
        <v>6.7108864E7</v>
      </c>
      <c r="D1231" s="181">
        <v>10.0</v>
      </c>
      <c r="E1231" s="181">
        <v>315.44</v>
      </c>
      <c r="F1231" s="181">
        <v>212.75</v>
      </c>
      <c r="G1231" s="181">
        <v>382.95</v>
      </c>
      <c r="H1231" s="828">
        <v>46096.0</v>
      </c>
      <c r="I1231" s="829">
        <f t="shared" si="1"/>
        <v>67.108864</v>
      </c>
      <c r="J1231" s="830">
        <f t="shared" si="2"/>
        <v>0.2127468425</v>
      </c>
      <c r="K1231" s="830"/>
    </row>
    <row r="1232">
      <c r="A1232" s="181" t="s">
        <v>523</v>
      </c>
      <c r="B1232" s="181" t="s">
        <v>561</v>
      </c>
      <c r="C1232" s="181">
        <v>1.34217728E8</v>
      </c>
      <c r="D1232" s="181">
        <v>10.0</v>
      </c>
      <c r="E1232" s="181">
        <v>427.29</v>
      </c>
      <c r="F1232" s="181">
        <v>314.11</v>
      </c>
      <c r="G1232" s="181">
        <v>565.4</v>
      </c>
      <c r="H1232" s="828">
        <v>46096.0</v>
      </c>
      <c r="I1232" s="829">
        <f t="shared" si="1"/>
        <v>134.217728</v>
      </c>
      <c r="J1232" s="830">
        <f t="shared" si="2"/>
        <v>0.3141138992</v>
      </c>
      <c r="K1232" s="830"/>
    </row>
    <row r="1233">
      <c r="A1233" s="181" t="s">
        <v>523</v>
      </c>
      <c r="B1233" s="181" t="s">
        <v>561</v>
      </c>
      <c r="C1233" s="181">
        <v>2.68435456E8</v>
      </c>
      <c r="D1233" s="181">
        <v>10.0</v>
      </c>
      <c r="E1233" s="181">
        <v>762.48</v>
      </c>
      <c r="F1233" s="181">
        <v>352.06</v>
      </c>
      <c r="G1233" s="181">
        <v>633.7</v>
      </c>
      <c r="H1233" s="828">
        <v>46096.0</v>
      </c>
      <c r="I1233" s="829">
        <f t="shared" si="1"/>
        <v>268.435456</v>
      </c>
      <c r="J1233" s="830">
        <f t="shared" si="2"/>
        <v>0.3520557339</v>
      </c>
      <c r="K1233" s="830"/>
    </row>
    <row r="1234">
      <c r="A1234" s="181" t="s">
        <v>523</v>
      </c>
      <c r="B1234" s="181" t="s">
        <v>561</v>
      </c>
      <c r="C1234" s="181">
        <v>5.36870912E8</v>
      </c>
      <c r="D1234" s="181">
        <v>10.0</v>
      </c>
      <c r="E1234" s="181">
        <v>1406.91</v>
      </c>
      <c r="F1234" s="181">
        <v>381.6</v>
      </c>
      <c r="G1234" s="181">
        <v>686.87</v>
      </c>
      <c r="H1234" s="828">
        <v>46096.0</v>
      </c>
      <c r="I1234" s="829">
        <f t="shared" si="1"/>
        <v>536.870912</v>
      </c>
      <c r="J1234" s="830">
        <f t="shared" si="2"/>
        <v>0.3815957751</v>
      </c>
      <c r="K1234" s="830"/>
    </row>
    <row r="1235">
      <c r="A1235" s="181" t="s">
        <v>523</v>
      </c>
      <c r="B1235" s="181" t="s">
        <v>561</v>
      </c>
      <c r="C1235" s="181">
        <v>1.073741824E9</v>
      </c>
      <c r="D1235" s="181">
        <v>10.0</v>
      </c>
      <c r="E1235" s="181">
        <v>2658.58</v>
      </c>
      <c r="F1235" s="181">
        <v>403.88</v>
      </c>
      <c r="G1235" s="181">
        <v>726.98</v>
      </c>
      <c r="H1235" s="828">
        <v>46096.0</v>
      </c>
      <c r="I1235" s="829">
        <f t="shared" si="1"/>
        <v>1073.741824</v>
      </c>
      <c r="J1235" s="830">
        <f t="shared" si="2"/>
        <v>0.4038779439</v>
      </c>
      <c r="K1235" s="830"/>
    </row>
    <row r="1236">
      <c r="A1236" s="181" t="s">
        <v>523</v>
      </c>
      <c r="B1236" s="181" t="s">
        <v>561</v>
      </c>
      <c r="C1236" s="181">
        <v>2.147483648E9</v>
      </c>
      <c r="D1236" s="181">
        <v>10.0</v>
      </c>
      <c r="E1236" s="181">
        <v>4593.75</v>
      </c>
      <c r="F1236" s="181">
        <v>467.48</v>
      </c>
      <c r="G1236" s="181">
        <v>841.46</v>
      </c>
      <c r="H1236" s="828">
        <v>46096.0</v>
      </c>
      <c r="I1236" s="829">
        <f t="shared" si="1"/>
        <v>2147.483648</v>
      </c>
      <c r="J1236" s="830">
        <f t="shared" si="2"/>
        <v>0.4674794336</v>
      </c>
      <c r="K1236" s="830"/>
    </row>
    <row r="1237">
      <c r="A1237" s="181" t="s">
        <v>523</v>
      </c>
      <c r="B1237" s="181" t="s">
        <v>561</v>
      </c>
      <c r="C1237" s="181">
        <v>4.294967296E9</v>
      </c>
      <c r="D1237" s="181">
        <v>10.0</v>
      </c>
      <c r="E1237" s="181">
        <v>8989.68</v>
      </c>
      <c r="F1237" s="181">
        <v>477.77</v>
      </c>
      <c r="G1237" s="181">
        <v>859.98</v>
      </c>
      <c r="H1237" s="828">
        <v>46096.0</v>
      </c>
      <c r="I1237" s="829">
        <f t="shared" si="1"/>
        <v>4294.967296</v>
      </c>
      <c r="J1237" s="830">
        <f t="shared" si="2"/>
        <v>0.4777664273</v>
      </c>
      <c r="K1237" s="830"/>
    </row>
    <row r="1238">
      <c r="A1238" s="181" t="s">
        <v>523</v>
      </c>
      <c r="B1238" s="181" t="s">
        <v>561</v>
      </c>
      <c r="C1238" s="181">
        <v>8.589934592E9</v>
      </c>
      <c r="D1238" s="181">
        <v>10.0</v>
      </c>
      <c r="E1238" s="181">
        <v>17819.2</v>
      </c>
      <c r="F1238" s="181">
        <v>482.06</v>
      </c>
      <c r="G1238" s="181">
        <v>867.71</v>
      </c>
      <c r="H1238" s="828">
        <v>46096.0</v>
      </c>
      <c r="I1238" s="829">
        <f t="shared" si="1"/>
        <v>8589.934592</v>
      </c>
      <c r="J1238" s="830">
        <f t="shared" si="2"/>
        <v>0.4820606196</v>
      </c>
      <c r="K1238" s="830"/>
    </row>
    <row r="1239">
      <c r="A1239" s="181" t="s">
        <v>523</v>
      </c>
      <c r="B1239" s="181" t="s">
        <v>561</v>
      </c>
      <c r="C1239" s="181">
        <v>1.7179869184E10</v>
      </c>
      <c r="D1239" s="181">
        <v>10.0</v>
      </c>
      <c r="E1239" s="181">
        <v>35436.7</v>
      </c>
      <c r="F1239" s="181">
        <v>484.8</v>
      </c>
      <c r="G1239" s="181">
        <v>872.65</v>
      </c>
      <c r="H1239" s="828">
        <v>46096.0</v>
      </c>
      <c r="I1239" s="829">
        <f t="shared" si="1"/>
        <v>17179.86918</v>
      </c>
      <c r="J1239" s="830">
        <f t="shared" si="2"/>
        <v>0.4848044311</v>
      </c>
      <c r="K1239" s="830"/>
    </row>
    <row r="1240">
      <c r="A1240" s="181" t="s">
        <v>523</v>
      </c>
      <c r="B1240" s="181" t="s">
        <v>561</v>
      </c>
      <c r="C1240" s="181">
        <v>256.0</v>
      </c>
      <c r="D1240" s="181">
        <v>12.0</v>
      </c>
      <c r="E1240" s="181">
        <v>38.58</v>
      </c>
      <c r="F1240" s="181">
        <v>0.01</v>
      </c>
      <c r="G1240" s="181">
        <v>0.01</v>
      </c>
      <c r="H1240" s="828">
        <v>46096.0</v>
      </c>
      <c r="I1240" s="829">
        <f t="shared" si="1"/>
        <v>0.0002607407407</v>
      </c>
      <c r="J1240" s="830">
        <f t="shared" si="2"/>
        <v>0.000006758443254</v>
      </c>
      <c r="K1240" s="830"/>
    </row>
    <row r="1241">
      <c r="A1241" s="181" t="s">
        <v>523</v>
      </c>
      <c r="B1241" s="181" t="s">
        <v>561</v>
      </c>
      <c r="C1241" s="181">
        <v>512.0</v>
      </c>
      <c r="D1241" s="181">
        <v>12.0</v>
      </c>
      <c r="E1241" s="181">
        <v>39.53</v>
      </c>
      <c r="F1241" s="181">
        <v>0.01</v>
      </c>
      <c r="G1241" s="181">
        <v>0.02</v>
      </c>
      <c r="H1241" s="828">
        <v>46096.0</v>
      </c>
      <c r="I1241" s="829">
        <f t="shared" si="1"/>
        <v>0.0005214814815</v>
      </c>
      <c r="J1241" s="830">
        <f t="shared" si="2"/>
        <v>0.00001319204355</v>
      </c>
      <c r="K1241" s="830"/>
    </row>
    <row r="1242">
      <c r="A1242" s="181" t="s">
        <v>523</v>
      </c>
      <c r="B1242" s="181" t="s">
        <v>561</v>
      </c>
      <c r="C1242" s="181">
        <v>1024.0</v>
      </c>
      <c r="D1242" s="181">
        <v>12.0</v>
      </c>
      <c r="E1242" s="181">
        <v>40.7</v>
      </c>
      <c r="F1242" s="181">
        <v>0.03</v>
      </c>
      <c r="G1242" s="181">
        <v>0.05</v>
      </c>
      <c r="H1242" s="828">
        <v>46096.0</v>
      </c>
      <c r="I1242" s="829">
        <f t="shared" si="1"/>
        <v>0.001042962963</v>
      </c>
      <c r="J1242" s="830">
        <f t="shared" si="2"/>
        <v>0.00002562562563</v>
      </c>
      <c r="K1242" s="830"/>
    </row>
    <row r="1243">
      <c r="A1243" s="181" t="s">
        <v>523</v>
      </c>
      <c r="B1243" s="181" t="s">
        <v>561</v>
      </c>
      <c r="C1243" s="181">
        <v>2048.0</v>
      </c>
      <c r="D1243" s="181">
        <v>12.0</v>
      </c>
      <c r="E1243" s="181">
        <v>40.81</v>
      </c>
      <c r="F1243" s="181">
        <v>0.05</v>
      </c>
      <c r="G1243" s="181">
        <v>0.09</v>
      </c>
      <c r="H1243" s="828">
        <v>46096.0</v>
      </c>
      <c r="I1243" s="829">
        <f t="shared" si="1"/>
        <v>0.002085925926</v>
      </c>
      <c r="J1243" s="830">
        <f t="shared" si="2"/>
        <v>0.00005111310772</v>
      </c>
      <c r="K1243" s="830"/>
    </row>
    <row r="1244">
      <c r="A1244" s="181" t="s">
        <v>523</v>
      </c>
      <c r="B1244" s="181" t="s">
        <v>561</v>
      </c>
      <c r="C1244" s="181">
        <v>4096.0</v>
      </c>
      <c r="D1244" s="181">
        <v>12.0</v>
      </c>
      <c r="E1244" s="181">
        <v>40.91</v>
      </c>
      <c r="F1244" s="181">
        <v>0.1</v>
      </c>
      <c r="G1244" s="181">
        <v>0.18</v>
      </c>
      <c r="H1244" s="828">
        <v>46096.0</v>
      </c>
      <c r="I1244" s="829">
        <f t="shared" si="1"/>
        <v>0.004171851852</v>
      </c>
      <c r="J1244" s="830">
        <f t="shared" si="2"/>
        <v>0.0001019763347</v>
      </c>
      <c r="K1244" s="830"/>
    </row>
    <row r="1245">
      <c r="A1245" s="181" t="s">
        <v>523</v>
      </c>
      <c r="B1245" s="181" t="s">
        <v>561</v>
      </c>
      <c r="C1245" s="181">
        <v>8192.0</v>
      </c>
      <c r="D1245" s="181">
        <v>12.0</v>
      </c>
      <c r="E1245" s="181">
        <v>41.74</v>
      </c>
      <c r="F1245" s="181">
        <v>0.2</v>
      </c>
      <c r="G1245" s="181">
        <v>0.36</v>
      </c>
      <c r="H1245" s="828">
        <v>46096.0</v>
      </c>
      <c r="I1245" s="829">
        <f t="shared" si="1"/>
        <v>0.008343703704</v>
      </c>
      <c r="J1245" s="830">
        <f t="shared" si="2"/>
        <v>0.00019989707</v>
      </c>
      <c r="K1245" s="830"/>
    </row>
    <row r="1246">
      <c r="A1246" s="181" t="s">
        <v>523</v>
      </c>
      <c r="B1246" s="181" t="s">
        <v>561</v>
      </c>
      <c r="C1246" s="181">
        <v>16384.0</v>
      </c>
      <c r="D1246" s="181">
        <v>12.0</v>
      </c>
      <c r="E1246" s="181">
        <v>43.59</v>
      </c>
      <c r="F1246" s="181">
        <v>0.38</v>
      </c>
      <c r="G1246" s="181">
        <v>0.69</v>
      </c>
      <c r="H1246" s="828">
        <v>46096.0</v>
      </c>
      <c r="I1246" s="829">
        <f t="shared" si="1"/>
        <v>0.01668740741</v>
      </c>
      <c r="J1246" s="830">
        <f t="shared" si="2"/>
        <v>0.0003828265062</v>
      </c>
      <c r="K1246" s="830"/>
    </row>
    <row r="1247">
      <c r="A1247" s="181" t="s">
        <v>523</v>
      </c>
      <c r="B1247" s="181" t="s">
        <v>561</v>
      </c>
      <c r="C1247" s="181">
        <v>32768.0</v>
      </c>
      <c r="D1247" s="181">
        <v>12.0</v>
      </c>
      <c r="E1247" s="181">
        <v>44.46</v>
      </c>
      <c r="F1247" s="181">
        <v>0.74</v>
      </c>
      <c r="G1247" s="181">
        <v>1.35</v>
      </c>
      <c r="H1247" s="828">
        <v>46096.0</v>
      </c>
      <c r="I1247" s="829">
        <f t="shared" si="1"/>
        <v>0.03337481481</v>
      </c>
      <c r="J1247" s="830">
        <f t="shared" si="2"/>
        <v>0.0007506705986</v>
      </c>
      <c r="K1247" s="830"/>
    </row>
    <row r="1248">
      <c r="A1248" s="181" t="s">
        <v>523</v>
      </c>
      <c r="B1248" s="181" t="s">
        <v>561</v>
      </c>
      <c r="C1248" s="181">
        <v>65536.0</v>
      </c>
      <c r="D1248" s="181">
        <v>12.0</v>
      </c>
      <c r="E1248" s="181">
        <v>45.39</v>
      </c>
      <c r="F1248" s="181">
        <v>1.44</v>
      </c>
      <c r="G1248" s="181">
        <v>2.65</v>
      </c>
      <c r="H1248" s="828">
        <v>46096.0</v>
      </c>
      <c r="I1248" s="829">
        <f t="shared" si="1"/>
        <v>0.06674962963</v>
      </c>
      <c r="J1248" s="830">
        <f t="shared" si="2"/>
        <v>0.001470580076</v>
      </c>
      <c r="K1248" s="830"/>
    </row>
    <row r="1249">
      <c r="A1249" s="181" t="s">
        <v>523</v>
      </c>
      <c r="B1249" s="181" t="s">
        <v>561</v>
      </c>
      <c r="C1249" s="181">
        <v>131072.0</v>
      </c>
      <c r="D1249" s="181">
        <v>12.0</v>
      </c>
      <c r="E1249" s="181">
        <v>46.43</v>
      </c>
      <c r="F1249" s="181">
        <v>2.82</v>
      </c>
      <c r="G1249" s="181">
        <v>5.18</v>
      </c>
      <c r="H1249" s="828">
        <v>46096.0</v>
      </c>
      <c r="I1249" s="829">
        <f t="shared" si="1"/>
        <v>0.1334992593</v>
      </c>
      <c r="J1249" s="830">
        <f t="shared" si="2"/>
        <v>0.002875280191</v>
      </c>
      <c r="K1249" s="830"/>
    </row>
    <row r="1250">
      <c r="A1250" s="181" t="s">
        <v>523</v>
      </c>
      <c r="B1250" s="181" t="s">
        <v>561</v>
      </c>
      <c r="C1250" s="181">
        <v>262144.0</v>
      </c>
      <c r="D1250" s="181">
        <v>12.0</v>
      </c>
      <c r="E1250" s="181">
        <v>45.65</v>
      </c>
      <c r="F1250" s="181">
        <v>5.74</v>
      </c>
      <c r="G1250" s="181">
        <v>10.53</v>
      </c>
      <c r="H1250" s="828">
        <v>46096.0</v>
      </c>
      <c r="I1250" s="829">
        <f t="shared" si="1"/>
        <v>0.2669985185</v>
      </c>
      <c r="J1250" s="830">
        <f t="shared" si="2"/>
        <v>0.005848817492</v>
      </c>
      <c r="K1250" s="830"/>
    </row>
    <row r="1251">
      <c r="A1251" s="181" t="s">
        <v>523</v>
      </c>
      <c r="B1251" s="181" t="s">
        <v>561</v>
      </c>
      <c r="C1251" s="181">
        <v>524288.0</v>
      </c>
      <c r="D1251" s="181">
        <v>12.0</v>
      </c>
      <c r="E1251" s="181">
        <v>46.17</v>
      </c>
      <c r="F1251" s="181">
        <v>11.36</v>
      </c>
      <c r="G1251" s="181">
        <v>20.82</v>
      </c>
      <c r="H1251" s="828">
        <v>46096.0</v>
      </c>
      <c r="I1251" s="829">
        <f t="shared" si="1"/>
        <v>0.533997037</v>
      </c>
      <c r="J1251" s="830">
        <f t="shared" si="2"/>
        <v>0.01156588774</v>
      </c>
      <c r="K1251" s="830"/>
    </row>
    <row r="1252">
      <c r="A1252" s="181" t="s">
        <v>523</v>
      </c>
      <c r="B1252" s="181" t="s">
        <v>561</v>
      </c>
      <c r="C1252" s="181">
        <v>1048576.0</v>
      </c>
      <c r="D1252" s="181">
        <v>12.0</v>
      </c>
      <c r="E1252" s="181">
        <v>46.43</v>
      </c>
      <c r="F1252" s="181">
        <v>22.59</v>
      </c>
      <c r="G1252" s="181">
        <v>41.41</v>
      </c>
      <c r="H1252" s="828">
        <v>46096.0</v>
      </c>
      <c r="I1252" s="829">
        <f t="shared" si="1"/>
        <v>1.067994074</v>
      </c>
      <c r="J1252" s="830">
        <f t="shared" si="2"/>
        <v>0.02300224153</v>
      </c>
      <c r="K1252" s="830"/>
    </row>
    <row r="1253">
      <c r="A1253" s="181" t="s">
        <v>523</v>
      </c>
      <c r="B1253" s="181" t="s">
        <v>561</v>
      </c>
      <c r="C1253" s="181">
        <v>2097152.0</v>
      </c>
      <c r="D1253" s="181">
        <v>12.0</v>
      </c>
      <c r="E1253" s="181">
        <v>57.43</v>
      </c>
      <c r="F1253" s="181">
        <v>36.52</v>
      </c>
      <c r="G1253" s="181">
        <v>66.95</v>
      </c>
      <c r="H1253" s="828">
        <v>46096.0</v>
      </c>
      <c r="I1253" s="829">
        <f t="shared" si="1"/>
        <v>2.135988148</v>
      </c>
      <c r="J1253" s="830">
        <f t="shared" si="2"/>
        <v>0.03719289828</v>
      </c>
      <c r="K1253" s="830"/>
    </row>
    <row r="1254">
      <c r="A1254" s="181" t="s">
        <v>523</v>
      </c>
      <c r="B1254" s="181" t="s">
        <v>561</v>
      </c>
      <c r="C1254" s="181">
        <v>4194304.0</v>
      </c>
      <c r="D1254" s="181">
        <v>12.0</v>
      </c>
      <c r="E1254" s="181">
        <v>66.28</v>
      </c>
      <c r="F1254" s="181">
        <v>63.28</v>
      </c>
      <c r="G1254" s="181">
        <v>116.01</v>
      </c>
      <c r="H1254" s="828">
        <v>46096.0</v>
      </c>
      <c r="I1254" s="829">
        <f t="shared" si="1"/>
        <v>4.271976296</v>
      </c>
      <c r="J1254" s="830">
        <f t="shared" si="2"/>
        <v>0.0644534746</v>
      </c>
      <c r="K1254" s="830"/>
    </row>
    <row r="1255">
      <c r="A1255" s="181" t="s">
        <v>523</v>
      </c>
      <c r="B1255" s="181" t="s">
        <v>561</v>
      </c>
      <c r="C1255" s="181">
        <v>8388608.0</v>
      </c>
      <c r="D1255" s="181">
        <v>12.0</v>
      </c>
      <c r="E1255" s="181">
        <v>84.79</v>
      </c>
      <c r="F1255" s="181">
        <v>98.93</v>
      </c>
      <c r="G1255" s="181">
        <v>181.37</v>
      </c>
      <c r="H1255" s="828">
        <v>46096.0</v>
      </c>
      <c r="I1255" s="829">
        <f t="shared" si="1"/>
        <v>8.543952593</v>
      </c>
      <c r="J1255" s="830">
        <f t="shared" si="2"/>
        <v>0.1007660407</v>
      </c>
      <c r="K1255" s="830"/>
    </row>
    <row r="1256">
      <c r="A1256" s="181" t="s">
        <v>523</v>
      </c>
      <c r="B1256" s="181" t="s">
        <v>561</v>
      </c>
      <c r="C1256" s="181">
        <v>1.6777216E7</v>
      </c>
      <c r="D1256" s="181">
        <v>12.0</v>
      </c>
      <c r="E1256" s="181">
        <v>132.23</v>
      </c>
      <c r="F1256" s="181">
        <v>126.88</v>
      </c>
      <c r="G1256" s="181">
        <v>232.61</v>
      </c>
      <c r="H1256" s="828">
        <v>46096.0</v>
      </c>
      <c r="I1256" s="829">
        <f t="shared" si="1"/>
        <v>17.08790519</v>
      </c>
      <c r="J1256" s="830">
        <f t="shared" si="2"/>
        <v>0.129228656</v>
      </c>
      <c r="K1256" s="830"/>
    </row>
    <row r="1257">
      <c r="A1257" s="181" t="s">
        <v>523</v>
      </c>
      <c r="B1257" s="181" t="s">
        <v>561</v>
      </c>
      <c r="C1257" s="181">
        <v>3.3554432E7</v>
      </c>
      <c r="D1257" s="181">
        <v>12.0</v>
      </c>
      <c r="E1257" s="181">
        <v>189.93</v>
      </c>
      <c r="F1257" s="181">
        <v>176.67</v>
      </c>
      <c r="G1257" s="181">
        <v>323.89</v>
      </c>
      <c r="H1257" s="828">
        <v>46096.0</v>
      </c>
      <c r="I1257" s="829">
        <f t="shared" si="1"/>
        <v>34.17581037</v>
      </c>
      <c r="J1257" s="830">
        <f t="shared" si="2"/>
        <v>0.1799389795</v>
      </c>
      <c r="K1257" s="830"/>
    </row>
    <row r="1258">
      <c r="A1258" s="181" t="s">
        <v>523</v>
      </c>
      <c r="B1258" s="181" t="s">
        <v>561</v>
      </c>
      <c r="C1258" s="181">
        <v>6.7108864E7</v>
      </c>
      <c r="D1258" s="181">
        <v>12.0</v>
      </c>
      <c r="E1258" s="181">
        <v>313.34</v>
      </c>
      <c r="F1258" s="181">
        <v>214.17</v>
      </c>
      <c r="G1258" s="181">
        <v>392.65</v>
      </c>
      <c r="H1258" s="828">
        <v>46096.0</v>
      </c>
      <c r="I1258" s="829">
        <f t="shared" si="1"/>
        <v>68.35162074</v>
      </c>
      <c r="J1258" s="830">
        <f t="shared" si="2"/>
        <v>0.2181388292</v>
      </c>
      <c r="K1258" s="830"/>
    </row>
    <row r="1259">
      <c r="A1259" s="181" t="s">
        <v>523</v>
      </c>
      <c r="B1259" s="181" t="s">
        <v>561</v>
      </c>
      <c r="C1259" s="181">
        <v>1.34217728E8</v>
      </c>
      <c r="D1259" s="181">
        <v>12.0</v>
      </c>
      <c r="E1259" s="181">
        <v>542.32</v>
      </c>
      <c r="F1259" s="181">
        <v>247.49</v>
      </c>
      <c r="G1259" s="181">
        <v>453.73</v>
      </c>
      <c r="H1259" s="828">
        <v>46096.0</v>
      </c>
      <c r="I1259" s="829">
        <f t="shared" si="1"/>
        <v>136.7032415</v>
      </c>
      <c r="J1259" s="830">
        <f t="shared" si="2"/>
        <v>0.2520711784</v>
      </c>
      <c r="K1259" s="830"/>
    </row>
    <row r="1260">
      <c r="A1260" s="181" t="s">
        <v>523</v>
      </c>
      <c r="B1260" s="181" t="s">
        <v>561</v>
      </c>
      <c r="C1260" s="181">
        <v>2.68435456E8</v>
      </c>
      <c r="D1260" s="181">
        <v>12.0</v>
      </c>
      <c r="E1260" s="181">
        <v>765.88</v>
      </c>
      <c r="F1260" s="181">
        <v>350.49</v>
      </c>
      <c r="G1260" s="181">
        <v>642.57</v>
      </c>
      <c r="H1260" s="828">
        <v>46096.0</v>
      </c>
      <c r="I1260" s="829">
        <f t="shared" si="1"/>
        <v>273.406483</v>
      </c>
      <c r="J1260" s="830">
        <f t="shared" si="2"/>
        <v>0.3569834478</v>
      </c>
      <c r="K1260" s="830"/>
    </row>
    <row r="1261">
      <c r="A1261" s="181" t="s">
        <v>523</v>
      </c>
      <c r="B1261" s="181" t="s">
        <v>561</v>
      </c>
      <c r="C1261" s="181">
        <v>5.36870912E8</v>
      </c>
      <c r="D1261" s="181">
        <v>12.0</v>
      </c>
      <c r="E1261" s="181">
        <v>1427.89</v>
      </c>
      <c r="F1261" s="181">
        <v>375.99</v>
      </c>
      <c r="G1261" s="181">
        <v>689.31</v>
      </c>
      <c r="H1261" s="828">
        <v>46096.0</v>
      </c>
      <c r="I1261" s="829">
        <f t="shared" si="1"/>
        <v>546.8129659</v>
      </c>
      <c r="J1261" s="830">
        <f t="shared" si="2"/>
        <v>0.3829517441</v>
      </c>
      <c r="K1261" s="830"/>
    </row>
    <row r="1262">
      <c r="A1262" s="181" t="s">
        <v>523</v>
      </c>
      <c r="B1262" s="181" t="s">
        <v>561</v>
      </c>
      <c r="C1262" s="181">
        <v>1.073741824E9</v>
      </c>
      <c r="D1262" s="181">
        <v>12.0</v>
      </c>
      <c r="E1262" s="181">
        <v>2775.56</v>
      </c>
      <c r="F1262" s="181">
        <v>386.86</v>
      </c>
      <c r="G1262" s="181">
        <v>709.24</v>
      </c>
      <c r="H1262" s="828">
        <v>46096.0</v>
      </c>
      <c r="I1262" s="829">
        <f t="shared" si="1"/>
        <v>1093.625932</v>
      </c>
      <c r="J1262" s="830">
        <f t="shared" si="2"/>
        <v>0.394019921</v>
      </c>
      <c r="K1262" s="830"/>
    </row>
    <row r="1263">
      <c r="A1263" s="181" t="s">
        <v>523</v>
      </c>
      <c r="B1263" s="181" t="s">
        <v>561</v>
      </c>
      <c r="C1263" s="181">
        <v>2.147483648E9</v>
      </c>
      <c r="D1263" s="181">
        <v>12.0</v>
      </c>
      <c r="E1263" s="181">
        <v>5521.87</v>
      </c>
      <c r="F1263" s="181">
        <v>388.91</v>
      </c>
      <c r="G1263" s="181">
        <v>712.99</v>
      </c>
      <c r="H1263" s="828">
        <v>46096.0</v>
      </c>
      <c r="I1263" s="829">
        <f t="shared" si="1"/>
        <v>2187.251864</v>
      </c>
      <c r="J1263" s="830">
        <f t="shared" si="2"/>
        <v>0.3961070912</v>
      </c>
      <c r="K1263" s="830"/>
    </row>
    <row r="1264">
      <c r="A1264" s="181" t="s">
        <v>523</v>
      </c>
      <c r="B1264" s="181" t="s">
        <v>561</v>
      </c>
      <c r="C1264" s="181">
        <v>4.294967296E9</v>
      </c>
      <c r="D1264" s="181">
        <v>12.0</v>
      </c>
      <c r="E1264" s="181">
        <v>9015.75</v>
      </c>
      <c r="F1264" s="181">
        <v>476.38</v>
      </c>
      <c r="G1264" s="181">
        <v>873.37</v>
      </c>
      <c r="H1264" s="828">
        <v>46096.0</v>
      </c>
      <c r="I1264" s="829">
        <f t="shared" si="1"/>
        <v>4374.503727</v>
      </c>
      <c r="J1264" s="830">
        <f t="shared" si="2"/>
        <v>0.4852068577</v>
      </c>
      <c r="K1264" s="830"/>
    </row>
    <row r="1265">
      <c r="A1265" s="181" t="s">
        <v>523</v>
      </c>
      <c r="B1265" s="181" t="s">
        <v>561</v>
      </c>
      <c r="C1265" s="181">
        <v>8.589934592E9</v>
      </c>
      <c r="D1265" s="181">
        <v>12.0</v>
      </c>
      <c r="E1265" s="181">
        <v>17814.3</v>
      </c>
      <c r="F1265" s="181">
        <v>482.19</v>
      </c>
      <c r="G1265" s="181">
        <v>884.02</v>
      </c>
      <c r="H1265" s="828">
        <v>46096.0</v>
      </c>
      <c r="I1265" s="829">
        <f t="shared" si="1"/>
        <v>8749.007455</v>
      </c>
      <c r="J1265" s="830">
        <f t="shared" si="2"/>
        <v>0.4911227191</v>
      </c>
      <c r="K1265" s="830"/>
    </row>
    <row r="1266">
      <c r="A1266" s="181" t="s">
        <v>523</v>
      </c>
      <c r="B1266" s="181" t="s">
        <v>561</v>
      </c>
      <c r="C1266" s="181">
        <v>1.7179869184E10</v>
      </c>
      <c r="D1266" s="181">
        <v>12.0</v>
      </c>
      <c r="E1266" s="181">
        <v>35482.5</v>
      </c>
      <c r="F1266" s="181">
        <v>484.18</v>
      </c>
      <c r="G1266" s="181">
        <v>887.66</v>
      </c>
      <c r="H1266" s="828">
        <v>46096.0</v>
      </c>
      <c r="I1266" s="829">
        <f t="shared" si="1"/>
        <v>17498.01491</v>
      </c>
      <c r="J1266" s="830">
        <f t="shared" si="2"/>
        <v>0.4931449281</v>
      </c>
      <c r="K1266" s="830"/>
    </row>
    <row r="1267">
      <c r="A1267" s="181" t="s">
        <v>523</v>
      </c>
      <c r="B1267" s="181" t="s">
        <v>561</v>
      </c>
      <c r="C1267" s="181">
        <v>256.0</v>
      </c>
      <c r="D1267" s="181">
        <v>14.0</v>
      </c>
      <c r="E1267" s="181">
        <v>44.03</v>
      </c>
      <c r="F1267" s="181">
        <v>0.01</v>
      </c>
      <c r="G1267" s="181">
        <v>0.01</v>
      </c>
      <c r="H1267" s="828">
        <v>46096.0</v>
      </c>
      <c r="I1267" s="829">
        <f t="shared" si="1"/>
        <v>0.0002641269841</v>
      </c>
      <c r="J1267" s="830">
        <f t="shared" si="2"/>
        <v>0.000005998795915</v>
      </c>
      <c r="K1267" s="830"/>
    </row>
    <row r="1268">
      <c r="A1268" s="181" t="s">
        <v>523</v>
      </c>
      <c r="B1268" s="181" t="s">
        <v>561</v>
      </c>
      <c r="C1268" s="181">
        <v>512.0</v>
      </c>
      <c r="D1268" s="181">
        <v>14.0</v>
      </c>
      <c r="E1268" s="181">
        <v>44.35</v>
      </c>
      <c r="F1268" s="181">
        <v>0.01</v>
      </c>
      <c r="G1268" s="181">
        <v>0.02</v>
      </c>
      <c r="H1268" s="828">
        <v>46096.0</v>
      </c>
      <c r="I1268" s="829">
        <f t="shared" si="1"/>
        <v>0.0005282539683</v>
      </c>
      <c r="J1268" s="830">
        <f t="shared" si="2"/>
        <v>0.00001191102521</v>
      </c>
      <c r="K1268" s="830"/>
    </row>
    <row r="1269">
      <c r="A1269" s="181" t="s">
        <v>523</v>
      </c>
      <c r="B1269" s="181" t="s">
        <v>561</v>
      </c>
      <c r="C1269" s="181">
        <v>1024.0</v>
      </c>
      <c r="D1269" s="181">
        <v>14.0</v>
      </c>
      <c r="E1269" s="181">
        <v>45.67</v>
      </c>
      <c r="F1269" s="181">
        <v>0.02</v>
      </c>
      <c r="G1269" s="181">
        <v>0.04</v>
      </c>
      <c r="H1269" s="828">
        <v>46096.0</v>
      </c>
      <c r="I1269" s="829">
        <f t="shared" si="1"/>
        <v>0.001056507937</v>
      </c>
      <c r="J1269" s="830">
        <f t="shared" si="2"/>
        <v>0.00002313352171</v>
      </c>
      <c r="K1269" s="830"/>
    </row>
    <row r="1270">
      <c r="A1270" s="181" t="s">
        <v>523</v>
      </c>
      <c r="B1270" s="181" t="s">
        <v>561</v>
      </c>
      <c r="C1270" s="181">
        <v>2048.0</v>
      </c>
      <c r="D1270" s="181">
        <v>14.0</v>
      </c>
      <c r="E1270" s="181">
        <v>47.16</v>
      </c>
      <c r="F1270" s="181">
        <v>0.04</v>
      </c>
      <c r="G1270" s="181">
        <v>0.08</v>
      </c>
      <c r="H1270" s="828">
        <v>46096.0</v>
      </c>
      <c r="I1270" s="829">
        <f t="shared" si="1"/>
        <v>0.002113015873</v>
      </c>
      <c r="J1270" s="830">
        <f t="shared" si="2"/>
        <v>0.000044805256</v>
      </c>
      <c r="K1270" s="830"/>
    </row>
    <row r="1271">
      <c r="A1271" s="181" t="s">
        <v>523</v>
      </c>
      <c r="B1271" s="181" t="s">
        <v>561</v>
      </c>
      <c r="C1271" s="181">
        <v>4096.0</v>
      </c>
      <c r="D1271" s="181">
        <v>14.0</v>
      </c>
      <c r="E1271" s="181">
        <v>47.09</v>
      </c>
      <c r="F1271" s="181">
        <v>0.09</v>
      </c>
      <c r="G1271" s="181">
        <v>0.16</v>
      </c>
      <c r="H1271" s="828">
        <v>46096.0</v>
      </c>
      <c r="I1271" s="829">
        <f t="shared" si="1"/>
        <v>0.004226031746</v>
      </c>
      <c r="J1271" s="830">
        <f t="shared" si="2"/>
        <v>0.00008974371939</v>
      </c>
      <c r="K1271" s="830"/>
    </row>
    <row r="1272">
      <c r="A1272" s="181" t="s">
        <v>523</v>
      </c>
      <c r="B1272" s="181" t="s">
        <v>561</v>
      </c>
      <c r="C1272" s="181">
        <v>8192.0</v>
      </c>
      <c r="D1272" s="181">
        <v>14.0</v>
      </c>
      <c r="E1272" s="181">
        <v>47.85</v>
      </c>
      <c r="F1272" s="181">
        <v>0.17</v>
      </c>
      <c r="G1272" s="181">
        <v>0.32</v>
      </c>
      <c r="H1272" s="828">
        <v>46096.0</v>
      </c>
      <c r="I1272" s="829">
        <f t="shared" si="1"/>
        <v>0.008452063492</v>
      </c>
      <c r="J1272" s="830">
        <f t="shared" si="2"/>
        <v>0.0001766366456</v>
      </c>
      <c r="K1272" s="830"/>
    </row>
    <row r="1273">
      <c r="A1273" s="181" t="s">
        <v>523</v>
      </c>
      <c r="B1273" s="181" t="s">
        <v>561</v>
      </c>
      <c r="C1273" s="181">
        <v>16384.0</v>
      </c>
      <c r="D1273" s="181">
        <v>14.0</v>
      </c>
      <c r="E1273" s="181">
        <v>49.24</v>
      </c>
      <c r="F1273" s="181">
        <v>0.33</v>
      </c>
      <c r="G1273" s="181">
        <v>0.62</v>
      </c>
      <c r="H1273" s="828">
        <v>46096.0</v>
      </c>
      <c r="I1273" s="829">
        <f t="shared" si="1"/>
        <v>0.01690412698</v>
      </c>
      <c r="J1273" s="830">
        <f t="shared" si="2"/>
        <v>0.0003433007105</v>
      </c>
      <c r="K1273" s="830"/>
    </row>
    <row r="1274">
      <c r="A1274" s="181" t="s">
        <v>523</v>
      </c>
      <c r="B1274" s="181" t="s">
        <v>561</v>
      </c>
      <c r="C1274" s="181">
        <v>32768.0</v>
      </c>
      <c r="D1274" s="181">
        <v>14.0</v>
      </c>
      <c r="E1274" s="181">
        <v>51.49</v>
      </c>
      <c r="F1274" s="181">
        <v>0.64</v>
      </c>
      <c r="G1274" s="181">
        <v>1.18</v>
      </c>
      <c r="H1274" s="828">
        <v>46096.0</v>
      </c>
      <c r="I1274" s="829">
        <f t="shared" si="1"/>
        <v>0.03380825397</v>
      </c>
      <c r="J1274" s="830">
        <f t="shared" si="2"/>
        <v>0.0006565984457</v>
      </c>
      <c r="K1274" s="830"/>
    </row>
    <row r="1275">
      <c r="A1275" s="181" t="s">
        <v>523</v>
      </c>
      <c r="B1275" s="181" t="s">
        <v>561</v>
      </c>
      <c r="C1275" s="181">
        <v>65536.0</v>
      </c>
      <c r="D1275" s="181">
        <v>14.0</v>
      </c>
      <c r="E1275" s="181">
        <v>52.68</v>
      </c>
      <c r="F1275" s="181">
        <v>1.24</v>
      </c>
      <c r="G1275" s="181">
        <v>2.31</v>
      </c>
      <c r="H1275" s="828">
        <v>46096.0</v>
      </c>
      <c r="I1275" s="829">
        <f t="shared" si="1"/>
        <v>0.06761650794</v>
      </c>
      <c r="J1275" s="830">
        <f t="shared" si="2"/>
        <v>0.001283532801</v>
      </c>
      <c r="K1275" s="830"/>
    </row>
    <row r="1276">
      <c r="A1276" s="181" t="s">
        <v>523</v>
      </c>
      <c r="B1276" s="181" t="s">
        <v>561</v>
      </c>
      <c r="C1276" s="181">
        <v>131072.0</v>
      </c>
      <c r="D1276" s="181">
        <v>14.0</v>
      </c>
      <c r="E1276" s="181">
        <v>52.09</v>
      </c>
      <c r="F1276" s="181">
        <v>2.52</v>
      </c>
      <c r="G1276" s="181">
        <v>4.67</v>
      </c>
      <c r="H1276" s="828">
        <v>46096.0</v>
      </c>
      <c r="I1276" s="829">
        <f t="shared" si="1"/>
        <v>0.1352330159</v>
      </c>
      <c r="J1276" s="830">
        <f t="shared" si="2"/>
        <v>0.002596141599</v>
      </c>
      <c r="K1276" s="830"/>
    </row>
    <row r="1277">
      <c r="A1277" s="181" t="s">
        <v>523</v>
      </c>
      <c r="B1277" s="181" t="s">
        <v>561</v>
      </c>
      <c r="C1277" s="181">
        <v>262144.0</v>
      </c>
      <c r="D1277" s="181">
        <v>14.0</v>
      </c>
      <c r="E1277" s="181">
        <v>52.54</v>
      </c>
      <c r="F1277" s="181">
        <v>4.99</v>
      </c>
      <c r="G1277" s="181">
        <v>9.27</v>
      </c>
      <c r="H1277" s="828">
        <v>46096.0</v>
      </c>
      <c r="I1277" s="829">
        <f t="shared" si="1"/>
        <v>0.2704660317</v>
      </c>
      <c r="J1277" s="830">
        <f t="shared" si="2"/>
        <v>0.005147811796</v>
      </c>
      <c r="K1277" s="830"/>
    </row>
    <row r="1278">
      <c r="A1278" s="181" t="s">
        <v>523</v>
      </c>
      <c r="B1278" s="181" t="s">
        <v>561</v>
      </c>
      <c r="C1278" s="181">
        <v>524288.0</v>
      </c>
      <c r="D1278" s="181">
        <v>14.0</v>
      </c>
      <c r="E1278" s="181">
        <v>51.85</v>
      </c>
      <c r="F1278" s="181">
        <v>10.11</v>
      </c>
      <c r="G1278" s="181">
        <v>18.78</v>
      </c>
      <c r="H1278" s="828">
        <v>46096.0</v>
      </c>
      <c r="I1278" s="829">
        <f t="shared" si="1"/>
        <v>0.5409320635</v>
      </c>
      <c r="J1278" s="830">
        <f t="shared" si="2"/>
        <v>0.01043263382</v>
      </c>
      <c r="K1278" s="830"/>
    </row>
    <row r="1279">
      <c r="A1279" s="181" t="s">
        <v>523</v>
      </c>
      <c r="B1279" s="181" t="s">
        <v>561</v>
      </c>
      <c r="C1279" s="181">
        <v>1048576.0</v>
      </c>
      <c r="D1279" s="181">
        <v>14.0</v>
      </c>
      <c r="E1279" s="181">
        <v>57.1</v>
      </c>
      <c r="F1279" s="181">
        <v>18.36</v>
      </c>
      <c r="G1279" s="181">
        <v>34.1</v>
      </c>
      <c r="H1279" s="828">
        <v>46096.0</v>
      </c>
      <c r="I1279" s="829">
        <f t="shared" si="1"/>
        <v>1.081864127</v>
      </c>
      <c r="J1279" s="830">
        <f t="shared" si="2"/>
        <v>0.01894683235</v>
      </c>
      <c r="K1279" s="830"/>
    </row>
    <row r="1280">
      <c r="A1280" s="181" t="s">
        <v>523</v>
      </c>
      <c r="B1280" s="181" t="s">
        <v>561</v>
      </c>
      <c r="C1280" s="181">
        <v>2097152.0</v>
      </c>
      <c r="D1280" s="181">
        <v>14.0</v>
      </c>
      <c r="E1280" s="181">
        <v>59.36</v>
      </c>
      <c r="F1280" s="181">
        <v>35.33</v>
      </c>
      <c r="G1280" s="181">
        <v>65.62</v>
      </c>
      <c r="H1280" s="828">
        <v>46096.0</v>
      </c>
      <c r="I1280" s="829">
        <f t="shared" si="1"/>
        <v>2.163728254</v>
      </c>
      <c r="J1280" s="830">
        <f t="shared" si="2"/>
        <v>0.03645094767</v>
      </c>
      <c r="K1280" s="830"/>
    </row>
    <row r="1281">
      <c r="A1281" s="181" t="s">
        <v>523</v>
      </c>
      <c r="B1281" s="181" t="s">
        <v>561</v>
      </c>
      <c r="C1281" s="181">
        <v>4194304.0</v>
      </c>
      <c r="D1281" s="181">
        <v>14.0</v>
      </c>
      <c r="E1281" s="181">
        <v>68.97</v>
      </c>
      <c r="F1281" s="181">
        <v>60.82</v>
      </c>
      <c r="G1281" s="181">
        <v>112.95</v>
      </c>
      <c r="H1281" s="828">
        <v>46096.0</v>
      </c>
      <c r="I1281" s="829">
        <f t="shared" si="1"/>
        <v>4.327456508</v>
      </c>
      <c r="J1281" s="830">
        <f t="shared" si="2"/>
        <v>0.062744041</v>
      </c>
      <c r="K1281" s="830"/>
    </row>
    <row r="1282">
      <c r="A1282" s="181" t="s">
        <v>523</v>
      </c>
      <c r="B1282" s="181" t="s">
        <v>561</v>
      </c>
      <c r="C1282" s="181">
        <v>8388608.0</v>
      </c>
      <c r="D1282" s="181">
        <v>14.0</v>
      </c>
      <c r="E1282" s="181">
        <v>87.94</v>
      </c>
      <c r="F1282" s="181">
        <v>95.39</v>
      </c>
      <c r="G1282" s="181">
        <v>177.15</v>
      </c>
      <c r="H1282" s="828">
        <v>46096.0</v>
      </c>
      <c r="I1282" s="829">
        <f t="shared" si="1"/>
        <v>8.654913016</v>
      </c>
      <c r="J1282" s="830">
        <f t="shared" si="2"/>
        <v>0.09841838772</v>
      </c>
      <c r="K1282" s="830"/>
    </row>
    <row r="1283">
      <c r="A1283" s="181" t="s">
        <v>523</v>
      </c>
      <c r="B1283" s="181" t="s">
        <v>561</v>
      </c>
      <c r="C1283" s="181">
        <v>1.6777216E7</v>
      </c>
      <c r="D1283" s="181">
        <v>14.0</v>
      </c>
      <c r="E1283" s="181">
        <v>138.18</v>
      </c>
      <c r="F1283" s="181">
        <v>121.41</v>
      </c>
      <c r="G1283" s="181">
        <v>225.48</v>
      </c>
      <c r="H1283" s="828">
        <v>46096.0</v>
      </c>
      <c r="I1283" s="829">
        <f t="shared" si="1"/>
        <v>17.30982603</v>
      </c>
      <c r="J1283" s="830">
        <f t="shared" si="2"/>
        <v>0.1252701262</v>
      </c>
      <c r="K1283" s="830"/>
    </row>
    <row r="1284">
      <c r="A1284" s="181" t="s">
        <v>523</v>
      </c>
      <c r="B1284" s="181" t="s">
        <v>561</v>
      </c>
      <c r="C1284" s="181">
        <v>3.3554432E7</v>
      </c>
      <c r="D1284" s="181">
        <v>14.0</v>
      </c>
      <c r="E1284" s="181">
        <v>199.4</v>
      </c>
      <c r="F1284" s="181">
        <v>168.28</v>
      </c>
      <c r="G1284" s="181">
        <v>312.51</v>
      </c>
      <c r="H1284" s="828">
        <v>46096.0</v>
      </c>
      <c r="I1284" s="829">
        <f t="shared" si="1"/>
        <v>34.61965206</v>
      </c>
      <c r="J1284" s="830">
        <f t="shared" si="2"/>
        <v>0.1736191177</v>
      </c>
      <c r="K1284" s="830"/>
    </row>
    <row r="1285">
      <c r="A1285" s="181" t="s">
        <v>523</v>
      </c>
      <c r="B1285" s="181" t="s">
        <v>561</v>
      </c>
      <c r="C1285" s="181">
        <v>6.7108864E7</v>
      </c>
      <c r="D1285" s="181">
        <v>14.0</v>
      </c>
      <c r="E1285" s="181">
        <v>312.15</v>
      </c>
      <c r="F1285" s="181">
        <v>214.99</v>
      </c>
      <c r="G1285" s="181">
        <v>399.26</v>
      </c>
      <c r="H1285" s="828">
        <v>46096.0</v>
      </c>
      <c r="I1285" s="829">
        <f t="shared" si="1"/>
        <v>69.23930413</v>
      </c>
      <c r="J1285" s="830">
        <f t="shared" si="2"/>
        <v>0.2218142051</v>
      </c>
      <c r="K1285" s="830"/>
    </row>
    <row r="1286">
      <c r="A1286" s="181" t="s">
        <v>523</v>
      </c>
      <c r="B1286" s="181" t="s">
        <v>561</v>
      </c>
      <c r="C1286" s="181">
        <v>1.34217728E8</v>
      </c>
      <c r="D1286" s="181">
        <v>14.0</v>
      </c>
      <c r="E1286" s="181">
        <v>527.43</v>
      </c>
      <c r="F1286" s="181">
        <v>254.47</v>
      </c>
      <c r="G1286" s="181">
        <v>472.6</v>
      </c>
      <c r="H1286" s="828">
        <v>46096.0</v>
      </c>
      <c r="I1286" s="829">
        <f t="shared" si="1"/>
        <v>138.4786083</v>
      </c>
      <c r="J1286" s="830">
        <f t="shared" si="2"/>
        <v>0.2625535299</v>
      </c>
      <c r="K1286" s="830"/>
    </row>
    <row r="1287">
      <c r="A1287" s="181" t="s">
        <v>523</v>
      </c>
      <c r="B1287" s="181" t="s">
        <v>561</v>
      </c>
      <c r="C1287" s="181">
        <v>2.68435456E8</v>
      </c>
      <c r="D1287" s="181">
        <v>14.0</v>
      </c>
      <c r="E1287" s="181">
        <v>786.22</v>
      </c>
      <c r="F1287" s="181">
        <v>341.42</v>
      </c>
      <c r="G1287" s="181">
        <v>634.07</v>
      </c>
      <c r="H1287" s="828">
        <v>46096.0</v>
      </c>
      <c r="I1287" s="829">
        <f t="shared" si="1"/>
        <v>276.9572165</v>
      </c>
      <c r="J1287" s="830">
        <f t="shared" si="2"/>
        <v>0.3522642727</v>
      </c>
      <c r="K1287" s="830"/>
    </row>
    <row r="1288">
      <c r="A1288" s="181" t="s">
        <v>523</v>
      </c>
      <c r="B1288" s="181" t="s">
        <v>561</v>
      </c>
      <c r="C1288" s="181">
        <v>5.36870912E8</v>
      </c>
      <c r="D1288" s="181">
        <v>14.0</v>
      </c>
      <c r="E1288" s="181">
        <v>1401.41</v>
      </c>
      <c r="F1288" s="181">
        <v>383.09</v>
      </c>
      <c r="G1288" s="181">
        <v>711.46</v>
      </c>
      <c r="H1288" s="828">
        <v>46096.0</v>
      </c>
      <c r="I1288" s="829">
        <f t="shared" si="1"/>
        <v>553.914433</v>
      </c>
      <c r="J1288" s="830">
        <f t="shared" si="2"/>
        <v>0.3952550881</v>
      </c>
      <c r="K1288" s="830"/>
    </row>
    <row r="1289">
      <c r="A1289" s="181" t="s">
        <v>523</v>
      </c>
      <c r="B1289" s="181" t="s">
        <v>561</v>
      </c>
      <c r="C1289" s="181">
        <v>1.073741824E9</v>
      </c>
      <c r="D1289" s="181">
        <v>14.0</v>
      </c>
      <c r="E1289" s="181">
        <v>2651.73</v>
      </c>
      <c r="F1289" s="181">
        <v>404.92</v>
      </c>
      <c r="G1289" s="181">
        <v>752.0</v>
      </c>
      <c r="H1289" s="828">
        <v>46096.0</v>
      </c>
      <c r="I1289" s="829">
        <f t="shared" si="1"/>
        <v>1107.828866</v>
      </c>
      <c r="J1289" s="830">
        <f t="shared" si="2"/>
        <v>0.417775892</v>
      </c>
      <c r="K1289" s="830"/>
    </row>
    <row r="1290">
      <c r="A1290" s="181" t="s">
        <v>523</v>
      </c>
      <c r="B1290" s="181" t="s">
        <v>561</v>
      </c>
      <c r="C1290" s="181">
        <v>2.147483648E9</v>
      </c>
      <c r="D1290" s="181">
        <v>14.0</v>
      </c>
      <c r="E1290" s="181">
        <v>5111.87</v>
      </c>
      <c r="F1290" s="181">
        <v>420.1</v>
      </c>
      <c r="G1290" s="181">
        <v>780.18</v>
      </c>
      <c r="H1290" s="828">
        <v>46096.0</v>
      </c>
      <c r="I1290" s="829">
        <f t="shared" si="1"/>
        <v>2215.657732</v>
      </c>
      <c r="J1290" s="830">
        <f t="shared" si="2"/>
        <v>0.4334338964</v>
      </c>
      <c r="K1290" s="830"/>
    </row>
    <row r="1291">
      <c r="A1291" s="181" t="s">
        <v>523</v>
      </c>
      <c r="B1291" s="181" t="s">
        <v>561</v>
      </c>
      <c r="C1291" s="181">
        <v>4.294967296E9</v>
      </c>
      <c r="D1291" s="181">
        <v>14.0</v>
      </c>
      <c r="E1291" s="181">
        <v>9689.52</v>
      </c>
      <c r="F1291" s="181">
        <v>443.26</v>
      </c>
      <c r="G1291" s="181">
        <v>823.2</v>
      </c>
      <c r="H1291" s="828">
        <v>46096.0</v>
      </c>
      <c r="I1291" s="829">
        <f t="shared" si="1"/>
        <v>4431.315464</v>
      </c>
      <c r="J1291" s="830">
        <f t="shared" si="2"/>
        <v>0.4573307516</v>
      </c>
      <c r="K1291" s="830"/>
    </row>
    <row r="1292">
      <c r="A1292" s="181" t="s">
        <v>523</v>
      </c>
      <c r="B1292" s="181" t="s">
        <v>561</v>
      </c>
      <c r="C1292" s="181">
        <v>8.589934592E9</v>
      </c>
      <c r="D1292" s="181">
        <v>14.0</v>
      </c>
      <c r="E1292" s="181">
        <v>19041.1</v>
      </c>
      <c r="F1292" s="181">
        <v>451.13</v>
      </c>
      <c r="G1292" s="181">
        <v>837.81</v>
      </c>
      <c r="H1292" s="828">
        <v>46096.0</v>
      </c>
      <c r="I1292" s="829">
        <f t="shared" si="1"/>
        <v>8862.630928</v>
      </c>
      <c r="J1292" s="830">
        <f t="shared" si="2"/>
        <v>0.4654474231</v>
      </c>
      <c r="K1292" s="830"/>
    </row>
    <row r="1293">
      <c r="A1293" s="181" t="s">
        <v>523</v>
      </c>
      <c r="B1293" s="181" t="s">
        <v>561</v>
      </c>
      <c r="C1293" s="181">
        <v>1.7179869184E10</v>
      </c>
      <c r="D1293" s="181">
        <v>14.0</v>
      </c>
      <c r="E1293" s="181">
        <v>37507.5</v>
      </c>
      <c r="F1293" s="181">
        <v>458.04</v>
      </c>
      <c r="G1293" s="181">
        <v>850.64</v>
      </c>
      <c r="H1293" s="828">
        <v>46096.0</v>
      </c>
      <c r="I1293" s="829">
        <f t="shared" si="1"/>
        <v>17725.26186</v>
      </c>
      <c r="J1293" s="830">
        <f t="shared" si="2"/>
        <v>0.4725791337</v>
      </c>
      <c r="K1293" s="830"/>
    </row>
    <row r="1294">
      <c r="A1294" s="181" t="s">
        <v>523</v>
      </c>
      <c r="B1294" s="181" t="s">
        <v>561</v>
      </c>
      <c r="C1294" s="181">
        <v>256.0</v>
      </c>
      <c r="D1294" s="181">
        <v>16.0</v>
      </c>
      <c r="E1294" s="181">
        <v>49.88</v>
      </c>
      <c r="F1294" s="181">
        <v>0.01</v>
      </c>
      <c r="G1294" s="181">
        <v>0.01</v>
      </c>
      <c r="H1294" s="828">
        <v>46096.0</v>
      </c>
      <c r="I1294" s="829">
        <f t="shared" si="1"/>
        <v>0.0002666666667</v>
      </c>
      <c r="J1294" s="830">
        <f t="shared" si="2"/>
        <v>0.000005346164127</v>
      </c>
      <c r="K1294" s="830"/>
    </row>
    <row r="1295">
      <c r="A1295" s="181" t="s">
        <v>523</v>
      </c>
      <c r="B1295" s="181" t="s">
        <v>561</v>
      </c>
      <c r="C1295" s="181">
        <v>512.0</v>
      </c>
      <c r="D1295" s="181">
        <v>16.0</v>
      </c>
      <c r="E1295" s="181">
        <v>50.05</v>
      </c>
      <c r="F1295" s="181">
        <v>0.01</v>
      </c>
      <c r="G1295" s="181">
        <v>0.02</v>
      </c>
      <c r="H1295" s="828">
        <v>46096.0</v>
      </c>
      <c r="I1295" s="829">
        <f t="shared" si="1"/>
        <v>0.0005333333333</v>
      </c>
      <c r="J1295" s="830">
        <f t="shared" si="2"/>
        <v>0.00001065601066</v>
      </c>
      <c r="K1295" s="830"/>
    </row>
    <row r="1296">
      <c r="A1296" s="181" t="s">
        <v>523</v>
      </c>
      <c r="B1296" s="181" t="s">
        <v>561</v>
      </c>
      <c r="C1296" s="181">
        <v>1024.0</v>
      </c>
      <c r="D1296" s="181">
        <v>16.0</v>
      </c>
      <c r="E1296" s="181">
        <v>50.34</v>
      </c>
      <c r="F1296" s="181">
        <v>0.02</v>
      </c>
      <c r="G1296" s="181">
        <v>0.04</v>
      </c>
      <c r="H1296" s="828">
        <v>46096.0</v>
      </c>
      <c r="I1296" s="829">
        <f t="shared" si="1"/>
        <v>0.001066666667</v>
      </c>
      <c r="J1296" s="830">
        <f t="shared" si="2"/>
        <v>0.00002118924646</v>
      </c>
      <c r="K1296" s="830"/>
    </row>
    <row r="1297">
      <c r="A1297" s="181" t="s">
        <v>523</v>
      </c>
      <c r="B1297" s="181" t="s">
        <v>561</v>
      </c>
      <c r="C1297" s="181">
        <v>2048.0</v>
      </c>
      <c r="D1297" s="181">
        <v>16.0</v>
      </c>
      <c r="E1297" s="181">
        <v>52.49</v>
      </c>
      <c r="F1297" s="181">
        <v>0.04</v>
      </c>
      <c r="G1297" s="181">
        <v>0.07</v>
      </c>
      <c r="H1297" s="828">
        <v>46096.0</v>
      </c>
      <c r="I1297" s="829">
        <f t="shared" si="1"/>
        <v>0.002133333333</v>
      </c>
      <c r="J1297" s="830">
        <f t="shared" si="2"/>
        <v>0.00004064266209</v>
      </c>
      <c r="K1297" s="830"/>
    </row>
    <row r="1298">
      <c r="A1298" s="181" t="s">
        <v>523</v>
      </c>
      <c r="B1298" s="181" t="s">
        <v>561</v>
      </c>
      <c r="C1298" s="181">
        <v>4096.0</v>
      </c>
      <c r="D1298" s="181">
        <v>16.0</v>
      </c>
      <c r="E1298" s="181">
        <v>51.62</v>
      </c>
      <c r="F1298" s="181">
        <v>0.08</v>
      </c>
      <c r="G1298" s="181">
        <v>0.15</v>
      </c>
      <c r="H1298" s="828">
        <v>46096.0</v>
      </c>
      <c r="I1298" s="829">
        <f t="shared" si="1"/>
        <v>0.004266666667</v>
      </c>
      <c r="J1298" s="830">
        <f t="shared" si="2"/>
        <v>0.00008265530156</v>
      </c>
      <c r="K1298" s="830"/>
    </row>
    <row r="1299">
      <c r="A1299" s="181" t="s">
        <v>523</v>
      </c>
      <c r="B1299" s="181" t="s">
        <v>561</v>
      </c>
      <c r="C1299" s="181">
        <v>8192.0</v>
      </c>
      <c r="D1299" s="181">
        <v>16.0</v>
      </c>
      <c r="E1299" s="181">
        <v>53.01</v>
      </c>
      <c r="F1299" s="181">
        <v>0.15</v>
      </c>
      <c r="G1299" s="181">
        <v>0.29</v>
      </c>
      <c r="H1299" s="828">
        <v>46096.0</v>
      </c>
      <c r="I1299" s="829">
        <f t="shared" si="1"/>
        <v>0.008533333333</v>
      </c>
      <c r="J1299" s="830">
        <f t="shared" si="2"/>
        <v>0.0001609759165</v>
      </c>
      <c r="K1299" s="830"/>
    </row>
    <row r="1300">
      <c r="A1300" s="181" t="s">
        <v>523</v>
      </c>
      <c r="B1300" s="181" t="s">
        <v>561</v>
      </c>
      <c r="C1300" s="181">
        <v>16384.0</v>
      </c>
      <c r="D1300" s="181">
        <v>16.0</v>
      </c>
      <c r="E1300" s="181">
        <v>52.95</v>
      </c>
      <c r="F1300" s="181">
        <v>0.31</v>
      </c>
      <c r="G1300" s="181">
        <v>0.58</v>
      </c>
      <c r="H1300" s="828">
        <v>46096.0</v>
      </c>
      <c r="I1300" s="829">
        <f t="shared" si="1"/>
        <v>0.01706666667</v>
      </c>
      <c r="J1300" s="830">
        <f t="shared" si="2"/>
        <v>0.0003223166509</v>
      </c>
      <c r="K1300" s="830"/>
    </row>
    <row r="1301">
      <c r="A1301" s="181" t="s">
        <v>523</v>
      </c>
      <c r="B1301" s="181" t="s">
        <v>561</v>
      </c>
      <c r="C1301" s="181">
        <v>32768.0</v>
      </c>
      <c r="D1301" s="181">
        <v>16.0</v>
      </c>
      <c r="E1301" s="181">
        <v>53.04</v>
      </c>
      <c r="F1301" s="181">
        <v>0.62</v>
      </c>
      <c r="G1301" s="181">
        <v>1.16</v>
      </c>
      <c r="H1301" s="828">
        <v>46096.0</v>
      </c>
      <c r="I1301" s="829">
        <f t="shared" si="1"/>
        <v>0.03413333333</v>
      </c>
      <c r="J1301" s="830">
        <f t="shared" si="2"/>
        <v>0.0006435394671</v>
      </c>
      <c r="K1301" s="830"/>
    </row>
    <row r="1302">
      <c r="A1302" s="181" t="s">
        <v>523</v>
      </c>
      <c r="B1302" s="181" t="s">
        <v>561</v>
      </c>
      <c r="C1302" s="181">
        <v>65536.0</v>
      </c>
      <c r="D1302" s="181">
        <v>16.0</v>
      </c>
      <c r="E1302" s="181">
        <v>53.99</v>
      </c>
      <c r="F1302" s="181">
        <v>1.21</v>
      </c>
      <c r="G1302" s="181">
        <v>2.28</v>
      </c>
      <c r="H1302" s="828">
        <v>46096.0</v>
      </c>
      <c r="I1302" s="829">
        <f t="shared" si="1"/>
        <v>0.06826666667</v>
      </c>
      <c r="J1302" s="830">
        <f t="shared" si="2"/>
        <v>0.001264431685</v>
      </c>
      <c r="K1302" s="830"/>
    </row>
    <row r="1303">
      <c r="A1303" s="181" t="s">
        <v>523</v>
      </c>
      <c r="B1303" s="181" t="s">
        <v>561</v>
      </c>
      <c r="C1303" s="181">
        <v>131072.0</v>
      </c>
      <c r="D1303" s="181">
        <v>16.0</v>
      </c>
      <c r="E1303" s="181">
        <v>53.8</v>
      </c>
      <c r="F1303" s="181">
        <v>2.44</v>
      </c>
      <c r="G1303" s="181">
        <v>4.57</v>
      </c>
      <c r="H1303" s="828">
        <v>46096.0</v>
      </c>
      <c r="I1303" s="829">
        <f t="shared" si="1"/>
        <v>0.1365333333</v>
      </c>
      <c r="J1303" s="830">
        <f t="shared" si="2"/>
        <v>0.0025377943</v>
      </c>
      <c r="K1303" s="830"/>
    </row>
    <row r="1304">
      <c r="A1304" s="181" t="s">
        <v>523</v>
      </c>
      <c r="B1304" s="181" t="s">
        <v>561</v>
      </c>
      <c r="C1304" s="181">
        <v>262144.0</v>
      </c>
      <c r="D1304" s="181">
        <v>16.0</v>
      </c>
      <c r="E1304" s="181">
        <v>53.97</v>
      </c>
      <c r="F1304" s="181">
        <v>4.86</v>
      </c>
      <c r="G1304" s="181">
        <v>9.11</v>
      </c>
      <c r="H1304" s="828">
        <v>46096.0</v>
      </c>
      <c r="I1304" s="829">
        <f t="shared" si="1"/>
        <v>0.2730666667</v>
      </c>
      <c r="J1304" s="830">
        <f t="shared" si="2"/>
        <v>0.005059601013</v>
      </c>
      <c r="K1304" s="830"/>
    </row>
    <row r="1305">
      <c r="A1305" s="181" t="s">
        <v>523</v>
      </c>
      <c r="B1305" s="181" t="s">
        <v>561</v>
      </c>
      <c r="C1305" s="181">
        <v>524288.0</v>
      </c>
      <c r="D1305" s="181">
        <v>16.0</v>
      </c>
      <c r="E1305" s="181">
        <v>55.99</v>
      </c>
      <c r="F1305" s="181">
        <v>9.36</v>
      </c>
      <c r="G1305" s="181">
        <v>17.56</v>
      </c>
      <c r="H1305" s="828">
        <v>46096.0</v>
      </c>
      <c r="I1305" s="829">
        <f t="shared" si="1"/>
        <v>0.5461333333</v>
      </c>
      <c r="J1305" s="830">
        <f t="shared" si="2"/>
        <v>0.00975412276</v>
      </c>
      <c r="K1305" s="830"/>
    </row>
    <row r="1306">
      <c r="A1306" s="181" t="s">
        <v>523</v>
      </c>
      <c r="B1306" s="181" t="s">
        <v>561</v>
      </c>
      <c r="C1306" s="181">
        <v>1048576.0</v>
      </c>
      <c r="D1306" s="181">
        <v>16.0</v>
      </c>
      <c r="E1306" s="181">
        <v>57.2</v>
      </c>
      <c r="F1306" s="181">
        <v>18.33</v>
      </c>
      <c r="G1306" s="181">
        <v>34.37</v>
      </c>
      <c r="H1306" s="828">
        <v>46096.0</v>
      </c>
      <c r="I1306" s="829">
        <f t="shared" si="1"/>
        <v>1.092266667</v>
      </c>
      <c r="J1306" s="830">
        <f t="shared" si="2"/>
        <v>0.0190955711</v>
      </c>
      <c r="K1306" s="830"/>
    </row>
    <row r="1307">
      <c r="A1307" s="181" t="s">
        <v>523</v>
      </c>
      <c r="B1307" s="181" t="s">
        <v>561</v>
      </c>
      <c r="C1307" s="181">
        <v>2097152.0</v>
      </c>
      <c r="D1307" s="181">
        <v>16.0</v>
      </c>
      <c r="E1307" s="181">
        <v>58.87</v>
      </c>
      <c r="F1307" s="181">
        <v>35.62</v>
      </c>
      <c r="G1307" s="181">
        <v>66.79</v>
      </c>
      <c r="H1307" s="828">
        <v>46096.0</v>
      </c>
      <c r="I1307" s="829">
        <f t="shared" si="1"/>
        <v>2.184533333</v>
      </c>
      <c r="J1307" s="830">
        <f t="shared" si="2"/>
        <v>0.03710775154</v>
      </c>
      <c r="K1307" s="830"/>
    </row>
    <row r="1308">
      <c r="A1308" s="181" t="s">
        <v>523</v>
      </c>
      <c r="B1308" s="181" t="s">
        <v>561</v>
      </c>
      <c r="C1308" s="181">
        <v>4194304.0</v>
      </c>
      <c r="D1308" s="181">
        <v>16.0</v>
      </c>
      <c r="E1308" s="181">
        <v>67.97</v>
      </c>
      <c r="F1308" s="181">
        <v>61.71</v>
      </c>
      <c r="G1308" s="181">
        <v>115.71</v>
      </c>
      <c r="H1308" s="828">
        <v>46096.0</v>
      </c>
      <c r="I1308" s="829">
        <f t="shared" si="1"/>
        <v>4.369066667</v>
      </c>
      <c r="J1308" s="830">
        <f t="shared" si="2"/>
        <v>0.06427933892</v>
      </c>
      <c r="K1308" s="830"/>
    </row>
    <row r="1309">
      <c r="A1309" s="181" t="s">
        <v>523</v>
      </c>
      <c r="B1309" s="181" t="s">
        <v>561</v>
      </c>
      <c r="C1309" s="181">
        <v>8388608.0</v>
      </c>
      <c r="D1309" s="181">
        <v>16.0</v>
      </c>
      <c r="E1309" s="181">
        <v>93.27</v>
      </c>
      <c r="F1309" s="181">
        <v>89.94</v>
      </c>
      <c r="G1309" s="181">
        <v>168.64</v>
      </c>
      <c r="H1309" s="828">
        <v>46096.0</v>
      </c>
      <c r="I1309" s="829">
        <f t="shared" si="1"/>
        <v>8.738133333</v>
      </c>
      <c r="J1309" s="830">
        <f t="shared" si="2"/>
        <v>0.09368643008</v>
      </c>
      <c r="K1309" s="830"/>
    </row>
    <row r="1310">
      <c r="A1310" s="181" t="s">
        <v>523</v>
      </c>
      <c r="B1310" s="181" t="s">
        <v>561</v>
      </c>
      <c r="C1310" s="181">
        <v>1.6777216E7</v>
      </c>
      <c r="D1310" s="181">
        <v>16.0</v>
      </c>
      <c r="E1310" s="181">
        <v>132.38</v>
      </c>
      <c r="F1310" s="181">
        <v>126.73</v>
      </c>
      <c r="G1310" s="181">
        <v>237.63</v>
      </c>
      <c r="H1310" s="828">
        <v>46096.0</v>
      </c>
      <c r="I1310" s="829">
        <f t="shared" si="1"/>
        <v>17.47626667</v>
      </c>
      <c r="J1310" s="830">
        <f t="shared" si="2"/>
        <v>0.1320159138</v>
      </c>
      <c r="K1310" s="830"/>
    </row>
    <row r="1311">
      <c r="A1311" s="181" t="s">
        <v>523</v>
      </c>
      <c r="B1311" s="181" t="s">
        <v>561</v>
      </c>
      <c r="C1311" s="181">
        <v>3.3554432E7</v>
      </c>
      <c r="D1311" s="181">
        <v>16.0</v>
      </c>
      <c r="E1311" s="181">
        <v>195.6</v>
      </c>
      <c r="F1311" s="181">
        <v>171.55</v>
      </c>
      <c r="G1311" s="181">
        <v>321.66</v>
      </c>
      <c r="H1311" s="828">
        <v>46096.0</v>
      </c>
      <c r="I1311" s="829">
        <f t="shared" si="1"/>
        <v>34.95253333</v>
      </c>
      <c r="J1311" s="830">
        <f t="shared" si="2"/>
        <v>0.1786939332</v>
      </c>
      <c r="K1311" s="830"/>
    </row>
    <row r="1312">
      <c r="A1312" s="181" t="s">
        <v>523</v>
      </c>
      <c r="B1312" s="181" t="s">
        <v>561</v>
      </c>
      <c r="C1312" s="181">
        <v>6.7108864E7</v>
      </c>
      <c r="D1312" s="181">
        <v>16.0</v>
      </c>
      <c r="E1312" s="181">
        <v>309.59</v>
      </c>
      <c r="F1312" s="181">
        <v>216.77</v>
      </c>
      <c r="G1312" s="181">
        <v>406.44</v>
      </c>
      <c r="H1312" s="828">
        <v>46096.0</v>
      </c>
      <c r="I1312" s="829">
        <f t="shared" si="1"/>
        <v>69.90506667</v>
      </c>
      <c r="J1312" s="830">
        <f t="shared" si="2"/>
        <v>0.2257988522</v>
      </c>
      <c r="K1312" s="830"/>
    </row>
    <row r="1313">
      <c r="A1313" s="181" t="s">
        <v>523</v>
      </c>
      <c r="B1313" s="181" t="s">
        <v>561</v>
      </c>
      <c r="C1313" s="181">
        <v>1.34217728E8</v>
      </c>
      <c r="D1313" s="181">
        <v>16.0</v>
      </c>
      <c r="E1313" s="181">
        <v>512.89</v>
      </c>
      <c r="F1313" s="181">
        <v>261.69</v>
      </c>
      <c r="G1313" s="181">
        <v>490.66</v>
      </c>
      <c r="H1313" s="828">
        <v>46096.0</v>
      </c>
      <c r="I1313" s="829">
        <f t="shared" si="1"/>
        <v>139.8101333</v>
      </c>
      <c r="J1313" s="830">
        <f t="shared" si="2"/>
        <v>0.2725928237</v>
      </c>
      <c r="K1313" s="830"/>
    </row>
    <row r="1314">
      <c r="A1314" s="181" t="s">
        <v>523</v>
      </c>
      <c r="B1314" s="181" t="s">
        <v>561</v>
      </c>
      <c r="C1314" s="181">
        <v>2.68435456E8</v>
      </c>
      <c r="D1314" s="181">
        <v>16.0</v>
      </c>
      <c r="E1314" s="181">
        <v>791.89</v>
      </c>
      <c r="F1314" s="181">
        <v>338.98</v>
      </c>
      <c r="G1314" s="181">
        <v>635.59</v>
      </c>
      <c r="H1314" s="828">
        <v>46096.0</v>
      </c>
      <c r="I1314" s="829">
        <f t="shared" si="1"/>
        <v>279.6202667</v>
      </c>
      <c r="J1314" s="830">
        <f t="shared" si="2"/>
        <v>0.3531049346</v>
      </c>
      <c r="K1314" s="830"/>
    </row>
    <row r="1315">
      <c r="A1315" s="181" t="s">
        <v>523</v>
      </c>
      <c r="B1315" s="181" t="s">
        <v>561</v>
      </c>
      <c r="C1315" s="181">
        <v>5.36870912E8</v>
      </c>
      <c r="D1315" s="181">
        <v>16.0</v>
      </c>
      <c r="E1315" s="181">
        <v>1414.2</v>
      </c>
      <c r="F1315" s="181">
        <v>379.63</v>
      </c>
      <c r="G1315" s="181">
        <v>711.8</v>
      </c>
      <c r="H1315" s="828">
        <v>46096.0</v>
      </c>
      <c r="I1315" s="829">
        <f t="shared" si="1"/>
        <v>559.2405333</v>
      </c>
      <c r="J1315" s="830">
        <f t="shared" si="2"/>
        <v>0.3954465658</v>
      </c>
      <c r="K1315" s="830"/>
    </row>
    <row r="1316">
      <c r="A1316" s="181" t="s">
        <v>523</v>
      </c>
      <c r="B1316" s="181" t="s">
        <v>561</v>
      </c>
      <c r="C1316" s="181">
        <v>1.073741824E9</v>
      </c>
      <c r="D1316" s="181">
        <v>16.0</v>
      </c>
      <c r="E1316" s="181">
        <v>2612.34</v>
      </c>
      <c r="F1316" s="181">
        <v>411.03</v>
      </c>
      <c r="G1316" s="181">
        <v>770.68</v>
      </c>
      <c r="H1316" s="828">
        <v>46096.0</v>
      </c>
      <c r="I1316" s="829">
        <f t="shared" si="1"/>
        <v>1118.481067</v>
      </c>
      <c r="J1316" s="830">
        <f t="shared" si="2"/>
        <v>0.4281529459</v>
      </c>
      <c r="K1316" s="830"/>
    </row>
    <row r="1317">
      <c r="A1317" s="181" t="s">
        <v>523</v>
      </c>
      <c r="B1317" s="181" t="s">
        <v>561</v>
      </c>
      <c r="C1317" s="181">
        <v>2.147483648E9</v>
      </c>
      <c r="D1317" s="181">
        <v>16.0</v>
      </c>
      <c r="E1317" s="181">
        <v>4958.38</v>
      </c>
      <c r="F1317" s="181">
        <v>433.1</v>
      </c>
      <c r="G1317" s="181">
        <v>812.07</v>
      </c>
      <c r="H1317" s="828">
        <v>46096.0</v>
      </c>
      <c r="I1317" s="829">
        <f t="shared" si="1"/>
        <v>2236.962133</v>
      </c>
      <c r="J1317" s="830">
        <f t="shared" si="2"/>
        <v>0.4511477808</v>
      </c>
      <c r="K1317" s="830"/>
    </row>
    <row r="1318">
      <c r="A1318" s="181" t="s">
        <v>523</v>
      </c>
      <c r="B1318" s="181" t="s">
        <v>561</v>
      </c>
      <c r="C1318" s="181">
        <v>4.294967296E9</v>
      </c>
      <c r="D1318" s="181">
        <v>16.0</v>
      </c>
      <c r="E1318" s="181">
        <v>9234.3</v>
      </c>
      <c r="F1318" s="181">
        <v>465.11</v>
      </c>
      <c r="G1318" s="181">
        <v>872.08</v>
      </c>
      <c r="H1318" s="828">
        <v>46096.0</v>
      </c>
      <c r="I1318" s="829">
        <f t="shared" si="1"/>
        <v>4473.924267</v>
      </c>
      <c r="J1318" s="830">
        <f t="shared" si="2"/>
        <v>0.4844898115</v>
      </c>
      <c r="K1318" s="830"/>
    </row>
    <row r="1319">
      <c r="A1319" s="181" t="s">
        <v>523</v>
      </c>
      <c r="B1319" s="181" t="s">
        <v>561</v>
      </c>
      <c r="C1319" s="181">
        <v>8.589934592E9</v>
      </c>
      <c r="D1319" s="181">
        <v>16.0</v>
      </c>
      <c r="E1319" s="181">
        <v>18091.7</v>
      </c>
      <c r="F1319" s="181">
        <v>474.8</v>
      </c>
      <c r="G1319" s="181">
        <v>890.25</v>
      </c>
      <c r="H1319" s="828">
        <v>46096.0</v>
      </c>
      <c r="I1319" s="829">
        <f t="shared" si="1"/>
        <v>8947.848533</v>
      </c>
      <c r="J1319" s="830">
        <f t="shared" si="2"/>
        <v>0.4945830703</v>
      </c>
      <c r="K1319" s="830"/>
    </row>
    <row r="1320">
      <c r="A1320" s="181" t="s">
        <v>523</v>
      </c>
      <c r="B1320" s="181" t="s">
        <v>561</v>
      </c>
      <c r="C1320" s="181">
        <v>1.7179869184E10</v>
      </c>
      <c r="D1320" s="181">
        <v>16.0</v>
      </c>
      <c r="E1320" s="181">
        <v>35776.4</v>
      </c>
      <c r="F1320" s="181">
        <v>480.2</v>
      </c>
      <c r="G1320" s="181">
        <v>900.38</v>
      </c>
      <c r="H1320" s="828">
        <v>46096.0</v>
      </c>
      <c r="I1320" s="829">
        <f t="shared" si="1"/>
        <v>17895.69707</v>
      </c>
      <c r="J1320" s="830">
        <f t="shared" si="2"/>
        <v>0.5002095534</v>
      </c>
      <c r="K1320" s="830"/>
    </row>
    <row r="1321">
      <c r="A1321" s="181" t="s">
        <v>523</v>
      </c>
      <c r="B1321" s="181" t="s">
        <v>561</v>
      </c>
      <c r="C1321" s="181">
        <v>256.0</v>
      </c>
      <c r="D1321" s="181">
        <v>18.0</v>
      </c>
      <c r="E1321" s="181">
        <v>46.41</v>
      </c>
      <c r="F1321" s="181">
        <v>0.01</v>
      </c>
      <c r="G1321" s="181">
        <v>0.01</v>
      </c>
      <c r="H1321" s="828">
        <v>46096.0</v>
      </c>
      <c r="I1321" s="829">
        <f t="shared" si="1"/>
        <v>0.0002686419753</v>
      </c>
      <c r="J1321" s="830">
        <f t="shared" si="2"/>
        <v>0.000005788450233</v>
      </c>
      <c r="K1321" s="830"/>
    </row>
    <row r="1322">
      <c r="A1322" s="181" t="s">
        <v>523</v>
      </c>
      <c r="B1322" s="181" t="s">
        <v>561</v>
      </c>
      <c r="C1322" s="181">
        <v>512.0</v>
      </c>
      <c r="D1322" s="181">
        <v>18.0</v>
      </c>
      <c r="E1322" s="181">
        <v>46.98</v>
      </c>
      <c r="F1322" s="181">
        <v>0.01</v>
      </c>
      <c r="G1322" s="181">
        <v>0.02</v>
      </c>
      <c r="H1322" s="828">
        <v>46096.0</v>
      </c>
      <c r="I1322" s="829">
        <f t="shared" si="1"/>
        <v>0.0005372839506</v>
      </c>
      <c r="J1322" s="830">
        <f t="shared" si="2"/>
        <v>0.00001143643999</v>
      </c>
      <c r="K1322" s="830"/>
    </row>
    <row r="1323">
      <c r="A1323" s="181" t="s">
        <v>523</v>
      </c>
      <c r="B1323" s="181" t="s">
        <v>561</v>
      </c>
      <c r="C1323" s="181">
        <v>1024.0</v>
      </c>
      <c r="D1323" s="181">
        <v>18.0</v>
      </c>
      <c r="E1323" s="181">
        <v>47.62</v>
      </c>
      <c r="F1323" s="181">
        <v>0.02</v>
      </c>
      <c r="G1323" s="181">
        <v>0.04</v>
      </c>
      <c r="H1323" s="828">
        <v>46096.0</v>
      </c>
      <c r="I1323" s="829">
        <f t="shared" si="1"/>
        <v>0.001074567901</v>
      </c>
      <c r="J1323" s="830">
        <f t="shared" si="2"/>
        <v>0.00002256547462</v>
      </c>
      <c r="K1323" s="830"/>
    </row>
    <row r="1324">
      <c r="A1324" s="181" t="s">
        <v>523</v>
      </c>
      <c r="B1324" s="181" t="s">
        <v>561</v>
      </c>
      <c r="C1324" s="181">
        <v>2048.0</v>
      </c>
      <c r="D1324" s="181">
        <v>18.0</v>
      </c>
      <c r="E1324" s="181">
        <v>47.11</v>
      </c>
      <c r="F1324" s="181">
        <v>0.04</v>
      </c>
      <c r="G1324" s="181">
        <v>0.08</v>
      </c>
      <c r="H1324" s="828">
        <v>46096.0</v>
      </c>
      <c r="I1324" s="829">
        <f t="shared" si="1"/>
        <v>0.002149135802</v>
      </c>
      <c r="J1324" s="830">
        <f t="shared" si="2"/>
        <v>0.00004561952457</v>
      </c>
      <c r="K1324" s="830"/>
    </row>
    <row r="1325">
      <c r="A1325" s="181" t="s">
        <v>523</v>
      </c>
      <c r="B1325" s="181" t="s">
        <v>561</v>
      </c>
      <c r="C1325" s="181">
        <v>4096.0</v>
      </c>
      <c r="D1325" s="181">
        <v>18.0</v>
      </c>
      <c r="E1325" s="181">
        <v>46.68</v>
      </c>
      <c r="F1325" s="181">
        <v>0.09</v>
      </c>
      <c r="G1325" s="181">
        <v>0.17</v>
      </c>
      <c r="H1325" s="828">
        <v>46096.0</v>
      </c>
      <c r="I1325" s="829">
        <f t="shared" si="1"/>
        <v>0.004298271605</v>
      </c>
      <c r="J1325" s="830">
        <f t="shared" si="2"/>
        <v>0.00009207951167</v>
      </c>
      <c r="K1325" s="830"/>
    </row>
    <row r="1326">
      <c r="A1326" s="181" t="s">
        <v>523</v>
      </c>
      <c r="B1326" s="181" t="s">
        <v>561</v>
      </c>
      <c r="C1326" s="181">
        <v>8192.0</v>
      </c>
      <c r="D1326" s="181">
        <v>18.0</v>
      </c>
      <c r="E1326" s="181">
        <v>46.95</v>
      </c>
      <c r="F1326" s="181">
        <v>0.17</v>
      </c>
      <c r="G1326" s="181">
        <v>0.33</v>
      </c>
      <c r="H1326" s="828">
        <v>46096.0</v>
      </c>
      <c r="I1326" s="829">
        <f t="shared" si="1"/>
        <v>0.00859654321</v>
      </c>
      <c r="J1326" s="830">
        <f t="shared" si="2"/>
        <v>0.0001830999619</v>
      </c>
      <c r="K1326" s="830"/>
    </row>
    <row r="1327">
      <c r="A1327" s="181" t="s">
        <v>523</v>
      </c>
      <c r="B1327" s="181" t="s">
        <v>561</v>
      </c>
      <c r="C1327" s="181">
        <v>16384.0</v>
      </c>
      <c r="D1327" s="181">
        <v>18.0</v>
      </c>
      <c r="E1327" s="181">
        <v>48.68</v>
      </c>
      <c r="F1327" s="181">
        <v>0.34</v>
      </c>
      <c r="G1327" s="181">
        <v>0.64</v>
      </c>
      <c r="H1327" s="828">
        <v>46096.0</v>
      </c>
      <c r="I1327" s="829">
        <f t="shared" si="1"/>
        <v>0.01719308642</v>
      </c>
      <c r="J1327" s="830">
        <f t="shared" si="2"/>
        <v>0.0003531858344</v>
      </c>
      <c r="K1327" s="830"/>
    </row>
    <row r="1328">
      <c r="A1328" s="181" t="s">
        <v>523</v>
      </c>
      <c r="B1328" s="181" t="s">
        <v>561</v>
      </c>
      <c r="C1328" s="181">
        <v>32768.0</v>
      </c>
      <c r="D1328" s="181">
        <v>18.0</v>
      </c>
      <c r="E1328" s="181">
        <v>48.64</v>
      </c>
      <c r="F1328" s="181">
        <v>0.67</v>
      </c>
      <c r="G1328" s="181">
        <v>1.27</v>
      </c>
      <c r="H1328" s="828">
        <v>46096.0</v>
      </c>
      <c r="I1328" s="829">
        <f t="shared" si="1"/>
        <v>0.03438617284</v>
      </c>
      <c r="J1328" s="830">
        <f t="shared" si="2"/>
        <v>0.0007069525666</v>
      </c>
      <c r="K1328" s="830"/>
    </row>
    <row r="1329">
      <c r="A1329" s="181" t="s">
        <v>523</v>
      </c>
      <c r="B1329" s="181" t="s">
        <v>561</v>
      </c>
      <c r="C1329" s="181">
        <v>65536.0</v>
      </c>
      <c r="D1329" s="181">
        <v>18.0</v>
      </c>
      <c r="E1329" s="181">
        <v>54.1</v>
      </c>
      <c r="F1329" s="181">
        <v>1.21</v>
      </c>
      <c r="G1329" s="181">
        <v>2.29</v>
      </c>
      <c r="H1329" s="828">
        <v>46096.0</v>
      </c>
      <c r="I1329" s="829">
        <f t="shared" si="1"/>
        <v>0.06877234568</v>
      </c>
      <c r="J1329" s="830">
        <f t="shared" si="2"/>
        <v>0.001271207868</v>
      </c>
      <c r="K1329" s="830"/>
    </row>
    <row r="1330">
      <c r="A1330" s="181" t="s">
        <v>523</v>
      </c>
      <c r="B1330" s="181" t="s">
        <v>561</v>
      </c>
      <c r="C1330" s="181">
        <v>131072.0</v>
      </c>
      <c r="D1330" s="181">
        <v>18.0</v>
      </c>
      <c r="E1330" s="181">
        <v>55.7</v>
      </c>
      <c r="F1330" s="181">
        <v>2.35</v>
      </c>
      <c r="G1330" s="181">
        <v>4.44</v>
      </c>
      <c r="H1330" s="828">
        <v>46096.0</v>
      </c>
      <c r="I1330" s="829">
        <f t="shared" si="1"/>
        <v>0.1375446914</v>
      </c>
      <c r="J1330" s="830">
        <f t="shared" si="2"/>
        <v>0.002469384046</v>
      </c>
      <c r="K1330" s="830"/>
    </row>
    <row r="1331">
      <c r="A1331" s="181" t="s">
        <v>523</v>
      </c>
      <c r="B1331" s="181" t="s">
        <v>561</v>
      </c>
      <c r="C1331" s="181">
        <v>262144.0</v>
      </c>
      <c r="D1331" s="181">
        <v>18.0</v>
      </c>
      <c r="E1331" s="181">
        <v>56.32</v>
      </c>
      <c r="F1331" s="181">
        <v>4.65</v>
      </c>
      <c r="G1331" s="181">
        <v>8.79</v>
      </c>
      <c r="H1331" s="828">
        <v>46096.0</v>
      </c>
      <c r="I1331" s="829">
        <f t="shared" si="1"/>
        <v>0.2750893827</v>
      </c>
      <c r="J1331" s="830">
        <f t="shared" si="2"/>
        <v>0.004884399551</v>
      </c>
      <c r="K1331" s="830"/>
    </row>
    <row r="1332">
      <c r="A1332" s="181" t="s">
        <v>523</v>
      </c>
      <c r="B1332" s="181" t="s">
        <v>561</v>
      </c>
      <c r="C1332" s="181">
        <v>524288.0</v>
      </c>
      <c r="D1332" s="181">
        <v>18.0</v>
      </c>
      <c r="E1332" s="181">
        <v>59.11</v>
      </c>
      <c r="F1332" s="181">
        <v>8.87</v>
      </c>
      <c r="G1332" s="181">
        <v>16.75</v>
      </c>
      <c r="H1332" s="828">
        <v>46096.0</v>
      </c>
      <c r="I1332" s="829">
        <f t="shared" si="1"/>
        <v>0.5501787654</v>
      </c>
      <c r="J1332" s="830">
        <f t="shared" si="2"/>
        <v>0.009307710462</v>
      </c>
      <c r="K1332" s="830"/>
    </row>
    <row r="1333">
      <c r="A1333" s="181" t="s">
        <v>523</v>
      </c>
      <c r="B1333" s="181" t="s">
        <v>561</v>
      </c>
      <c r="C1333" s="181">
        <v>1048576.0</v>
      </c>
      <c r="D1333" s="181">
        <v>18.0</v>
      </c>
      <c r="E1333" s="181">
        <v>59.79</v>
      </c>
      <c r="F1333" s="181">
        <v>17.54</v>
      </c>
      <c r="G1333" s="181">
        <v>33.13</v>
      </c>
      <c r="H1333" s="828">
        <v>46096.0</v>
      </c>
      <c r="I1333" s="829">
        <f t="shared" si="1"/>
        <v>1.100357531</v>
      </c>
      <c r="J1333" s="830">
        <f t="shared" si="2"/>
        <v>0.01840370515</v>
      </c>
      <c r="K1333" s="830"/>
    </row>
    <row r="1334">
      <c r="A1334" s="181" t="s">
        <v>523</v>
      </c>
      <c r="B1334" s="181" t="s">
        <v>561</v>
      </c>
      <c r="C1334" s="181">
        <v>2097152.0</v>
      </c>
      <c r="D1334" s="181">
        <v>18.0</v>
      </c>
      <c r="E1334" s="181">
        <v>62.04</v>
      </c>
      <c r="F1334" s="181">
        <v>33.8</v>
      </c>
      <c r="G1334" s="181">
        <v>63.85</v>
      </c>
      <c r="H1334" s="828">
        <v>46096.0</v>
      </c>
      <c r="I1334" s="829">
        <f t="shared" si="1"/>
        <v>2.200715062</v>
      </c>
      <c r="J1334" s="830">
        <f t="shared" si="2"/>
        <v>0.03547251873</v>
      </c>
      <c r="K1334" s="830"/>
    </row>
    <row r="1335">
      <c r="A1335" s="181" t="s">
        <v>523</v>
      </c>
      <c r="B1335" s="181" t="s">
        <v>561</v>
      </c>
      <c r="C1335" s="181">
        <v>4194304.0</v>
      </c>
      <c r="D1335" s="181">
        <v>18.0</v>
      </c>
      <c r="E1335" s="181">
        <v>70.81</v>
      </c>
      <c r="F1335" s="181">
        <v>59.23</v>
      </c>
      <c r="G1335" s="181">
        <v>111.89</v>
      </c>
      <c r="H1335" s="828">
        <v>46096.0</v>
      </c>
      <c r="I1335" s="829">
        <f t="shared" si="1"/>
        <v>4.401430123</v>
      </c>
      <c r="J1335" s="830">
        <f t="shared" si="2"/>
        <v>0.06215831272</v>
      </c>
      <c r="K1335" s="830"/>
    </row>
    <row r="1336">
      <c r="A1336" s="181" t="s">
        <v>523</v>
      </c>
      <c r="B1336" s="181" t="s">
        <v>561</v>
      </c>
      <c r="C1336" s="181">
        <v>8388608.0</v>
      </c>
      <c r="D1336" s="181">
        <v>18.0</v>
      </c>
      <c r="E1336" s="181">
        <v>99.31</v>
      </c>
      <c r="F1336" s="181">
        <v>84.47</v>
      </c>
      <c r="G1336" s="181">
        <v>159.56</v>
      </c>
      <c r="H1336" s="828">
        <v>46096.0</v>
      </c>
      <c r="I1336" s="829">
        <f t="shared" si="1"/>
        <v>8.802860247</v>
      </c>
      <c r="J1336" s="830">
        <f t="shared" si="2"/>
        <v>0.08864021999</v>
      </c>
      <c r="K1336" s="830"/>
    </row>
    <row r="1337">
      <c r="A1337" s="181" t="s">
        <v>523</v>
      </c>
      <c r="B1337" s="181" t="s">
        <v>561</v>
      </c>
      <c r="C1337" s="181">
        <v>1.6777216E7</v>
      </c>
      <c r="D1337" s="181">
        <v>18.0</v>
      </c>
      <c r="E1337" s="181">
        <v>137.59</v>
      </c>
      <c r="F1337" s="181">
        <v>121.93</v>
      </c>
      <c r="G1337" s="181">
        <v>230.32</v>
      </c>
      <c r="H1337" s="828">
        <v>46096.0</v>
      </c>
      <c r="I1337" s="829">
        <f t="shared" si="1"/>
        <v>17.60572049</v>
      </c>
      <c r="J1337" s="830">
        <f t="shared" si="2"/>
        <v>0.1279578494</v>
      </c>
      <c r="K1337" s="830"/>
    </row>
    <row r="1338">
      <c r="A1338" s="181" t="s">
        <v>523</v>
      </c>
      <c r="B1338" s="181" t="s">
        <v>561</v>
      </c>
      <c r="C1338" s="181">
        <v>3.3554432E7</v>
      </c>
      <c r="D1338" s="181">
        <v>18.0</v>
      </c>
      <c r="E1338" s="181">
        <v>201.76</v>
      </c>
      <c r="F1338" s="181">
        <v>166.31</v>
      </c>
      <c r="G1338" s="181">
        <v>314.14</v>
      </c>
      <c r="H1338" s="828">
        <v>46096.0</v>
      </c>
      <c r="I1338" s="829">
        <f t="shared" si="1"/>
        <v>35.21144099</v>
      </c>
      <c r="J1338" s="830">
        <f t="shared" si="2"/>
        <v>0.1745214165</v>
      </c>
      <c r="K1338" s="830"/>
    </row>
    <row r="1339">
      <c r="A1339" s="181" t="s">
        <v>523</v>
      </c>
      <c r="B1339" s="181" t="s">
        <v>561</v>
      </c>
      <c r="C1339" s="181">
        <v>6.7108864E7</v>
      </c>
      <c r="D1339" s="181">
        <v>18.0</v>
      </c>
      <c r="E1339" s="181">
        <v>307.29</v>
      </c>
      <c r="F1339" s="181">
        <v>218.39</v>
      </c>
      <c r="G1339" s="181">
        <v>412.52</v>
      </c>
      <c r="H1339" s="828">
        <v>46096.0</v>
      </c>
      <c r="I1339" s="829">
        <f t="shared" si="1"/>
        <v>70.42288198</v>
      </c>
      <c r="J1339" s="830">
        <f t="shared" si="2"/>
        <v>0.2291740114</v>
      </c>
      <c r="K1339" s="830"/>
    </row>
    <row r="1340">
      <c r="A1340" s="181" t="s">
        <v>523</v>
      </c>
      <c r="B1340" s="181" t="s">
        <v>561</v>
      </c>
      <c r="C1340" s="181">
        <v>1.34217728E8</v>
      </c>
      <c r="D1340" s="181">
        <v>18.0</v>
      </c>
      <c r="E1340" s="181">
        <v>513.73</v>
      </c>
      <c r="F1340" s="181">
        <v>261.26</v>
      </c>
      <c r="G1340" s="181">
        <v>493.49</v>
      </c>
      <c r="H1340" s="828">
        <v>46096.0</v>
      </c>
      <c r="I1340" s="829">
        <f t="shared" si="1"/>
        <v>140.845764</v>
      </c>
      <c r="J1340" s="830">
        <f t="shared" si="2"/>
        <v>0.2741630116</v>
      </c>
      <c r="K1340" s="830"/>
    </row>
    <row r="1341">
      <c r="A1341" s="181" t="s">
        <v>523</v>
      </c>
      <c r="B1341" s="181" t="s">
        <v>561</v>
      </c>
      <c r="C1341" s="181">
        <v>2.68435456E8</v>
      </c>
      <c r="D1341" s="181">
        <v>18.0</v>
      </c>
      <c r="E1341" s="181">
        <v>827.2</v>
      </c>
      <c r="F1341" s="181">
        <v>324.51</v>
      </c>
      <c r="G1341" s="181">
        <v>612.97</v>
      </c>
      <c r="H1341" s="828">
        <v>46096.0</v>
      </c>
      <c r="I1341" s="829">
        <f t="shared" si="1"/>
        <v>281.6915279</v>
      </c>
      <c r="J1341" s="830">
        <f t="shared" si="2"/>
        <v>0.3405361798</v>
      </c>
      <c r="K1341" s="830"/>
    </row>
    <row r="1342">
      <c r="A1342" s="181" t="s">
        <v>523</v>
      </c>
      <c r="B1342" s="181" t="s">
        <v>561</v>
      </c>
      <c r="C1342" s="181">
        <v>5.36870912E8</v>
      </c>
      <c r="D1342" s="181">
        <v>18.0</v>
      </c>
      <c r="E1342" s="181">
        <v>1417.1</v>
      </c>
      <c r="F1342" s="181">
        <v>378.85</v>
      </c>
      <c r="G1342" s="181">
        <v>715.61</v>
      </c>
      <c r="H1342" s="828">
        <v>46096.0</v>
      </c>
      <c r="I1342" s="829">
        <f t="shared" si="1"/>
        <v>563.3830558</v>
      </c>
      <c r="J1342" s="830">
        <f t="shared" si="2"/>
        <v>0.3975605503</v>
      </c>
      <c r="K1342" s="830"/>
    </row>
    <row r="1343">
      <c r="A1343" s="181" t="s">
        <v>523</v>
      </c>
      <c r="B1343" s="181" t="s">
        <v>561</v>
      </c>
      <c r="C1343" s="181">
        <v>1.073741824E9</v>
      </c>
      <c r="D1343" s="181">
        <v>18.0</v>
      </c>
      <c r="E1343" s="181">
        <v>2612.99</v>
      </c>
      <c r="F1343" s="181">
        <v>410.93</v>
      </c>
      <c r="G1343" s="181">
        <v>776.19</v>
      </c>
      <c r="H1343" s="828">
        <v>46096.0</v>
      </c>
      <c r="I1343" s="829">
        <f t="shared" si="1"/>
        <v>1126.766112</v>
      </c>
      <c r="J1343" s="830">
        <f t="shared" si="2"/>
        <v>0.4312171541</v>
      </c>
      <c r="K1343" s="830"/>
    </row>
    <row r="1344">
      <c r="A1344" s="181" t="s">
        <v>523</v>
      </c>
      <c r="B1344" s="181" t="s">
        <v>561</v>
      </c>
      <c r="C1344" s="181">
        <v>2.147483648E9</v>
      </c>
      <c r="D1344" s="181">
        <v>18.0</v>
      </c>
      <c r="E1344" s="181">
        <v>5046.24</v>
      </c>
      <c r="F1344" s="181">
        <v>425.56</v>
      </c>
      <c r="G1344" s="181">
        <v>803.84</v>
      </c>
      <c r="H1344" s="828">
        <v>46096.0</v>
      </c>
      <c r="I1344" s="829">
        <f t="shared" si="1"/>
        <v>2253.532223</v>
      </c>
      <c r="J1344" s="830">
        <f t="shared" si="2"/>
        <v>0.4465765051</v>
      </c>
      <c r="K1344" s="830"/>
    </row>
    <row r="1345">
      <c r="A1345" s="181" t="s">
        <v>523</v>
      </c>
      <c r="B1345" s="181" t="s">
        <v>561</v>
      </c>
      <c r="C1345" s="181">
        <v>4.294967296E9</v>
      </c>
      <c r="D1345" s="181">
        <v>18.0</v>
      </c>
      <c r="E1345" s="181">
        <v>9199.98</v>
      </c>
      <c r="F1345" s="181">
        <v>466.85</v>
      </c>
      <c r="G1345" s="181">
        <v>881.82</v>
      </c>
      <c r="H1345" s="828">
        <v>46096.0</v>
      </c>
      <c r="I1345" s="829">
        <f t="shared" si="1"/>
        <v>4507.064446</v>
      </c>
      <c r="J1345" s="830">
        <f t="shared" si="2"/>
        <v>0.4898993744</v>
      </c>
      <c r="K1345" s="830"/>
    </row>
    <row r="1346">
      <c r="A1346" s="181" t="s">
        <v>523</v>
      </c>
      <c r="B1346" s="181" t="s">
        <v>561</v>
      </c>
      <c r="C1346" s="181">
        <v>8.589934592E9</v>
      </c>
      <c r="D1346" s="181">
        <v>18.0</v>
      </c>
      <c r="E1346" s="181">
        <v>18030.8</v>
      </c>
      <c r="F1346" s="181">
        <v>476.4</v>
      </c>
      <c r="G1346" s="181">
        <v>899.88</v>
      </c>
      <c r="H1346" s="828">
        <v>46096.0</v>
      </c>
      <c r="I1346" s="829">
        <f t="shared" si="1"/>
        <v>9014.128893</v>
      </c>
      <c r="J1346" s="830">
        <f t="shared" si="2"/>
        <v>0.4999295036</v>
      </c>
      <c r="K1346" s="830"/>
    </row>
    <row r="1347">
      <c r="A1347" s="181" t="s">
        <v>523</v>
      </c>
      <c r="B1347" s="181" t="s">
        <v>561</v>
      </c>
      <c r="C1347" s="181">
        <v>1.7179869184E10</v>
      </c>
      <c r="D1347" s="181">
        <v>18.0</v>
      </c>
      <c r="E1347" s="181">
        <v>35740.1</v>
      </c>
      <c r="F1347" s="181">
        <v>480.69</v>
      </c>
      <c r="G1347" s="181">
        <v>907.97</v>
      </c>
      <c r="H1347" s="828">
        <v>46096.0</v>
      </c>
      <c r="I1347" s="829">
        <f t="shared" si="1"/>
        <v>18028.25779</v>
      </c>
      <c r="J1347" s="830">
        <f t="shared" si="2"/>
        <v>0.5044266184</v>
      </c>
      <c r="K1347" s="830"/>
    </row>
    <row r="1348">
      <c r="A1348" s="181" t="s">
        <v>523</v>
      </c>
      <c r="B1348" s="181" t="s">
        <v>561</v>
      </c>
      <c r="C1348" s="181">
        <v>256.0</v>
      </c>
      <c r="D1348" s="181">
        <v>20.0</v>
      </c>
      <c r="E1348" s="181">
        <v>48.63</v>
      </c>
      <c r="F1348" s="181">
        <v>0.01</v>
      </c>
      <c r="G1348" s="181">
        <v>0.01</v>
      </c>
      <c r="H1348" s="828">
        <v>46096.0</v>
      </c>
      <c r="I1348" s="829">
        <f t="shared" si="1"/>
        <v>0.0002702222222</v>
      </c>
      <c r="J1348" s="830">
        <f t="shared" si="2"/>
        <v>0.000005556697969</v>
      </c>
      <c r="K1348" s="830"/>
    </row>
    <row r="1349">
      <c r="A1349" s="181" t="s">
        <v>523</v>
      </c>
      <c r="B1349" s="181" t="s">
        <v>561</v>
      </c>
      <c r="C1349" s="181">
        <v>512.0</v>
      </c>
      <c r="D1349" s="181">
        <v>20.0</v>
      </c>
      <c r="E1349" s="181">
        <v>48.26</v>
      </c>
      <c r="F1349" s="181">
        <v>0.01</v>
      </c>
      <c r="G1349" s="181">
        <v>0.02</v>
      </c>
      <c r="H1349" s="828">
        <v>46096.0</v>
      </c>
      <c r="I1349" s="829">
        <f t="shared" si="1"/>
        <v>0.0005404444444</v>
      </c>
      <c r="J1349" s="830">
        <f t="shared" si="2"/>
        <v>0.00001119860017</v>
      </c>
      <c r="K1349" s="830"/>
    </row>
    <row r="1350">
      <c r="A1350" s="181" t="s">
        <v>523</v>
      </c>
      <c r="B1350" s="181" t="s">
        <v>561</v>
      </c>
      <c r="C1350" s="181">
        <v>1024.0</v>
      </c>
      <c r="D1350" s="181">
        <v>20.0</v>
      </c>
      <c r="E1350" s="181">
        <v>48.74</v>
      </c>
      <c r="F1350" s="181">
        <v>0.02</v>
      </c>
      <c r="G1350" s="181">
        <v>0.04</v>
      </c>
      <c r="H1350" s="828">
        <v>46096.0</v>
      </c>
      <c r="I1350" s="829">
        <f t="shared" si="1"/>
        <v>0.001080888889</v>
      </c>
      <c r="J1350" s="830">
        <f t="shared" si="2"/>
        <v>0.00002217662882</v>
      </c>
      <c r="K1350" s="830"/>
    </row>
    <row r="1351">
      <c r="A1351" s="181" t="s">
        <v>523</v>
      </c>
      <c r="B1351" s="181" t="s">
        <v>561</v>
      </c>
      <c r="C1351" s="181">
        <v>2048.0</v>
      </c>
      <c r="D1351" s="181">
        <v>20.0</v>
      </c>
      <c r="E1351" s="181">
        <v>48.5</v>
      </c>
      <c r="F1351" s="181">
        <v>0.04</v>
      </c>
      <c r="G1351" s="181">
        <v>0.08</v>
      </c>
      <c r="H1351" s="828">
        <v>46096.0</v>
      </c>
      <c r="I1351" s="829">
        <f t="shared" si="1"/>
        <v>0.002161777778</v>
      </c>
      <c r="J1351" s="830">
        <f t="shared" si="2"/>
        <v>0.00004457273769</v>
      </c>
      <c r="K1351" s="830"/>
    </row>
    <row r="1352">
      <c r="A1352" s="181" t="s">
        <v>523</v>
      </c>
      <c r="B1352" s="181" t="s">
        <v>561</v>
      </c>
      <c r="C1352" s="181">
        <v>4096.0</v>
      </c>
      <c r="D1352" s="181">
        <v>20.0</v>
      </c>
      <c r="E1352" s="181">
        <v>47.41</v>
      </c>
      <c r="F1352" s="181">
        <v>0.09</v>
      </c>
      <c r="G1352" s="181">
        <v>0.16</v>
      </c>
      <c r="H1352" s="828">
        <v>46096.0</v>
      </c>
      <c r="I1352" s="829">
        <f t="shared" si="1"/>
        <v>0.004323555556</v>
      </c>
      <c r="J1352" s="830">
        <f t="shared" si="2"/>
        <v>0.00009119501277</v>
      </c>
      <c r="K1352" s="830"/>
    </row>
    <row r="1353">
      <c r="A1353" s="181" t="s">
        <v>523</v>
      </c>
      <c r="B1353" s="181" t="s">
        <v>561</v>
      </c>
      <c r="C1353" s="181">
        <v>8192.0</v>
      </c>
      <c r="D1353" s="181">
        <v>20.0</v>
      </c>
      <c r="E1353" s="181">
        <v>47.67</v>
      </c>
      <c r="F1353" s="181">
        <v>0.17</v>
      </c>
      <c r="G1353" s="181">
        <v>0.33</v>
      </c>
      <c r="H1353" s="828">
        <v>46096.0</v>
      </c>
      <c r="I1353" s="829">
        <f t="shared" si="1"/>
        <v>0.008647111111</v>
      </c>
      <c r="J1353" s="830">
        <f t="shared" si="2"/>
        <v>0.0001813952404</v>
      </c>
      <c r="K1353" s="830"/>
    </row>
    <row r="1354">
      <c r="A1354" s="181" t="s">
        <v>523</v>
      </c>
      <c r="B1354" s="181" t="s">
        <v>561</v>
      </c>
      <c r="C1354" s="181">
        <v>16384.0</v>
      </c>
      <c r="D1354" s="181">
        <v>20.0</v>
      </c>
      <c r="E1354" s="181">
        <v>50.05</v>
      </c>
      <c r="F1354" s="181">
        <v>0.33</v>
      </c>
      <c r="G1354" s="181">
        <v>0.62</v>
      </c>
      <c r="H1354" s="828">
        <v>46096.0</v>
      </c>
      <c r="I1354" s="829">
        <f t="shared" si="1"/>
        <v>0.01729422222</v>
      </c>
      <c r="J1354" s="830">
        <f t="shared" si="2"/>
        <v>0.0003455389055</v>
      </c>
      <c r="K1354" s="830"/>
    </row>
    <row r="1355">
      <c r="A1355" s="181" t="s">
        <v>523</v>
      </c>
      <c r="B1355" s="181" t="s">
        <v>561</v>
      </c>
      <c r="C1355" s="181">
        <v>32768.0</v>
      </c>
      <c r="D1355" s="181">
        <v>20.0</v>
      </c>
      <c r="E1355" s="181">
        <v>50.07</v>
      </c>
      <c r="F1355" s="181">
        <v>0.65</v>
      </c>
      <c r="G1355" s="181">
        <v>1.24</v>
      </c>
      <c r="H1355" s="828">
        <v>46096.0</v>
      </c>
      <c r="I1355" s="829">
        <f t="shared" si="1"/>
        <v>0.03458844444</v>
      </c>
      <c r="J1355" s="830">
        <f t="shared" si="2"/>
        <v>0.0006908017664</v>
      </c>
      <c r="K1355" s="830"/>
    </row>
    <row r="1356">
      <c r="A1356" s="181" t="s">
        <v>523</v>
      </c>
      <c r="B1356" s="181" t="s">
        <v>561</v>
      </c>
      <c r="C1356" s="181">
        <v>65536.0</v>
      </c>
      <c r="D1356" s="181">
        <v>20.0</v>
      </c>
      <c r="E1356" s="181">
        <v>54.52</v>
      </c>
      <c r="F1356" s="181">
        <v>1.2</v>
      </c>
      <c r="G1356" s="181">
        <v>2.28</v>
      </c>
      <c r="H1356" s="828">
        <v>46096.0</v>
      </c>
      <c r="I1356" s="829">
        <f t="shared" si="1"/>
        <v>0.06917688889</v>
      </c>
      <c r="J1356" s="830">
        <f t="shared" si="2"/>
        <v>0.001268835086</v>
      </c>
      <c r="K1356" s="830"/>
    </row>
    <row r="1357">
      <c r="A1357" s="181" t="s">
        <v>523</v>
      </c>
      <c r="B1357" s="181" t="s">
        <v>561</v>
      </c>
      <c r="C1357" s="181">
        <v>131072.0</v>
      </c>
      <c r="D1357" s="181">
        <v>20.0</v>
      </c>
      <c r="E1357" s="181">
        <v>57.92</v>
      </c>
      <c r="F1357" s="181">
        <v>2.26</v>
      </c>
      <c r="G1357" s="181">
        <v>4.3</v>
      </c>
      <c r="H1357" s="828">
        <v>46096.0</v>
      </c>
      <c r="I1357" s="829">
        <f t="shared" si="1"/>
        <v>0.1383537778</v>
      </c>
      <c r="J1357" s="830">
        <f t="shared" si="2"/>
        <v>0.002388704727</v>
      </c>
      <c r="K1357" s="830"/>
    </row>
    <row r="1358">
      <c r="A1358" s="181" t="s">
        <v>523</v>
      </c>
      <c r="B1358" s="181" t="s">
        <v>561</v>
      </c>
      <c r="C1358" s="181">
        <v>262144.0</v>
      </c>
      <c r="D1358" s="181">
        <v>20.0</v>
      </c>
      <c r="E1358" s="181">
        <v>57.31</v>
      </c>
      <c r="F1358" s="181">
        <v>4.57</v>
      </c>
      <c r="G1358" s="181">
        <v>8.69</v>
      </c>
      <c r="H1358" s="828">
        <v>46096.0</v>
      </c>
      <c r="I1358" s="829">
        <f t="shared" si="1"/>
        <v>0.2767075556</v>
      </c>
      <c r="J1358" s="830">
        <f t="shared" si="2"/>
        <v>0.004828259563</v>
      </c>
      <c r="K1358" s="830"/>
    </row>
    <row r="1359">
      <c r="A1359" s="181" t="s">
        <v>523</v>
      </c>
      <c r="B1359" s="181" t="s">
        <v>561</v>
      </c>
      <c r="C1359" s="181">
        <v>524288.0</v>
      </c>
      <c r="D1359" s="181">
        <v>20.0</v>
      </c>
      <c r="E1359" s="181">
        <v>60.21</v>
      </c>
      <c r="F1359" s="181">
        <v>8.71</v>
      </c>
      <c r="G1359" s="181">
        <v>16.54</v>
      </c>
      <c r="H1359" s="828">
        <v>46096.0</v>
      </c>
      <c r="I1359" s="829">
        <f t="shared" si="1"/>
        <v>0.5534151111</v>
      </c>
      <c r="J1359" s="830">
        <f t="shared" si="2"/>
        <v>0.009191415232</v>
      </c>
      <c r="K1359" s="830"/>
    </row>
    <row r="1360">
      <c r="A1360" s="181" t="s">
        <v>523</v>
      </c>
      <c r="B1360" s="181" t="s">
        <v>561</v>
      </c>
      <c r="C1360" s="181">
        <v>1048576.0</v>
      </c>
      <c r="D1360" s="181">
        <v>20.0</v>
      </c>
      <c r="E1360" s="181">
        <v>60.95</v>
      </c>
      <c r="F1360" s="181">
        <v>17.2</v>
      </c>
      <c r="G1360" s="181">
        <v>32.69</v>
      </c>
      <c r="H1360" s="828">
        <v>46096.0</v>
      </c>
      <c r="I1360" s="829">
        <f t="shared" si="1"/>
        <v>1.106830222</v>
      </c>
      <c r="J1360" s="830">
        <f t="shared" si="2"/>
        <v>0.01815964269</v>
      </c>
      <c r="K1360" s="830"/>
    </row>
    <row r="1361">
      <c r="A1361" s="181" t="s">
        <v>523</v>
      </c>
      <c r="B1361" s="181" t="s">
        <v>561</v>
      </c>
      <c r="C1361" s="181">
        <v>2097152.0</v>
      </c>
      <c r="D1361" s="181">
        <v>20.0</v>
      </c>
      <c r="E1361" s="181">
        <v>63.59</v>
      </c>
      <c r="F1361" s="181">
        <v>32.98</v>
      </c>
      <c r="G1361" s="181">
        <v>62.66</v>
      </c>
      <c r="H1361" s="828">
        <v>46096.0</v>
      </c>
      <c r="I1361" s="829">
        <f t="shared" si="1"/>
        <v>2.213660444</v>
      </c>
      <c r="J1361" s="830">
        <f t="shared" si="2"/>
        <v>0.03481145533</v>
      </c>
      <c r="K1361" s="830"/>
    </row>
    <row r="1362">
      <c r="A1362" s="181" t="s">
        <v>523</v>
      </c>
      <c r="B1362" s="181" t="s">
        <v>561</v>
      </c>
      <c r="C1362" s="181">
        <v>4194304.0</v>
      </c>
      <c r="D1362" s="181">
        <v>20.0</v>
      </c>
      <c r="E1362" s="181">
        <v>72.14</v>
      </c>
      <c r="F1362" s="181">
        <v>58.14</v>
      </c>
      <c r="G1362" s="181">
        <v>110.47</v>
      </c>
      <c r="H1362" s="828">
        <v>46096.0</v>
      </c>
      <c r="I1362" s="829">
        <f t="shared" si="1"/>
        <v>4.427320889</v>
      </c>
      <c r="J1362" s="830">
        <f t="shared" si="2"/>
        <v>0.06137123494</v>
      </c>
      <c r="K1362" s="830"/>
    </row>
    <row r="1363">
      <c r="A1363" s="181" t="s">
        <v>523</v>
      </c>
      <c r="B1363" s="181" t="s">
        <v>561</v>
      </c>
      <c r="C1363" s="181">
        <v>8388608.0</v>
      </c>
      <c r="D1363" s="181">
        <v>20.0</v>
      </c>
      <c r="E1363" s="181">
        <v>101.34</v>
      </c>
      <c r="F1363" s="181">
        <v>82.78</v>
      </c>
      <c r="G1363" s="181">
        <v>157.27</v>
      </c>
      <c r="H1363" s="828">
        <v>46096.0</v>
      </c>
      <c r="I1363" s="829">
        <f t="shared" si="1"/>
        <v>8.854641778</v>
      </c>
      <c r="J1363" s="830">
        <f t="shared" si="2"/>
        <v>0.08737558494</v>
      </c>
      <c r="K1363" s="830"/>
    </row>
    <row r="1364">
      <c r="A1364" s="181" t="s">
        <v>523</v>
      </c>
      <c r="B1364" s="181" t="s">
        <v>561</v>
      </c>
      <c r="C1364" s="181">
        <v>1.6777216E7</v>
      </c>
      <c r="D1364" s="181">
        <v>20.0</v>
      </c>
      <c r="E1364" s="181">
        <v>141.6</v>
      </c>
      <c r="F1364" s="181">
        <v>118.49</v>
      </c>
      <c r="G1364" s="181">
        <v>225.12</v>
      </c>
      <c r="H1364" s="828">
        <v>46096.0</v>
      </c>
      <c r="I1364" s="829">
        <f t="shared" si="1"/>
        <v>17.70928356</v>
      </c>
      <c r="J1364" s="830">
        <f t="shared" si="2"/>
        <v>0.1250655618</v>
      </c>
      <c r="K1364" s="830"/>
    </row>
    <row r="1365">
      <c r="A1365" s="181" t="s">
        <v>523</v>
      </c>
      <c r="B1365" s="181" t="s">
        <v>561</v>
      </c>
      <c r="C1365" s="181">
        <v>3.3554432E7</v>
      </c>
      <c r="D1365" s="181">
        <v>20.0</v>
      </c>
      <c r="E1365" s="181">
        <v>203.91</v>
      </c>
      <c r="F1365" s="181">
        <v>164.55</v>
      </c>
      <c r="G1365" s="181">
        <v>312.65</v>
      </c>
      <c r="H1365" s="828">
        <v>46096.0</v>
      </c>
      <c r="I1365" s="829">
        <f t="shared" si="1"/>
        <v>35.41856711</v>
      </c>
      <c r="J1365" s="830">
        <f t="shared" si="2"/>
        <v>0.1736970581</v>
      </c>
      <c r="K1365" s="830"/>
    </row>
    <row r="1366">
      <c r="A1366" s="181" t="s">
        <v>523</v>
      </c>
      <c r="B1366" s="181" t="s">
        <v>561</v>
      </c>
      <c r="C1366" s="181">
        <v>6.7108864E7</v>
      </c>
      <c r="D1366" s="181">
        <v>20.0</v>
      </c>
      <c r="E1366" s="181">
        <v>311.32</v>
      </c>
      <c r="F1366" s="181">
        <v>215.56</v>
      </c>
      <c r="G1366" s="181">
        <v>409.57</v>
      </c>
      <c r="H1366" s="828">
        <v>46096.0</v>
      </c>
      <c r="I1366" s="829">
        <f t="shared" si="1"/>
        <v>70.83713422</v>
      </c>
      <c r="J1366" s="830">
        <f t="shared" si="2"/>
        <v>0.227538013</v>
      </c>
      <c r="K1366" s="830"/>
    </row>
    <row r="1367">
      <c r="A1367" s="181" t="s">
        <v>523</v>
      </c>
      <c r="B1367" s="181" t="s">
        <v>561</v>
      </c>
      <c r="C1367" s="181">
        <v>1.34217728E8</v>
      </c>
      <c r="D1367" s="181">
        <v>20.0</v>
      </c>
      <c r="E1367" s="181">
        <v>511.51</v>
      </c>
      <c r="F1367" s="181">
        <v>262.4</v>
      </c>
      <c r="G1367" s="181">
        <v>498.55</v>
      </c>
      <c r="H1367" s="828">
        <v>46096.0</v>
      </c>
      <c r="I1367" s="829">
        <f t="shared" si="1"/>
        <v>141.6742684</v>
      </c>
      <c r="J1367" s="830">
        <f t="shared" si="2"/>
        <v>0.276972627</v>
      </c>
      <c r="K1367" s="830"/>
    </row>
    <row r="1368">
      <c r="A1368" s="181" t="s">
        <v>523</v>
      </c>
      <c r="B1368" s="181" t="s">
        <v>561</v>
      </c>
      <c r="C1368" s="181">
        <v>2.68435456E8</v>
      </c>
      <c r="D1368" s="181">
        <v>20.0</v>
      </c>
      <c r="E1368" s="181">
        <v>826.72</v>
      </c>
      <c r="F1368" s="181">
        <v>324.7</v>
      </c>
      <c r="G1368" s="181">
        <v>616.93</v>
      </c>
      <c r="H1368" s="828">
        <v>46096.0</v>
      </c>
      <c r="I1368" s="829">
        <f t="shared" si="1"/>
        <v>283.3485369</v>
      </c>
      <c r="J1368" s="830">
        <f t="shared" si="2"/>
        <v>0.3427382147</v>
      </c>
      <c r="K1368" s="830"/>
    </row>
    <row r="1369">
      <c r="A1369" s="181" t="s">
        <v>523</v>
      </c>
      <c r="B1369" s="181" t="s">
        <v>561</v>
      </c>
      <c r="C1369" s="181">
        <v>5.36870912E8</v>
      </c>
      <c r="D1369" s="181">
        <v>20.0</v>
      </c>
      <c r="E1369" s="181">
        <v>1425.92</v>
      </c>
      <c r="F1369" s="181">
        <v>376.51</v>
      </c>
      <c r="G1369" s="181">
        <v>715.37</v>
      </c>
      <c r="H1369" s="828">
        <v>46096.0</v>
      </c>
      <c r="I1369" s="829">
        <f t="shared" si="1"/>
        <v>566.6970738</v>
      </c>
      <c r="J1369" s="830">
        <f t="shared" si="2"/>
        <v>0.3974255735</v>
      </c>
      <c r="K1369" s="830"/>
    </row>
    <row r="1370">
      <c r="A1370" s="181" t="s">
        <v>523</v>
      </c>
      <c r="B1370" s="181" t="s">
        <v>561</v>
      </c>
      <c r="C1370" s="181">
        <v>1.073741824E9</v>
      </c>
      <c r="D1370" s="181">
        <v>20.0</v>
      </c>
      <c r="E1370" s="181">
        <v>2660.02</v>
      </c>
      <c r="F1370" s="181">
        <v>403.66</v>
      </c>
      <c r="G1370" s="181">
        <v>766.95</v>
      </c>
      <c r="H1370" s="828">
        <v>46096.0</v>
      </c>
      <c r="I1370" s="829">
        <f t="shared" si="1"/>
        <v>1133.394148</v>
      </c>
      <c r="J1370" s="830">
        <f t="shared" si="2"/>
        <v>0.4260848218</v>
      </c>
      <c r="K1370" s="830"/>
    </row>
    <row r="1371">
      <c r="A1371" s="181" t="s">
        <v>523</v>
      </c>
      <c r="B1371" s="181" t="s">
        <v>561</v>
      </c>
      <c r="C1371" s="181">
        <v>2.147483648E9</v>
      </c>
      <c r="D1371" s="181">
        <v>20.0</v>
      </c>
      <c r="E1371" s="181">
        <v>5026.3</v>
      </c>
      <c r="F1371" s="181">
        <v>427.25</v>
      </c>
      <c r="G1371" s="181">
        <v>811.77</v>
      </c>
      <c r="H1371" s="828">
        <v>46096.0</v>
      </c>
      <c r="I1371" s="829">
        <f t="shared" si="1"/>
        <v>2266.788295</v>
      </c>
      <c r="J1371" s="830">
        <f t="shared" si="2"/>
        <v>0.4509854754</v>
      </c>
      <c r="K1371" s="830"/>
    </row>
    <row r="1372">
      <c r="A1372" s="181" t="s">
        <v>523</v>
      </c>
      <c r="B1372" s="181" t="s">
        <v>561</v>
      </c>
      <c r="C1372" s="181">
        <v>4.294967296E9</v>
      </c>
      <c r="D1372" s="181">
        <v>20.0</v>
      </c>
      <c r="E1372" s="181">
        <v>9263.14</v>
      </c>
      <c r="F1372" s="181">
        <v>463.66</v>
      </c>
      <c r="G1372" s="181">
        <v>880.96</v>
      </c>
      <c r="H1372" s="828">
        <v>46096.0</v>
      </c>
      <c r="I1372" s="829">
        <f t="shared" si="1"/>
        <v>4533.57659</v>
      </c>
      <c r="J1372" s="830">
        <f t="shared" si="2"/>
        <v>0.4894211456</v>
      </c>
      <c r="K1372" s="830"/>
    </row>
    <row r="1373">
      <c r="A1373" s="181" t="s">
        <v>523</v>
      </c>
      <c r="B1373" s="181" t="s">
        <v>561</v>
      </c>
      <c r="C1373" s="181">
        <v>8.589934592E9</v>
      </c>
      <c r="D1373" s="181">
        <v>20.0</v>
      </c>
      <c r="E1373" s="181">
        <v>18048.0</v>
      </c>
      <c r="F1373" s="181">
        <v>475.95</v>
      </c>
      <c r="G1373" s="181">
        <v>904.3</v>
      </c>
      <c r="H1373" s="828">
        <v>46096.0</v>
      </c>
      <c r="I1373" s="829">
        <f t="shared" si="1"/>
        <v>9067.15318</v>
      </c>
      <c r="J1373" s="830">
        <f t="shared" si="2"/>
        <v>0.5023910229</v>
      </c>
      <c r="K1373" s="830"/>
    </row>
    <row r="1374">
      <c r="A1374" s="181" t="s">
        <v>523</v>
      </c>
      <c r="B1374" s="181" t="s">
        <v>561</v>
      </c>
      <c r="C1374" s="181">
        <v>1.7179869184E10</v>
      </c>
      <c r="D1374" s="181">
        <v>20.0</v>
      </c>
      <c r="E1374" s="181">
        <v>35779.2</v>
      </c>
      <c r="F1374" s="181">
        <v>480.16</v>
      </c>
      <c r="G1374" s="181">
        <v>912.31</v>
      </c>
      <c r="H1374" s="828">
        <v>46096.0</v>
      </c>
      <c r="I1374" s="829">
        <f t="shared" si="1"/>
        <v>18134.30636</v>
      </c>
      <c r="J1374" s="830">
        <f t="shared" si="2"/>
        <v>0.5068393469</v>
      </c>
      <c r="K1374" s="830"/>
    </row>
    <row r="1375">
      <c r="A1375" s="181" t="s">
        <v>523</v>
      </c>
      <c r="B1375" s="181" t="s">
        <v>561</v>
      </c>
      <c r="C1375" s="181">
        <v>256.0</v>
      </c>
      <c r="D1375" s="181">
        <v>22.0</v>
      </c>
      <c r="E1375" s="181">
        <v>51.89</v>
      </c>
      <c r="F1375" s="181">
        <v>0.0</v>
      </c>
      <c r="G1375" s="181">
        <v>0.01</v>
      </c>
      <c r="H1375" s="828">
        <v>46096.0</v>
      </c>
      <c r="I1375" s="829">
        <f t="shared" si="1"/>
        <v>0.0002715151515</v>
      </c>
      <c r="J1375" s="830">
        <f t="shared" si="2"/>
        <v>0.000005232514001</v>
      </c>
      <c r="K1375" s="830"/>
    </row>
    <row r="1376">
      <c r="A1376" s="181" t="s">
        <v>523</v>
      </c>
      <c r="B1376" s="181" t="s">
        <v>561</v>
      </c>
      <c r="C1376" s="181">
        <v>512.0</v>
      </c>
      <c r="D1376" s="181">
        <v>22.0</v>
      </c>
      <c r="E1376" s="181">
        <v>50.69</v>
      </c>
      <c r="F1376" s="181">
        <v>0.01</v>
      </c>
      <c r="G1376" s="181">
        <v>0.02</v>
      </c>
      <c r="H1376" s="828">
        <v>46096.0</v>
      </c>
      <c r="I1376" s="829">
        <f t="shared" si="1"/>
        <v>0.000543030303</v>
      </c>
      <c r="J1376" s="830">
        <f t="shared" si="2"/>
        <v>0.00001071276984</v>
      </c>
      <c r="K1376" s="830"/>
    </row>
    <row r="1377">
      <c r="A1377" s="181" t="s">
        <v>523</v>
      </c>
      <c r="B1377" s="181" t="s">
        <v>561</v>
      </c>
      <c r="C1377" s="181">
        <v>1024.0</v>
      </c>
      <c r="D1377" s="181">
        <v>22.0</v>
      </c>
      <c r="E1377" s="181">
        <v>51.37</v>
      </c>
      <c r="F1377" s="181">
        <v>0.02</v>
      </c>
      <c r="G1377" s="181">
        <v>0.04</v>
      </c>
      <c r="H1377" s="828">
        <v>46096.0</v>
      </c>
      <c r="I1377" s="829">
        <f t="shared" si="1"/>
        <v>0.001086060606</v>
      </c>
      <c r="J1377" s="830">
        <f t="shared" si="2"/>
        <v>0.00002114192342</v>
      </c>
      <c r="K1377" s="830"/>
    </row>
    <row r="1378">
      <c r="A1378" s="181" t="s">
        <v>523</v>
      </c>
      <c r="B1378" s="181" t="s">
        <v>561</v>
      </c>
      <c r="C1378" s="181">
        <v>2048.0</v>
      </c>
      <c r="D1378" s="181">
        <v>22.0</v>
      </c>
      <c r="E1378" s="181">
        <v>50.7</v>
      </c>
      <c r="F1378" s="181">
        <v>0.04</v>
      </c>
      <c r="G1378" s="181">
        <v>0.08</v>
      </c>
      <c r="H1378" s="828">
        <v>46096.0</v>
      </c>
      <c r="I1378" s="829">
        <f t="shared" si="1"/>
        <v>0.002172121212</v>
      </c>
      <c r="J1378" s="830">
        <f t="shared" si="2"/>
        <v>0.00004284262746</v>
      </c>
      <c r="K1378" s="830"/>
    </row>
    <row r="1379">
      <c r="A1379" s="181" t="s">
        <v>523</v>
      </c>
      <c r="B1379" s="181" t="s">
        <v>561</v>
      </c>
      <c r="C1379" s="181">
        <v>4096.0</v>
      </c>
      <c r="D1379" s="181">
        <v>22.0</v>
      </c>
      <c r="E1379" s="181">
        <v>50.13</v>
      </c>
      <c r="F1379" s="181">
        <v>0.08</v>
      </c>
      <c r="G1379" s="181">
        <v>0.16</v>
      </c>
      <c r="H1379" s="828">
        <v>46096.0</v>
      </c>
      <c r="I1379" s="829">
        <f t="shared" si="1"/>
        <v>0.004344242424</v>
      </c>
      <c r="J1379" s="830">
        <f t="shared" si="2"/>
        <v>0.0000866595337</v>
      </c>
      <c r="K1379" s="830"/>
    </row>
    <row r="1380">
      <c r="A1380" s="181" t="s">
        <v>523</v>
      </c>
      <c r="B1380" s="181" t="s">
        <v>561</v>
      </c>
      <c r="C1380" s="181">
        <v>8192.0</v>
      </c>
      <c r="D1380" s="181">
        <v>22.0</v>
      </c>
      <c r="E1380" s="181">
        <v>50.41</v>
      </c>
      <c r="F1380" s="181">
        <v>0.16</v>
      </c>
      <c r="G1380" s="181">
        <v>0.31</v>
      </c>
      <c r="H1380" s="828">
        <v>46096.0</v>
      </c>
      <c r="I1380" s="829">
        <f t="shared" si="1"/>
        <v>0.008688484848</v>
      </c>
      <c r="J1380" s="830">
        <f t="shared" si="2"/>
        <v>0.0001723563747</v>
      </c>
      <c r="K1380" s="830"/>
    </row>
    <row r="1381">
      <c r="A1381" s="181" t="s">
        <v>523</v>
      </c>
      <c r="B1381" s="181" t="s">
        <v>561</v>
      </c>
      <c r="C1381" s="181">
        <v>16384.0</v>
      </c>
      <c r="D1381" s="181">
        <v>22.0</v>
      </c>
      <c r="E1381" s="181">
        <v>52.02</v>
      </c>
      <c r="F1381" s="181">
        <v>0.31</v>
      </c>
      <c r="G1381" s="181">
        <v>0.6</v>
      </c>
      <c r="H1381" s="828">
        <v>46096.0</v>
      </c>
      <c r="I1381" s="829">
        <f t="shared" si="1"/>
        <v>0.0173769697</v>
      </c>
      <c r="J1381" s="830">
        <f t="shared" si="2"/>
        <v>0.0003340440157</v>
      </c>
      <c r="K1381" s="830"/>
    </row>
    <row r="1382">
      <c r="A1382" s="181" t="s">
        <v>523</v>
      </c>
      <c r="B1382" s="181" t="s">
        <v>561</v>
      </c>
      <c r="C1382" s="181">
        <v>32768.0</v>
      </c>
      <c r="D1382" s="181">
        <v>22.0</v>
      </c>
      <c r="E1382" s="181">
        <v>52.46</v>
      </c>
      <c r="F1382" s="181">
        <v>0.62</v>
      </c>
      <c r="G1382" s="181">
        <v>1.19</v>
      </c>
      <c r="H1382" s="828">
        <v>46096.0</v>
      </c>
      <c r="I1382" s="829">
        <f t="shared" si="1"/>
        <v>0.03475393939</v>
      </c>
      <c r="J1382" s="830">
        <f t="shared" si="2"/>
        <v>0.0006624845481</v>
      </c>
      <c r="K1382" s="830"/>
    </row>
    <row r="1383">
      <c r="A1383" s="181" t="s">
        <v>523</v>
      </c>
      <c r="B1383" s="181" t="s">
        <v>561</v>
      </c>
      <c r="C1383" s="181">
        <v>65536.0</v>
      </c>
      <c r="D1383" s="181">
        <v>22.0</v>
      </c>
      <c r="E1383" s="181">
        <v>55.94</v>
      </c>
      <c r="F1383" s="181">
        <v>1.17</v>
      </c>
      <c r="G1383" s="181">
        <v>2.24</v>
      </c>
      <c r="H1383" s="828">
        <v>46096.0</v>
      </c>
      <c r="I1383" s="829">
        <f t="shared" si="1"/>
        <v>0.06950787879</v>
      </c>
      <c r="J1383" s="830">
        <f t="shared" si="2"/>
        <v>0.001242543418</v>
      </c>
      <c r="K1383" s="830"/>
    </row>
    <row r="1384">
      <c r="A1384" s="181" t="s">
        <v>523</v>
      </c>
      <c r="B1384" s="181" t="s">
        <v>561</v>
      </c>
      <c r="C1384" s="181">
        <v>131072.0</v>
      </c>
      <c r="D1384" s="181">
        <v>22.0</v>
      </c>
      <c r="E1384" s="181">
        <v>60.0</v>
      </c>
      <c r="F1384" s="181">
        <v>2.18</v>
      </c>
      <c r="G1384" s="181">
        <v>4.17</v>
      </c>
      <c r="H1384" s="828">
        <v>46096.0</v>
      </c>
      <c r="I1384" s="829">
        <f t="shared" si="1"/>
        <v>0.1390157576</v>
      </c>
      <c r="J1384" s="830">
        <f t="shared" si="2"/>
        <v>0.002316929293</v>
      </c>
      <c r="K1384" s="830"/>
    </row>
    <row r="1385">
      <c r="A1385" s="181" t="s">
        <v>523</v>
      </c>
      <c r="B1385" s="181" t="s">
        <v>561</v>
      </c>
      <c r="C1385" s="181">
        <v>262144.0</v>
      </c>
      <c r="D1385" s="181">
        <v>22.0</v>
      </c>
      <c r="E1385" s="181">
        <v>60.21</v>
      </c>
      <c r="F1385" s="181">
        <v>4.35</v>
      </c>
      <c r="G1385" s="181">
        <v>8.31</v>
      </c>
      <c r="H1385" s="828">
        <v>46096.0</v>
      </c>
      <c r="I1385" s="829">
        <f t="shared" si="1"/>
        <v>0.2780315152</v>
      </c>
      <c r="J1385" s="830">
        <f t="shared" si="2"/>
        <v>0.004617696648</v>
      </c>
      <c r="K1385" s="830"/>
    </row>
    <row r="1386">
      <c r="A1386" s="181" t="s">
        <v>523</v>
      </c>
      <c r="B1386" s="181" t="s">
        <v>561</v>
      </c>
      <c r="C1386" s="181">
        <v>524288.0</v>
      </c>
      <c r="D1386" s="181">
        <v>22.0</v>
      </c>
      <c r="E1386" s="181">
        <v>62.17</v>
      </c>
      <c r="F1386" s="181">
        <v>8.43</v>
      </c>
      <c r="G1386" s="181">
        <v>16.1</v>
      </c>
      <c r="H1386" s="828">
        <v>46096.0</v>
      </c>
      <c r="I1386" s="829">
        <f t="shared" si="1"/>
        <v>0.5560630303</v>
      </c>
      <c r="J1386" s="830">
        <f t="shared" si="2"/>
        <v>0.008944234041</v>
      </c>
      <c r="K1386" s="830"/>
    </row>
    <row r="1387">
      <c r="A1387" s="181" t="s">
        <v>523</v>
      </c>
      <c r="B1387" s="181" t="s">
        <v>561</v>
      </c>
      <c r="C1387" s="181">
        <v>1048576.0</v>
      </c>
      <c r="D1387" s="181">
        <v>22.0</v>
      </c>
      <c r="E1387" s="181">
        <v>63.78</v>
      </c>
      <c r="F1387" s="181">
        <v>16.44</v>
      </c>
      <c r="G1387" s="181">
        <v>31.39</v>
      </c>
      <c r="H1387" s="828">
        <v>46096.0</v>
      </c>
      <c r="I1387" s="829">
        <f t="shared" si="1"/>
        <v>1.112126061</v>
      </c>
      <c r="J1387" s="830">
        <f t="shared" si="2"/>
        <v>0.01743690907</v>
      </c>
      <c r="K1387" s="830"/>
    </row>
    <row r="1388">
      <c r="A1388" s="181" t="s">
        <v>523</v>
      </c>
      <c r="B1388" s="181" t="s">
        <v>561</v>
      </c>
      <c r="C1388" s="181">
        <v>2097152.0</v>
      </c>
      <c r="D1388" s="181">
        <v>22.0</v>
      </c>
      <c r="E1388" s="181">
        <v>65.76</v>
      </c>
      <c r="F1388" s="181">
        <v>31.89</v>
      </c>
      <c r="G1388" s="181">
        <v>60.88</v>
      </c>
      <c r="H1388" s="828">
        <v>46096.0</v>
      </c>
      <c r="I1388" s="829">
        <f t="shared" si="1"/>
        <v>2.224252121</v>
      </c>
      <c r="J1388" s="830">
        <f t="shared" si="2"/>
        <v>0.0338237853</v>
      </c>
      <c r="K1388" s="830"/>
    </row>
    <row r="1389">
      <c r="A1389" s="181" t="s">
        <v>523</v>
      </c>
      <c r="B1389" s="181" t="s">
        <v>561</v>
      </c>
      <c r="C1389" s="181">
        <v>4194304.0</v>
      </c>
      <c r="D1389" s="181">
        <v>22.0</v>
      </c>
      <c r="E1389" s="181">
        <v>73.51</v>
      </c>
      <c r="F1389" s="181">
        <v>57.06</v>
      </c>
      <c r="G1389" s="181">
        <v>108.93</v>
      </c>
      <c r="H1389" s="828">
        <v>46096.0</v>
      </c>
      <c r="I1389" s="829">
        <f t="shared" si="1"/>
        <v>4.448504242</v>
      </c>
      <c r="J1389" s="830">
        <f t="shared" si="2"/>
        <v>0.06051563382</v>
      </c>
      <c r="K1389" s="830"/>
    </row>
    <row r="1390">
      <c r="A1390" s="181" t="s">
        <v>523</v>
      </c>
      <c r="B1390" s="181" t="s">
        <v>561</v>
      </c>
      <c r="C1390" s="181">
        <v>8388608.0</v>
      </c>
      <c r="D1390" s="181">
        <v>22.0</v>
      </c>
      <c r="E1390" s="181">
        <v>97.82</v>
      </c>
      <c r="F1390" s="181">
        <v>85.75</v>
      </c>
      <c r="G1390" s="181">
        <v>163.71</v>
      </c>
      <c r="H1390" s="828">
        <v>46096.0</v>
      </c>
      <c r="I1390" s="829">
        <f t="shared" si="1"/>
        <v>8.897008485</v>
      </c>
      <c r="J1390" s="830">
        <f t="shared" si="2"/>
        <v>0.09095285713</v>
      </c>
      <c r="K1390" s="830"/>
    </row>
    <row r="1391">
      <c r="A1391" s="181" t="s">
        <v>523</v>
      </c>
      <c r="B1391" s="181" t="s">
        <v>561</v>
      </c>
      <c r="C1391" s="181">
        <v>1.6777216E7</v>
      </c>
      <c r="D1391" s="181">
        <v>22.0</v>
      </c>
      <c r="E1391" s="181">
        <v>135.67</v>
      </c>
      <c r="F1391" s="181">
        <v>123.66</v>
      </c>
      <c r="G1391" s="181">
        <v>236.08</v>
      </c>
      <c r="H1391" s="828">
        <v>46096.0</v>
      </c>
      <c r="I1391" s="829">
        <f t="shared" si="1"/>
        <v>17.79401697</v>
      </c>
      <c r="J1391" s="830">
        <f t="shared" si="2"/>
        <v>0.1311566077</v>
      </c>
      <c r="K1391" s="830"/>
    </row>
    <row r="1392">
      <c r="A1392" s="181" t="s">
        <v>523</v>
      </c>
      <c r="B1392" s="181" t="s">
        <v>561</v>
      </c>
      <c r="C1392" s="181">
        <v>3.3554432E7</v>
      </c>
      <c r="D1392" s="181">
        <v>22.0</v>
      </c>
      <c r="E1392" s="181">
        <v>213.34</v>
      </c>
      <c r="F1392" s="181">
        <v>157.28</v>
      </c>
      <c r="G1392" s="181">
        <v>300.26</v>
      </c>
      <c r="H1392" s="828">
        <v>46096.0</v>
      </c>
      <c r="I1392" s="829">
        <f t="shared" si="1"/>
        <v>35.58803394</v>
      </c>
      <c r="J1392" s="830">
        <f t="shared" si="2"/>
        <v>0.1668136962</v>
      </c>
      <c r="K1392" s="830"/>
    </row>
    <row r="1393">
      <c r="A1393" s="181" t="s">
        <v>523</v>
      </c>
      <c r="B1393" s="181" t="s">
        <v>561</v>
      </c>
      <c r="C1393" s="181">
        <v>6.7108864E7</v>
      </c>
      <c r="D1393" s="181">
        <v>22.0</v>
      </c>
      <c r="E1393" s="181">
        <v>307.75</v>
      </c>
      <c r="F1393" s="181">
        <v>218.06</v>
      </c>
      <c r="G1393" s="181">
        <v>416.3</v>
      </c>
      <c r="H1393" s="828">
        <v>46096.0</v>
      </c>
      <c r="I1393" s="829">
        <f t="shared" si="1"/>
        <v>71.17606788</v>
      </c>
      <c r="J1393" s="830">
        <f t="shared" si="2"/>
        <v>0.2312788558</v>
      </c>
      <c r="K1393" s="830"/>
    </row>
    <row r="1394">
      <c r="A1394" s="181" t="s">
        <v>523</v>
      </c>
      <c r="B1394" s="181" t="s">
        <v>561</v>
      </c>
      <c r="C1394" s="181">
        <v>1.34217728E8</v>
      </c>
      <c r="D1394" s="181">
        <v>22.0</v>
      </c>
      <c r="E1394" s="181">
        <v>498.06</v>
      </c>
      <c r="F1394" s="181">
        <v>269.48</v>
      </c>
      <c r="G1394" s="181">
        <v>514.46</v>
      </c>
      <c r="H1394" s="828">
        <v>46096.0</v>
      </c>
      <c r="I1394" s="829">
        <f t="shared" si="1"/>
        <v>142.3521358</v>
      </c>
      <c r="J1394" s="830">
        <f t="shared" si="2"/>
        <v>0.2858132268</v>
      </c>
      <c r="K1394" s="830"/>
    </row>
    <row r="1395">
      <c r="A1395" s="181" t="s">
        <v>523</v>
      </c>
      <c r="B1395" s="181" t="s">
        <v>561</v>
      </c>
      <c r="C1395" s="181">
        <v>2.68435456E8</v>
      </c>
      <c r="D1395" s="181">
        <v>22.0</v>
      </c>
      <c r="E1395" s="181">
        <v>880.58</v>
      </c>
      <c r="F1395" s="181">
        <v>304.84</v>
      </c>
      <c r="G1395" s="181">
        <v>581.97</v>
      </c>
      <c r="H1395" s="828">
        <v>46096.0</v>
      </c>
      <c r="I1395" s="829">
        <f t="shared" si="1"/>
        <v>284.7042715</v>
      </c>
      <c r="J1395" s="830">
        <f t="shared" si="2"/>
        <v>0.3233144876</v>
      </c>
      <c r="K1395" s="830"/>
    </row>
    <row r="1396">
      <c r="A1396" s="181" t="s">
        <v>523</v>
      </c>
      <c r="B1396" s="181" t="s">
        <v>561</v>
      </c>
      <c r="C1396" s="181">
        <v>5.36870912E8</v>
      </c>
      <c r="D1396" s="181">
        <v>22.0</v>
      </c>
      <c r="E1396" s="181">
        <v>1443.45</v>
      </c>
      <c r="F1396" s="181">
        <v>371.94</v>
      </c>
      <c r="G1396" s="181">
        <v>710.06</v>
      </c>
      <c r="H1396" s="828">
        <v>46096.0</v>
      </c>
      <c r="I1396" s="829">
        <f t="shared" si="1"/>
        <v>569.408543</v>
      </c>
      <c r="J1396" s="830">
        <f t="shared" si="2"/>
        <v>0.394477497</v>
      </c>
      <c r="K1396" s="830"/>
    </row>
    <row r="1397">
      <c r="A1397" s="181" t="s">
        <v>523</v>
      </c>
      <c r="B1397" s="181" t="s">
        <v>561</v>
      </c>
      <c r="C1397" s="181">
        <v>1.073741824E9</v>
      </c>
      <c r="D1397" s="181">
        <v>22.0</v>
      </c>
      <c r="E1397" s="181">
        <v>2641.88</v>
      </c>
      <c r="F1397" s="181">
        <v>406.43</v>
      </c>
      <c r="G1397" s="181">
        <v>775.91</v>
      </c>
      <c r="H1397" s="828">
        <v>46096.0</v>
      </c>
      <c r="I1397" s="829">
        <f t="shared" si="1"/>
        <v>1138.817086</v>
      </c>
      <c r="J1397" s="830">
        <f t="shared" si="2"/>
        <v>0.4310631392</v>
      </c>
      <c r="K1397" s="830"/>
    </row>
    <row r="1398">
      <c r="A1398" s="181" t="s">
        <v>523</v>
      </c>
      <c r="B1398" s="181" t="s">
        <v>561</v>
      </c>
      <c r="C1398" s="181">
        <v>2.147483648E9</v>
      </c>
      <c r="D1398" s="181">
        <v>22.0</v>
      </c>
      <c r="E1398" s="181">
        <v>5014.0</v>
      </c>
      <c r="F1398" s="181">
        <v>428.3</v>
      </c>
      <c r="G1398" s="181">
        <v>817.66</v>
      </c>
      <c r="H1398" s="828">
        <v>46096.0</v>
      </c>
      <c r="I1398" s="829">
        <f t="shared" si="1"/>
        <v>2277.634172</v>
      </c>
      <c r="J1398" s="830">
        <f t="shared" si="2"/>
        <v>0.4542549206</v>
      </c>
      <c r="K1398" s="830"/>
    </row>
    <row r="1399">
      <c r="A1399" s="181" t="s">
        <v>523</v>
      </c>
      <c r="B1399" s="181" t="s">
        <v>561</v>
      </c>
      <c r="C1399" s="181">
        <v>4.294967296E9</v>
      </c>
      <c r="D1399" s="181">
        <v>22.0</v>
      </c>
      <c r="E1399" s="181">
        <v>9720.65</v>
      </c>
      <c r="F1399" s="181">
        <v>441.84</v>
      </c>
      <c r="G1399" s="181">
        <v>843.51</v>
      </c>
      <c r="H1399" s="828">
        <v>46096.0</v>
      </c>
      <c r="I1399" s="829">
        <f t="shared" si="1"/>
        <v>4555.268344</v>
      </c>
      <c r="J1399" s="830">
        <f t="shared" si="2"/>
        <v>0.468617669</v>
      </c>
      <c r="K1399" s="830"/>
    </row>
    <row r="1400">
      <c r="A1400" s="181" t="s">
        <v>523</v>
      </c>
      <c r="B1400" s="181" t="s">
        <v>561</v>
      </c>
      <c r="C1400" s="181">
        <v>8.589934592E9</v>
      </c>
      <c r="D1400" s="181">
        <v>22.0</v>
      </c>
      <c r="E1400" s="181">
        <v>18242.6</v>
      </c>
      <c r="F1400" s="181">
        <v>470.87</v>
      </c>
      <c r="G1400" s="181">
        <v>898.94</v>
      </c>
      <c r="H1400" s="828">
        <v>46096.0</v>
      </c>
      <c r="I1400" s="829">
        <f t="shared" si="1"/>
        <v>9110.536688</v>
      </c>
      <c r="J1400" s="830">
        <f t="shared" si="2"/>
        <v>0.4994099903</v>
      </c>
      <c r="K1400" s="830"/>
    </row>
    <row r="1401">
      <c r="A1401" s="181" t="s">
        <v>523</v>
      </c>
      <c r="B1401" s="181" t="s">
        <v>561</v>
      </c>
      <c r="C1401" s="181">
        <v>1.7179869184E10</v>
      </c>
      <c r="D1401" s="181">
        <v>22.0</v>
      </c>
      <c r="E1401" s="181">
        <v>35777.1</v>
      </c>
      <c r="F1401" s="181">
        <v>480.19</v>
      </c>
      <c r="G1401" s="181">
        <v>916.73</v>
      </c>
      <c r="H1401" s="828">
        <v>46096.0</v>
      </c>
      <c r="I1401" s="829">
        <f t="shared" si="1"/>
        <v>18221.07338</v>
      </c>
      <c r="J1401" s="830">
        <f t="shared" si="2"/>
        <v>0.5092943077</v>
      </c>
      <c r="K1401" s="830"/>
    </row>
    <row r="1402">
      <c r="A1402" s="181" t="s">
        <v>523</v>
      </c>
      <c r="B1402" s="181" t="s">
        <v>561</v>
      </c>
      <c r="C1402" s="181">
        <v>256.0</v>
      </c>
      <c r="D1402" s="181">
        <v>24.0</v>
      </c>
      <c r="E1402" s="181">
        <v>51.69</v>
      </c>
      <c r="F1402" s="181">
        <v>0.0</v>
      </c>
      <c r="G1402" s="181">
        <v>0.01</v>
      </c>
      <c r="H1402" s="828">
        <v>46096.0</v>
      </c>
      <c r="I1402" s="829">
        <f t="shared" si="1"/>
        <v>0.0002725925926</v>
      </c>
      <c r="J1402" s="830">
        <f t="shared" si="2"/>
        <v>0.000005273604035</v>
      </c>
      <c r="K1402" s="830"/>
    </row>
    <row r="1403">
      <c r="A1403" s="181" t="s">
        <v>523</v>
      </c>
      <c r="B1403" s="181" t="s">
        <v>561</v>
      </c>
      <c r="C1403" s="181">
        <v>512.0</v>
      </c>
      <c r="D1403" s="181">
        <v>24.0</v>
      </c>
      <c r="E1403" s="181">
        <v>52.43</v>
      </c>
      <c r="F1403" s="181">
        <v>0.01</v>
      </c>
      <c r="G1403" s="181">
        <v>0.02</v>
      </c>
      <c r="H1403" s="828">
        <v>46096.0</v>
      </c>
      <c r="I1403" s="829">
        <f t="shared" si="1"/>
        <v>0.0005451851852</v>
      </c>
      <c r="J1403" s="830">
        <f t="shared" si="2"/>
        <v>0.00001039834418</v>
      </c>
      <c r="K1403" s="830"/>
    </row>
    <row r="1404">
      <c r="A1404" s="181" t="s">
        <v>523</v>
      </c>
      <c r="B1404" s="181" t="s">
        <v>561</v>
      </c>
      <c r="C1404" s="181">
        <v>1024.0</v>
      </c>
      <c r="D1404" s="181">
        <v>24.0</v>
      </c>
      <c r="E1404" s="181">
        <v>51.55</v>
      </c>
      <c r="F1404" s="181">
        <v>0.02</v>
      </c>
      <c r="G1404" s="181">
        <v>0.04</v>
      </c>
      <c r="H1404" s="828">
        <v>46096.0</v>
      </c>
      <c r="I1404" s="829">
        <f t="shared" si="1"/>
        <v>0.00109037037</v>
      </c>
      <c r="J1404" s="830">
        <f t="shared" si="2"/>
        <v>0.00002115170457</v>
      </c>
      <c r="K1404" s="830"/>
    </row>
    <row r="1405">
      <c r="A1405" s="181" t="s">
        <v>523</v>
      </c>
      <c r="B1405" s="181" t="s">
        <v>561</v>
      </c>
      <c r="C1405" s="181">
        <v>2048.0</v>
      </c>
      <c r="D1405" s="181">
        <v>24.0</v>
      </c>
      <c r="E1405" s="181">
        <v>52.12</v>
      </c>
      <c r="F1405" s="181">
        <v>0.04</v>
      </c>
      <c r="G1405" s="181">
        <v>0.08</v>
      </c>
      <c r="H1405" s="828">
        <v>46096.0</v>
      </c>
      <c r="I1405" s="829">
        <f t="shared" si="1"/>
        <v>0.002180740741</v>
      </c>
      <c r="J1405" s="830">
        <f t="shared" si="2"/>
        <v>0.00004184076632</v>
      </c>
      <c r="K1405" s="830"/>
    </row>
    <row r="1406">
      <c r="A1406" s="181" t="s">
        <v>523</v>
      </c>
      <c r="B1406" s="181" t="s">
        <v>561</v>
      </c>
      <c r="C1406" s="181">
        <v>4096.0</v>
      </c>
      <c r="D1406" s="181">
        <v>24.0</v>
      </c>
      <c r="E1406" s="181">
        <v>51.2</v>
      </c>
      <c r="F1406" s="181">
        <v>0.08</v>
      </c>
      <c r="G1406" s="181">
        <v>0.15</v>
      </c>
      <c r="H1406" s="828">
        <v>46096.0</v>
      </c>
      <c r="I1406" s="829">
        <f t="shared" si="1"/>
        <v>0.004361481481</v>
      </c>
      <c r="J1406" s="830">
        <f t="shared" si="2"/>
        <v>0.00008518518519</v>
      </c>
      <c r="K1406" s="830"/>
    </row>
    <row r="1407">
      <c r="A1407" s="181" t="s">
        <v>523</v>
      </c>
      <c r="B1407" s="181" t="s">
        <v>561</v>
      </c>
      <c r="C1407" s="181">
        <v>8192.0</v>
      </c>
      <c r="D1407" s="181">
        <v>24.0</v>
      </c>
      <c r="E1407" s="181">
        <v>52.15</v>
      </c>
      <c r="F1407" s="181">
        <v>0.16</v>
      </c>
      <c r="G1407" s="181">
        <v>0.3</v>
      </c>
      <c r="H1407" s="828">
        <v>46096.0</v>
      </c>
      <c r="I1407" s="829">
        <f t="shared" si="1"/>
        <v>0.008722962963</v>
      </c>
      <c r="J1407" s="830">
        <f t="shared" si="2"/>
        <v>0.0001672667874</v>
      </c>
      <c r="K1407" s="830"/>
    </row>
    <row r="1408">
      <c r="A1408" s="181" t="s">
        <v>523</v>
      </c>
      <c r="B1408" s="181" t="s">
        <v>561</v>
      </c>
      <c r="C1408" s="181">
        <v>16384.0</v>
      </c>
      <c r="D1408" s="181">
        <v>24.0</v>
      </c>
      <c r="E1408" s="181">
        <v>53.39</v>
      </c>
      <c r="F1408" s="181">
        <v>0.31</v>
      </c>
      <c r="G1408" s="181">
        <v>0.59</v>
      </c>
      <c r="H1408" s="828">
        <v>46096.0</v>
      </c>
      <c r="I1408" s="829">
        <f t="shared" si="1"/>
        <v>0.01744592593</v>
      </c>
      <c r="J1408" s="830">
        <f t="shared" si="2"/>
        <v>0.0003267639244</v>
      </c>
      <c r="K1408" s="830"/>
    </row>
    <row r="1409">
      <c r="A1409" s="181" t="s">
        <v>523</v>
      </c>
      <c r="B1409" s="181" t="s">
        <v>561</v>
      </c>
      <c r="C1409" s="181">
        <v>32768.0</v>
      </c>
      <c r="D1409" s="181">
        <v>24.0</v>
      </c>
      <c r="E1409" s="181">
        <v>53.4</v>
      </c>
      <c r="F1409" s="181">
        <v>0.61</v>
      </c>
      <c r="G1409" s="181">
        <v>1.18</v>
      </c>
      <c r="H1409" s="828">
        <v>46096.0</v>
      </c>
      <c r="I1409" s="829">
        <f t="shared" si="1"/>
        <v>0.03489185185</v>
      </c>
      <c r="J1409" s="830">
        <f t="shared" si="2"/>
        <v>0.0006534054654</v>
      </c>
      <c r="K1409" s="830"/>
    </row>
    <row r="1410">
      <c r="A1410" s="181" t="s">
        <v>523</v>
      </c>
      <c r="B1410" s="181" t="s">
        <v>561</v>
      </c>
      <c r="C1410" s="181">
        <v>65536.0</v>
      </c>
      <c r="D1410" s="181">
        <v>24.0</v>
      </c>
      <c r="E1410" s="181">
        <v>57.85</v>
      </c>
      <c r="F1410" s="181">
        <v>1.13</v>
      </c>
      <c r="G1410" s="181">
        <v>2.17</v>
      </c>
      <c r="H1410" s="828">
        <v>46096.0</v>
      </c>
      <c r="I1410" s="829">
        <f t="shared" si="1"/>
        <v>0.0697837037</v>
      </c>
      <c r="J1410" s="830">
        <f t="shared" si="2"/>
        <v>0.001206287013</v>
      </c>
      <c r="K1410" s="830"/>
    </row>
    <row r="1411">
      <c r="A1411" s="181" t="s">
        <v>523</v>
      </c>
      <c r="B1411" s="181" t="s">
        <v>561</v>
      </c>
      <c r="C1411" s="181">
        <v>131072.0</v>
      </c>
      <c r="D1411" s="181">
        <v>24.0</v>
      </c>
      <c r="E1411" s="181">
        <v>61.54</v>
      </c>
      <c r="F1411" s="181">
        <v>2.13</v>
      </c>
      <c r="G1411" s="181">
        <v>4.08</v>
      </c>
      <c r="H1411" s="828">
        <v>46096.0</v>
      </c>
      <c r="I1411" s="829">
        <f t="shared" si="1"/>
        <v>0.1395674074</v>
      </c>
      <c r="J1411" s="830">
        <f t="shared" si="2"/>
        <v>0.002267913673</v>
      </c>
      <c r="K1411" s="830"/>
    </row>
    <row r="1412">
      <c r="A1412" s="181" t="s">
        <v>523</v>
      </c>
      <c r="B1412" s="181" t="s">
        <v>561</v>
      </c>
      <c r="C1412" s="181">
        <v>262144.0</v>
      </c>
      <c r="D1412" s="181">
        <v>24.0</v>
      </c>
      <c r="E1412" s="181">
        <v>61.77</v>
      </c>
      <c r="F1412" s="181">
        <v>4.24</v>
      </c>
      <c r="G1412" s="181">
        <v>8.13</v>
      </c>
      <c r="H1412" s="828">
        <v>46096.0</v>
      </c>
      <c r="I1412" s="829">
        <f t="shared" si="1"/>
        <v>0.2791348148</v>
      </c>
      <c r="J1412" s="830">
        <f t="shared" si="2"/>
        <v>0.004518938236</v>
      </c>
      <c r="K1412" s="830"/>
    </row>
    <row r="1413">
      <c r="A1413" s="181" t="s">
        <v>523</v>
      </c>
      <c r="B1413" s="181" t="s">
        <v>561</v>
      </c>
      <c r="C1413" s="181">
        <v>524288.0</v>
      </c>
      <c r="D1413" s="181">
        <v>24.0</v>
      </c>
      <c r="E1413" s="181">
        <v>64.55</v>
      </c>
      <c r="F1413" s="181">
        <v>8.12</v>
      </c>
      <c r="G1413" s="181">
        <v>15.57</v>
      </c>
      <c r="H1413" s="828">
        <v>46096.0</v>
      </c>
      <c r="I1413" s="829">
        <f t="shared" si="1"/>
        <v>0.5582696296</v>
      </c>
      <c r="J1413" s="830">
        <f t="shared" si="2"/>
        <v>0.008648638724</v>
      </c>
      <c r="K1413" s="830"/>
    </row>
    <row r="1414">
      <c r="A1414" s="181" t="s">
        <v>523</v>
      </c>
      <c r="B1414" s="181" t="s">
        <v>561</v>
      </c>
      <c r="C1414" s="181">
        <v>1048576.0</v>
      </c>
      <c r="D1414" s="181">
        <v>24.0</v>
      </c>
      <c r="E1414" s="181">
        <v>64.65</v>
      </c>
      <c r="F1414" s="181">
        <v>16.22</v>
      </c>
      <c r="G1414" s="181">
        <v>31.09</v>
      </c>
      <c r="H1414" s="828">
        <v>46096.0</v>
      </c>
      <c r="I1414" s="829">
        <f t="shared" si="1"/>
        <v>1.116539259</v>
      </c>
      <c r="J1414" s="830">
        <f t="shared" si="2"/>
        <v>0.01727052218</v>
      </c>
      <c r="K1414" s="830"/>
    </row>
    <row r="1415">
      <c r="A1415" s="181" t="s">
        <v>523</v>
      </c>
      <c r="B1415" s="181" t="s">
        <v>561</v>
      </c>
      <c r="C1415" s="181">
        <v>2097152.0</v>
      </c>
      <c r="D1415" s="181">
        <v>24.0</v>
      </c>
      <c r="E1415" s="181">
        <v>66.56</v>
      </c>
      <c r="F1415" s="181">
        <v>31.51</v>
      </c>
      <c r="G1415" s="181">
        <v>60.39</v>
      </c>
      <c r="H1415" s="828">
        <v>46096.0</v>
      </c>
      <c r="I1415" s="829">
        <f t="shared" si="1"/>
        <v>2.233078519</v>
      </c>
      <c r="J1415" s="830">
        <f t="shared" si="2"/>
        <v>0.03354985755</v>
      </c>
      <c r="K1415" s="830"/>
    </row>
    <row r="1416">
      <c r="A1416" s="181" t="s">
        <v>523</v>
      </c>
      <c r="B1416" s="181" t="s">
        <v>561</v>
      </c>
      <c r="C1416" s="181">
        <v>4194304.0</v>
      </c>
      <c r="D1416" s="181">
        <v>24.0</v>
      </c>
      <c r="E1416" s="181">
        <v>72.88</v>
      </c>
      <c r="F1416" s="181">
        <v>57.55</v>
      </c>
      <c r="G1416" s="181">
        <v>110.3</v>
      </c>
      <c r="H1416" s="828">
        <v>46096.0</v>
      </c>
      <c r="I1416" s="829">
        <f t="shared" si="1"/>
        <v>4.466157037</v>
      </c>
      <c r="J1416" s="830">
        <f t="shared" si="2"/>
        <v>0.06128096922</v>
      </c>
      <c r="K1416" s="830"/>
    </row>
    <row r="1417">
      <c r="A1417" s="181" t="s">
        <v>523</v>
      </c>
      <c r="B1417" s="181" t="s">
        <v>561</v>
      </c>
      <c r="C1417" s="181">
        <v>8388608.0</v>
      </c>
      <c r="D1417" s="181">
        <v>24.0</v>
      </c>
      <c r="E1417" s="181">
        <v>99.09</v>
      </c>
      <c r="F1417" s="181">
        <v>84.66</v>
      </c>
      <c r="G1417" s="181">
        <v>162.27</v>
      </c>
      <c r="H1417" s="828">
        <v>46096.0</v>
      </c>
      <c r="I1417" s="829">
        <f t="shared" si="1"/>
        <v>8.932314074</v>
      </c>
      <c r="J1417" s="830">
        <f t="shared" si="2"/>
        <v>0.0901434461</v>
      </c>
      <c r="K1417" s="830"/>
    </row>
    <row r="1418">
      <c r="A1418" s="181" t="s">
        <v>523</v>
      </c>
      <c r="B1418" s="181" t="s">
        <v>561</v>
      </c>
      <c r="C1418" s="181">
        <v>1.6777216E7</v>
      </c>
      <c r="D1418" s="181">
        <v>24.0</v>
      </c>
      <c r="E1418" s="181">
        <v>139.82</v>
      </c>
      <c r="F1418" s="181">
        <v>120.0</v>
      </c>
      <c r="G1418" s="181">
        <v>229.99</v>
      </c>
      <c r="H1418" s="828">
        <v>46096.0</v>
      </c>
      <c r="I1418" s="829">
        <f t="shared" si="1"/>
        <v>17.86462815</v>
      </c>
      <c r="J1418" s="830">
        <f t="shared" si="2"/>
        <v>0.1277687609</v>
      </c>
      <c r="K1418" s="830"/>
    </row>
    <row r="1419">
      <c r="A1419" s="181" t="s">
        <v>523</v>
      </c>
      <c r="B1419" s="181" t="s">
        <v>561</v>
      </c>
      <c r="C1419" s="181">
        <v>3.3554432E7</v>
      </c>
      <c r="D1419" s="181">
        <v>24.0</v>
      </c>
      <c r="E1419" s="181">
        <v>210.98</v>
      </c>
      <c r="F1419" s="181">
        <v>159.04</v>
      </c>
      <c r="G1419" s="181">
        <v>304.83</v>
      </c>
      <c r="H1419" s="828">
        <v>46096.0</v>
      </c>
      <c r="I1419" s="829">
        <f t="shared" si="1"/>
        <v>35.7292563</v>
      </c>
      <c r="J1419" s="830">
        <f t="shared" si="2"/>
        <v>0.1693490203</v>
      </c>
      <c r="K1419" s="830"/>
    </row>
    <row r="1420">
      <c r="A1420" s="181" t="s">
        <v>523</v>
      </c>
      <c r="B1420" s="181" t="s">
        <v>561</v>
      </c>
      <c r="C1420" s="181">
        <v>6.7108864E7</v>
      </c>
      <c r="D1420" s="181">
        <v>24.0</v>
      </c>
      <c r="E1420" s="181">
        <v>324.42</v>
      </c>
      <c r="F1420" s="181">
        <v>206.86</v>
      </c>
      <c r="G1420" s="181">
        <v>396.48</v>
      </c>
      <c r="H1420" s="828">
        <v>46096.0</v>
      </c>
      <c r="I1420" s="829">
        <f t="shared" si="1"/>
        <v>71.45851259</v>
      </c>
      <c r="J1420" s="830">
        <f t="shared" si="2"/>
        <v>0.2202654355</v>
      </c>
      <c r="K1420" s="830"/>
    </row>
    <row r="1421">
      <c r="A1421" s="181" t="s">
        <v>523</v>
      </c>
      <c r="B1421" s="181" t="s">
        <v>561</v>
      </c>
      <c r="C1421" s="181">
        <v>1.34217728E8</v>
      </c>
      <c r="D1421" s="181">
        <v>24.0</v>
      </c>
      <c r="E1421" s="181">
        <v>521.05</v>
      </c>
      <c r="F1421" s="181">
        <v>257.59</v>
      </c>
      <c r="G1421" s="181">
        <v>493.71</v>
      </c>
      <c r="H1421" s="828">
        <v>46096.0</v>
      </c>
      <c r="I1421" s="829">
        <f t="shared" si="1"/>
        <v>142.9170252</v>
      </c>
      <c r="J1421" s="830">
        <f t="shared" si="2"/>
        <v>0.2742865851</v>
      </c>
      <c r="K1421" s="830"/>
    </row>
    <row r="1422">
      <c r="A1422" s="181" t="s">
        <v>523</v>
      </c>
      <c r="B1422" s="181" t="s">
        <v>561</v>
      </c>
      <c r="C1422" s="181">
        <v>2.68435456E8</v>
      </c>
      <c r="D1422" s="181">
        <v>24.0</v>
      </c>
      <c r="E1422" s="181">
        <v>927.81</v>
      </c>
      <c r="F1422" s="181">
        <v>289.32</v>
      </c>
      <c r="G1422" s="181">
        <v>554.53</v>
      </c>
      <c r="H1422" s="828">
        <v>46096.0</v>
      </c>
      <c r="I1422" s="829">
        <f t="shared" si="1"/>
        <v>285.8340504</v>
      </c>
      <c r="J1422" s="830">
        <f t="shared" si="2"/>
        <v>0.3080739056</v>
      </c>
      <c r="K1422" s="830"/>
    </row>
    <row r="1423">
      <c r="A1423" s="181" t="s">
        <v>523</v>
      </c>
      <c r="B1423" s="181" t="s">
        <v>561</v>
      </c>
      <c r="C1423" s="181">
        <v>5.36870912E8</v>
      </c>
      <c r="D1423" s="181">
        <v>24.0</v>
      </c>
      <c r="E1423" s="181">
        <v>1457.55</v>
      </c>
      <c r="F1423" s="181">
        <v>368.34</v>
      </c>
      <c r="G1423" s="181">
        <v>705.98</v>
      </c>
      <c r="H1423" s="828">
        <v>46096.0</v>
      </c>
      <c r="I1423" s="829">
        <f t="shared" si="1"/>
        <v>571.6681007</v>
      </c>
      <c r="J1423" s="830">
        <f t="shared" si="2"/>
        <v>0.3922116571</v>
      </c>
      <c r="K1423" s="830"/>
    </row>
    <row r="1424">
      <c r="A1424" s="181" t="s">
        <v>523</v>
      </c>
      <c r="B1424" s="181" t="s">
        <v>561</v>
      </c>
      <c r="C1424" s="181">
        <v>1.073741824E9</v>
      </c>
      <c r="D1424" s="181">
        <v>24.0</v>
      </c>
      <c r="E1424" s="181">
        <v>2657.48</v>
      </c>
      <c r="F1424" s="181">
        <v>404.05</v>
      </c>
      <c r="G1424" s="181">
        <v>774.42</v>
      </c>
      <c r="H1424" s="828">
        <v>46096.0</v>
      </c>
      <c r="I1424" s="829">
        <f t="shared" si="1"/>
        <v>1143.336201</v>
      </c>
      <c r="J1424" s="830">
        <f t="shared" si="2"/>
        <v>0.430233229</v>
      </c>
      <c r="K1424" s="830"/>
    </row>
    <row r="1425">
      <c r="A1425" s="181" t="s">
        <v>523</v>
      </c>
      <c r="B1425" s="181" t="s">
        <v>561</v>
      </c>
      <c r="C1425" s="181">
        <v>2.147483648E9</v>
      </c>
      <c r="D1425" s="181">
        <v>24.0</v>
      </c>
      <c r="E1425" s="181">
        <v>5005.28</v>
      </c>
      <c r="F1425" s="181">
        <v>429.04</v>
      </c>
      <c r="G1425" s="181">
        <v>822.33</v>
      </c>
      <c r="H1425" s="828">
        <v>46096.0</v>
      </c>
      <c r="I1425" s="829">
        <f t="shared" si="1"/>
        <v>2286.672403</v>
      </c>
      <c r="J1425" s="830">
        <f t="shared" si="2"/>
        <v>0.4568520448</v>
      </c>
      <c r="K1425" s="830"/>
    </row>
    <row r="1426">
      <c r="A1426" s="181" t="s">
        <v>523</v>
      </c>
      <c r="B1426" s="181" t="s">
        <v>561</v>
      </c>
      <c r="C1426" s="181">
        <v>4.294967296E9</v>
      </c>
      <c r="D1426" s="181">
        <v>24.0</v>
      </c>
      <c r="E1426" s="181">
        <v>9729.86</v>
      </c>
      <c r="F1426" s="181">
        <v>441.42</v>
      </c>
      <c r="G1426" s="181">
        <v>846.06</v>
      </c>
      <c r="H1426" s="828">
        <v>46096.0</v>
      </c>
      <c r="I1426" s="829">
        <f t="shared" si="1"/>
        <v>4573.344806</v>
      </c>
      <c r="J1426" s="830">
        <f t="shared" si="2"/>
        <v>0.470031923</v>
      </c>
      <c r="K1426" s="830"/>
    </row>
    <row r="1427">
      <c r="A1427" s="181" t="s">
        <v>523</v>
      </c>
      <c r="B1427" s="181" t="s">
        <v>561</v>
      </c>
      <c r="C1427" s="181">
        <v>8.589934592E9</v>
      </c>
      <c r="D1427" s="181">
        <v>24.0</v>
      </c>
      <c r="E1427" s="181">
        <v>18379.6</v>
      </c>
      <c r="F1427" s="181">
        <v>467.36</v>
      </c>
      <c r="G1427" s="181">
        <v>895.78</v>
      </c>
      <c r="H1427" s="828">
        <v>46096.0</v>
      </c>
      <c r="I1427" s="829">
        <f t="shared" si="1"/>
        <v>9146.689612</v>
      </c>
      <c r="J1427" s="830">
        <f t="shared" si="2"/>
        <v>0.4976544436</v>
      </c>
      <c r="K1427" s="830"/>
    </row>
    <row r="1428">
      <c r="A1428" s="181" t="s">
        <v>523</v>
      </c>
      <c r="B1428" s="181" t="s">
        <v>561</v>
      </c>
      <c r="C1428" s="181">
        <v>1.7179869184E10</v>
      </c>
      <c r="D1428" s="181">
        <v>24.0</v>
      </c>
      <c r="E1428" s="181">
        <v>35977.7</v>
      </c>
      <c r="F1428" s="181">
        <v>477.51</v>
      </c>
      <c r="G1428" s="181">
        <v>915.24</v>
      </c>
      <c r="H1428" s="828">
        <v>46096.0</v>
      </c>
      <c r="I1428" s="829">
        <f t="shared" si="1"/>
        <v>18293.37922</v>
      </c>
      <c r="J1428" s="830">
        <f t="shared" si="2"/>
        <v>0.5084643883</v>
      </c>
      <c r="K1428" s="830"/>
    </row>
    <row r="1429">
      <c r="A1429" s="181" t="s">
        <v>523</v>
      </c>
      <c r="B1429" s="181" t="s">
        <v>561</v>
      </c>
      <c r="C1429" s="181">
        <v>256.0</v>
      </c>
      <c r="D1429" s="181">
        <v>26.0</v>
      </c>
      <c r="E1429" s="181">
        <v>53.63</v>
      </c>
      <c r="F1429" s="181">
        <v>0.0</v>
      </c>
      <c r="G1429" s="181">
        <v>0.01</v>
      </c>
      <c r="H1429" s="828">
        <v>46096.0</v>
      </c>
      <c r="I1429" s="829">
        <f t="shared" si="1"/>
        <v>0.0002735042735</v>
      </c>
      <c r="J1429" s="830">
        <f t="shared" si="2"/>
        <v>0.000005099837283</v>
      </c>
      <c r="K1429" s="830"/>
    </row>
    <row r="1430">
      <c r="A1430" s="181" t="s">
        <v>523</v>
      </c>
      <c r="B1430" s="181" t="s">
        <v>561</v>
      </c>
      <c r="C1430" s="181">
        <v>512.0</v>
      </c>
      <c r="D1430" s="181">
        <v>26.0</v>
      </c>
      <c r="E1430" s="181">
        <v>52.82</v>
      </c>
      <c r="F1430" s="181">
        <v>0.01</v>
      </c>
      <c r="G1430" s="181">
        <v>0.02</v>
      </c>
      <c r="H1430" s="828">
        <v>46096.0</v>
      </c>
      <c r="I1430" s="829">
        <f t="shared" si="1"/>
        <v>0.000547008547</v>
      </c>
      <c r="J1430" s="830">
        <f t="shared" si="2"/>
        <v>0.0000103560876</v>
      </c>
      <c r="K1430" s="830"/>
    </row>
    <row r="1431">
      <c r="A1431" s="181" t="s">
        <v>523</v>
      </c>
      <c r="B1431" s="181" t="s">
        <v>561</v>
      </c>
      <c r="C1431" s="181">
        <v>1024.0</v>
      </c>
      <c r="D1431" s="181">
        <v>26.0</v>
      </c>
      <c r="E1431" s="181">
        <v>53.67</v>
      </c>
      <c r="F1431" s="181">
        <v>0.02</v>
      </c>
      <c r="G1431" s="181">
        <v>0.04</v>
      </c>
      <c r="H1431" s="828">
        <v>46096.0</v>
      </c>
      <c r="I1431" s="829">
        <f t="shared" si="1"/>
        <v>0.001094017094</v>
      </c>
      <c r="J1431" s="830">
        <f t="shared" si="2"/>
        <v>0.00002038414559</v>
      </c>
      <c r="K1431" s="830"/>
    </row>
    <row r="1432">
      <c r="A1432" s="181" t="s">
        <v>523</v>
      </c>
      <c r="B1432" s="181" t="s">
        <v>561</v>
      </c>
      <c r="C1432" s="181">
        <v>2048.0</v>
      </c>
      <c r="D1432" s="181">
        <v>26.0</v>
      </c>
      <c r="E1432" s="181">
        <v>52.82</v>
      </c>
      <c r="F1432" s="181">
        <v>0.04</v>
      </c>
      <c r="G1432" s="181">
        <v>0.07</v>
      </c>
      <c r="H1432" s="828">
        <v>46096.0</v>
      </c>
      <c r="I1432" s="829">
        <f t="shared" si="1"/>
        <v>0.002188034188</v>
      </c>
      <c r="J1432" s="830">
        <f t="shared" si="2"/>
        <v>0.0000414243504</v>
      </c>
      <c r="K1432" s="830"/>
    </row>
    <row r="1433">
      <c r="A1433" s="181" t="s">
        <v>523</v>
      </c>
      <c r="B1433" s="181" t="s">
        <v>561</v>
      </c>
      <c r="C1433" s="181">
        <v>4096.0</v>
      </c>
      <c r="D1433" s="181">
        <v>26.0</v>
      </c>
      <c r="E1433" s="181">
        <v>52.62</v>
      </c>
      <c r="F1433" s="181">
        <v>0.08</v>
      </c>
      <c r="G1433" s="181">
        <v>0.15</v>
      </c>
      <c r="H1433" s="828">
        <v>46096.0</v>
      </c>
      <c r="I1433" s="829">
        <f t="shared" si="1"/>
        <v>0.004376068376</v>
      </c>
      <c r="J1433" s="830">
        <f t="shared" si="2"/>
        <v>0.00008316359514</v>
      </c>
      <c r="K1433" s="830"/>
    </row>
    <row r="1434">
      <c r="A1434" s="181" t="s">
        <v>523</v>
      </c>
      <c r="B1434" s="181" t="s">
        <v>561</v>
      </c>
      <c r="C1434" s="181">
        <v>8192.0</v>
      </c>
      <c r="D1434" s="181">
        <v>26.0</v>
      </c>
      <c r="E1434" s="181">
        <v>51.35</v>
      </c>
      <c r="F1434" s="181">
        <v>0.16</v>
      </c>
      <c r="G1434" s="181">
        <v>0.31</v>
      </c>
      <c r="H1434" s="828">
        <v>46096.0</v>
      </c>
      <c r="I1434" s="829">
        <f t="shared" si="1"/>
        <v>0.008752136752</v>
      </c>
      <c r="J1434" s="830">
        <f t="shared" si="2"/>
        <v>0.0001704408326</v>
      </c>
      <c r="K1434" s="830"/>
    </row>
    <row r="1435">
      <c r="A1435" s="181" t="s">
        <v>523</v>
      </c>
      <c r="B1435" s="181" t="s">
        <v>561</v>
      </c>
      <c r="C1435" s="181">
        <v>16384.0</v>
      </c>
      <c r="D1435" s="181">
        <v>26.0</v>
      </c>
      <c r="E1435" s="181">
        <v>53.35</v>
      </c>
      <c r="F1435" s="181">
        <v>0.31</v>
      </c>
      <c r="G1435" s="181">
        <v>0.59</v>
      </c>
      <c r="H1435" s="828">
        <v>46096.0</v>
      </c>
      <c r="I1435" s="829">
        <f t="shared" si="1"/>
        <v>0.0175042735</v>
      </c>
      <c r="J1435" s="830">
        <f t="shared" si="2"/>
        <v>0.0003281025961</v>
      </c>
      <c r="K1435" s="830"/>
    </row>
    <row r="1436">
      <c r="A1436" s="181" t="s">
        <v>523</v>
      </c>
      <c r="B1436" s="181" t="s">
        <v>561</v>
      </c>
      <c r="C1436" s="181">
        <v>32768.0</v>
      </c>
      <c r="D1436" s="181">
        <v>26.0</v>
      </c>
      <c r="E1436" s="181">
        <v>53.96</v>
      </c>
      <c r="F1436" s="181">
        <v>0.61</v>
      </c>
      <c r="G1436" s="181">
        <v>1.17</v>
      </c>
      <c r="H1436" s="828">
        <v>46096.0</v>
      </c>
      <c r="I1436" s="829">
        <f t="shared" si="1"/>
        <v>0.03500854701</v>
      </c>
      <c r="J1436" s="830">
        <f t="shared" si="2"/>
        <v>0.0006487870091</v>
      </c>
      <c r="K1436" s="830"/>
    </row>
    <row r="1437">
      <c r="A1437" s="181" t="s">
        <v>523</v>
      </c>
      <c r="B1437" s="181" t="s">
        <v>561</v>
      </c>
      <c r="C1437" s="181">
        <v>65536.0</v>
      </c>
      <c r="D1437" s="181">
        <v>26.0</v>
      </c>
      <c r="E1437" s="181">
        <v>58.68</v>
      </c>
      <c r="F1437" s="181">
        <v>1.12</v>
      </c>
      <c r="G1437" s="181">
        <v>2.15</v>
      </c>
      <c r="H1437" s="828">
        <v>46096.0</v>
      </c>
      <c r="I1437" s="829">
        <f t="shared" si="1"/>
        <v>0.07001709402</v>
      </c>
      <c r="J1437" s="830">
        <f t="shared" si="2"/>
        <v>0.001193202011</v>
      </c>
      <c r="K1437" s="830"/>
    </row>
    <row r="1438">
      <c r="A1438" s="181" t="s">
        <v>523</v>
      </c>
      <c r="B1438" s="181" t="s">
        <v>561</v>
      </c>
      <c r="C1438" s="181">
        <v>131072.0</v>
      </c>
      <c r="D1438" s="181">
        <v>26.0</v>
      </c>
      <c r="E1438" s="181">
        <v>62.38</v>
      </c>
      <c r="F1438" s="181">
        <v>2.1</v>
      </c>
      <c r="G1438" s="181">
        <v>4.04</v>
      </c>
      <c r="H1438" s="828">
        <v>46096.0</v>
      </c>
      <c r="I1438" s="829">
        <f t="shared" si="1"/>
        <v>0.140034188</v>
      </c>
      <c r="J1438" s="830">
        <f t="shared" si="2"/>
        <v>0.002244857134</v>
      </c>
      <c r="K1438" s="830"/>
    </row>
    <row r="1439">
      <c r="A1439" s="181" t="s">
        <v>523</v>
      </c>
      <c r="B1439" s="181" t="s">
        <v>561</v>
      </c>
      <c r="C1439" s="181">
        <v>262144.0</v>
      </c>
      <c r="D1439" s="181">
        <v>26.0</v>
      </c>
      <c r="E1439" s="181">
        <v>62.18</v>
      </c>
      <c r="F1439" s="181">
        <v>4.22</v>
      </c>
      <c r="G1439" s="181">
        <v>8.11</v>
      </c>
      <c r="H1439" s="828">
        <v>46096.0</v>
      </c>
      <c r="I1439" s="829">
        <f t="shared" si="1"/>
        <v>0.2800683761</v>
      </c>
      <c r="J1439" s="830">
        <f t="shared" si="2"/>
        <v>0.004504155292</v>
      </c>
      <c r="K1439" s="830"/>
    </row>
    <row r="1440">
      <c r="A1440" s="181" t="s">
        <v>523</v>
      </c>
      <c r="B1440" s="181" t="s">
        <v>561</v>
      </c>
      <c r="C1440" s="181">
        <v>524288.0</v>
      </c>
      <c r="D1440" s="181">
        <v>26.0</v>
      </c>
      <c r="E1440" s="181">
        <v>64.72</v>
      </c>
      <c r="F1440" s="181">
        <v>8.1</v>
      </c>
      <c r="G1440" s="181">
        <v>15.58</v>
      </c>
      <c r="H1440" s="828">
        <v>46096.0</v>
      </c>
      <c r="I1440" s="829">
        <f t="shared" si="1"/>
        <v>0.5601367521</v>
      </c>
      <c r="J1440" s="830">
        <f t="shared" si="2"/>
        <v>0.008654770583</v>
      </c>
      <c r="K1440" s="830"/>
    </row>
    <row r="1441">
      <c r="A1441" s="181" t="s">
        <v>523</v>
      </c>
      <c r="B1441" s="181" t="s">
        <v>561</v>
      </c>
      <c r="C1441" s="181">
        <v>1048576.0</v>
      </c>
      <c r="D1441" s="181">
        <v>26.0</v>
      </c>
      <c r="E1441" s="181">
        <v>65.42</v>
      </c>
      <c r="F1441" s="181">
        <v>16.03</v>
      </c>
      <c r="G1441" s="181">
        <v>30.82</v>
      </c>
      <c r="H1441" s="828">
        <v>46096.0</v>
      </c>
      <c r="I1441" s="829">
        <f t="shared" si="1"/>
        <v>1.120273504</v>
      </c>
      <c r="J1441" s="830">
        <f t="shared" si="2"/>
        <v>0.01712432749</v>
      </c>
      <c r="K1441" s="830"/>
    </row>
    <row r="1442">
      <c r="A1442" s="181" t="s">
        <v>523</v>
      </c>
      <c r="B1442" s="181" t="s">
        <v>561</v>
      </c>
      <c r="C1442" s="181">
        <v>2097152.0</v>
      </c>
      <c r="D1442" s="181">
        <v>26.0</v>
      </c>
      <c r="E1442" s="181">
        <v>68.38</v>
      </c>
      <c r="F1442" s="181">
        <v>30.67</v>
      </c>
      <c r="G1442" s="181">
        <v>58.98</v>
      </c>
      <c r="H1442" s="828">
        <v>46096.0</v>
      </c>
      <c r="I1442" s="829">
        <f t="shared" si="1"/>
        <v>2.240547009</v>
      </c>
      <c r="J1442" s="830">
        <f t="shared" si="2"/>
        <v>0.03276611595</v>
      </c>
      <c r="K1442" s="830"/>
    </row>
    <row r="1443">
      <c r="A1443" s="181" t="s">
        <v>523</v>
      </c>
      <c r="B1443" s="181" t="s">
        <v>561</v>
      </c>
      <c r="C1443" s="181">
        <v>4194304.0</v>
      </c>
      <c r="D1443" s="181">
        <v>26.0</v>
      </c>
      <c r="E1443" s="181">
        <v>76.33</v>
      </c>
      <c r="F1443" s="181">
        <v>54.95</v>
      </c>
      <c r="G1443" s="181">
        <v>105.67</v>
      </c>
      <c r="H1443" s="828">
        <v>46096.0</v>
      </c>
      <c r="I1443" s="829">
        <f t="shared" si="1"/>
        <v>4.481094017</v>
      </c>
      <c r="J1443" s="830">
        <f t="shared" si="2"/>
        <v>0.05870685205</v>
      </c>
      <c r="K1443" s="830"/>
    </row>
    <row r="1444">
      <c r="A1444" s="181" t="s">
        <v>523</v>
      </c>
      <c r="B1444" s="181" t="s">
        <v>561</v>
      </c>
      <c r="C1444" s="181">
        <v>8388608.0</v>
      </c>
      <c r="D1444" s="181">
        <v>26.0</v>
      </c>
      <c r="E1444" s="181">
        <v>100.0</v>
      </c>
      <c r="F1444" s="181">
        <v>83.89</v>
      </c>
      <c r="G1444" s="181">
        <v>161.32</v>
      </c>
      <c r="H1444" s="828">
        <v>46096.0</v>
      </c>
      <c r="I1444" s="829">
        <f t="shared" si="1"/>
        <v>8.962188034</v>
      </c>
      <c r="J1444" s="830">
        <f t="shared" si="2"/>
        <v>0.08962188034</v>
      </c>
      <c r="K1444" s="830"/>
    </row>
    <row r="1445">
      <c r="A1445" s="181" t="s">
        <v>523</v>
      </c>
      <c r="B1445" s="181" t="s">
        <v>561</v>
      </c>
      <c r="C1445" s="181">
        <v>1.6777216E7</v>
      </c>
      <c r="D1445" s="181">
        <v>26.0</v>
      </c>
      <c r="E1445" s="181">
        <v>142.71</v>
      </c>
      <c r="F1445" s="181">
        <v>117.56</v>
      </c>
      <c r="G1445" s="181">
        <v>226.08</v>
      </c>
      <c r="H1445" s="828">
        <v>46096.0</v>
      </c>
      <c r="I1445" s="829">
        <f t="shared" si="1"/>
        <v>17.92437607</v>
      </c>
      <c r="J1445" s="830">
        <f t="shared" si="2"/>
        <v>0.1256000005</v>
      </c>
      <c r="K1445" s="830"/>
    </row>
    <row r="1446">
      <c r="A1446" s="181" t="s">
        <v>523</v>
      </c>
      <c r="B1446" s="181" t="s">
        <v>561</v>
      </c>
      <c r="C1446" s="181">
        <v>3.3554432E7</v>
      </c>
      <c r="D1446" s="181">
        <v>26.0</v>
      </c>
      <c r="E1446" s="181">
        <v>217.09</v>
      </c>
      <c r="F1446" s="181">
        <v>154.57</v>
      </c>
      <c r="G1446" s="181">
        <v>297.24</v>
      </c>
      <c r="H1446" s="828">
        <v>46096.0</v>
      </c>
      <c r="I1446" s="829">
        <f t="shared" si="1"/>
        <v>35.84875214</v>
      </c>
      <c r="J1446" s="830">
        <f t="shared" si="2"/>
        <v>0.1651331344</v>
      </c>
      <c r="K1446" s="830"/>
    </row>
    <row r="1447">
      <c r="A1447" s="181" t="s">
        <v>523</v>
      </c>
      <c r="B1447" s="181" t="s">
        <v>561</v>
      </c>
      <c r="C1447" s="181">
        <v>6.7108864E7</v>
      </c>
      <c r="D1447" s="181">
        <v>26.0</v>
      </c>
      <c r="E1447" s="181">
        <v>334.21</v>
      </c>
      <c r="F1447" s="181">
        <v>200.8</v>
      </c>
      <c r="G1447" s="181">
        <v>386.15</v>
      </c>
      <c r="H1447" s="828">
        <v>46096.0</v>
      </c>
      <c r="I1447" s="829">
        <f t="shared" si="1"/>
        <v>71.69750427</v>
      </c>
      <c r="J1447" s="830">
        <f t="shared" si="2"/>
        <v>0.2145283034</v>
      </c>
      <c r="K1447" s="830"/>
    </row>
    <row r="1448">
      <c r="A1448" s="181" t="s">
        <v>523</v>
      </c>
      <c r="B1448" s="181" t="s">
        <v>561</v>
      </c>
      <c r="C1448" s="181">
        <v>1.34217728E8</v>
      </c>
      <c r="D1448" s="181">
        <v>26.0</v>
      </c>
      <c r="E1448" s="181">
        <v>534.34</v>
      </c>
      <c r="F1448" s="181">
        <v>251.18</v>
      </c>
      <c r="G1448" s="181">
        <v>483.04</v>
      </c>
      <c r="H1448" s="828">
        <v>46096.0</v>
      </c>
      <c r="I1448" s="829">
        <f t="shared" si="1"/>
        <v>143.3950085</v>
      </c>
      <c r="J1448" s="830">
        <f t="shared" si="2"/>
        <v>0.2683591132</v>
      </c>
      <c r="K1448" s="830"/>
    </row>
    <row r="1449">
      <c r="A1449" s="181" t="s">
        <v>523</v>
      </c>
      <c r="B1449" s="181" t="s">
        <v>561</v>
      </c>
      <c r="C1449" s="181">
        <v>2.68435456E8</v>
      </c>
      <c r="D1449" s="181">
        <v>26.0</v>
      </c>
      <c r="E1449" s="181">
        <v>928.02</v>
      </c>
      <c r="F1449" s="181">
        <v>289.25</v>
      </c>
      <c r="G1449" s="181">
        <v>556.26</v>
      </c>
      <c r="H1449" s="828">
        <v>46096.0</v>
      </c>
      <c r="I1449" s="829">
        <f t="shared" si="1"/>
        <v>286.7900171</v>
      </c>
      <c r="J1449" s="830">
        <f t="shared" si="2"/>
        <v>0.3090343065</v>
      </c>
      <c r="K1449" s="830"/>
    </row>
    <row r="1450">
      <c r="A1450" s="181" t="s">
        <v>523</v>
      </c>
      <c r="B1450" s="181" t="s">
        <v>561</v>
      </c>
      <c r="C1450" s="181">
        <v>5.36870912E8</v>
      </c>
      <c r="D1450" s="181">
        <v>26.0</v>
      </c>
      <c r="E1450" s="181">
        <v>1487.89</v>
      </c>
      <c r="F1450" s="181">
        <v>360.83</v>
      </c>
      <c r="G1450" s="181">
        <v>693.9</v>
      </c>
      <c r="H1450" s="828">
        <v>46096.0</v>
      </c>
      <c r="I1450" s="829">
        <f t="shared" si="1"/>
        <v>573.5800342</v>
      </c>
      <c r="J1450" s="830">
        <f t="shared" si="2"/>
        <v>0.385498951</v>
      </c>
      <c r="K1450" s="830"/>
    </row>
    <row r="1451">
      <c r="A1451" s="181" t="s">
        <v>523</v>
      </c>
      <c r="B1451" s="181" t="s">
        <v>561</v>
      </c>
      <c r="C1451" s="181">
        <v>1.073741824E9</v>
      </c>
      <c r="D1451" s="181">
        <v>26.0</v>
      </c>
      <c r="E1451" s="181">
        <v>2683.79</v>
      </c>
      <c r="F1451" s="181">
        <v>400.08</v>
      </c>
      <c r="G1451" s="181">
        <v>769.39</v>
      </c>
      <c r="H1451" s="828">
        <v>46096.0</v>
      </c>
      <c r="I1451" s="829">
        <f t="shared" si="1"/>
        <v>1147.160068</v>
      </c>
      <c r="J1451" s="830">
        <f t="shared" si="2"/>
        <v>0.4274403245</v>
      </c>
      <c r="K1451" s="830"/>
    </row>
    <row r="1452">
      <c r="A1452" s="181" t="s">
        <v>523</v>
      </c>
      <c r="B1452" s="181" t="s">
        <v>561</v>
      </c>
      <c r="C1452" s="181">
        <v>2.147483648E9</v>
      </c>
      <c r="D1452" s="181">
        <v>26.0</v>
      </c>
      <c r="E1452" s="181">
        <v>5028.88</v>
      </c>
      <c r="F1452" s="181">
        <v>427.03</v>
      </c>
      <c r="G1452" s="181">
        <v>821.21</v>
      </c>
      <c r="H1452" s="828">
        <v>46096.0</v>
      </c>
      <c r="I1452" s="829">
        <f t="shared" si="1"/>
        <v>2294.320137</v>
      </c>
      <c r="J1452" s="830">
        <f t="shared" si="2"/>
        <v>0.4562288495</v>
      </c>
      <c r="K1452" s="830"/>
    </row>
    <row r="1453">
      <c r="A1453" s="181" t="s">
        <v>523</v>
      </c>
      <c r="B1453" s="181" t="s">
        <v>561</v>
      </c>
      <c r="C1453" s="181">
        <v>4.294967296E9</v>
      </c>
      <c r="D1453" s="181">
        <v>26.0</v>
      </c>
      <c r="E1453" s="181">
        <v>9777.71</v>
      </c>
      <c r="F1453" s="181">
        <v>439.26</v>
      </c>
      <c r="G1453" s="181">
        <v>844.73</v>
      </c>
      <c r="H1453" s="828">
        <v>46096.0</v>
      </c>
      <c r="I1453" s="829">
        <f t="shared" si="1"/>
        <v>4588.640274</v>
      </c>
      <c r="J1453" s="830">
        <f t="shared" si="2"/>
        <v>0.4692960083</v>
      </c>
      <c r="K1453" s="830"/>
    </row>
    <row r="1454">
      <c r="A1454" s="181" t="s">
        <v>523</v>
      </c>
      <c r="B1454" s="181" t="s">
        <v>561</v>
      </c>
      <c r="C1454" s="181">
        <v>8.589934592E9</v>
      </c>
      <c r="D1454" s="181">
        <v>26.0</v>
      </c>
      <c r="E1454" s="181">
        <v>18470.0</v>
      </c>
      <c r="F1454" s="181">
        <v>465.08</v>
      </c>
      <c r="G1454" s="181">
        <v>894.38</v>
      </c>
      <c r="H1454" s="828">
        <v>46096.0</v>
      </c>
      <c r="I1454" s="829">
        <f t="shared" si="1"/>
        <v>9177.280547</v>
      </c>
      <c r="J1454" s="830">
        <f t="shared" si="2"/>
        <v>0.4968749619</v>
      </c>
      <c r="K1454" s="830"/>
    </row>
    <row r="1455">
      <c r="A1455" s="181" t="s">
        <v>523</v>
      </c>
      <c r="B1455" s="181" t="s">
        <v>561</v>
      </c>
      <c r="C1455" s="181">
        <v>1.7179869184E10</v>
      </c>
      <c r="D1455" s="181">
        <v>26.0</v>
      </c>
      <c r="E1455" s="181">
        <v>36096.4</v>
      </c>
      <c r="F1455" s="181">
        <v>475.94</v>
      </c>
      <c r="G1455" s="181">
        <v>915.28</v>
      </c>
      <c r="H1455" s="828">
        <v>46096.0</v>
      </c>
      <c r="I1455" s="829">
        <f t="shared" si="1"/>
        <v>18354.56109</v>
      </c>
      <c r="J1455" s="830">
        <f t="shared" si="2"/>
        <v>0.5084873033</v>
      </c>
      <c r="K1455" s="830"/>
    </row>
    <row r="1456">
      <c r="A1456" s="181" t="s">
        <v>523</v>
      </c>
      <c r="B1456" s="181" t="s">
        <v>561</v>
      </c>
      <c r="C1456" s="181">
        <v>256.0</v>
      </c>
      <c r="D1456" s="181">
        <v>28.0</v>
      </c>
      <c r="E1456" s="181">
        <v>55.42</v>
      </c>
      <c r="F1456" s="181">
        <v>0.0</v>
      </c>
      <c r="G1456" s="181">
        <v>0.01</v>
      </c>
      <c r="H1456" s="828">
        <v>46096.0</v>
      </c>
      <c r="I1456" s="829">
        <f t="shared" si="1"/>
        <v>0.0002742857143</v>
      </c>
      <c r="J1456" s="830">
        <f t="shared" si="2"/>
        <v>0.000004949218951</v>
      </c>
      <c r="K1456" s="830"/>
    </row>
    <row r="1457">
      <c r="A1457" s="181" t="s">
        <v>523</v>
      </c>
      <c r="B1457" s="181" t="s">
        <v>561</v>
      </c>
      <c r="C1457" s="181">
        <v>512.0</v>
      </c>
      <c r="D1457" s="181">
        <v>28.0</v>
      </c>
      <c r="E1457" s="181">
        <v>54.88</v>
      </c>
      <c r="F1457" s="181">
        <v>0.01</v>
      </c>
      <c r="G1457" s="181">
        <v>0.02</v>
      </c>
      <c r="H1457" s="828">
        <v>46096.0</v>
      </c>
      <c r="I1457" s="829">
        <f t="shared" si="1"/>
        <v>0.0005485714286</v>
      </c>
      <c r="J1457" s="830">
        <f t="shared" si="2"/>
        <v>0.000009995835069</v>
      </c>
      <c r="K1457" s="830"/>
    </row>
    <row r="1458">
      <c r="A1458" s="181" t="s">
        <v>523</v>
      </c>
      <c r="B1458" s="181" t="s">
        <v>561</v>
      </c>
      <c r="C1458" s="181">
        <v>1024.0</v>
      </c>
      <c r="D1458" s="181">
        <v>28.0</v>
      </c>
      <c r="E1458" s="181">
        <v>54.25</v>
      </c>
      <c r="F1458" s="181">
        <v>0.02</v>
      </c>
      <c r="G1458" s="181">
        <v>0.04</v>
      </c>
      <c r="H1458" s="828">
        <v>46096.0</v>
      </c>
      <c r="I1458" s="829">
        <f t="shared" si="1"/>
        <v>0.001097142857</v>
      </c>
      <c r="J1458" s="830">
        <f t="shared" si="2"/>
        <v>0.00002022383147</v>
      </c>
      <c r="K1458" s="830"/>
    </row>
    <row r="1459">
      <c r="A1459" s="181" t="s">
        <v>523</v>
      </c>
      <c r="B1459" s="181" t="s">
        <v>561</v>
      </c>
      <c r="C1459" s="181">
        <v>2048.0</v>
      </c>
      <c r="D1459" s="181">
        <v>28.0</v>
      </c>
      <c r="E1459" s="181">
        <v>55.79</v>
      </c>
      <c r="F1459" s="181">
        <v>0.04</v>
      </c>
      <c r="G1459" s="181">
        <v>0.07</v>
      </c>
      <c r="H1459" s="828">
        <v>46096.0</v>
      </c>
      <c r="I1459" s="829">
        <f t="shared" si="1"/>
        <v>0.002194285714</v>
      </c>
      <c r="J1459" s="830">
        <f t="shared" si="2"/>
        <v>0.00003933116534</v>
      </c>
      <c r="K1459" s="830"/>
    </row>
    <row r="1460">
      <c r="A1460" s="181" t="s">
        <v>523</v>
      </c>
      <c r="B1460" s="181" t="s">
        <v>561</v>
      </c>
      <c r="C1460" s="181">
        <v>4096.0</v>
      </c>
      <c r="D1460" s="181">
        <v>28.0</v>
      </c>
      <c r="E1460" s="181">
        <v>53.83</v>
      </c>
      <c r="F1460" s="181">
        <v>0.08</v>
      </c>
      <c r="G1460" s="181">
        <v>0.15</v>
      </c>
      <c r="H1460" s="828">
        <v>46096.0</v>
      </c>
      <c r="I1460" s="829">
        <f t="shared" si="1"/>
        <v>0.004388571429</v>
      </c>
      <c r="J1460" s="830">
        <f t="shared" si="2"/>
        <v>0.00008152649877</v>
      </c>
      <c r="K1460" s="830"/>
    </row>
    <row r="1461">
      <c r="A1461" s="181" t="s">
        <v>523</v>
      </c>
      <c r="B1461" s="181" t="s">
        <v>561</v>
      </c>
      <c r="C1461" s="181">
        <v>8192.0</v>
      </c>
      <c r="D1461" s="181">
        <v>28.0</v>
      </c>
      <c r="E1461" s="181">
        <v>54.41</v>
      </c>
      <c r="F1461" s="181">
        <v>0.15</v>
      </c>
      <c r="G1461" s="181">
        <v>0.29</v>
      </c>
      <c r="H1461" s="828">
        <v>46096.0</v>
      </c>
      <c r="I1461" s="829">
        <f t="shared" si="1"/>
        <v>0.008777142857</v>
      </c>
      <c r="J1461" s="830">
        <f t="shared" si="2"/>
        <v>0.0001613148843</v>
      </c>
      <c r="K1461" s="830"/>
    </row>
    <row r="1462">
      <c r="A1462" s="181" t="s">
        <v>523</v>
      </c>
      <c r="B1462" s="181" t="s">
        <v>561</v>
      </c>
      <c r="C1462" s="181">
        <v>16384.0</v>
      </c>
      <c r="D1462" s="181">
        <v>28.0</v>
      </c>
      <c r="E1462" s="181">
        <v>54.84</v>
      </c>
      <c r="F1462" s="181">
        <v>0.3</v>
      </c>
      <c r="G1462" s="181">
        <v>0.58</v>
      </c>
      <c r="H1462" s="828">
        <v>46096.0</v>
      </c>
      <c r="I1462" s="829">
        <f t="shared" si="1"/>
        <v>0.01755428571</v>
      </c>
      <c r="J1462" s="830">
        <f t="shared" si="2"/>
        <v>0.0003201000313</v>
      </c>
      <c r="K1462" s="830"/>
    </row>
    <row r="1463">
      <c r="A1463" s="181" t="s">
        <v>523</v>
      </c>
      <c r="B1463" s="181" t="s">
        <v>561</v>
      </c>
      <c r="C1463" s="181">
        <v>32768.0</v>
      </c>
      <c r="D1463" s="181">
        <v>28.0</v>
      </c>
      <c r="E1463" s="181">
        <v>54.02</v>
      </c>
      <c r="F1463" s="181">
        <v>0.61</v>
      </c>
      <c r="G1463" s="181">
        <v>1.17</v>
      </c>
      <c r="H1463" s="828">
        <v>46096.0</v>
      </c>
      <c r="I1463" s="829">
        <f t="shared" si="1"/>
        <v>0.03510857143</v>
      </c>
      <c r="J1463" s="830">
        <f t="shared" si="2"/>
        <v>0.0006499180198</v>
      </c>
      <c r="K1463" s="830"/>
    </row>
    <row r="1464">
      <c r="A1464" s="181" t="s">
        <v>523</v>
      </c>
      <c r="B1464" s="181" t="s">
        <v>561</v>
      </c>
      <c r="C1464" s="181">
        <v>65536.0</v>
      </c>
      <c r="D1464" s="181">
        <v>28.0</v>
      </c>
      <c r="E1464" s="181">
        <v>60.23</v>
      </c>
      <c r="F1464" s="181">
        <v>1.09</v>
      </c>
      <c r="G1464" s="181">
        <v>2.1</v>
      </c>
      <c r="H1464" s="828">
        <v>46096.0</v>
      </c>
      <c r="I1464" s="829">
        <f t="shared" si="1"/>
        <v>0.07021714286</v>
      </c>
      <c r="J1464" s="830">
        <f t="shared" si="2"/>
        <v>0.00116581675</v>
      </c>
      <c r="K1464" s="830"/>
    </row>
    <row r="1465">
      <c r="A1465" s="181" t="s">
        <v>523</v>
      </c>
      <c r="B1465" s="181" t="s">
        <v>561</v>
      </c>
      <c r="C1465" s="181">
        <v>131072.0</v>
      </c>
      <c r="D1465" s="181">
        <v>28.0</v>
      </c>
      <c r="E1465" s="181">
        <v>62.37</v>
      </c>
      <c r="F1465" s="181">
        <v>2.1</v>
      </c>
      <c r="G1465" s="181">
        <v>4.05</v>
      </c>
      <c r="H1465" s="828">
        <v>46096.0</v>
      </c>
      <c r="I1465" s="829">
        <f t="shared" si="1"/>
        <v>0.1404342857</v>
      </c>
      <c r="J1465" s="830">
        <f t="shared" si="2"/>
        <v>0.002251631966</v>
      </c>
      <c r="K1465" s="830"/>
    </row>
    <row r="1466">
      <c r="A1466" s="181" t="s">
        <v>523</v>
      </c>
      <c r="B1466" s="181" t="s">
        <v>561</v>
      </c>
      <c r="C1466" s="181">
        <v>262144.0</v>
      </c>
      <c r="D1466" s="181">
        <v>28.0</v>
      </c>
      <c r="E1466" s="181">
        <v>63.93</v>
      </c>
      <c r="F1466" s="181">
        <v>4.1</v>
      </c>
      <c r="G1466" s="181">
        <v>7.91</v>
      </c>
      <c r="H1466" s="828">
        <v>46096.0</v>
      </c>
      <c r="I1466" s="829">
        <f t="shared" si="1"/>
        <v>0.2808685714</v>
      </c>
      <c r="J1466" s="830">
        <f t="shared" si="2"/>
        <v>0.004393376684</v>
      </c>
      <c r="K1466" s="830"/>
    </row>
    <row r="1467">
      <c r="A1467" s="181" t="s">
        <v>523</v>
      </c>
      <c r="B1467" s="181" t="s">
        <v>561</v>
      </c>
      <c r="C1467" s="181">
        <v>524288.0</v>
      </c>
      <c r="D1467" s="181">
        <v>28.0</v>
      </c>
      <c r="E1467" s="181">
        <v>66.73</v>
      </c>
      <c r="F1467" s="181">
        <v>7.86</v>
      </c>
      <c r="G1467" s="181">
        <v>15.15</v>
      </c>
      <c r="H1467" s="828">
        <v>46096.0</v>
      </c>
      <c r="I1467" s="829">
        <f t="shared" si="1"/>
        <v>0.5617371429</v>
      </c>
      <c r="J1467" s="830">
        <f t="shared" si="2"/>
        <v>0.008418059986</v>
      </c>
      <c r="K1467" s="830"/>
    </row>
    <row r="1468">
      <c r="A1468" s="181" t="s">
        <v>523</v>
      </c>
      <c r="B1468" s="181" t="s">
        <v>561</v>
      </c>
      <c r="C1468" s="181">
        <v>1048576.0</v>
      </c>
      <c r="D1468" s="181">
        <v>28.0</v>
      </c>
      <c r="E1468" s="181">
        <v>67.06</v>
      </c>
      <c r="F1468" s="181">
        <v>15.64</v>
      </c>
      <c r="G1468" s="181">
        <v>30.16</v>
      </c>
      <c r="H1468" s="828">
        <v>46096.0</v>
      </c>
      <c r="I1468" s="829">
        <f t="shared" si="1"/>
        <v>1.123474286</v>
      </c>
      <c r="J1468" s="830">
        <f t="shared" si="2"/>
        <v>0.01675326999</v>
      </c>
      <c r="K1468" s="830"/>
    </row>
    <row r="1469">
      <c r="A1469" s="181" t="s">
        <v>523</v>
      </c>
      <c r="B1469" s="181" t="s">
        <v>561</v>
      </c>
      <c r="C1469" s="181">
        <v>2097152.0</v>
      </c>
      <c r="D1469" s="181">
        <v>28.0</v>
      </c>
      <c r="E1469" s="181">
        <v>69.82</v>
      </c>
      <c r="F1469" s="181">
        <v>30.04</v>
      </c>
      <c r="G1469" s="181">
        <v>57.93</v>
      </c>
      <c r="H1469" s="828">
        <v>46096.0</v>
      </c>
      <c r="I1469" s="829">
        <f t="shared" si="1"/>
        <v>2.246948571</v>
      </c>
      <c r="J1469" s="830">
        <f t="shared" si="2"/>
        <v>0.03218201907</v>
      </c>
      <c r="K1469" s="830"/>
    </row>
    <row r="1470">
      <c r="A1470" s="181" t="s">
        <v>523</v>
      </c>
      <c r="B1470" s="181" t="s">
        <v>561</v>
      </c>
      <c r="C1470" s="181">
        <v>4194304.0</v>
      </c>
      <c r="D1470" s="181">
        <v>28.0</v>
      </c>
      <c r="E1470" s="181">
        <v>77.94</v>
      </c>
      <c r="F1470" s="181">
        <v>53.82</v>
      </c>
      <c r="G1470" s="181">
        <v>103.79</v>
      </c>
      <c r="H1470" s="828">
        <v>46096.0</v>
      </c>
      <c r="I1470" s="829">
        <f t="shared" si="1"/>
        <v>4.493897143</v>
      </c>
      <c r="J1470" s="830">
        <f t="shared" si="2"/>
        <v>0.05765841856</v>
      </c>
      <c r="K1470" s="830"/>
    </row>
    <row r="1471">
      <c r="A1471" s="181" t="s">
        <v>523</v>
      </c>
      <c r="B1471" s="181" t="s">
        <v>561</v>
      </c>
      <c r="C1471" s="181">
        <v>8388608.0</v>
      </c>
      <c r="D1471" s="181">
        <v>28.0</v>
      </c>
      <c r="E1471" s="181">
        <v>101.15</v>
      </c>
      <c r="F1471" s="181">
        <v>82.93</v>
      </c>
      <c r="G1471" s="181">
        <v>159.94</v>
      </c>
      <c r="H1471" s="828">
        <v>46096.0</v>
      </c>
      <c r="I1471" s="829">
        <f t="shared" si="1"/>
        <v>8.987794286</v>
      </c>
      <c r="J1471" s="830">
        <f t="shared" si="2"/>
        <v>0.08885609773</v>
      </c>
      <c r="K1471" s="830"/>
    </row>
    <row r="1472">
      <c r="A1472" s="181" t="s">
        <v>523</v>
      </c>
      <c r="B1472" s="181" t="s">
        <v>561</v>
      </c>
      <c r="C1472" s="181">
        <v>1.6777216E7</v>
      </c>
      <c r="D1472" s="181">
        <v>28.0</v>
      </c>
      <c r="E1472" s="181">
        <v>144.84</v>
      </c>
      <c r="F1472" s="181">
        <v>115.83</v>
      </c>
      <c r="G1472" s="181">
        <v>223.39</v>
      </c>
      <c r="H1472" s="828">
        <v>46096.0</v>
      </c>
      <c r="I1472" s="829">
        <f t="shared" si="1"/>
        <v>17.97558857</v>
      </c>
      <c r="J1472" s="830">
        <f t="shared" si="2"/>
        <v>0.1241065215</v>
      </c>
      <c r="K1472" s="830"/>
    </row>
    <row r="1473">
      <c r="A1473" s="181" t="s">
        <v>523</v>
      </c>
      <c r="B1473" s="181" t="s">
        <v>561</v>
      </c>
      <c r="C1473" s="181">
        <v>3.3554432E7</v>
      </c>
      <c r="D1473" s="181">
        <v>28.0</v>
      </c>
      <c r="E1473" s="181">
        <v>226.33</v>
      </c>
      <c r="F1473" s="181">
        <v>148.26</v>
      </c>
      <c r="G1473" s="181">
        <v>285.92</v>
      </c>
      <c r="H1473" s="828">
        <v>46096.0</v>
      </c>
      <c r="I1473" s="829">
        <f t="shared" si="1"/>
        <v>35.95117714</v>
      </c>
      <c r="J1473" s="830">
        <f t="shared" si="2"/>
        <v>0.1588440646</v>
      </c>
      <c r="K1473" s="830"/>
    </row>
    <row r="1474">
      <c r="A1474" s="181" t="s">
        <v>523</v>
      </c>
      <c r="B1474" s="181" t="s">
        <v>561</v>
      </c>
      <c r="C1474" s="181">
        <v>6.7108864E7</v>
      </c>
      <c r="D1474" s="181">
        <v>28.0</v>
      </c>
      <c r="E1474" s="181">
        <v>343.79</v>
      </c>
      <c r="F1474" s="181">
        <v>195.2</v>
      </c>
      <c r="G1474" s="181">
        <v>376.46</v>
      </c>
      <c r="H1474" s="828">
        <v>46096.0</v>
      </c>
      <c r="I1474" s="829">
        <f t="shared" si="1"/>
        <v>71.90235429</v>
      </c>
      <c r="J1474" s="830">
        <f t="shared" si="2"/>
        <v>0.2091461482</v>
      </c>
      <c r="K1474" s="830"/>
    </row>
    <row r="1475">
      <c r="A1475" s="181" t="s">
        <v>523</v>
      </c>
      <c r="B1475" s="181" t="s">
        <v>561</v>
      </c>
      <c r="C1475" s="181">
        <v>1.34217728E8</v>
      </c>
      <c r="D1475" s="181">
        <v>28.0</v>
      </c>
      <c r="E1475" s="181">
        <v>548.41</v>
      </c>
      <c r="F1475" s="181">
        <v>244.74</v>
      </c>
      <c r="G1475" s="181">
        <v>472.0</v>
      </c>
      <c r="H1475" s="828">
        <v>46096.0</v>
      </c>
      <c r="I1475" s="829">
        <f t="shared" si="1"/>
        <v>143.8047086</v>
      </c>
      <c r="J1475" s="830">
        <f t="shared" si="2"/>
        <v>0.262221164</v>
      </c>
      <c r="K1475" s="830"/>
    </row>
    <row r="1476">
      <c r="A1476" s="181" t="s">
        <v>523</v>
      </c>
      <c r="B1476" s="181" t="s">
        <v>561</v>
      </c>
      <c r="C1476" s="181">
        <v>2.68435456E8</v>
      </c>
      <c r="D1476" s="181">
        <v>28.0</v>
      </c>
      <c r="E1476" s="181">
        <v>922.28</v>
      </c>
      <c r="F1476" s="181">
        <v>291.06</v>
      </c>
      <c r="G1476" s="181">
        <v>561.32</v>
      </c>
      <c r="H1476" s="828">
        <v>46096.0</v>
      </c>
      <c r="I1476" s="829">
        <f t="shared" si="1"/>
        <v>287.6094171</v>
      </c>
      <c r="J1476" s="830">
        <f t="shared" si="2"/>
        <v>0.3118460957</v>
      </c>
      <c r="K1476" s="830"/>
    </row>
    <row r="1477">
      <c r="A1477" s="181" t="s">
        <v>523</v>
      </c>
      <c r="B1477" s="181" t="s">
        <v>561</v>
      </c>
      <c r="C1477" s="181">
        <v>5.36870912E8</v>
      </c>
      <c r="D1477" s="181">
        <v>28.0</v>
      </c>
      <c r="E1477" s="181">
        <v>1527.69</v>
      </c>
      <c r="F1477" s="181">
        <v>351.43</v>
      </c>
      <c r="G1477" s="181">
        <v>677.75</v>
      </c>
      <c r="H1477" s="828">
        <v>46096.0</v>
      </c>
      <c r="I1477" s="829">
        <f t="shared" si="1"/>
        <v>575.2188343</v>
      </c>
      <c r="J1477" s="830">
        <f t="shared" si="2"/>
        <v>0.3765285066</v>
      </c>
      <c r="K1477" s="830"/>
    </row>
    <row r="1478">
      <c r="A1478" s="181" t="s">
        <v>523</v>
      </c>
      <c r="B1478" s="181" t="s">
        <v>561</v>
      </c>
      <c r="C1478" s="181">
        <v>1.073741824E9</v>
      </c>
      <c r="D1478" s="181">
        <v>28.0</v>
      </c>
      <c r="E1478" s="181">
        <v>2726.56</v>
      </c>
      <c r="F1478" s="181">
        <v>393.81</v>
      </c>
      <c r="G1478" s="181">
        <v>759.49</v>
      </c>
      <c r="H1478" s="828">
        <v>46096.0</v>
      </c>
      <c r="I1478" s="829">
        <f t="shared" si="1"/>
        <v>1150.437669</v>
      </c>
      <c r="J1478" s="830">
        <f t="shared" si="2"/>
        <v>0.4219374115</v>
      </c>
      <c r="K1478" s="830"/>
    </row>
    <row r="1479">
      <c r="A1479" s="181" t="s">
        <v>523</v>
      </c>
      <c r="B1479" s="181" t="s">
        <v>561</v>
      </c>
      <c r="C1479" s="181">
        <v>2.147483648E9</v>
      </c>
      <c r="D1479" s="181">
        <v>28.0</v>
      </c>
      <c r="E1479" s="181">
        <v>5074.79</v>
      </c>
      <c r="F1479" s="181">
        <v>423.17</v>
      </c>
      <c r="G1479" s="181">
        <v>816.11</v>
      </c>
      <c r="H1479" s="828">
        <v>46096.0</v>
      </c>
      <c r="I1479" s="829">
        <f t="shared" si="1"/>
        <v>2300.875337</v>
      </c>
      <c r="J1479" s="830">
        <f t="shared" si="2"/>
        <v>0.4533932118</v>
      </c>
      <c r="K1479" s="830"/>
    </row>
    <row r="1480">
      <c r="A1480" s="181" t="s">
        <v>523</v>
      </c>
      <c r="B1480" s="181" t="s">
        <v>561</v>
      </c>
      <c r="C1480" s="181">
        <v>4.294967296E9</v>
      </c>
      <c r="D1480" s="181">
        <v>28.0</v>
      </c>
      <c r="E1480" s="181">
        <v>9772.27</v>
      </c>
      <c r="F1480" s="181">
        <v>439.51</v>
      </c>
      <c r="G1480" s="181">
        <v>847.62</v>
      </c>
      <c r="H1480" s="828">
        <v>46096.0</v>
      </c>
      <c r="I1480" s="829">
        <f t="shared" si="1"/>
        <v>4601.750674</v>
      </c>
      <c r="J1480" s="830">
        <f t="shared" si="2"/>
        <v>0.4708988469</v>
      </c>
      <c r="K1480" s="830"/>
    </row>
    <row r="1481">
      <c r="A1481" s="181" t="s">
        <v>523</v>
      </c>
      <c r="B1481" s="181" t="s">
        <v>561</v>
      </c>
      <c r="C1481" s="181">
        <v>8.589934592E9</v>
      </c>
      <c r="D1481" s="181">
        <v>28.0</v>
      </c>
      <c r="E1481" s="181">
        <v>18458.2</v>
      </c>
      <c r="F1481" s="181">
        <v>465.37</v>
      </c>
      <c r="G1481" s="181">
        <v>897.5</v>
      </c>
      <c r="H1481" s="828">
        <v>46096.0</v>
      </c>
      <c r="I1481" s="829">
        <f t="shared" si="1"/>
        <v>9203.501349</v>
      </c>
      <c r="J1481" s="830">
        <f t="shared" si="2"/>
        <v>0.4986131556</v>
      </c>
      <c r="K1481" s="830"/>
    </row>
    <row r="1482">
      <c r="A1482" s="181" t="s">
        <v>523</v>
      </c>
      <c r="B1482" s="181" t="s">
        <v>561</v>
      </c>
      <c r="C1482" s="181">
        <v>1.7179869184E10</v>
      </c>
      <c r="D1482" s="181">
        <v>28.0</v>
      </c>
      <c r="E1482" s="181">
        <v>36060.6</v>
      </c>
      <c r="F1482" s="181">
        <v>476.42</v>
      </c>
      <c r="G1482" s="181">
        <v>918.8</v>
      </c>
      <c r="H1482" s="828">
        <v>46096.0</v>
      </c>
      <c r="I1482" s="829">
        <f t="shared" si="1"/>
        <v>18407.0027</v>
      </c>
      <c r="J1482" s="830">
        <f t="shared" si="2"/>
        <v>0.5104463791</v>
      </c>
      <c r="K1482" s="830"/>
    </row>
    <row r="1483">
      <c r="A1483" s="181" t="s">
        <v>523</v>
      </c>
      <c r="B1483" s="181" t="s">
        <v>561</v>
      </c>
      <c r="C1483" s="181">
        <v>256.0</v>
      </c>
      <c r="D1483" s="181">
        <v>30.0</v>
      </c>
      <c r="E1483" s="181">
        <v>56.46</v>
      </c>
      <c r="F1483" s="181">
        <v>0.0</v>
      </c>
      <c r="G1483" s="181">
        <v>0.01</v>
      </c>
      <c r="H1483" s="828">
        <v>46096.0</v>
      </c>
      <c r="I1483" s="829">
        <f t="shared" si="1"/>
        <v>0.000274962963</v>
      </c>
      <c r="J1483" s="830">
        <f t="shared" si="2"/>
        <v>0.000004870048937</v>
      </c>
      <c r="K1483" s="830"/>
    </row>
    <row r="1484">
      <c r="A1484" s="181" t="s">
        <v>523</v>
      </c>
      <c r="B1484" s="181" t="s">
        <v>561</v>
      </c>
      <c r="C1484" s="181">
        <v>512.0</v>
      </c>
      <c r="D1484" s="181">
        <v>30.0</v>
      </c>
      <c r="E1484" s="181">
        <v>56.23</v>
      </c>
      <c r="F1484" s="181">
        <v>0.01</v>
      </c>
      <c r="G1484" s="181">
        <v>0.02</v>
      </c>
      <c r="H1484" s="828">
        <v>46096.0</v>
      </c>
      <c r="I1484" s="829">
        <f t="shared" si="1"/>
        <v>0.0005499259259</v>
      </c>
      <c r="J1484" s="830">
        <f t="shared" si="2"/>
        <v>0.000009779938217</v>
      </c>
      <c r="K1484" s="830"/>
    </row>
    <row r="1485">
      <c r="A1485" s="181" t="s">
        <v>523</v>
      </c>
      <c r="B1485" s="181" t="s">
        <v>561</v>
      </c>
      <c r="C1485" s="181">
        <v>1024.0</v>
      </c>
      <c r="D1485" s="181">
        <v>30.0</v>
      </c>
      <c r="E1485" s="181">
        <v>56.93</v>
      </c>
      <c r="F1485" s="181">
        <v>0.02</v>
      </c>
      <c r="G1485" s="181">
        <v>0.03</v>
      </c>
      <c r="H1485" s="828">
        <v>46096.0</v>
      </c>
      <c r="I1485" s="829">
        <f t="shared" si="1"/>
        <v>0.001099851852</v>
      </c>
      <c r="J1485" s="830">
        <f t="shared" si="2"/>
        <v>0.00001931937207</v>
      </c>
      <c r="K1485" s="830"/>
    </row>
    <row r="1486">
      <c r="A1486" s="181" t="s">
        <v>523</v>
      </c>
      <c r="B1486" s="181" t="s">
        <v>561</v>
      </c>
      <c r="C1486" s="181">
        <v>2048.0</v>
      </c>
      <c r="D1486" s="181">
        <v>30.0</v>
      </c>
      <c r="E1486" s="181">
        <v>55.89</v>
      </c>
      <c r="F1486" s="181">
        <v>0.04</v>
      </c>
      <c r="G1486" s="181">
        <v>0.07</v>
      </c>
      <c r="H1486" s="828">
        <v>46096.0</v>
      </c>
      <c r="I1486" s="829">
        <f t="shared" si="1"/>
        <v>0.002199703704</v>
      </c>
      <c r="J1486" s="830">
        <f t="shared" si="2"/>
        <v>0.00003935773311</v>
      </c>
      <c r="K1486" s="830"/>
    </row>
    <row r="1487">
      <c r="A1487" s="181" t="s">
        <v>523</v>
      </c>
      <c r="B1487" s="181" t="s">
        <v>561</v>
      </c>
      <c r="C1487" s="181">
        <v>4096.0</v>
      </c>
      <c r="D1487" s="181">
        <v>30.0</v>
      </c>
      <c r="E1487" s="181">
        <v>55.65</v>
      </c>
      <c r="F1487" s="181">
        <v>0.07</v>
      </c>
      <c r="G1487" s="181">
        <v>0.14</v>
      </c>
      <c r="H1487" s="828">
        <v>46096.0</v>
      </c>
      <c r="I1487" s="829">
        <f t="shared" si="1"/>
        <v>0.004399407407</v>
      </c>
      <c r="J1487" s="830">
        <f t="shared" si="2"/>
        <v>0.00007905493994</v>
      </c>
      <c r="K1487" s="830"/>
    </row>
    <row r="1488">
      <c r="A1488" s="181" t="s">
        <v>523</v>
      </c>
      <c r="B1488" s="181" t="s">
        <v>561</v>
      </c>
      <c r="C1488" s="181">
        <v>8192.0</v>
      </c>
      <c r="D1488" s="181">
        <v>30.0</v>
      </c>
      <c r="E1488" s="181">
        <v>55.48</v>
      </c>
      <c r="F1488" s="181">
        <v>0.15</v>
      </c>
      <c r="G1488" s="181">
        <v>0.29</v>
      </c>
      <c r="H1488" s="828">
        <v>46096.0</v>
      </c>
      <c r="I1488" s="829">
        <f t="shared" si="1"/>
        <v>0.008798814815</v>
      </c>
      <c r="J1488" s="830">
        <f t="shared" si="2"/>
        <v>0.000158594355</v>
      </c>
      <c r="K1488" s="830"/>
    </row>
    <row r="1489">
      <c r="A1489" s="181" t="s">
        <v>523</v>
      </c>
      <c r="B1489" s="181" t="s">
        <v>561</v>
      </c>
      <c r="C1489" s="181">
        <v>16384.0</v>
      </c>
      <c r="D1489" s="181">
        <v>30.0</v>
      </c>
      <c r="E1489" s="181">
        <v>56.96</v>
      </c>
      <c r="F1489" s="181">
        <v>0.29</v>
      </c>
      <c r="G1489" s="181">
        <v>0.56</v>
      </c>
      <c r="H1489" s="828">
        <v>46096.0</v>
      </c>
      <c r="I1489" s="829">
        <f t="shared" si="1"/>
        <v>0.01759762963</v>
      </c>
      <c r="J1489" s="830">
        <f t="shared" si="2"/>
        <v>0.0003089471494</v>
      </c>
      <c r="K1489" s="830"/>
    </row>
    <row r="1490">
      <c r="A1490" s="181" t="s">
        <v>523</v>
      </c>
      <c r="B1490" s="181" t="s">
        <v>561</v>
      </c>
      <c r="C1490" s="181">
        <v>32768.0</v>
      </c>
      <c r="D1490" s="181">
        <v>30.0</v>
      </c>
      <c r="E1490" s="181">
        <v>56.8</v>
      </c>
      <c r="F1490" s="181">
        <v>0.58</v>
      </c>
      <c r="G1490" s="181">
        <v>1.12</v>
      </c>
      <c r="H1490" s="828">
        <v>46096.0</v>
      </c>
      <c r="I1490" s="829">
        <f t="shared" si="1"/>
        <v>0.03519525926</v>
      </c>
      <c r="J1490" s="830">
        <f t="shared" si="2"/>
        <v>0.0006196348461</v>
      </c>
      <c r="K1490" s="830"/>
    </row>
    <row r="1491">
      <c r="A1491" s="181" t="s">
        <v>523</v>
      </c>
      <c r="B1491" s="181" t="s">
        <v>561</v>
      </c>
      <c r="C1491" s="181">
        <v>65536.0</v>
      </c>
      <c r="D1491" s="181">
        <v>30.0</v>
      </c>
      <c r="E1491" s="181">
        <v>62.05</v>
      </c>
      <c r="F1491" s="181">
        <v>1.06</v>
      </c>
      <c r="G1491" s="181">
        <v>2.04</v>
      </c>
      <c r="H1491" s="828">
        <v>46096.0</v>
      </c>
      <c r="I1491" s="829">
        <f t="shared" si="1"/>
        <v>0.07039051852</v>
      </c>
      <c r="J1491" s="830">
        <f t="shared" si="2"/>
        <v>0.001134416092</v>
      </c>
      <c r="K1491" s="830"/>
    </row>
    <row r="1492">
      <c r="A1492" s="181" t="s">
        <v>523</v>
      </c>
      <c r="B1492" s="181" t="s">
        <v>561</v>
      </c>
      <c r="C1492" s="181">
        <v>131072.0</v>
      </c>
      <c r="D1492" s="181">
        <v>30.0</v>
      </c>
      <c r="E1492" s="181">
        <v>66.88</v>
      </c>
      <c r="F1492" s="181">
        <v>1.96</v>
      </c>
      <c r="G1492" s="181">
        <v>3.79</v>
      </c>
      <c r="H1492" s="828">
        <v>46096.0</v>
      </c>
      <c r="I1492" s="829">
        <f t="shared" si="1"/>
        <v>0.140781037</v>
      </c>
      <c r="J1492" s="830">
        <f t="shared" si="2"/>
        <v>0.002104979621</v>
      </c>
      <c r="K1492" s="830"/>
    </row>
    <row r="1493">
      <c r="A1493" s="181" t="s">
        <v>523</v>
      </c>
      <c r="B1493" s="181" t="s">
        <v>561</v>
      </c>
      <c r="C1493" s="181">
        <v>262144.0</v>
      </c>
      <c r="D1493" s="181">
        <v>30.0</v>
      </c>
      <c r="E1493" s="181">
        <v>66.36</v>
      </c>
      <c r="F1493" s="181">
        <v>3.95</v>
      </c>
      <c r="G1493" s="181">
        <v>7.64</v>
      </c>
      <c r="H1493" s="828">
        <v>46096.0</v>
      </c>
      <c r="I1493" s="829">
        <f t="shared" si="1"/>
        <v>0.2815620741</v>
      </c>
      <c r="J1493" s="830">
        <f t="shared" si="2"/>
        <v>0.004242948675</v>
      </c>
      <c r="K1493" s="830"/>
    </row>
    <row r="1494">
      <c r="A1494" s="181" t="s">
        <v>523</v>
      </c>
      <c r="B1494" s="181" t="s">
        <v>561</v>
      </c>
      <c r="C1494" s="181">
        <v>524288.0</v>
      </c>
      <c r="D1494" s="181">
        <v>30.0</v>
      </c>
      <c r="E1494" s="181">
        <v>69.0</v>
      </c>
      <c r="F1494" s="181">
        <v>7.6</v>
      </c>
      <c r="G1494" s="181">
        <v>14.69</v>
      </c>
      <c r="H1494" s="828">
        <v>46096.0</v>
      </c>
      <c r="I1494" s="829">
        <f t="shared" si="1"/>
        <v>0.5631241481</v>
      </c>
      <c r="J1494" s="830">
        <f t="shared" si="2"/>
        <v>0.008161219538</v>
      </c>
      <c r="K1494" s="830"/>
    </row>
    <row r="1495">
      <c r="A1495" s="181" t="s">
        <v>523</v>
      </c>
      <c r="B1495" s="181" t="s">
        <v>561</v>
      </c>
      <c r="C1495" s="181">
        <v>1048576.0</v>
      </c>
      <c r="D1495" s="181">
        <v>30.0</v>
      </c>
      <c r="E1495" s="181">
        <v>69.94</v>
      </c>
      <c r="F1495" s="181">
        <v>14.99</v>
      </c>
      <c r="G1495" s="181">
        <v>28.99</v>
      </c>
      <c r="H1495" s="828">
        <v>46096.0</v>
      </c>
      <c r="I1495" s="829">
        <f t="shared" si="1"/>
        <v>1.126248296</v>
      </c>
      <c r="J1495" s="830">
        <f t="shared" si="2"/>
        <v>0.016103064</v>
      </c>
      <c r="K1495" s="830"/>
    </row>
    <row r="1496">
      <c r="A1496" s="181" t="s">
        <v>523</v>
      </c>
      <c r="B1496" s="181" t="s">
        <v>561</v>
      </c>
      <c r="C1496" s="181">
        <v>2097152.0</v>
      </c>
      <c r="D1496" s="181">
        <v>30.0</v>
      </c>
      <c r="E1496" s="181">
        <v>71.71</v>
      </c>
      <c r="F1496" s="181">
        <v>29.24</v>
      </c>
      <c r="G1496" s="181">
        <v>56.54</v>
      </c>
      <c r="H1496" s="828">
        <v>46096.0</v>
      </c>
      <c r="I1496" s="829">
        <f t="shared" si="1"/>
        <v>2.252496593</v>
      </c>
      <c r="J1496" s="830">
        <f t="shared" si="2"/>
        <v>0.0314111922</v>
      </c>
      <c r="K1496" s="830"/>
    </row>
    <row r="1497">
      <c r="A1497" s="181" t="s">
        <v>523</v>
      </c>
      <c r="B1497" s="181" t="s">
        <v>561</v>
      </c>
      <c r="C1497" s="181">
        <v>4194304.0</v>
      </c>
      <c r="D1497" s="181">
        <v>30.0</v>
      </c>
      <c r="E1497" s="181">
        <v>79.49</v>
      </c>
      <c r="F1497" s="181">
        <v>52.77</v>
      </c>
      <c r="G1497" s="181">
        <v>102.01</v>
      </c>
      <c r="H1497" s="828">
        <v>46096.0</v>
      </c>
      <c r="I1497" s="829">
        <f t="shared" si="1"/>
        <v>4.504993185</v>
      </c>
      <c r="J1497" s="830">
        <f t="shared" si="2"/>
        <v>0.05667370971</v>
      </c>
      <c r="K1497" s="830"/>
    </row>
    <row r="1498">
      <c r="A1498" s="181" t="s">
        <v>523</v>
      </c>
      <c r="B1498" s="181" t="s">
        <v>561</v>
      </c>
      <c r="C1498" s="181">
        <v>8388608.0</v>
      </c>
      <c r="D1498" s="181">
        <v>30.0</v>
      </c>
      <c r="E1498" s="181">
        <v>101.57</v>
      </c>
      <c r="F1498" s="181">
        <v>82.59</v>
      </c>
      <c r="G1498" s="181">
        <v>159.67</v>
      </c>
      <c r="H1498" s="828">
        <v>46096.0</v>
      </c>
      <c r="I1498" s="829">
        <f t="shared" si="1"/>
        <v>9.00998637</v>
      </c>
      <c r="J1498" s="830">
        <f t="shared" si="2"/>
        <v>0.08870716127</v>
      </c>
      <c r="K1498" s="830"/>
    </row>
    <row r="1499">
      <c r="A1499" s="181" t="s">
        <v>523</v>
      </c>
      <c r="B1499" s="181" t="s">
        <v>561</v>
      </c>
      <c r="C1499" s="181">
        <v>1.6777216E7</v>
      </c>
      <c r="D1499" s="181">
        <v>30.0</v>
      </c>
      <c r="E1499" s="181">
        <v>146.47</v>
      </c>
      <c r="F1499" s="181">
        <v>114.55</v>
      </c>
      <c r="G1499" s="181">
        <v>221.46</v>
      </c>
      <c r="H1499" s="828">
        <v>46096.0</v>
      </c>
      <c r="I1499" s="829">
        <f t="shared" si="1"/>
        <v>18.01997274</v>
      </c>
      <c r="J1499" s="830">
        <f t="shared" si="2"/>
        <v>0.1230284204</v>
      </c>
      <c r="K1499" s="830"/>
    </row>
    <row r="1500">
      <c r="A1500" s="181" t="s">
        <v>523</v>
      </c>
      <c r="B1500" s="181" t="s">
        <v>561</v>
      </c>
      <c r="C1500" s="181">
        <v>3.3554432E7</v>
      </c>
      <c r="D1500" s="181">
        <v>30.0</v>
      </c>
      <c r="E1500" s="181">
        <v>220.99</v>
      </c>
      <c r="F1500" s="181">
        <v>151.84</v>
      </c>
      <c r="G1500" s="181">
        <v>293.55</v>
      </c>
      <c r="H1500" s="828">
        <v>46096.0</v>
      </c>
      <c r="I1500" s="829">
        <f t="shared" si="1"/>
        <v>36.03994548</v>
      </c>
      <c r="J1500" s="830">
        <f t="shared" si="2"/>
        <v>0.1630840558</v>
      </c>
      <c r="K1500" s="830"/>
    </row>
    <row r="1501">
      <c r="A1501" s="181" t="s">
        <v>523</v>
      </c>
      <c r="B1501" s="181" t="s">
        <v>561</v>
      </c>
      <c r="C1501" s="181">
        <v>6.7108864E7</v>
      </c>
      <c r="D1501" s="181">
        <v>30.0</v>
      </c>
      <c r="E1501" s="181">
        <v>338.15</v>
      </c>
      <c r="F1501" s="181">
        <v>198.46</v>
      </c>
      <c r="G1501" s="181">
        <v>383.68</v>
      </c>
      <c r="H1501" s="828">
        <v>46096.0</v>
      </c>
      <c r="I1501" s="829">
        <f t="shared" si="1"/>
        <v>72.07989096</v>
      </c>
      <c r="J1501" s="830">
        <f t="shared" si="2"/>
        <v>0.2131595179</v>
      </c>
      <c r="K1501" s="830"/>
    </row>
    <row r="1502">
      <c r="A1502" s="181" t="s">
        <v>523</v>
      </c>
      <c r="B1502" s="181" t="s">
        <v>561</v>
      </c>
      <c r="C1502" s="181">
        <v>1.34217728E8</v>
      </c>
      <c r="D1502" s="181">
        <v>30.0</v>
      </c>
      <c r="E1502" s="181">
        <v>532.85</v>
      </c>
      <c r="F1502" s="181">
        <v>251.89</v>
      </c>
      <c r="G1502" s="181">
        <v>486.98</v>
      </c>
      <c r="H1502" s="828">
        <v>46096.0</v>
      </c>
      <c r="I1502" s="829">
        <f t="shared" si="1"/>
        <v>144.1597819</v>
      </c>
      <c r="J1502" s="830">
        <f t="shared" si="2"/>
        <v>0.2705447723</v>
      </c>
      <c r="K1502" s="830"/>
    </row>
    <row r="1503">
      <c r="A1503" s="181" t="s">
        <v>523</v>
      </c>
      <c r="B1503" s="181" t="s">
        <v>561</v>
      </c>
      <c r="C1503" s="181">
        <v>2.68435456E8</v>
      </c>
      <c r="D1503" s="181">
        <v>30.0</v>
      </c>
      <c r="E1503" s="181">
        <v>928.69</v>
      </c>
      <c r="F1503" s="181">
        <v>289.05</v>
      </c>
      <c r="G1503" s="181">
        <v>558.82</v>
      </c>
      <c r="H1503" s="828">
        <v>46096.0</v>
      </c>
      <c r="I1503" s="829">
        <f t="shared" si="1"/>
        <v>288.3195639</v>
      </c>
      <c r="J1503" s="830">
        <f t="shared" si="2"/>
        <v>0.3104583487</v>
      </c>
      <c r="K1503" s="830"/>
    </row>
    <row r="1504">
      <c r="A1504" s="181" t="s">
        <v>523</v>
      </c>
      <c r="B1504" s="181" t="s">
        <v>561</v>
      </c>
      <c r="C1504" s="181">
        <v>5.36870912E8</v>
      </c>
      <c r="D1504" s="181">
        <v>30.0</v>
      </c>
      <c r="E1504" s="181">
        <v>1579.83</v>
      </c>
      <c r="F1504" s="181">
        <v>339.83</v>
      </c>
      <c r="G1504" s="181">
        <v>657.0</v>
      </c>
      <c r="H1504" s="828">
        <v>46096.0</v>
      </c>
      <c r="I1504" s="829">
        <f t="shared" si="1"/>
        <v>576.6391277</v>
      </c>
      <c r="J1504" s="830">
        <f t="shared" si="2"/>
        <v>0.3650007455</v>
      </c>
      <c r="K1504" s="830"/>
    </row>
    <row r="1505">
      <c r="A1505" s="181" t="s">
        <v>523</v>
      </c>
      <c r="B1505" s="181" t="s">
        <v>561</v>
      </c>
      <c r="C1505" s="181">
        <v>1.073741824E9</v>
      </c>
      <c r="D1505" s="181">
        <v>30.0</v>
      </c>
      <c r="E1505" s="181">
        <v>2756.48</v>
      </c>
      <c r="F1505" s="181">
        <v>389.53</v>
      </c>
      <c r="G1505" s="181">
        <v>753.1</v>
      </c>
      <c r="H1505" s="828">
        <v>46096.0</v>
      </c>
      <c r="I1505" s="829">
        <f t="shared" si="1"/>
        <v>1153.278255</v>
      </c>
      <c r="J1505" s="830">
        <f t="shared" si="2"/>
        <v>0.4183880367</v>
      </c>
      <c r="K1505" s="830"/>
    </row>
    <row r="1506">
      <c r="A1506" s="181" t="s">
        <v>523</v>
      </c>
      <c r="B1506" s="181" t="s">
        <v>561</v>
      </c>
      <c r="C1506" s="181">
        <v>2.147483648E9</v>
      </c>
      <c r="D1506" s="181">
        <v>30.0</v>
      </c>
      <c r="E1506" s="181">
        <v>5165.93</v>
      </c>
      <c r="F1506" s="181">
        <v>415.7</v>
      </c>
      <c r="G1506" s="181">
        <v>803.69</v>
      </c>
      <c r="H1506" s="828">
        <v>46096.0</v>
      </c>
      <c r="I1506" s="829">
        <f t="shared" si="1"/>
        <v>2306.556511</v>
      </c>
      <c r="J1506" s="830">
        <f t="shared" si="2"/>
        <v>0.4464939538</v>
      </c>
      <c r="K1506" s="830"/>
    </row>
    <row r="1507">
      <c r="A1507" s="181" t="s">
        <v>523</v>
      </c>
      <c r="B1507" s="181" t="s">
        <v>561</v>
      </c>
      <c r="C1507" s="181">
        <v>4.294967296E9</v>
      </c>
      <c r="D1507" s="181">
        <v>30.0</v>
      </c>
      <c r="E1507" s="181">
        <v>10008.5</v>
      </c>
      <c r="F1507" s="181">
        <v>429.13</v>
      </c>
      <c r="G1507" s="181">
        <v>829.66</v>
      </c>
      <c r="H1507" s="828">
        <v>46096.0</v>
      </c>
      <c r="I1507" s="829">
        <f t="shared" si="1"/>
        <v>4613.113022</v>
      </c>
      <c r="J1507" s="830">
        <f t="shared" si="2"/>
        <v>0.4609195206</v>
      </c>
      <c r="K1507" s="830"/>
    </row>
    <row r="1508">
      <c r="A1508" s="181" t="s">
        <v>523</v>
      </c>
      <c r="B1508" s="181" t="s">
        <v>561</v>
      </c>
      <c r="C1508" s="181">
        <v>8.589934592E9</v>
      </c>
      <c r="D1508" s="181">
        <v>30.0</v>
      </c>
      <c r="E1508" s="181">
        <v>18567.0</v>
      </c>
      <c r="F1508" s="181">
        <v>462.64</v>
      </c>
      <c r="G1508" s="181">
        <v>894.45</v>
      </c>
      <c r="H1508" s="828">
        <v>46096.0</v>
      </c>
      <c r="I1508" s="829">
        <f t="shared" si="1"/>
        <v>9226.226043</v>
      </c>
      <c r="J1508" s="830">
        <f t="shared" si="2"/>
        <v>0.4969152821</v>
      </c>
      <c r="K1508" s="830"/>
    </row>
    <row r="1509">
      <c r="A1509" s="181" t="s">
        <v>523</v>
      </c>
      <c r="B1509" s="181" t="s">
        <v>561</v>
      </c>
      <c r="C1509" s="181">
        <v>1.7179869184E10</v>
      </c>
      <c r="D1509" s="181">
        <v>30.0</v>
      </c>
      <c r="E1509" s="181">
        <v>36518.4</v>
      </c>
      <c r="F1509" s="181">
        <v>470.44</v>
      </c>
      <c r="G1509" s="181">
        <v>909.53</v>
      </c>
      <c r="H1509" s="828">
        <v>46096.0</v>
      </c>
      <c r="I1509" s="829">
        <f t="shared" si="1"/>
        <v>18452.45209</v>
      </c>
      <c r="J1509" s="830">
        <f t="shared" si="2"/>
        <v>0.50529191</v>
      </c>
      <c r="K1509" s="830"/>
    </row>
    <row r="1510">
      <c r="A1510" s="181" t="s">
        <v>523</v>
      </c>
      <c r="B1510" s="181" t="s">
        <v>561</v>
      </c>
      <c r="C1510" s="181">
        <v>256.0</v>
      </c>
      <c r="D1510" s="181">
        <v>32.0</v>
      </c>
      <c r="E1510" s="181">
        <v>55.01</v>
      </c>
      <c r="F1510" s="181">
        <v>0.0</v>
      </c>
      <c r="G1510" s="181">
        <v>0.01</v>
      </c>
      <c r="H1510" s="828">
        <v>46096.0</v>
      </c>
      <c r="I1510" s="829">
        <f t="shared" si="1"/>
        <v>0.0002755555556</v>
      </c>
      <c r="J1510" s="830">
        <f t="shared" si="2"/>
        <v>0.000005009190248</v>
      </c>
      <c r="K1510" s="830"/>
    </row>
    <row r="1511">
      <c r="A1511" s="181" t="s">
        <v>523</v>
      </c>
      <c r="B1511" s="181" t="s">
        <v>561</v>
      </c>
      <c r="C1511" s="181">
        <v>512.0</v>
      </c>
      <c r="D1511" s="181">
        <v>32.0</v>
      </c>
      <c r="E1511" s="181">
        <v>56.84</v>
      </c>
      <c r="F1511" s="181">
        <v>0.01</v>
      </c>
      <c r="G1511" s="181">
        <v>0.02</v>
      </c>
      <c r="H1511" s="828">
        <v>46096.0</v>
      </c>
      <c r="I1511" s="829">
        <f t="shared" si="1"/>
        <v>0.0005511111111</v>
      </c>
      <c r="J1511" s="830">
        <f t="shared" si="2"/>
        <v>0.000009695832356</v>
      </c>
      <c r="K1511" s="830"/>
    </row>
    <row r="1512">
      <c r="A1512" s="181" t="s">
        <v>523</v>
      </c>
      <c r="B1512" s="181" t="s">
        <v>561</v>
      </c>
      <c r="C1512" s="181">
        <v>1024.0</v>
      </c>
      <c r="D1512" s="181">
        <v>32.0</v>
      </c>
      <c r="E1512" s="181">
        <v>54.89</v>
      </c>
      <c r="F1512" s="181">
        <v>0.02</v>
      </c>
      <c r="G1512" s="181">
        <v>0.04</v>
      </c>
      <c r="H1512" s="828">
        <v>46096.0</v>
      </c>
      <c r="I1512" s="829">
        <f t="shared" si="1"/>
        <v>0.001102222222</v>
      </c>
      <c r="J1512" s="830">
        <f t="shared" si="2"/>
        <v>0.00002008056517</v>
      </c>
      <c r="K1512" s="830"/>
    </row>
    <row r="1513">
      <c r="A1513" s="181" t="s">
        <v>523</v>
      </c>
      <c r="B1513" s="181" t="s">
        <v>561</v>
      </c>
      <c r="C1513" s="181">
        <v>2048.0</v>
      </c>
      <c r="D1513" s="181">
        <v>32.0</v>
      </c>
      <c r="E1513" s="181">
        <v>54.95</v>
      </c>
      <c r="F1513" s="181">
        <v>0.04</v>
      </c>
      <c r="G1513" s="181">
        <v>0.07</v>
      </c>
      <c r="H1513" s="828">
        <v>46096.0</v>
      </c>
      <c r="I1513" s="829">
        <f t="shared" si="1"/>
        <v>0.002204444444</v>
      </c>
      <c r="J1513" s="830">
        <f t="shared" si="2"/>
        <v>0.00004011727833</v>
      </c>
      <c r="K1513" s="830"/>
    </row>
    <row r="1514">
      <c r="A1514" s="181" t="s">
        <v>523</v>
      </c>
      <c r="B1514" s="181" t="s">
        <v>561</v>
      </c>
      <c r="C1514" s="181">
        <v>4096.0</v>
      </c>
      <c r="D1514" s="181">
        <v>32.0</v>
      </c>
      <c r="E1514" s="181">
        <v>55.24</v>
      </c>
      <c r="F1514" s="181">
        <v>0.07</v>
      </c>
      <c r="G1514" s="181">
        <v>0.14</v>
      </c>
      <c r="H1514" s="828">
        <v>46096.0</v>
      </c>
      <c r="I1514" s="829">
        <f t="shared" si="1"/>
        <v>0.004408888889</v>
      </c>
      <c r="J1514" s="830">
        <f t="shared" si="2"/>
        <v>0.00007981333977</v>
      </c>
      <c r="K1514" s="830"/>
    </row>
    <row r="1515">
      <c r="A1515" s="181" t="s">
        <v>523</v>
      </c>
      <c r="B1515" s="181" t="s">
        <v>561</v>
      </c>
      <c r="C1515" s="181">
        <v>8192.0</v>
      </c>
      <c r="D1515" s="181">
        <v>32.0</v>
      </c>
      <c r="E1515" s="181">
        <v>56.08</v>
      </c>
      <c r="F1515" s="181">
        <v>0.15</v>
      </c>
      <c r="G1515" s="181">
        <v>0.28</v>
      </c>
      <c r="H1515" s="828">
        <v>46096.0</v>
      </c>
      <c r="I1515" s="829">
        <f t="shared" si="1"/>
        <v>0.008817777778</v>
      </c>
      <c r="J1515" s="830">
        <f t="shared" si="2"/>
        <v>0.000157235695</v>
      </c>
      <c r="K1515" s="830"/>
    </row>
    <row r="1516">
      <c r="A1516" s="181" t="s">
        <v>523</v>
      </c>
      <c r="B1516" s="181" t="s">
        <v>561</v>
      </c>
      <c r="C1516" s="181">
        <v>16384.0</v>
      </c>
      <c r="D1516" s="181">
        <v>32.0</v>
      </c>
      <c r="E1516" s="181">
        <v>57.0</v>
      </c>
      <c r="F1516" s="181">
        <v>0.29</v>
      </c>
      <c r="G1516" s="181">
        <v>0.56</v>
      </c>
      <c r="H1516" s="828">
        <v>46096.0</v>
      </c>
      <c r="I1516" s="829">
        <f t="shared" si="1"/>
        <v>0.01763555556</v>
      </c>
      <c r="J1516" s="830">
        <f t="shared" si="2"/>
        <v>0.0003093957115</v>
      </c>
      <c r="K1516" s="830"/>
    </row>
    <row r="1517">
      <c r="A1517" s="181" t="s">
        <v>523</v>
      </c>
      <c r="B1517" s="181" t="s">
        <v>561</v>
      </c>
      <c r="C1517" s="181">
        <v>32768.0</v>
      </c>
      <c r="D1517" s="181">
        <v>32.0</v>
      </c>
      <c r="E1517" s="181">
        <v>55.86</v>
      </c>
      <c r="F1517" s="181">
        <v>0.59</v>
      </c>
      <c r="G1517" s="181">
        <v>1.14</v>
      </c>
      <c r="H1517" s="828">
        <v>46096.0</v>
      </c>
      <c r="I1517" s="829">
        <f t="shared" si="1"/>
        <v>0.03527111111</v>
      </c>
      <c r="J1517" s="830">
        <f t="shared" si="2"/>
        <v>0.0006314198194</v>
      </c>
      <c r="K1517" s="830"/>
    </row>
    <row r="1518">
      <c r="A1518" s="181" t="s">
        <v>523</v>
      </c>
      <c r="B1518" s="181" t="s">
        <v>561</v>
      </c>
      <c r="C1518" s="181">
        <v>65536.0</v>
      </c>
      <c r="D1518" s="181">
        <v>32.0</v>
      </c>
      <c r="E1518" s="181">
        <v>62.33</v>
      </c>
      <c r="F1518" s="181">
        <v>1.05</v>
      </c>
      <c r="G1518" s="181">
        <v>2.04</v>
      </c>
      <c r="H1518" s="828">
        <v>46096.0</v>
      </c>
      <c r="I1518" s="829">
        <f t="shared" si="1"/>
        <v>0.07054222222</v>
      </c>
      <c r="J1518" s="830">
        <f t="shared" si="2"/>
        <v>0.001131753926</v>
      </c>
      <c r="K1518" s="830"/>
    </row>
    <row r="1519">
      <c r="A1519" s="181" t="s">
        <v>523</v>
      </c>
      <c r="B1519" s="181" t="s">
        <v>561</v>
      </c>
      <c r="C1519" s="181">
        <v>131072.0</v>
      </c>
      <c r="D1519" s="181">
        <v>32.0</v>
      </c>
      <c r="E1519" s="181">
        <v>66.69</v>
      </c>
      <c r="F1519" s="181">
        <v>1.97</v>
      </c>
      <c r="G1519" s="181">
        <v>3.81</v>
      </c>
      <c r="H1519" s="828">
        <v>46096.0</v>
      </c>
      <c r="I1519" s="829">
        <f t="shared" si="1"/>
        <v>0.1410844444</v>
      </c>
      <c r="J1519" s="830">
        <f t="shared" si="2"/>
        <v>0.002115526232</v>
      </c>
      <c r="K1519" s="830"/>
    </row>
    <row r="1520">
      <c r="A1520" s="181" t="s">
        <v>523</v>
      </c>
      <c r="B1520" s="181" t="s">
        <v>561</v>
      </c>
      <c r="C1520" s="181">
        <v>262144.0</v>
      </c>
      <c r="D1520" s="181">
        <v>32.0</v>
      </c>
      <c r="E1520" s="181">
        <v>65.91</v>
      </c>
      <c r="F1520" s="181">
        <v>3.98</v>
      </c>
      <c r="G1520" s="181">
        <v>7.71</v>
      </c>
      <c r="H1520" s="828">
        <v>46096.0</v>
      </c>
      <c r="I1520" s="829">
        <f t="shared" si="1"/>
        <v>0.2821688889</v>
      </c>
      <c r="J1520" s="830">
        <f t="shared" si="2"/>
        <v>0.004281124092</v>
      </c>
      <c r="K1520" s="830"/>
    </row>
    <row r="1521">
      <c r="A1521" s="181" t="s">
        <v>523</v>
      </c>
      <c r="B1521" s="181" t="s">
        <v>561</v>
      </c>
      <c r="C1521" s="181">
        <v>524288.0</v>
      </c>
      <c r="D1521" s="181">
        <v>32.0</v>
      </c>
      <c r="E1521" s="181">
        <v>68.62</v>
      </c>
      <c r="F1521" s="181">
        <v>7.64</v>
      </c>
      <c r="G1521" s="181">
        <v>14.8</v>
      </c>
      <c r="H1521" s="828">
        <v>46096.0</v>
      </c>
      <c r="I1521" s="829">
        <f t="shared" si="1"/>
        <v>0.5643377778</v>
      </c>
      <c r="J1521" s="830">
        <f t="shared" si="2"/>
        <v>0.008224100521</v>
      </c>
      <c r="K1521" s="830"/>
    </row>
    <row r="1522">
      <c r="A1522" s="181" t="s">
        <v>523</v>
      </c>
      <c r="B1522" s="181" t="s">
        <v>561</v>
      </c>
      <c r="C1522" s="181">
        <v>1048576.0</v>
      </c>
      <c r="D1522" s="181">
        <v>32.0</v>
      </c>
      <c r="E1522" s="181">
        <v>69.79</v>
      </c>
      <c r="F1522" s="181">
        <v>15.02</v>
      </c>
      <c r="G1522" s="181">
        <v>29.11</v>
      </c>
      <c r="H1522" s="828">
        <v>46096.0</v>
      </c>
      <c r="I1522" s="829">
        <f t="shared" si="1"/>
        <v>1.128675556</v>
      </c>
      <c r="J1522" s="830">
        <f t="shared" si="2"/>
        <v>0.01617245387</v>
      </c>
      <c r="K1522" s="830"/>
    </row>
    <row r="1523">
      <c r="A1523" s="181" t="s">
        <v>523</v>
      </c>
      <c r="B1523" s="181" t="s">
        <v>561</v>
      </c>
      <c r="C1523" s="181">
        <v>2097152.0</v>
      </c>
      <c r="D1523" s="181">
        <v>32.0</v>
      </c>
      <c r="E1523" s="181">
        <v>72.06</v>
      </c>
      <c r="F1523" s="181">
        <v>29.1</v>
      </c>
      <c r="G1523" s="181">
        <v>56.38</v>
      </c>
      <c r="H1523" s="828">
        <v>46096.0</v>
      </c>
      <c r="I1523" s="829">
        <f t="shared" si="1"/>
        <v>2.257351111</v>
      </c>
      <c r="J1523" s="830">
        <f t="shared" si="2"/>
        <v>0.03132599377</v>
      </c>
      <c r="K1523" s="830"/>
    </row>
    <row r="1524">
      <c r="A1524" s="181" t="s">
        <v>523</v>
      </c>
      <c r="B1524" s="181" t="s">
        <v>561</v>
      </c>
      <c r="C1524" s="181">
        <v>4194304.0</v>
      </c>
      <c r="D1524" s="181">
        <v>32.0</v>
      </c>
      <c r="E1524" s="181">
        <v>79.36</v>
      </c>
      <c r="F1524" s="181">
        <v>52.85</v>
      </c>
      <c r="G1524" s="181">
        <v>102.4</v>
      </c>
      <c r="H1524" s="828">
        <v>46096.0</v>
      </c>
      <c r="I1524" s="829">
        <f t="shared" si="1"/>
        <v>4.514702222</v>
      </c>
      <c r="J1524" s="830">
        <f t="shared" si="2"/>
        <v>0.05688888889</v>
      </c>
      <c r="K1524" s="830"/>
    </row>
    <row r="1525">
      <c r="A1525" s="181" t="s">
        <v>523</v>
      </c>
      <c r="B1525" s="181" t="s">
        <v>561</v>
      </c>
      <c r="C1525" s="181">
        <v>8388608.0</v>
      </c>
      <c r="D1525" s="181">
        <v>32.0</v>
      </c>
      <c r="E1525" s="181">
        <v>102.68</v>
      </c>
      <c r="F1525" s="181">
        <v>81.7</v>
      </c>
      <c r="G1525" s="181">
        <v>158.29</v>
      </c>
      <c r="H1525" s="828">
        <v>46096.0</v>
      </c>
      <c r="I1525" s="829">
        <f t="shared" si="1"/>
        <v>9.029404444</v>
      </c>
      <c r="J1525" s="830">
        <f t="shared" si="2"/>
        <v>0.08793732416</v>
      </c>
      <c r="K1525" s="830"/>
    </row>
    <row r="1526">
      <c r="A1526" s="181" t="s">
        <v>523</v>
      </c>
      <c r="B1526" s="181" t="s">
        <v>561</v>
      </c>
      <c r="C1526" s="181">
        <v>1.6777216E7</v>
      </c>
      <c r="D1526" s="181">
        <v>32.0</v>
      </c>
      <c r="E1526" s="181">
        <v>149.12</v>
      </c>
      <c r="F1526" s="181">
        <v>112.51</v>
      </c>
      <c r="G1526" s="181">
        <v>217.98</v>
      </c>
      <c r="H1526" s="828">
        <v>46096.0</v>
      </c>
      <c r="I1526" s="829">
        <f t="shared" si="1"/>
        <v>18.05880889</v>
      </c>
      <c r="J1526" s="830">
        <f t="shared" si="2"/>
        <v>0.1211025274</v>
      </c>
      <c r="K1526" s="830"/>
    </row>
    <row r="1527">
      <c r="A1527" s="181" t="s">
        <v>523</v>
      </c>
      <c r="B1527" s="181" t="s">
        <v>561</v>
      </c>
      <c r="C1527" s="181">
        <v>3.3554432E7</v>
      </c>
      <c r="D1527" s="181">
        <v>32.0</v>
      </c>
      <c r="E1527" s="181">
        <v>223.03</v>
      </c>
      <c r="F1527" s="181">
        <v>150.45</v>
      </c>
      <c r="G1527" s="181">
        <v>291.49</v>
      </c>
      <c r="H1527" s="828">
        <v>46096.0</v>
      </c>
      <c r="I1527" s="829">
        <f t="shared" si="1"/>
        <v>36.11761778</v>
      </c>
      <c r="J1527" s="830">
        <f t="shared" si="2"/>
        <v>0.1619406258</v>
      </c>
      <c r="K1527" s="830"/>
    </row>
    <row r="1528">
      <c r="A1528" s="181" t="s">
        <v>523</v>
      </c>
      <c r="B1528" s="181" t="s">
        <v>561</v>
      </c>
      <c r="C1528" s="181">
        <v>6.7108864E7</v>
      </c>
      <c r="D1528" s="181">
        <v>32.0</v>
      </c>
      <c r="E1528" s="181">
        <v>345.5</v>
      </c>
      <c r="F1528" s="181">
        <v>194.24</v>
      </c>
      <c r="G1528" s="181">
        <v>376.33</v>
      </c>
      <c r="H1528" s="828">
        <v>46096.0</v>
      </c>
      <c r="I1528" s="829">
        <f t="shared" si="1"/>
        <v>72.23523556</v>
      </c>
      <c r="J1528" s="830">
        <f t="shared" si="2"/>
        <v>0.2090744879</v>
      </c>
      <c r="K1528" s="830"/>
    </row>
    <row r="1529">
      <c r="A1529" s="181" t="s">
        <v>523</v>
      </c>
      <c r="B1529" s="181" t="s">
        <v>561</v>
      </c>
      <c r="C1529" s="181">
        <v>1.34217728E8</v>
      </c>
      <c r="D1529" s="181">
        <v>32.0</v>
      </c>
      <c r="E1529" s="181">
        <v>551.27</v>
      </c>
      <c r="F1529" s="181">
        <v>243.47</v>
      </c>
      <c r="G1529" s="181">
        <v>471.72</v>
      </c>
      <c r="H1529" s="828">
        <v>46096.0</v>
      </c>
      <c r="I1529" s="829">
        <f t="shared" si="1"/>
        <v>144.4704711</v>
      </c>
      <c r="J1529" s="830">
        <f t="shared" si="2"/>
        <v>0.262068444</v>
      </c>
      <c r="K1529" s="830"/>
    </row>
    <row r="1530">
      <c r="A1530" s="181" t="s">
        <v>523</v>
      </c>
      <c r="B1530" s="181" t="s">
        <v>561</v>
      </c>
      <c r="C1530" s="181">
        <v>2.68435456E8</v>
      </c>
      <c r="D1530" s="181">
        <v>32.0</v>
      </c>
      <c r="E1530" s="181">
        <v>908.13</v>
      </c>
      <c r="F1530" s="181">
        <v>295.59</v>
      </c>
      <c r="G1530" s="181">
        <v>572.71</v>
      </c>
      <c r="H1530" s="828">
        <v>46096.0</v>
      </c>
      <c r="I1530" s="829">
        <f t="shared" si="1"/>
        <v>288.9409422</v>
      </c>
      <c r="J1530" s="830">
        <f t="shared" si="2"/>
        <v>0.3181713436</v>
      </c>
      <c r="K1530" s="830"/>
    </row>
    <row r="1531">
      <c r="A1531" s="181" t="s">
        <v>523</v>
      </c>
      <c r="B1531" s="181" t="s">
        <v>561</v>
      </c>
      <c r="C1531" s="181">
        <v>5.36870912E8</v>
      </c>
      <c r="D1531" s="181">
        <v>32.0</v>
      </c>
      <c r="E1531" s="181">
        <v>1578.02</v>
      </c>
      <c r="F1531" s="181">
        <v>340.22</v>
      </c>
      <c r="G1531" s="181">
        <v>659.17</v>
      </c>
      <c r="H1531" s="828">
        <v>46096.0</v>
      </c>
      <c r="I1531" s="829">
        <f t="shared" si="1"/>
        <v>577.8818844</v>
      </c>
      <c r="J1531" s="830">
        <f t="shared" si="2"/>
        <v>0.3662069457</v>
      </c>
      <c r="K1531" s="830"/>
    </row>
    <row r="1532">
      <c r="A1532" s="181" t="s">
        <v>523</v>
      </c>
      <c r="B1532" s="181" t="s">
        <v>561</v>
      </c>
      <c r="C1532" s="181">
        <v>1.073741824E9</v>
      </c>
      <c r="D1532" s="181">
        <v>32.0</v>
      </c>
      <c r="E1532" s="181">
        <v>2802.62</v>
      </c>
      <c r="F1532" s="181">
        <v>383.12</v>
      </c>
      <c r="G1532" s="181">
        <v>742.3</v>
      </c>
      <c r="H1532" s="828">
        <v>46096.0</v>
      </c>
      <c r="I1532" s="829">
        <f t="shared" si="1"/>
        <v>1155.763769</v>
      </c>
      <c r="J1532" s="830">
        <f t="shared" si="2"/>
        <v>0.4123868983</v>
      </c>
      <c r="K1532" s="830"/>
    </row>
    <row r="1533">
      <c r="A1533" s="181" t="s">
        <v>523</v>
      </c>
      <c r="B1533" s="181" t="s">
        <v>561</v>
      </c>
      <c r="C1533" s="181">
        <v>2.147483648E9</v>
      </c>
      <c r="D1533" s="181">
        <v>32.0</v>
      </c>
      <c r="E1533" s="181">
        <v>5179.36</v>
      </c>
      <c r="F1533" s="181">
        <v>414.62</v>
      </c>
      <c r="G1533" s="181">
        <v>803.33</v>
      </c>
      <c r="H1533" s="828">
        <v>46096.0</v>
      </c>
      <c r="I1533" s="829">
        <f t="shared" si="1"/>
        <v>2311.527538</v>
      </c>
      <c r="J1533" s="830">
        <f t="shared" si="2"/>
        <v>0.4462959782</v>
      </c>
      <c r="K1533" s="830"/>
    </row>
    <row r="1534">
      <c r="A1534" s="181" t="s">
        <v>523</v>
      </c>
      <c r="B1534" s="181" t="s">
        <v>561</v>
      </c>
      <c r="C1534" s="181">
        <v>4.294967296E9</v>
      </c>
      <c r="D1534" s="181">
        <v>32.0</v>
      </c>
      <c r="E1534" s="181">
        <v>9974.91</v>
      </c>
      <c r="F1534" s="181">
        <v>430.58</v>
      </c>
      <c r="G1534" s="181">
        <v>834.24</v>
      </c>
      <c r="H1534" s="828">
        <v>46096.0</v>
      </c>
      <c r="I1534" s="829">
        <f t="shared" si="1"/>
        <v>4623.055076</v>
      </c>
      <c r="J1534" s="830">
        <f t="shared" si="2"/>
        <v>0.4634683496</v>
      </c>
      <c r="K1534" s="830"/>
    </row>
    <row r="1535">
      <c r="A1535" s="181" t="s">
        <v>523</v>
      </c>
      <c r="B1535" s="181" t="s">
        <v>561</v>
      </c>
      <c r="C1535" s="181">
        <v>8.589934592E9</v>
      </c>
      <c r="D1535" s="181">
        <v>32.0</v>
      </c>
      <c r="E1535" s="181">
        <v>18658.0</v>
      </c>
      <c r="F1535" s="181">
        <v>460.39</v>
      </c>
      <c r="G1535" s="181">
        <v>892.0</v>
      </c>
      <c r="H1535" s="828">
        <v>46096.0</v>
      </c>
      <c r="I1535" s="829">
        <f t="shared" si="1"/>
        <v>9246.110151</v>
      </c>
      <c r="J1535" s="830">
        <f t="shared" si="2"/>
        <v>0.4955574097</v>
      </c>
      <c r="K1535" s="830"/>
    </row>
    <row r="1536">
      <c r="A1536" s="181" t="s">
        <v>523</v>
      </c>
      <c r="B1536" s="181" t="s">
        <v>561</v>
      </c>
      <c r="C1536" s="181">
        <v>1.7179869184E10</v>
      </c>
      <c r="D1536" s="181">
        <v>32.0</v>
      </c>
      <c r="E1536" s="181">
        <v>36573.8</v>
      </c>
      <c r="F1536" s="181">
        <v>469.73</v>
      </c>
      <c r="G1536" s="181">
        <v>910.1</v>
      </c>
      <c r="H1536" s="828">
        <v>46096.0</v>
      </c>
      <c r="I1536" s="829">
        <f t="shared" si="1"/>
        <v>18492.2203</v>
      </c>
      <c r="J1536" s="830">
        <f t="shared" si="2"/>
        <v>0.505613863</v>
      </c>
      <c r="K1536" s="830"/>
    </row>
    <row r="1537">
      <c r="A1537" s="181" t="s">
        <v>523</v>
      </c>
      <c r="B1537" s="181" t="s">
        <v>562</v>
      </c>
      <c r="C1537" s="181">
        <v>128.0</v>
      </c>
      <c r="D1537" s="181">
        <v>2.0</v>
      </c>
      <c r="E1537" s="181">
        <v>11.1</v>
      </c>
      <c r="F1537" s="181">
        <v>0.01</v>
      </c>
      <c r="G1537" s="181">
        <v>0.01</v>
      </c>
      <c r="H1537" s="828">
        <v>46096.0</v>
      </c>
      <c r="I1537" s="829">
        <f t="shared" si="1"/>
        <v>0.00007111111111</v>
      </c>
      <c r="J1537" s="830">
        <f t="shared" si="2"/>
        <v>0.000006406406406</v>
      </c>
      <c r="K1537" s="830"/>
    </row>
    <row r="1538">
      <c r="A1538" s="181" t="s">
        <v>523</v>
      </c>
      <c r="B1538" s="181" t="s">
        <v>562</v>
      </c>
      <c r="C1538" s="181">
        <v>256.0</v>
      </c>
      <c r="D1538" s="181">
        <v>2.0</v>
      </c>
      <c r="E1538" s="181">
        <v>11.28</v>
      </c>
      <c r="F1538" s="181">
        <v>0.02</v>
      </c>
      <c r="G1538" s="181">
        <v>0.01</v>
      </c>
      <c r="H1538" s="828">
        <v>46096.0</v>
      </c>
      <c r="I1538" s="829">
        <f t="shared" si="1"/>
        <v>0.0001422222222</v>
      </c>
      <c r="J1538" s="830">
        <f t="shared" si="2"/>
        <v>0.00001260835303</v>
      </c>
      <c r="K1538" s="830"/>
    </row>
    <row r="1539">
      <c r="A1539" s="181" t="s">
        <v>523</v>
      </c>
      <c r="B1539" s="181" t="s">
        <v>562</v>
      </c>
      <c r="C1539" s="181">
        <v>512.0</v>
      </c>
      <c r="D1539" s="181">
        <v>2.0</v>
      </c>
      <c r="E1539" s="181">
        <v>11.28</v>
      </c>
      <c r="F1539" s="181">
        <v>0.05</v>
      </c>
      <c r="G1539" s="181">
        <v>0.02</v>
      </c>
      <c r="H1539" s="828">
        <v>46096.0</v>
      </c>
      <c r="I1539" s="829">
        <f t="shared" si="1"/>
        <v>0.0002844444444</v>
      </c>
      <c r="J1539" s="830">
        <f t="shared" si="2"/>
        <v>0.00002521670607</v>
      </c>
      <c r="K1539" s="830"/>
    </row>
    <row r="1540">
      <c r="A1540" s="181" t="s">
        <v>523</v>
      </c>
      <c r="B1540" s="181" t="s">
        <v>562</v>
      </c>
      <c r="C1540" s="181">
        <v>1024.0</v>
      </c>
      <c r="D1540" s="181">
        <v>2.0</v>
      </c>
      <c r="E1540" s="181">
        <v>11.09</v>
      </c>
      <c r="F1540" s="181">
        <v>0.09</v>
      </c>
      <c r="G1540" s="181">
        <v>0.05</v>
      </c>
      <c r="H1540" s="828">
        <v>46096.0</v>
      </c>
      <c r="I1540" s="829">
        <f t="shared" si="1"/>
        <v>0.0005688888889</v>
      </c>
      <c r="J1540" s="830">
        <f t="shared" si="2"/>
        <v>0.00005129746518</v>
      </c>
      <c r="K1540" s="830"/>
    </row>
    <row r="1541">
      <c r="A1541" s="181" t="s">
        <v>523</v>
      </c>
      <c r="B1541" s="181" t="s">
        <v>562</v>
      </c>
      <c r="C1541" s="181">
        <v>2048.0</v>
      </c>
      <c r="D1541" s="181">
        <v>2.0</v>
      </c>
      <c r="E1541" s="181">
        <v>10.82</v>
      </c>
      <c r="F1541" s="181">
        <v>0.19</v>
      </c>
      <c r="G1541" s="181">
        <v>0.09</v>
      </c>
      <c r="H1541" s="828">
        <v>46096.0</v>
      </c>
      <c r="I1541" s="829">
        <f t="shared" si="1"/>
        <v>0.001137777778</v>
      </c>
      <c r="J1541" s="830">
        <f t="shared" si="2"/>
        <v>0.0001051550626</v>
      </c>
      <c r="K1541" s="830"/>
    </row>
    <row r="1542">
      <c r="A1542" s="181" t="s">
        <v>523</v>
      </c>
      <c r="B1542" s="181" t="s">
        <v>562</v>
      </c>
      <c r="C1542" s="181">
        <v>4096.0</v>
      </c>
      <c r="D1542" s="181">
        <v>2.0</v>
      </c>
      <c r="E1542" s="181">
        <v>11.21</v>
      </c>
      <c r="F1542" s="181">
        <v>0.37</v>
      </c>
      <c r="G1542" s="181">
        <v>0.18</v>
      </c>
      <c r="H1542" s="828">
        <v>46096.0</v>
      </c>
      <c r="I1542" s="829">
        <f t="shared" si="1"/>
        <v>0.002275555556</v>
      </c>
      <c r="J1542" s="830">
        <f t="shared" si="2"/>
        <v>0.0002029933591</v>
      </c>
      <c r="K1542" s="830"/>
    </row>
    <row r="1543">
      <c r="A1543" s="181" t="s">
        <v>523</v>
      </c>
      <c r="B1543" s="181" t="s">
        <v>562</v>
      </c>
      <c r="C1543" s="181">
        <v>8192.0</v>
      </c>
      <c r="D1543" s="181">
        <v>2.0</v>
      </c>
      <c r="E1543" s="181">
        <v>11.88</v>
      </c>
      <c r="F1543" s="181">
        <v>0.69</v>
      </c>
      <c r="G1543" s="181">
        <v>0.34</v>
      </c>
      <c r="H1543" s="828">
        <v>46096.0</v>
      </c>
      <c r="I1543" s="829">
        <f t="shared" si="1"/>
        <v>0.004551111111</v>
      </c>
      <c r="J1543" s="830">
        <f t="shared" si="2"/>
        <v>0.0003830901609</v>
      </c>
      <c r="K1543" s="830"/>
    </row>
    <row r="1544">
      <c r="A1544" s="181" t="s">
        <v>523</v>
      </c>
      <c r="B1544" s="181" t="s">
        <v>562</v>
      </c>
      <c r="C1544" s="181">
        <v>16384.0</v>
      </c>
      <c r="D1544" s="181">
        <v>2.0</v>
      </c>
      <c r="E1544" s="181">
        <v>13.03</v>
      </c>
      <c r="F1544" s="181">
        <v>1.26</v>
      </c>
      <c r="G1544" s="181">
        <v>0.63</v>
      </c>
      <c r="H1544" s="828">
        <v>46096.0</v>
      </c>
      <c r="I1544" s="829">
        <f t="shared" si="1"/>
        <v>0.009102222222</v>
      </c>
      <c r="J1544" s="830">
        <f t="shared" si="2"/>
        <v>0.0006985588812</v>
      </c>
      <c r="K1544" s="830"/>
    </row>
    <row r="1545">
      <c r="A1545" s="181" t="s">
        <v>523</v>
      </c>
      <c r="B1545" s="181" t="s">
        <v>562</v>
      </c>
      <c r="C1545" s="181">
        <v>32768.0</v>
      </c>
      <c r="D1545" s="181">
        <v>2.0</v>
      </c>
      <c r="E1545" s="181">
        <v>12.76</v>
      </c>
      <c r="F1545" s="181">
        <v>2.57</v>
      </c>
      <c r="G1545" s="181">
        <v>1.28</v>
      </c>
      <c r="H1545" s="828">
        <v>46096.0</v>
      </c>
      <c r="I1545" s="829">
        <f t="shared" si="1"/>
        <v>0.01820444444</v>
      </c>
      <c r="J1545" s="830">
        <f t="shared" si="2"/>
        <v>0.001426680599</v>
      </c>
      <c r="K1545" s="830"/>
    </row>
    <row r="1546">
      <c r="A1546" s="181" t="s">
        <v>523</v>
      </c>
      <c r="B1546" s="181" t="s">
        <v>562</v>
      </c>
      <c r="C1546" s="181">
        <v>65536.0</v>
      </c>
      <c r="D1546" s="181">
        <v>2.0</v>
      </c>
      <c r="E1546" s="181">
        <v>13.03</v>
      </c>
      <c r="F1546" s="181">
        <v>5.03</v>
      </c>
      <c r="G1546" s="181">
        <v>2.51</v>
      </c>
      <c r="H1546" s="828">
        <v>46096.0</v>
      </c>
      <c r="I1546" s="829">
        <f t="shared" si="1"/>
        <v>0.03640888889</v>
      </c>
      <c r="J1546" s="830">
        <f t="shared" si="2"/>
        <v>0.002794235525</v>
      </c>
      <c r="K1546" s="830"/>
    </row>
    <row r="1547">
      <c r="A1547" s="181" t="s">
        <v>523</v>
      </c>
      <c r="B1547" s="181" t="s">
        <v>562</v>
      </c>
      <c r="C1547" s="181">
        <v>131072.0</v>
      </c>
      <c r="D1547" s="181">
        <v>2.0</v>
      </c>
      <c r="E1547" s="181">
        <v>13.56</v>
      </c>
      <c r="F1547" s="181">
        <v>9.67</v>
      </c>
      <c r="G1547" s="181">
        <v>4.83</v>
      </c>
      <c r="H1547" s="828">
        <v>46096.0</v>
      </c>
      <c r="I1547" s="829">
        <f t="shared" si="1"/>
        <v>0.07281777778</v>
      </c>
      <c r="J1547" s="830">
        <f t="shared" si="2"/>
        <v>0.005370042609</v>
      </c>
      <c r="K1547" s="830"/>
    </row>
    <row r="1548">
      <c r="A1548" s="181" t="s">
        <v>523</v>
      </c>
      <c r="B1548" s="181" t="s">
        <v>562</v>
      </c>
      <c r="C1548" s="181">
        <v>262144.0</v>
      </c>
      <c r="D1548" s="181">
        <v>2.0</v>
      </c>
      <c r="E1548" s="181">
        <v>12.76</v>
      </c>
      <c r="F1548" s="181">
        <v>20.55</v>
      </c>
      <c r="G1548" s="181">
        <v>10.27</v>
      </c>
      <c r="H1548" s="828">
        <v>46096.0</v>
      </c>
      <c r="I1548" s="829">
        <f t="shared" si="1"/>
        <v>0.1456355556</v>
      </c>
      <c r="J1548" s="830">
        <f t="shared" si="2"/>
        <v>0.01141344479</v>
      </c>
      <c r="K1548" s="830"/>
    </row>
    <row r="1549">
      <c r="A1549" s="181" t="s">
        <v>523</v>
      </c>
      <c r="B1549" s="181" t="s">
        <v>562</v>
      </c>
      <c r="C1549" s="181">
        <v>524288.0</v>
      </c>
      <c r="D1549" s="181">
        <v>2.0</v>
      </c>
      <c r="E1549" s="181">
        <v>14.42</v>
      </c>
      <c r="F1549" s="181">
        <v>36.36</v>
      </c>
      <c r="G1549" s="181">
        <v>18.18</v>
      </c>
      <c r="H1549" s="828">
        <v>46096.0</v>
      </c>
      <c r="I1549" s="829">
        <f t="shared" si="1"/>
        <v>0.2912711111</v>
      </c>
      <c r="J1549" s="830">
        <f t="shared" si="2"/>
        <v>0.02019910618</v>
      </c>
      <c r="K1549" s="830"/>
    </row>
    <row r="1550">
      <c r="A1550" s="181" t="s">
        <v>523</v>
      </c>
      <c r="B1550" s="181" t="s">
        <v>562</v>
      </c>
      <c r="C1550" s="181">
        <v>1048576.0</v>
      </c>
      <c r="D1550" s="181">
        <v>2.0</v>
      </c>
      <c r="E1550" s="181">
        <v>17.02</v>
      </c>
      <c r="F1550" s="181">
        <v>61.59</v>
      </c>
      <c r="G1550" s="181">
        <v>30.8</v>
      </c>
      <c r="H1550" s="828">
        <v>46096.0</v>
      </c>
      <c r="I1550" s="829">
        <f t="shared" si="1"/>
        <v>0.5825422222</v>
      </c>
      <c r="J1550" s="830">
        <f t="shared" si="2"/>
        <v>0.03422692257</v>
      </c>
      <c r="K1550" s="830"/>
    </row>
    <row r="1551">
      <c r="A1551" s="181" t="s">
        <v>523</v>
      </c>
      <c r="B1551" s="181" t="s">
        <v>562</v>
      </c>
      <c r="C1551" s="181">
        <v>2097152.0</v>
      </c>
      <c r="D1551" s="181">
        <v>2.0</v>
      </c>
      <c r="E1551" s="181">
        <v>20.12</v>
      </c>
      <c r="F1551" s="181">
        <v>104.22</v>
      </c>
      <c r="G1551" s="181">
        <v>52.11</v>
      </c>
      <c r="H1551" s="828">
        <v>46096.0</v>
      </c>
      <c r="I1551" s="829">
        <f t="shared" si="1"/>
        <v>1.165084444</v>
      </c>
      <c r="J1551" s="830">
        <f t="shared" si="2"/>
        <v>0.05790678153</v>
      </c>
      <c r="K1551" s="830"/>
    </row>
    <row r="1552">
      <c r="A1552" s="181" t="s">
        <v>523</v>
      </c>
      <c r="B1552" s="181" t="s">
        <v>562</v>
      </c>
      <c r="C1552" s="181">
        <v>4194304.0</v>
      </c>
      <c r="D1552" s="181">
        <v>2.0</v>
      </c>
      <c r="E1552" s="181">
        <v>23.18</v>
      </c>
      <c r="F1552" s="181">
        <v>180.96</v>
      </c>
      <c r="G1552" s="181">
        <v>90.48</v>
      </c>
      <c r="H1552" s="828">
        <v>46096.0</v>
      </c>
      <c r="I1552" s="829">
        <f t="shared" si="1"/>
        <v>2.330168889</v>
      </c>
      <c r="J1552" s="830">
        <f t="shared" si="2"/>
        <v>0.1005249736</v>
      </c>
      <c r="K1552" s="830"/>
    </row>
    <row r="1553">
      <c r="A1553" s="181" t="s">
        <v>523</v>
      </c>
      <c r="B1553" s="181" t="s">
        <v>562</v>
      </c>
      <c r="C1553" s="181">
        <v>8388608.0</v>
      </c>
      <c r="D1553" s="181">
        <v>2.0</v>
      </c>
      <c r="E1553" s="181">
        <v>32.53</v>
      </c>
      <c r="F1553" s="181">
        <v>257.84</v>
      </c>
      <c r="G1553" s="181">
        <v>128.92</v>
      </c>
      <c r="H1553" s="828">
        <v>46096.0</v>
      </c>
      <c r="I1553" s="829">
        <f t="shared" si="1"/>
        <v>4.660337778</v>
      </c>
      <c r="J1553" s="830">
        <f t="shared" si="2"/>
        <v>0.143262766</v>
      </c>
      <c r="K1553" s="830"/>
    </row>
    <row r="1554">
      <c r="A1554" s="181" t="s">
        <v>523</v>
      </c>
      <c r="B1554" s="181" t="s">
        <v>562</v>
      </c>
      <c r="C1554" s="181">
        <v>1.6777216E7</v>
      </c>
      <c r="D1554" s="181">
        <v>2.0</v>
      </c>
      <c r="E1554" s="181">
        <v>49.76</v>
      </c>
      <c r="F1554" s="181">
        <v>337.17</v>
      </c>
      <c r="G1554" s="181">
        <v>168.59</v>
      </c>
      <c r="H1554" s="828">
        <v>46096.0</v>
      </c>
      <c r="I1554" s="829">
        <f t="shared" si="1"/>
        <v>9.320675556</v>
      </c>
      <c r="J1554" s="830">
        <f t="shared" si="2"/>
        <v>0.1873126116</v>
      </c>
      <c r="K1554" s="830"/>
    </row>
    <row r="1555">
      <c r="A1555" s="181" t="s">
        <v>523</v>
      </c>
      <c r="B1555" s="181" t="s">
        <v>562</v>
      </c>
      <c r="C1555" s="181">
        <v>3.3554432E7</v>
      </c>
      <c r="D1555" s="181">
        <v>2.0</v>
      </c>
      <c r="E1555" s="181">
        <v>64.22</v>
      </c>
      <c r="F1555" s="181">
        <v>522.47</v>
      </c>
      <c r="G1555" s="181">
        <v>261.23</v>
      </c>
      <c r="H1555" s="828">
        <v>46096.0</v>
      </c>
      <c r="I1555" s="829">
        <f t="shared" si="1"/>
        <v>18.64135111</v>
      </c>
      <c r="J1555" s="830">
        <f t="shared" si="2"/>
        <v>0.2902732967</v>
      </c>
      <c r="K1555" s="830"/>
    </row>
    <row r="1556">
      <c r="A1556" s="181" t="s">
        <v>523</v>
      </c>
      <c r="B1556" s="181" t="s">
        <v>562</v>
      </c>
      <c r="C1556" s="181">
        <v>6.7108864E7</v>
      </c>
      <c r="D1556" s="181">
        <v>2.0</v>
      </c>
      <c r="E1556" s="181">
        <v>119.92</v>
      </c>
      <c r="F1556" s="181">
        <v>559.63</v>
      </c>
      <c r="G1556" s="181">
        <v>279.82</v>
      </c>
      <c r="H1556" s="828">
        <v>46096.0</v>
      </c>
      <c r="I1556" s="829">
        <f t="shared" si="1"/>
        <v>37.28270222</v>
      </c>
      <c r="J1556" s="830">
        <f t="shared" si="2"/>
        <v>0.3108964495</v>
      </c>
      <c r="K1556" s="830"/>
    </row>
    <row r="1557">
      <c r="A1557" s="181" t="s">
        <v>523</v>
      </c>
      <c r="B1557" s="181" t="s">
        <v>562</v>
      </c>
      <c r="C1557" s="181">
        <v>1.34217728E8</v>
      </c>
      <c r="D1557" s="181">
        <v>2.0</v>
      </c>
      <c r="E1557" s="181">
        <v>212.13</v>
      </c>
      <c r="F1557" s="181">
        <v>632.71</v>
      </c>
      <c r="G1557" s="181">
        <v>316.36</v>
      </c>
      <c r="H1557" s="828">
        <v>46096.0</v>
      </c>
      <c r="I1557" s="829">
        <f t="shared" si="1"/>
        <v>74.56540444</v>
      </c>
      <c r="J1557" s="830">
        <f t="shared" si="2"/>
        <v>0.3515080585</v>
      </c>
      <c r="K1557" s="830"/>
    </row>
    <row r="1558">
      <c r="A1558" s="181" t="s">
        <v>523</v>
      </c>
      <c r="B1558" s="181" t="s">
        <v>562</v>
      </c>
      <c r="C1558" s="181">
        <v>2.68435456E8</v>
      </c>
      <c r="D1558" s="181">
        <v>2.0</v>
      </c>
      <c r="E1558" s="181">
        <v>393.75</v>
      </c>
      <c r="F1558" s="181">
        <v>681.74</v>
      </c>
      <c r="G1558" s="181">
        <v>340.87</v>
      </c>
      <c r="H1558" s="828">
        <v>46096.0</v>
      </c>
      <c r="I1558" s="829">
        <f t="shared" si="1"/>
        <v>149.1308089</v>
      </c>
      <c r="J1558" s="830">
        <f t="shared" si="2"/>
        <v>0.3787449115</v>
      </c>
      <c r="K1558" s="830"/>
    </row>
    <row r="1559">
      <c r="A1559" s="181" t="s">
        <v>523</v>
      </c>
      <c r="B1559" s="181" t="s">
        <v>562</v>
      </c>
      <c r="C1559" s="181">
        <v>5.36870912E8</v>
      </c>
      <c r="D1559" s="181">
        <v>2.0</v>
      </c>
      <c r="E1559" s="181">
        <v>755.64</v>
      </c>
      <c r="F1559" s="181">
        <v>710.48</v>
      </c>
      <c r="G1559" s="181">
        <v>355.24</v>
      </c>
      <c r="H1559" s="828">
        <v>46096.0</v>
      </c>
      <c r="I1559" s="829">
        <f t="shared" si="1"/>
        <v>298.2616178</v>
      </c>
      <c r="J1559" s="830">
        <f t="shared" si="2"/>
        <v>0.3947139084</v>
      </c>
      <c r="K1559" s="830"/>
    </row>
    <row r="1560">
      <c r="A1560" s="181" t="s">
        <v>523</v>
      </c>
      <c r="B1560" s="181" t="s">
        <v>562</v>
      </c>
      <c r="C1560" s="181">
        <v>1.073741824E9</v>
      </c>
      <c r="D1560" s="181">
        <v>2.0</v>
      </c>
      <c r="E1560" s="181">
        <v>844.25</v>
      </c>
      <c r="F1560" s="181">
        <v>1271.8</v>
      </c>
      <c r="G1560" s="181">
        <v>635.91</v>
      </c>
      <c r="H1560" s="828">
        <v>46096.0</v>
      </c>
      <c r="I1560" s="829">
        <f t="shared" si="1"/>
        <v>596.5232356</v>
      </c>
      <c r="J1560" s="830">
        <f t="shared" si="2"/>
        <v>0.7065717922</v>
      </c>
      <c r="K1560" s="830"/>
    </row>
    <row r="1561">
      <c r="A1561" s="181" t="s">
        <v>523</v>
      </c>
      <c r="B1561" s="181" t="s">
        <v>562</v>
      </c>
      <c r="C1561" s="181">
        <v>2.147483648E9</v>
      </c>
      <c r="D1561" s="181">
        <v>2.0</v>
      </c>
      <c r="E1561" s="181">
        <v>1647.58</v>
      </c>
      <c r="F1561" s="181">
        <v>1303.4</v>
      </c>
      <c r="G1561" s="181">
        <v>651.71</v>
      </c>
      <c r="H1561" s="828">
        <v>46096.0</v>
      </c>
      <c r="I1561" s="829">
        <f t="shared" si="1"/>
        <v>1193.046471</v>
      </c>
      <c r="J1561" s="830">
        <f t="shared" si="2"/>
        <v>0.7241205108</v>
      </c>
      <c r="K1561" s="830"/>
    </row>
    <row r="1562">
      <c r="A1562" s="181" t="s">
        <v>523</v>
      </c>
      <c r="B1562" s="181" t="s">
        <v>562</v>
      </c>
      <c r="C1562" s="181">
        <v>4.294967296E9</v>
      </c>
      <c r="D1562" s="181">
        <v>2.0</v>
      </c>
      <c r="E1562" s="181">
        <v>3252.94</v>
      </c>
      <c r="F1562" s="181">
        <v>1320.3</v>
      </c>
      <c r="G1562" s="181">
        <v>660.17</v>
      </c>
      <c r="H1562" s="828">
        <v>46096.0</v>
      </c>
      <c r="I1562" s="829">
        <f t="shared" si="1"/>
        <v>2386.092942</v>
      </c>
      <c r="J1562" s="830">
        <f t="shared" si="2"/>
        <v>0.7335188913</v>
      </c>
      <c r="K1562" s="830"/>
    </row>
    <row r="1563">
      <c r="A1563" s="181" t="s">
        <v>523</v>
      </c>
      <c r="B1563" s="181" t="s">
        <v>562</v>
      </c>
      <c r="C1563" s="181">
        <v>8.589934592E9</v>
      </c>
      <c r="D1563" s="181">
        <v>2.0</v>
      </c>
      <c r="E1563" s="181">
        <v>6459.53</v>
      </c>
      <c r="F1563" s="181">
        <v>1329.8</v>
      </c>
      <c r="G1563" s="181">
        <v>664.9</v>
      </c>
      <c r="H1563" s="828">
        <v>46096.0</v>
      </c>
      <c r="I1563" s="829">
        <f t="shared" si="1"/>
        <v>4772.185884</v>
      </c>
      <c r="J1563" s="830">
        <f t="shared" si="2"/>
        <v>0.7387822155</v>
      </c>
      <c r="K1563" s="830"/>
    </row>
    <row r="1564">
      <c r="A1564" s="181" t="s">
        <v>523</v>
      </c>
      <c r="B1564" s="181" t="s">
        <v>562</v>
      </c>
      <c r="C1564" s="181">
        <v>1.7179869184E10</v>
      </c>
      <c r="D1564" s="181">
        <v>2.0</v>
      </c>
      <c r="E1564" s="181">
        <v>12923.0</v>
      </c>
      <c r="F1564" s="181">
        <v>1329.4</v>
      </c>
      <c r="G1564" s="181">
        <v>664.7</v>
      </c>
      <c r="H1564" s="828">
        <v>46096.0</v>
      </c>
      <c r="I1564" s="829">
        <f t="shared" si="1"/>
        <v>9544.371769</v>
      </c>
      <c r="J1564" s="830">
        <f t="shared" si="2"/>
        <v>0.7385569735</v>
      </c>
      <c r="K1564" s="830"/>
    </row>
    <row r="1565">
      <c r="A1565" s="181" t="s">
        <v>523</v>
      </c>
      <c r="B1565" s="181" t="s">
        <v>562</v>
      </c>
      <c r="C1565" s="181">
        <v>256.0</v>
      </c>
      <c r="D1565" s="181">
        <v>4.0</v>
      </c>
      <c r="E1565" s="181">
        <v>11.39</v>
      </c>
      <c r="F1565" s="181">
        <v>0.02</v>
      </c>
      <c r="G1565" s="181">
        <v>0.02</v>
      </c>
      <c r="H1565" s="828">
        <v>46096.0</v>
      </c>
      <c r="I1565" s="829">
        <f t="shared" si="1"/>
        <v>0.0002133333333</v>
      </c>
      <c r="J1565" s="830">
        <f t="shared" si="2"/>
        <v>0.00001872988001</v>
      </c>
      <c r="K1565" s="830"/>
    </row>
    <row r="1566">
      <c r="A1566" s="181" t="s">
        <v>523</v>
      </c>
      <c r="B1566" s="181" t="s">
        <v>562</v>
      </c>
      <c r="C1566" s="181">
        <v>512.0</v>
      </c>
      <c r="D1566" s="181">
        <v>4.0</v>
      </c>
      <c r="E1566" s="181">
        <v>11.47</v>
      </c>
      <c r="F1566" s="181">
        <v>0.04</v>
      </c>
      <c r="G1566" s="181">
        <v>0.03</v>
      </c>
      <c r="H1566" s="828">
        <v>46096.0</v>
      </c>
      <c r="I1566" s="829">
        <f t="shared" si="1"/>
        <v>0.0004266666667</v>
      </c>
      <c r="J1566" s="830">
        <f t="shared" si="2"/>
        <v>0.00003719848881</v>
      </c>
      <c r="K1566" s="830"/>
    </row>
    <row r="1567">
      <c r="A1567" s="181" t="s">
        <v>523</v>
      </c>
      <c r="B1567" s="181" t="s">
        <v>562</v>
      </c>
      <c r="C1567" s="181">
        <v>1024.0</v>
      </c>
      <c r="D1567" s="181">
        <v>4.0</v>
      </c>
      <c r="E1567" s="181">
        <v>11.24</v>
      </c>
      <c r="F1567" s="181">
        <v>0.09</v>
      </c>
      <c r="G1567" s="181">
        <v>0.07</v>
      </c>
      <c r="H1567" s="828">
        <v>46096.0</v>
      </c>
      <c r="I1567" s="829">
        <f t="shared" si="1"/>
        <v>0.0008533333333</v>
      </c>
      <c r="J1567" s="830">
        <f t="shared" si="2"/>
        <v>0.00007591933571</v>
      </c>
      <c r="K1567" s="830"/>
    </row>
    <row r="1568">
      <c r="A1568" s="181" t="s">
        <v>523</v>
      </c>
      <c r="B1568" s="181" t="s">
        <v>562</v>
      </c>
      <c r="C1568" s="181">
        <v>2048.0</v>
      </c>
      <c r="D1568" s="181">
        <v>4.0</v>
      </c>
      <c r="E1568" s="181">
        <v>11.51</v>
      </c>
      <c r="F1568" s="181">
        <v>0.18</v>
      </c>
      <c r="G1568" s="181">
        <v>0.13</v>
      </c>
      <c r="H1568" s="828">
        <v>46096.0</v>
      </c>
      <c r="I1568" s="829">
        <f t="shared" si="1"/>
        <v>0.001706666667</v>
      </c>
      <c r="J1568" s="830">
        <f t="shared" si="2"/>
        <v>0.0001482768607</v>
      </c>
      <c r="K1568" s="830"/>
    </row>
    <row r="1569">
      <c r="A1569" s="181" t="s">
        <v>523</v>
      </c>
      <c r="B1569" s="181" t="s">
        <v>562</v>
      </c>
      <c r="C1569" s="181">
        <v>4096.0</v>
      </c>
      <c r="D1569" s="181">
        <v>4.0</v>
      </c>
      <c r="E1569" s="181">
        <v>11.3</v>
      </c>
      <c r="F1569" s="181">
        <v>0.36</v>
      </c>
      <c r="G1569" s="181">
        <v>0.27</v>
      </c>
      <c r="H1569" s="828">
        <v>46096.0</v>
      </c>
      <c r="I1569" s="829">
        <f t="shared" si="1"/>
        <v>0.003413333333</v>
      </c>
      <c r="J1569" s="830">
        <f t="shared" si="2"/>
        <v>0.0003020648968</v>
      </c>
      <c r="K1569" s="830"/>
    </row>
    <row r="1570">
      <c r="A1570" s="181" t="s">
        <v>523</v>
      </c>
      <c r="B1570" s="181" t="s">
        <v>562</v>
      </c>
      <c r="C1570" s="181">
        <v>8192.0</v>
      </c>
      <c r="D1570" s="181">
        <v>4.0</v>
      </c>
      <c r="E1570" s="181">
        <v>11.66</v>
      </c>
      <c r="F1570" s="181">
        <v>0.7</v>
      </c>
      <c r="G1570" s="181">
        <v>0.53</v>
      </c>
      <c r="H1570" s="828">
        <v>46096.0</v>
      </c>
      <c r="I1570" s="829">
        <f t="shared" si="1"/>
        <v>0.006826666667</v>
      </c>
      <c r="J1570" s="830">
        <f t="shared" si="2"/>
        <v>0.0005854774157</v>
      </c>
      <c r="K1570" s="830"/>
    </row>
    <row r="1571">
      <c r="A1571" s="181" t="s">
        <v>523</v>
      </c>
      <c r="B1571" s="181" t="s">
        <v>562</v>
      </c>
      <c r="C1571" s="181">
        <v>16384.0</v>
      </c>
      <c r="D1571" s="181">
        <v>4.0</v>
      </c>
      <c r="E1571" s="181">
        <v>12.01</v>
      </c>
      <c r="F1571" s="181">
        <v>1.36</v>
      </c>
      <c r="G1571" s="181">
        <v>1.02</v>
      </c>
      <c r="H1571" s="828">
        <v>46096.0</v>
      </c>
      <c r="I1571" s="829">
        <f t="shared" si="1"/>
        <v>0.01365333333</v>
      </c>
      <c r="J1571" s="830">
        <f t="shared" si="2"/>
        <v>0.001136830419</v>
      </c>
      <c r="K1571" s="830"/>
    </row>
    <row r="1572">
      <c r="A1572" s="181" t="s">
        <v>523</v>
      </c>
      <c r="B1572" s="181" t="s">
        <v>562</v>
      </c>
      <c r="C1572" s="181">
        <v>32768.0</v>
      </c>
      <c r="D1572" s="181">
        <v>4.0</v>
      </c>
      <c r="E1572" s="181">
        <v>12.78</v>
      </c>
      <c r="F1572" s="181">
        <v>2.56</v>
      </c>
      <c r="G1572" s="181">
        <v>1.92</v>
      </c>
      <c r="H1572" s="828">
        <v>46096.0</v>
      </c>
      <c r="I1572" s="829">
        <f t="shared" si="1"/>
        <v>0.02730666667</v>
      </c>
      <c r="J1572" s="830">
        <f t="shared" si="2"/>
        <v>0.002136671883</v>
      </c>
      <c r="K1572" s="830"/>
    </row>
    <row r="1573">
      <c r="A1573" s="181" t="s">
        <v>523</v>
      </c>
      <c r="B1573" s="181" t="s">
        <v>562</v>
      </c>
      <c r="C1573" s="181">
        <v>65536.0</v>
      </c>
      <c r="D1573" s="181">
        <v>4.0</v>
      </c>
      <c r="E1573" s="181">
        <v>12.82</v>
      </c>
      <c r="F1573" s="181">
        <v>5.11</v>
      </c>
      <c r="G1573" s="181">
        <v>3.84</v>
      </c>
      <c r="H1573" s="828">
        <v>46096.0</v>
      </c>
      <c r="I1573" s="829">
        <f t="shared" si="1"/>
        <v>0.05461333333</v>
      </c>
      <c r="J1573" s="830">
        <f t="shared" si="2"/>
        <v>0.0042600104</v>
      </c>
      <c r="K1573" s="830"/>
    </row>
    <row r="1574">
      <c r="A1574" s="181" t="s">
        <v>523</v>
      </c>
      <c r="B1574" s="181" t="s">
        <v>562</v>
      </c>
      <c r="C1574" s="181">
        <v>131072.0</v>
      </c>
      <c r="D1574" s="181">
        <v>4.0</v>
      </c>
      <c r="E1574" s="181">
        <v>13.32</v>
      </c>
      <c r="F1574" s="181">
        <v>9.84</v>
      </c>
      <c r="G1574" s="181">
        <v>7.38</v>
      </c>
      <c r="H1574" s="828">
        <v>46096.0</v>
      </c>
      <c r="I1574" s="829">
        <f t="shared" si="1"/>
        <v>0.1092266667</v>
      </c>
      <c r="J1574" s="830">
        <f t="shared" si="2"/>
        <v>0.0082002002</v>
      </c>
      <c r="K1574" s="830"/>
    </row>
    <row r="1575">
      <c r="A1575" s="181" t="s">
        <v>523</v>
      </c>
      <c r="B1575" s="181" t="s">
        <v>562</v>
      </c>
      <c r="C1575" s="181">
        <v>262144.0</v>
      </c>
      <c r="D1575" s="181">
        <v>4.0</v>
      </c>
      <c r="E1575" s="181">
        <v>14.02</v>
      </c>
      <c r="F1575" s="181">
        <v>18.7</v>
      </c>
      <c r="G1575" s="181">
        <v>14.02</v>
      </c>
      <c r="H1575" s="828">
        <v>46096.0</v>
      </c>
      <c r="I1575" s="829">
        <f t="shared" si="1"/>
        <v>0.2184533333</v>
      </c>
      <c r="J1575" s="830">
        <f t="shared" si="2"/>
        <v>0.01558155017</v>
      </c>
      <c r="K1575" s="830"/>
    </row>
    <row r="1576">
      <c r="A1576" s="181" t="s">
        <v>523</v>
      </c>
      <c r="B1576" s="181" t="s">
        <v>562</v>
      </c>
      <c r="C1576" s="181">
        <v>524288.0</v>
      </c>
      <c r="D1576" s="181">
        <v>4.0</v>
      </c>
      <c r="E1576" s="181">
        <v>14.72</v>
      </c>
      <c r="F1576" s="181">
        <v>35.63</v>
      </c>
      <c r="G1576" s="181">
        <v>26.72</v>
      </c>
      <c r="H1576" s="828">
        <v>46096.0</v>
      </c>
      <c r="I1576" s="829">
        <f t="shared" si="1"/>
        <v>0.4369066667</v>
      </c>
      <c r="J1576" s="830">
        <f t="shared" si="2"/>
        <v>0.02968115942</v>
      </c>
      <c r="K1576" s="830"/>
    </row>
    <row r="1577">
      <c r="A1577" s="181" t="s">
        <v>523</v>
      </c>
      <c r="B1577" s="181" t="s">
        <v>562</v>
      </c>
      <c r="C1577" s="181">
        <v>1048576.0</v>
      </c>
      <c r="D1577" s="181">
        <v>4.0</v>
      </c>
      <c r="E1577" s="181">
        <v>17.1</v>
      </c>
      <c r="F1577" s="181">
        <v>61.33</v>
      </c>
      <c r="G1577" s="181">
        <v>46.0</v>
      </c>
      <c r="H1577" s="828">
        <v>46096.0</v>
      </c>
      <c r="I1577" s="829">
        <f t="shared" si="1"/>
        <v>0.8738133333</v>
      </c>
      <c r="J1577" s="830">
        <f t="shared" si="2"/>
        <v>0.05110019493</v>
      </c>
      <c r="K1577" s="830"/>
    </row>
    <row r="1578">
      <c r="A1578" s="181" t="s">
        <v>523</v>
      </c>
      <c r="B1578" s="181" t="s">
        <v>562</v>
      </c>
      <c r="C1578" s="181">
        <v>2097152.0</v>
      </c>
      <c r="D1578" s="181">
        <v>4.0</v>
      </c>
      <c r="E1578" s="181">
        <v>23.11</v>
      </c>
      <c r="F1578" s="181">
        <v>90.75</v>
      </c>
      <c r="G1578" s="181">
        <v>68.07</v>
      </c>
      <c r="H1578" s="828">
        <v>46096.0</v>
      </c>
      <c r="I1578" s="829">
        <f t="shared" si="1"/>
        <v>1.747626667</v>
      </c>
      <c r="J1578" s="830">
        <f t="shared" si="2"/>
        <v>0.07562209722</v>
      </c>
      <c r="K1578" s="830"/>
    </row>
    <row r="1579">
      <c r="A1579" s="181" t="s">
        <v>523</v>
      </c>
      <c r="B1579" s="181" t="s">
        <v>562</v>
      </c>
      <c r="C1579" s="181">
        <v>4194304.0</v>
      </c>
      <c r="D1579" s="181">
        <v>4.0</v>
      </c>
      <c r="E1579" s="181">
        <v>25.28</v>
      </c>
      <c r="F1579" s="181">
        <v>165.9</v>
      </c>
      <c r="G1579" s="181">
        <v>124.43</v>
      </c>
      <c r="H1579" s="828">
        <v>46096.0</v>
      </c>
      <c r="I1579" s="829">
        <f t="shared" si="1"/>
        <v>3.495253333</v>
      </c>
      <c r="J1579" s="830">
        <f t="shared" si="2"/>
        <v>0.1382616034</v>
      </c>
      <c r="K1579" s="830"/>
    </row>
    <row r="1580">
      <c r="A1580" s="181" t="s">
        <v>523</v>
      </c>
      <c r="B1580" s="181" t="s">
        <v>562</v>
      </c>
      <c r="C1580" s="181">
        <v>8388608.0</v>
      </c>
      <c r="D1580" s="181">
        <v>4.0</v>
      </c>
      <c r="E1580" s="181">
        <v>33.29</v>
      </c>
      <c r="F1580" s="181">
        <v>252.0</v>
      </c>
      <c r="G1580" s="181">
        <v>189.0</v>
      </c>
      <c r="H1580" s="828">
        <v>46096.0</v>
      </c>
      <c r="I1580" s="829">
        <f t="shared" si="1"/>
        <v>6.990506667</v>
      </c>
      <c r="J1580" s="830">
        <f t="shared" si="2"/>
        <v>0.2099881846</v>
      </c>
      <c r="K1580" s="830"/>
    </row>
    <row r="1581">
      <c r="A1581" s="181" t="s">
        <v>523</v>
      </c>
      <c r="B1581" s="181" t="s">
        <v>562</v>
      </c>
      <c r="C1581" s="181">
        <v>1.6777216E7</v>
      </c>
      <c r="D1581" s="181">
        <v>4.0</v>
      </c>
      <c r="E1581" s="181">
        <v>49.76</v>
      </c>
      <c r="F1581" s="181">
        <v>337.15</v>
      </c>
      <c r="G1581" s="181">
        <v>252.86</v>
      </c>
      <c r="H1581" s="828">
        <v>46096.0</v>
      </c>
      <c r="I1581" s="829">
        <f t="shared" si="1"/>
        <v>13.98101333</v>
      </c>
      <c r="J1581" s="830">
        <f t="shared" si="2"/>
        <v>0.2809689175</v>
      </c>
      <c r="K1581" s="830"/>
    </row>
    <row r="1582">
      <c r="A1582" s="181" t="s">
        <v>523</v>
      </c>
      <c r="B1582" s="181" t="s">
        <v>562</v>
      </c>
      <c r="C1582" s="181">
        <v>3.3554432E7</v>
      </c>
      <c r="D1582" s="181">
        <v>4.0</v>
      </c>
      <c r="E1582" s="181">
        <v>77.21</v>
      </c>
      <c r="F1582" s="181">
        <v>434.61</v>
      </c>
      <c r="G1582" s="181">
        <v>325.96</v>
      </c>
      <c r="H1582" s="828">
        <v>46096.0</v>
      </c>
      <c r="I1582" s="829">
        <f t="shared" si="1"/>
        <v>27.96202667</v>
      </c>
      <c r="J1582" s="830">
        <f t="shared" si="2"/>
        <v>0.3621555066</v>
      </c>
      <c r="K1582" s="830"/>
    </row>
    <row r="1583">
      <c r="A1583" s="181" t="s">
        <v>523</v>
      </c>
      <c r="B1583" s="181" t="s">
        <v>562</v>
      </c>
      <c r="C1583" s="181">
        <v>6.7108864E7</v>
      </c>
      <c r="D1583" s="181">
        <v>4.0</v>
      </c>
      <c r="E1583" s="181">
        <v>126.87</v>
      </c>
      <c r="F1583" s="181">
        <v>528.96</v>
      </c>
      <c r="G1583" s="181">
        <v>396.72</v>
      </c>
      <c r="H1583" s="828">
        <v>46096.0</v>
      </c>
      <c r="I1583" s="829">
        <f t="shared" si="1"/>
        <v>55.92405333</v>
      </c>
      <c r="J1583" s="830">
        <f t="shared" si="2"/>
        <v>0.4407980873</v>
      </c>
      <c r="K1583" s="830"/>
    </row>
    <row r="1584">
      <c r="A1584" s="181" t="s">
        <v>523</v>
      </c>
      <c r="B1584" s="181" t="s">
        <v>562</v>
      </c>
      <c r="C1584" s="181">
        <v>1.34217728E8</v>
      </c>
      <c r="D1584" s="181">
        <v>4.0</v>
      </c>
      <c r="E1584" s="181">
        <v>222.81</v>
      </c>
      <c r="F1584" s="181">
        <v>602.39</v>
      </c>
      <c r="G1584" s="181">
        <v>451.79</v>
      </c>
      <c r="H1584" s="828">
        <v>46096.0</v>
      </c>
      <c r="I1584" s="829">
        <f t="shared" si="1"/>
        <v>111.8481067</v>
      </c>
      <c r="J1584" s="830">
        <f t="shared" si="2"/>
        <v>0.5019887198</v>
      </c>
      <c r="K1584" s="830"/>
    </row>
    <row r="1585">
      <c r="A1585" s="181" t="s">
        <v>523</v>
      </c>
      <c r="B1585" s="181" t="s">
        <v>562</v>
      </c>
      <c r="C1585" s="181">
        <v>2.68435456E8</v>
      </c>
      <c r="D1585" s="181">
        <v>4.0</v>
      </c>
      <c r="E1585" s="181">
        <v>412.48</v>
      </c>
      <c r="F1585" s="181">
        <v>650.78</v>
      </c>
      <c r="G1585" s="181">
        <v>488.09</v>
      </c>
      <c r="H1585" s="828">
        <v>46096.0</v>
      </c>
      <c r="I1585" s="829">
        <f t="shared" si="1"/>
        <v>223.6962133</v>
      </c>
      <c r="J1585" s="830">
        <f t="shared" si="2"/>
        <v>0.5423201448</v>
      </c>
      <c r="K1585" s="830"/>
    </row>
    <row r="1586">
      <c r="A1586" s="181" t="s">
        <v>523</v>
      </c>
      <c r="B1586" s="181" t="s">
        <v>562</v>
      </c>
      <c r="C1586" s="181">
        <v>5.36870912E8</v>
      </c>
      <c r="D1586" s="181">
        <v>4.0</v>
      </c>
      <c r="E1586" s="181">
        <v>789.09</v>
      </c>
      <c r="F1586" s="181">
        <v>680.36</v>
      </c>
      <c r="G1586" s="181">
        <v>510.27</v>
      </c>
      <c r="H1586" s="828">
        <v>46096.0</v>
      </c>
      <c r="I1586" s="829">
        <f t="shared" si="1"/>
        <v>447.3924267</v>
      </c>
      <c r="J1586" s="830">
        <f t="shared" si="2"/>
        <v>0.5669726225</v>
      </c>
      <c r="K1586" s="830"/>
    </row>
    <row r="1587">
      <c r="A1587" s="181" t="s">
        <v>523</v>
      </c>
      <c r="B1587" s="181" t="s">
        <v>562</v>
      </c>
      <c r="C1587" s="181">
        <v>1.073741824E9</v>
      </c>
      <c r="D1587" s="181">
        <v>4.0</v>
      </c>
      <c r="E1587" s="181">
        <v>1527.53</v>
      </c>
      <c r="F1587" s="181">
        <v>702.93</v>
      </c>
      <c r="G1587" s="181">
        <v>527.2</v>
      </c>
      <c r="H1587" s="828">
        <v>46096.0</v>
      </c>
      <c r="I1587" s="829">
        <f t="shared" si="1"/>
        <v>894.7848533</v>
      </c>
      <c r="J1587" s="830">
        <f t="shared" si="2"/>
        <v>0.5857723602</v>
      </c>
      <c r="K1587" s="830"/>
    </row>
    <row r="1588">
      <c r="A1588" s="181" t="s">
        <v>523</v>
      </c>
      <c r="B1588" s="181" t="s">
        <v>562</v>
      </c>
      <c r="C1588" s="181">
        <v>2.147483648E9</v>
      </c>
      <c r="D1588" s="181">
        <v>4.0</v>
      </c>
      <c r="E1588" s="181">
        <v>2553.65</v>
      </c>
      <c r="F1588" s="181">
        <v>840.95</v>
      </c>
      <c r="G1588" s="181">
        <v>630.71</v>
      </c>
      <c r="H1588" s="828">
        <v>46096.0</v>
      </c>
      <c r="I1588" s="829">
        <f t="shared" si="1"/>
        <v>1789.569707</v>
      </c>
      <c r="J1588" s="830">
        <f t="shared" si="2"/>
        <v>0.7007889518</v>
      </c>
      <c r="K1588" s="830"/>
    </row>
    <row r="1589">
      <c r="A1589" s="181" t="s">
        <v>523</v>
      </c>
      <c r="B1589" s="181" t="s">
        <v>562</v>
      </c>
      <c r="C1589" s="181">
        <v>4.294967296E9</v>
      </c>
      <c r="D1589" s="181">
        <v>4.0</v>
      </c>
      <c r="E1589" s="181">
        <v>4956.47</v>
      </c>
      <c r="F1589" s="181">
        <v>866.54</v>
      </c>
      <c r="G1589" s="181">
        <v>649.9</v>
      </c>
      <c r="H1589" s="828">
        <v>46096.0</v>
      </c>
      <c r="I1589" s="829">
        <f t="shared" si="1"/>
        <v>3579.139413</v>
      </c>
      <c r="J1589" s="830">
        <f t="shared" si="2"/>
        <v>0.7221146125</v>
      </c>
      <c r="K1589" s="830"/>
    </row>
    <row r="1590">
      <c r="A1590" s="181" t="s">
        <v>523</v>
      </c>
      <c r="B1590" s="181" t="s">
        <v>562</v>
      </c>
      <c r="C1590" s="181">
        <v>8.589934592E9</v>
      </c>
      <c r="D1590" s="181">
        <v>4.0</v>
      </c>
      <c r="E1590" s="181">
        <v>9641.68</v>
      </c>
      <c r="F1590" s="181">
        <v>890.92</v>
      </c>
      <c r="G1590" s="181">
        <v>668.19</v>
      </c>
      <c r="H1590" s="828">
        <v>46096.0</v>
      </c>
      <c r="I1590" s="829">
        <f t="shared" si="1"/>
        <v>7158.278827</v>
      </c>
      <c r="J1590" s="830">
        <f t="shared" si="2"/>
        <v>0.742430658</v>
      </c>
      <c r="K1590" s="830"/>
    </row>
    <row r="1591">
      <c r="A1591" s="181" t="s">
        <v>523</v>
      </c>
      <c r="B1591" s="181" t="s">
        <v>562</v>
      </c>
      <c r="C1591" s="181">
        <v>1.7179869184E10</v>
      </c>
      <c r="D1591" s="181">
        <v>4.0</v>
      </c>
      <c r="E1591" s="181">
        <v>19016.5</v>
      </c>
      <c r="F1591" s="181">
        <v>903.42</v>
      </c>
      <c r="G1591" s="181">
        <v>677.56</v>
      </c>
      <c r="H1591" s="828">
        <v>46096.0</v>
      </c>
      <c r="I1591" s="829">
        <f t="shared" si="1"/>
        <v>14316.55765</v>
      </c>
      <c r="J1591" s="830">
        <f t="shared" si="2"/>
        <v>0.7528492443</v>
      </c>
      <c r="K1591" s="830"/>
    </row>
    <row r="1592">
      <c r="A1592" s="181" t="s">
        <v>523</v>
      </c>
      <c r="B1592" s="181" t="s">
        <v>562</v>
      </c>
      <c r="C1592" s="181">
        <v>384.0</v>
      </c>
      <c r="D1592" s="181">
        <v>6.0</v>
      </c>
      <c r="E1592" s="181">
        <v>14.47</v>
      </c>
      <c r="F1592" s="181">
        <v>0.03</v>
      </c>
      <c r="G1592" s="181">
        <v>0.02</v>
      </c>
      <c r="H1592" s="828">
        <v>46096.0</v>
      </c>
      <c r="I1592" s="829">
        <f t="shared" si="1"/>
        <v>0.0003555555556</v>
      </c>
      <c r="J1592" s="830">
        <f t="shared" si="2"/>
        <v>0.00002457191123</v>
      </c>
      <c r="K1592" s="830"/>
    </row>
    <row r="1593">
      <c r="A1593" s="181" t="s">
        <v>523</v>
      </c>
      <c r="B1593" s="181" t="s">
        <v>562</v>
      </c>
      <c r="C1593" s="181">
        <v>768.0</v>
      </c>
      <c r="D1593" s="181">
        <v>6.0</v>
      </c>
      <c r="E1593" s="181">
        <v>15.01</v>
      </c>
      <c r="F1593" s="181">
        <v>0.05</v>
      </c>
      <c r="G1593" s="181">
        <v>0.04</v>
      </c>
      <c r="H1593" s="828">
        <v>46096.0</v>
      </c>
      <c r="I1593" s="829">
        <f t="shared" si="1"/>
        <v>0.0007111111111</v>
      </c>
      <c r="J1593" s="830">
        <f t="shared" si="2"/>
        <v>0.00004737582353</v>
      </c>
      <c r="K1593" s="830"/>
    </row>
    <row r="1594">
      <c r="A1594" s="181" t="s">
        <v>523</v>
      </c>
      <c r="B1594" s="181" t="s">
        <v>562</v>
      </c>
      <c r="C1594" s="181">
        <v>1536.0</v>
      </c>
      <c r="D1594" s="181">
        <v>6.0</v>
      </c>
      <c r="E1594" s="181">
        <v>14.41</v>
      </c>
      <c r="F1594" s="181">
        <v>0.11</v>
      </c>
      <c r="G1594" s="181">
        <v>0.09</v>
      </c>
      <c r="H1594" s="828">
        <v>46096.0</v>
      </c>
      <c r="I1594" s="829">
        <f t="shared" si="1"/>
        <v>0.001422222222</v>
      </c>
      <c r="J1594" s="830">
        <f t="shared" si="2"/>
        <v>0.00009869689259</v>
      </c>
      <c r="K1594" s="830"/>
    </row>
    <row r="1595">
      <c r="A1595" s="181" t="s">
        <v>523</v>
      </c>
      <c r="B1595" s="181" t="s">
        <v>562</v>
      </c>
      <c r="C1595" s="181">
        <v>3072.0</v>
      </c>
      <c r="D1595" s="181">
        <v>6.0</v>
      </c>
      <c r="E1595" s="181">
        <v>14.42</v>
      </c>
      <c r="F1595" s="181">
        <v>0.21</v>
      </c>
      <c r="G1595" s="181">
        <v>0.18</v>
      </c>
      <c r="H1595" s="828">
        <v>46096.0</v>
      </c>
      <c r="I1595" s="829">
        <f t="shared" si="1"/>
        <v>0.002844444444</v>
      </c>
      <c r="J1595" s="830">
        <f t="shared" si="2"/>
        <v>0.0001972568963</v>
      </c>
      <c r="K1595" s="830"/>
    </row>
    <row r="1596">
      <c r="A1596" s="181" t="s">
        <v>523</v>
      </c>
      <c r="B1596" s="181" t="s">
        <v>562</v>
      </c>
      <c r="C1596" s="181">
        <v>6144.0</v>
      </c>
      <c r="D1596" s="181">
        <v>6.0</v>
      </c>
      <c r="E1596" s="181">
        <v>14.96</v>
      </c>
      <c r="F1596" s="181">
        <v>0.41</v>
      </c>
      <c r="G1596" s="181">
        <v>0.34</v>
      </c>
      <c r="H1596" s="828">
        <v>46096.0</v>
      </c>
      <c r="I1596" s="829">
        <f t="shared" si="1"/>
        <v>0.005688888889</v>
      </c>
      <c r="J1596" s="830">
        <f t="shared" si="2"/>
        <v>0.0003802733214</v>
      </c>
      <c r="K1596" s="830"/>
    </row>
    <row r="1597">
      <c r="A1597" s="181" t="s">
        <v>523</v>
      </c>
      <c r="B1597" s="181" t="s">
        <v>562</v>
      </c>
      <c r="C1597" s="181">
        <v>12288.0</v>
      </c>
      <c r="D1597" s="181">
        <v>6.0</v>
      </c>
      <c r="E1597" s="181">
        <v>14.44</v>
      </c>
      <c r="F1597" s="181">
        <v>0.85</v>
      </c>
      <c r="G1597" s="181">
        <v>0.71</v>
      </c>
      <c r="H1597" s="828">
        <v>46096.0</v>
      </c>
      <c r="I1597" s="829">
        <f t="shared" si="1"/>
        <v>0.01137777778</v>
      </c>
      <c r="J1597" s="830">
        <f t="shared" si="2"/>
        <v>0.0007879347492</v>
      </c>
      <c r="K1597" s="830"/>
    </row>
    <row r="1598">
      <c r="A1598" s="181" t="s">
        <v>523</v>
      </c>
      <c r="B1598" s="181" t="s">
        <v>562</v>
      </c>
      <c r="C1598" s="181">
        <v>24576.0</v>
      </c>
      <c r="D1598" s="181">
        <v>6.0</v>
      </c>
      <c r="E1598" s="181">
        <v>14.72</v>
      </c>
      <c r="F1598" s="181">
        <v>1.67</v>
      </c>
      <c r="G1598" s="181">
        <v>1.39</v>
      </c>
      <c r="H1598" s="828">
        <v>46096.0</v>
      </c>
      <c r="I1598" s="829">
        <f t="shared" si="1"/>
        <v>0.02275555556</v>
      </c>
      <c r="J1598" s="830">
        <f t="shared" si="2"/>
        <v>0.00154589372</v>
      </c>
      <c r="K1598" s="830"/>
    </row>
    <row r="1599">
      <c r="A1599" s="181" t="s">
        <v>523</v>
      </c>
      <c r="B1599" s="181" t="s">
        <v>562</v>
      </c>
      <c r="C1599" s="181">
        <v>49152.0</v>
      </c>
      <c r="D1599" s="181">
        <v>6.0</v>
      </c>
      <c r="E1599" s="181">
        <v>16.26</v>
      </c>
      <c r="F1599" s="181">
        <v>3.02</v>
      </c>
      <c r="G1599" s="181">
        <v>2.52</v>
      </c>
      <c r="H1599" s="828">
        <v>46096.0</v>
      </c>
      <c r="I1599" s="829">
        <f t="shared" si="1"/>
        <v>0.04551111111</v>
      </c>
      <c r="J1599" s="830">
        <f t="shared" si="2"/>
        <v>0.002798961323</v>
      </c>
      <c r="K1599" s="830"/>
    </row>
    <row r="1600">
      <c r="A1600" s="181" t="s">
        <v>523</v>
      </c>
      <c r="B1600" s="181" t="s">
        <v>562</v>
      </c>
      <c r="C1600" s="181">
        <v>98304.0</v>
      </c>
      <c r="D1600" s="181">
        <v>6.0</v>
      </c>
      <c r="E1600" s="181">
        <v>15.64</v>
      </c>
      <c r="F1600" s="181">
        <v>6.29</v>
      </c>
      <c r="G1600" s="181">
        <v>5.24</v>
      </c>
      <c r="H1600" s="828">
        <v>46096.0</v>
      </c>
      <c r="I1600" s="829">
        <f t="shared" si="1"/>
        <v>0.09102222222</v>
      </c>
      <c r="J1600" s="830">
        <f t="shared" si="2"/>
        <v>0.00581983518</v>
      </c>
      <c r="K1600" s="830"/>
    </row>
    <row r="1601">
      <c r="A1601" s="181" t="s">
        <v>523</v>
      </c>
      <c r="B1601" s="181" t="s">
        <v>562</v>
      </c>
      <c r="C1601" s="181">
        <v>196608.0</v>
      </c>
      <c r="D1601" s="181">
        <v>6.0</v>
      </c>
      <c r="E1601" s="181">
        <v>16.11</v>
      </c>
      <c r="F1601" s="181">
        <v>12.2</v>
      </c>
      <c r="G1601" s="181">
        <v>10.17</v>
      </c>
      <c r="H1601" s="828">
        <v>46096.0</v>
      </c>
      <c r="I1601" s="829">
        <f t="shared" si="1"/>
        <v>0.1820444444</v>
      </c>
      <c r="J1601" s="830">
        <f t="shared" si="2"/>
        <v>0.01130008966</v>
      </c>
      <c r="K1601" s="830"/>
    </row>
    <row r="1602">
      <c r="A1602" s="181" t="s">
        <v>523</v>
      </c>
      <c r="B1602" s="181" t="s">
        <v>562</v>
      </c>
      <c r="C1602" s="181">
        <v>393216.0</v>
      </c>
      <c r="D1602" s="181">
        <v>6.0</v>
      </c>
      <c r="E1602" s="181">
        <v>17.11</v>
      </c>
      <c r="F1602" s="181">
        <v>22.98</v>
      </c>
      <c r="G1602" s="181">
        <v>19.15</v>
      </c>
      <c r="H1602" s="828">
        <v>46096.0</v>
      </c>
      <c r="I1602" s="829">
        <f t="shared" si="1"/>
        <v>0.3640888889</v>
      </c>
      <c r="J1602" s="830">
        <f t="shared" si="2"/>
        <v>0.02127930385</v>
      </c>
      <c r="K1602" s="830"/>
    </row>
    <row r="1603">
      <c r="A1603" s="181" t="s">
        <v>523</v>
      </c>
      <c r="B1603" s="181" t="s">
        <v>562</v>
      </c>
      <c r="C1603" s="181">
        <v>786432.0</v>
      </c>
      <c r="D1603" s="181">
        <v>6.0</v>
      </c>
      <c r="E1603" s="181">
        <v>19.65</v>
      </c>
      <c r="F1603" s="181">
        <v>40.03</v>
      </c>
      <c r="G1603" s="181">
        <v>33.36</v>
      </c>
      <c r="H1603" s="828">
        <v>46096.0</v>
      </c>
      <c r="I1603" s="829">
        <f t="shared" si="1"/>
        <v>0.7281777778</v>
      </c>
      <c r="J1603" s="830">
        <f t="shared" si="2"/>
        <v>0.03705739327</v>
      </c>
      <c r="K1603" s="830"/>
    </row>
    <row r="1604">
      <c r="A1604" s="181" t="s">
        <v>523</v>
      </c>
      <c r="B1604" s="181" t="s">
        <v>562</v>
      </c>
      <c r="C1604" s="181">
        <v>1572864.0</v>
      </c>
      <c r="D1604" s="181">
        <v>6.0</v>
      </c>
      <c r="E1604" s="181">
        <v>24.88</v>
      </c>
      <c r="F1604" s="181">
        <v>63.22</v>
      </c>
      <c r="G1604" s="181">
        <v>52.68</v>
      </c>
      <c r="H1604" s="828">
        <v>46096.0</v>
      </c>
      <c r="I1604" s="829">
        <f t="shared" si="1"/>
        <v>1.456355556</v>
      </c>
      <c r="J1604" s="830">
        <f t="shared" si="2"/>
        <v>0.05853519114</v>
      </c>
      <c r="K1604" s="830"/>
    </row>
    <row r="1605">
      <c r="A1605" s="181" t="s">
        <v>523</v>
      </c>
      <c r="B1605" s="181" t="s">
        <v>562</v>
      </c>
      <c r="C1605" s="181">
        <v>3145728.0</v>
      </c>
      <c r="D1605" s="181">
        <v>6.0</v>
      </c>
      <c r="E1605" s="181">
        <v>38.59</v>
      </c>
      <c r="F1605" s="181">
        <v>81.53</v>
      </c>
      <c r="G1605" s="181">
        <v>67.94</v>
      </c>
      <c r="H1605" s="828">
        <v>46096.0</v>
      </c>
      <c r="I1605" s="829">
        <f t="shared" si="1"/>
        <v>2.912711111</v>
      </c>
      <c r="J1605" s="830">
        <f t="shared" si="2"/>
        <v>0.07547839106</v>
      </c>
      <c r="K1605" s="830"/>
    </row>
    <row r="1606">
      <c r="A1606" s="181" t="s">
        <v>523</v>
      </c>
      <c r="B1606" s="181" t="s">
        <v>562</v>
      </c>
      <c r="C1606" s="181">
        <v>6291456.0</v>
      </c>
      <c r="D1606" s="181">
        <v>6.0</v>
      </c>
      <c r="E1606" s="181">
        <v>34.86</v>
      </c>
      <c r="F1606" s="181">
        <v>180.47</v>
      </c>
      <c r="G1606" s="181">
        <v>150.39</v>
      </c>
      <c r="H1606" s="828">
        <v>46096.0</v>
      </c>
      <c r="I1606" s="829">
        <f t="shared" si="1"/>
        <v>5.825422222</v>
      </c>
      <c r="J1606" s="830">
        <f t="shared" si="2"/>
        <v>0.1671090712</v>
      </c>
      <c r="K1606" s="830"/>
    </row>
    <row r="1607">
      <c r="A1607" s="181" t="s">
        <v>523</v>
      </c>
      <c r="B1607" s="181" t="s">
        <v>562</v>
      </c>
      <c r="C1607" s="181">
        <v>1.2582912E7</v>
      </c>
      <c r="D1607" s="181">
        <v>6.0</v>
      </c>
      <c r="E1607" s="181">
        <v>49.13</v>
      </c>
      <c r="F1607" s="181">
        <v>256.11</v>
      </c>
      <c r="G1607" s="181">
        <v>213.42</v>
      </c>
      <c r="H1607" s="828">
        <v>46096.0</v>
      </c>
      <c r="I1607" s="829">
        <f t="shared" si="1"/>
        <v>11.65084444</v>
      </c>
      <c r="J1607" s="830">
        <f t="shared" si="2"/>
        <v>0.2371431802</v>
      </c>
      <c r="K1607" s="830"/>
    </row>
    <row r="1608">
      <c r="A1608" s="181" t="s">
        <v>523</v>
      </c>
      <c r="B1608" s="181" t="s">
        <v>562</v>
      </c>
      <c r="C1608" s="181">
        <v>2.5165824E7</v>
      </c>
      <c r="D1608" s="181">
        <v>6.0</v>
      </c>
      <c r="E1608" s="181">
        <v>72.22</v>
      </c>
      <c r="F1608" s="181">
        <v>348.46</v>
      </c>
      <c r="G1608" s="181">
        <v>290.39</v>
      </c>
      <c r="H1608" s="828">
        <v>46096.0</v>
      </c>
      <c r="I1608" s="829">
        <f t="shared" si="1"/>
        <v>23.30168889</v>
      </c>
      <c r="J1608" s="830">
        <f t="shared" si="2"/>
        <v>0.3226486969</v>
      </c>
      <c r="K1608" s="830"/>
    </row>
    <row r="1609">
      <c r="A1609" s="181" t="s">
        <v>523</v>
      </c>
      <c r="B1609" s="181" t="s">
        <v>562</v>
      </c>
      <c r="C1609" s="181">
        <v>5.0331648E7</v>
      </c>
      <c r="D1609" s="181">
        <v>6.0</v>
      </c>
      <c r="E1609" s="181">
        <v>120.9</v>
      </c>
      <c r="F1609" s="181">
        <v>416.32</v>
      </c>
      <c r="G1609" s="181">
        <v>346.93</v>
      </c>
      <c r="H1609" s="828">
        <v>46096.0</v>
      </c>
      <c r="I1609" s="829">
        <f t="shared" si="1"/>
        <v>46.60337778</v>
      </c>
      <c r="J1609" s="830">
        <f t="shared" si="2"/>
        <v>0.3854704531</v>
      </c>
      <c r="K1609" s="830"/>
    </row>
    <row r="1610">
      <c r="A1610" s="181" t="s">
        <v>523</v>
      </c>
      <c r="B1610" s="181" t="s">
        <v>562</v>
      </c>
      <c r="C1610" s="181">
        <v>1.00663296E8</v>
      </c>
      <c r="D1610" s="181">
        <v>6.0</v>
      </c>
      <c r="E1610" s="181">
        <v>218.54</v>
      </c>
      <c r="F1610" s="181">
        <v>460.62</v>
      </c>
      <c r="G1610" s="181">
        <v>383.85</v>
      </c>
      <c r="H1610" s="828">
        <v>46096.0</v>
      </c>
      <c r="I1610" s="829">
        <f t="shared" si="1"/>
        <v>93.20675556</v>
      </c>
      <c r="J1610" s="830">
        <f t="shared" si="2"/>
        <v>0.426497463</v>
      </c>
      <c r="K1610" s="830"/>
    </row>
    <row r="1611">
      <c r="A1611" s="181" t="s">
        <v>523</v>
      </c>
      <c r="B1611" s="181" t="s">
        <v>562</v>
      </c>
      <c r="C1611" s="181">
        <v>2.01326592E8</v>
      </c>
      <c r="D1611" s="181">
        <v>6.0</v>
      </c>
      <c r="E1611" s="181">
        <v>407.61</v>
      </c>
      <c r="F1611" s="181">
        <v>493.92</v>
      </c>
      <c r="G1611" s="181">
        <v>411.6</v>
      </c>
      <c r="H1611" s="828">
        <v>46096.0</v>
      </c>
      <c r="I1611" s="829">
        <f t="shared" si="1"/>
        <v>186.4135111</v>
      </c>
      <c r="J1611" s="830">
        <f t="shared" si="2"/>
        <v>0.4573330171</v>
      </c>
      <c r="K1611" s="830"/>
    </row>
    <row r="1612">
      <c r="A1612" s="181" t="s">
        <v>523</v>
      </c>
      <c r="B1612" s="181" t="s">
        <v>562</v>
      </c>
      <c r="C1612" s="181">
        <v>4.02653184E8</v>
      </c>
      <c r="D1612" s="181">
        <v>6.0</v>
      </c>
      <c r="E1612" s="181">
        <v>782.55</v>
      </c>
      <c r="F1612" s="181">
        <v>514.54</v>
      </c>
      <c r="G1612" s="181">
        <v>428.79</v>
      </c>
      <c r="H1612" s="828">
        <v>46096.0</v>
      </c>
      <c r="I1612" s="829">
        <f t="shared" si="1"/>
        <v>372.8270222</v>
      </c>
      <c r="J1612" s="830">
        <f t="shared" si="2"/>
        <v>0.4764258159</v>
      </c>
      <c r="K1612" s="830"/>
    </row>
    <row r="1613">
      <c r="A1613" s="181" t="s">
        <v>523</v>
      </c>
      <c r="B1613" s="181" t="s">
        <v>562</v>
      </c>
      <c r="C1613" s="181">
        <v>8.05306368E8</v>
      </c>
      <c r="D1613" s="181">
        <v>6.0</v>
      </c>
      <c r="E1613" s="181">
        <v>1454.19</v>
      </c>
      <c r="F1613" s="181">
        <v>553.78</v>
      </c>
      <c r="G1613" s="181">
        <v>461.49</v>
      </c>
      <c r="H1613" s="828">
        <v>46096.0</v>
      </c>
      <c r="I1613" s="829">
        <f t="shared" si="1"/>
        <v>745.6540444</v>
      </c>
      <c r="J1613" s="830">
        <f t="shared" si="2"/>
        <v>0.5127624619</v>
      </c>
      <c r="K1613" s="830"/>
    </row>
    <row r="1614">
      <c r="A1614" s="181" t="s">
        <v>523</v>
      </c>
      <c r="B1614" s="181" t="s">
        <v>562</v>
      </c>
      <c r="C1614" s="181">
        <v>1.610612736E9</v>
      </c>
      <c r="D1614" s="181">
        <v>6.0</v>
      </c>
      <c r="E1614" s="181">
        <v>2382.84</v>
      </c>
      <c r="F1614" s="181">
        <v>675.92</v>
      </c>
      <c r="G1614" s="181">
        <v>563.27</v>
      </c>
      <c r="H1614" s="828">
        <v>46096.0</v>
      </c>
      <c r="I1614" s="829">
        <f t="shared" si="1"/>
        <v>1491.308089</v>
      </c>
      <c r="J1614" s="830">
        <f t="shared" si="2"/>
        <v>0.6258532209</v>
      </c>
      <c r="K1614" s="830"/>
    </row>
    <row r="1615">
      <c r="A1615" s="181" t="s">
        <v>523</v>
      </c>
      <c r="B1615" s="181" t="s">
        <v>562</v>
      </c>
      <c r="C1615" s="181">
        <v>3.221225472E9</v>
      </c>
      <c r="D1615" s="181">
        <v>6.0</v>
      </c>
      <c r="E1615" s="181">
        <v>4105.99</v>
      </c>
      <c r="F1615" s="181">
        <v>784.52</v>
      </c>
      <c r="G1615" s="181">
        <v>653.77</v>
      </c>
      <c r="H1615" s="828">
        <v>46096.0</v>
      </c>
      <c r="I1615" s="829">
        <f t="shared" si="1"/>
        <v>2982.616178</v>
      </c>
      <c r="J1615" s="830">
        <f t="shared" si="2"/>
        <v>0.7264060988</v>
      </c>
      <c r="K1615" s="830"/>
    </row>
    <row r="1616">
      <c r="A1616" s="181" t="s">
        <v>523</v>
      </c>
      <c r="B1616" s="181" t="s">
        <v>562</v>
      </c>
      <c r="C1616" s="181">
        <v>6.442450944E9</v>
      </c>
      <c r="D1616" s="181">
        <v>6.0</v>
      </c>
      <c r="E1616" s="181">
        <v>8115.9</v>
      </c>
      <c r="F1616" s="181">
        <v>793.81</v>
      </c>
      <c r="G1616" s="181">
        <v>661.51</v>
      </c>
      <c r="H1616" s="828">
        <v>46096.0</v>
      </c>
      <c r="I1616" s="829">
        <f t="shared" si="1"/>
        <v>5965.232356</v>
      </c>
      <c r="J1616" s="830">
        <f t="shared" si="2"/>
        <v>0.7350056501</v>
      </c>
      <c r="K1616" s="830"/>
    </row>
    <row r="1617">
      <c r="A1617" s="181" t="s">
        <v>523</v>
      </c>
      <c r="B1617" s="181" t="s">
        <v>562</v>
      </c>
      <c r="C1617" s="181">
        <v>1.2884901888E10</v>
      </c>
      <c r="D1617" s="181">
        <v>6.0</v>
      </c>
      <c r="E1617" s="181">
        <v>16165.8</v>
      </c>
      <c r="F1617" s="181">
        <v>797.05</v>
      </c>
      <c r="G1617" s="181">
        <v>664.21</v>
      </c>
      <c r="H1617" s="828">
        <v>46096.0</v>
      </c>
      <c r="I1617" s="829">
        <f t="shared" si="1"/>
        <v>11930.46471</v>
      </c>
      <c r="J1617" s="830">
        <f t="shared" si="2"/>
        <v>0.7380064526</v>
      </c>
      <c r="K1617" s="830"/>
    </row>
    <row r="1618">
      <c r="A1618" s="181" t="s">
        <v>523</v>
      </c>
      <c r="B1618" s="181" t="s">
        <v>562</v>
      </c>
      <c r="C1618" s="181">
        <v>512.0</v>
      </c>
      <c r="D1618" s="181">
        <v>8.0</v>
      </c>
      <c r="E1618" s="181">
        <v>14.2</v>
      </c>
      <c r="F1618" s="181">
        <v>0.04</v>
      </c>
      <c r="G1618" s="181">
        <v>0.03</v>
      </c>
      <c r="H1618" s="828">
        <v>46096.0</v>
      </c>
      <c r="I1618" s="829">
        <f t="shared" si="1"/>
        <v>0.0004977777778</v>
      </c>
      <c r="J1618" s="830">
        <f t="shared" si="2"/>
        <v>0.00003505477308</v>
      </c>
      <c r="K1618" s="830"/>
    </row>
    <row r="1619">
      <c r="A1619" s="181" t="s">
        <v>523</v>
      </c>
      <c r="B1619" s="181" t="s">
        <v>562</v>
      </c>
      <c r="C1619" s="181">
        <v>1024.0</v>
      </c>
      <c r="D1619" s="181">
        <v>8.0</v>
      </c>
      <c r="E1619" s="181">
        <v>14.17</v>
      </c>
      <c r="F1619" s="181">
        <v>0.07</v>
      </c>
      <c r="G1619" s="181">
        <v>0.06</v>
      </c>
      <c r="H1619" s="828">
        <v>46096.0</v>
      </c>
      <c r="I1619" s="829">
        <f t="shared" si="1"/>
        <v>0.0009955555556</v>
      </c>
      <c r="J1619" s="830">
        <f t="shared" si="2"/>
        <v>0.00007025797851</v>
      </c>
      <c r="K1619" s="830"/>
    </row>
    <row r="1620">
      <c r="A1620" s="181" t="s">
        <v>523</v>
      </c>
      <c r="B1620" s="181" t="s">
        <v>562</v>
      </c>
      <c r="C1620" s="181">
        <v>2048.0</v>
      </c>
      <c r="D1620" s="181">
        <v>8.0</v>
      </c>
      <c r="E1620" s="181">
        <v>13.53</v>
      </c>
      <c r="F1620" s="181">
        <v>0.15</v>
      </c>
      <c r="G1620" s="181">
        <v>0.13</v>
      </c>
      <c r="H1620" s="828">
        <v>46096.0</v>
      </c>
      <c r="I1620" s="829">
        <f t="shared" si="1"/>
        <v>0.001991111111</v>
      </c>
      <c r="J1620" s="830">
        <f t="shared" si="2"/>
        <v>0.0001471626837</v>
      </c>
      <c r="K1620" s="830"/>
    </row>
    <row r="1621">
      <c r="A1621" s="181" t="s">
        <v>523</v>
      </c>
      <c r="B1621" s="181" t="s">
        <v>562</v>
      </c>
      <c r="C1621" s="181">
        <v>4096.0</v>
      </c>
      <c r="D1621" s="181">
        <v>8.0</v>
      </c>
      <c r="E1621" s="181">
        <v>14.57</v>
      </c>
      <c r="F1621" s="181">
        <v>0.28</v>
      </c>
      <c r="G1621" s="181">
        <v>0.25</v>
      </c>
      <c r="H1621" s="828">
        <v>46096.0</v>
      </c>
      <c r="I1621" s="829">
        <f t="shared" si="1"/>
        <v>0.003982222222</v>
      </c>
      <c r="J1621" s="830">
        <f t="shared" si="2"/>
        <v>0.0002733165561</v>
      </c>
      <c r="K1621" s="830"/>
    </row>
    <row r="1622">
      <c r="A1622" s="181" t="s">
        <v>523</v>
      </c>
      <c r="B1622" s="181" t="s">
        <v>562</v>
      </c>
      <c r="C1622" s="181">
        <v>8192.0</v>
      </c>
      <c r="D1622" s="181">
        <v>8.0</v>
      </c>
      <c r="E1622" s="181">
        <v>13.89</v>
      </c>
      <c r="F1622" s="181">
        <v>0.59</v>
      </c>
      <c r="G1622" s="181">
        <v>0.52</v>
      </c>
      <c r="H1622" s="828">
        <v>46096.0</v>
      </c>
      <c r="I1622" s="829">
        <f t="shared" si="1"/>
        <v>0.007964444444</v>
      </c>
      <c r="J1622" s="830">
        <f t="shared" si="2"/>
        <v>0.0005733941285</v>
      </c>
      <c r="K1622" s="830"/>
    </row>
    <row r="1623">
      <c r="A1623" s="181" t="s">
        <v>523</v>
      </c>
      <c r="B1623" s="181" t="s">
        <v>562</v>
      </c>
      <c r="C1623" s="181">
        <v>16384.0</v>
      </c>
      <c r="D1623" s="181">
        <v>8.0</v>
      </c>
      <c r="E1623" s="181">
        <v>14.38</v>
      </c>
      <c r="F1623" s="181">
        <v>1.14</v>
      </c>
      <c r="G1623" s="181">
        <v>1.0</v>
      </c>
      <c r="H1623" s="828">
        <v>46096.0</v>
      </c>
      <c r="I1623" s="829">
        <f t="shared" si="1"/>
        <v>0.01592888889</v>
      </c>
      <c r="J1623" s="830">
        <f t="shared" si="2"/>
        <v>0.001107711327</v>
      </c>
      <c r="K1623" s="830"/>
    </row>
    <row r="1624">
      <c r="A1624" s="181" t="s">
        <v>523</v>
      </c>
      <c r="B1624" s="181" t="s">
        <v>562</v>
      </c>
      <c r="C1624" s="181">
        <v>32768.0</v>
      </c>
      <c r="D1624" s="181">
        <v>8.0</v>
      </c>
      <c r="E1624" s="181">
        <v>15.08</v>
      </c>
      <c r="F1624" s="181">
        <v>2.17</v>
      </c>
      <c r="G1624" s="181">
        <v>1.9</v>
      </c>
      <c r="H1624" s="828">
        <v>46096.0</v>
      </c>
      <c r="I1624" s="829">
        <f t="shared" si="1"/>
        <v>0.03185777778</v>
      </c>
      <c r="J1624" s="830">
        <f t="shared" si="2"/>
        <v>0.002112584733</v>
      </c>
      <c r="K1624" s="830"/>
    </row>
    <row r="1625">
      <c r="A1625" s="181" t="s">
        <v>523</v>
      </c>
      <c r="B1625" s="181" t="s">
        <v>562</v>
      </c>
      <c r="C1625" s="181">
        <v>65536.0</v>
      </c>
      <c r="D1625" s="181">
        <v>8.0</v>
      </c>
      <c r="E1625" s="181">
        <v>14.81</v>
      </c>
      <c r="F1625" s="181">
        <v>4.42</v>
      </c>
      <c r="G1625" s="181">
        <v>3.87</v>
      </c>
      <c r="H1625" s="828">
        <v>46096.0</v>
      </c>
      <c r="I1625" s="829">
        <f t="shared" si="1"/>
        <v>0.06371555556</v>
      </c>
      <c r="J1625" s="830">
        <f t="shared" si="2"/>
        <v>0.004302198214</v>
      </c>
      <c r="K1625" s="830"/>
    </row>
    <row r="1626">
      <c r="A1626" s="181" t="s">
        <v>523</v>
      </c>
      <c r="B1626" s="181" t="s">
        <v>562</v>
      </c>
      <c r="C1626" s="181">
        <v>131072.0</v>
      </c>
      <c r="D1626" s="181">
        <v>8.0</v>
      </c>
      <c r="E1626" s="181">
        <v>15.18</v>
      </c>
      <c r="F1626" s="181">
        <v>8.64</v>
      </c>
      <c r="G1626" s="181">
        <v>7.56</v>
      </c>
      <c r="H1626" s="828">
        <v>46096.0</v>
      </c>
      <c r="I1626" s="829">
        <f t="shared" si="1"/>
        <v>0.1274311111</v>
      </c>
      <c r="J1626" s="830">
        <f t="shared" si="2"/>
        <v>0.008394671351</v>
      </c>
      <c r="K1626" s="830"/>
    </row>
    <row r="1627">
      <c r="A1627" s="181" t="s">
        <v>523</v>
      </c>
      <c r="B1627" s="181" t="s">
        <v>562</v>
      </c>
      <c r="C1627" s="181">
        <v>262144.0</v>
      </c>
      <c r="D1627" s="181">
        <v>8.0</v>
      </c>
      <c r="E1627" s="181">
        <v>15.64</v>
      </c>
      <c r="F1627" s="181">
        <v>16.76</v>
      </c>
      <c r="G1627" s="181">
        <v>14.67</v>
      </c>
      <c r="H1627" s="828">
        <v>46096.0</v>
      </c>
      <c r="I1627" s="829">
        <f t="shared" si="1"/>
        <v>0.2548622222</v>
      </c>
      <c r="J1627" s="830">
        <f t="shared" si="2"/>
        <v>0.01629553851</v>
      </c>
      <c r="K1627" s="830"/>
    </row>
    <row r="1628">
      <c r="A1628" s="181" t="s">
        <v>523</v>
      </c>
      <c r="B1628" s="181" t="s">
        <v>562</v>
      </c>
      <c r="C1628" s="181">
        <v>524288.0</v>
      </c>
      <c r="D1628" s="181">
        <v>8.0</v>
      </c>
      <c r="E1628" s="181">
        <v>16.6</v>
      </c>
      <c r="F1628" s="181">
        <v>31.58</v>
      </c>
      <c r="G1628" s="181">
        <v>27.63</v>
      </c>
      <c r="H1628" s="828">
        <v>46096.0</v>
      </c>
      <c r="I1628" s="829">
        <f t="shared" si="1"/>
        <v>0.5097244444</v>
      </c>
      <c r="J1628" s="830">
        <f t="shared" si="2"/>
        <v>0.03070629183</v>
      </c>
      <c r="K1628" s="830"/>
    </row>
    <row r="1629">
      <c r="A1629" s="181" t="s">
        <v>523</v>
      </c>
      <c r="B1629" s="181" t="s">
        <v>562</v>
      </c>
      <c r="C1629" s="181">
        <v>1048576.0</v>
      </c>
      <c r="D1629" s="181">
        <v>8.0</v>
      </c>
      <c r="E1629" s="181">
        <v>19.09</v>
      </c>
      <c r="F1629" s="181">
        <v>54.93</v>
      </c>
      <c r="G1629" s="181">
        <v>48.07</v>
      </c>
      <c r="H1629" s="828">
        <v>46096.0</v>
      </c>
      <c r="I1629" s="829">
        <f t="shared" si="1"/>
        <v>1.019448889</v>
      </c>
      <c r="J1629" s="830">
        <f t="shared" si="2"/>
        <v>0.05340224667</v>
      </c>
      <c r="K1629" s="830"/>
    </row>
    <row r="1630">
      <c r="A1630" s="181" t="s">
        <v>523</v>
      </c>
      <c r="B1630" s="181" t="s">
        <v>562</v>
      </c>
      <c r="C1630" s="181">
        <v>2097152.0</v>
      </c>
      <c r="D1630" s="181">
        <v>8.0</v>
      </c>
      <c r="E1630" s="181">
        <v>25.03</v>
      </c>
      <c r="F1630" s="181">
        <v>83.79</v>
      </c>
      <c r="G1630" s="181">
        <v>73.31</v>
      </c>
      <c r="H1630" s="828">
        <v>46096.0</v>
      </c>
      <c r="I1630" s="829">
        <f t="shared" si="1"/>
        <v>2.038897778</v>
      </c>
      <c r="J1630" s="830">
        <f t="shared" si="2"/>
        <v>0.08145816132</v>
      </c>
      <c r="K1630" s="830"/>
    </row>
    <row r="1631">
      <c r="A1631" s="181" t="s">
        <v>523</v>
      </c>
      <c r="B1631" s="181" t="s">
        <v>562</v>
      </c>
      <c r="C1631" s="181">
        <v>4194304.0</v>
      </c>
      <c r="D1631" s="181">
        <v>8.0</v>
      </c>
      <c r="E1631" s="181">
        <v>40.24</v>
      </c>
      <c r="F1631" s="181">
        <v>104.24</v>
      </c>
      <c r="G1631" s="181">
        <v>91.21</v>
      </c>
      <c r="H1631" s="828">
        <v>46096.0</v>
      </c>
      <c r="I1631" s="829">
        <f t="shared" si="1"/>
        <v>4.077795556</v>
      </c>
      <c r="J1631" s="830">
        <f t="shared" si="2"/>
        <v>0.1013368677</v>
      </c>
      <c r="K1631" s="830"/>
    </row>
    <row r="1632">
      <c r="A1632" s="181" t="s">
        <v>523</v>
      </c>
      <c r="B1632" s="181" t="s">
        <v>562</v>
      </c>
      <c r="C1632" s="181">
        <v>8388608.0</v>
      </c>
      <c r="D1632" s="181">
        <v>8.0</v>
      </c>
      <c r="E1632" s="181">
        <v>37.72</v>
      </c>
      <c r="F1632" s="181">
        <v>222.41</v>
      </c>
      <c r="G1632" s="181">
        <v>194.61</v>
      </c>
      <c r="H1632" s="828">
        <v>46096.0</v>
      </c>
      <c r="I1632" s="829">
        <f t="shared" si="1"/>
        <v>8.155591111</v>
      </c>
      <c r="J1632" s="830">
        <f t="shared" si="2"/>
        <v>0.2162139743</v>
      </c>
      <c r="K1632" s="830"/>
    </row>
    <row r="1633">
      <c r="A1633" s="181" t="s">
        <v>523</v>
      </c>
      <c r="B1633" s="181" t="s">
        <v>562</v>
      </c>
      <c r="C1633" s="181">
        <v>1.6777216E7</v>
      </c>
      <c r="D1633" s="181">
        <v>8.0</v>
      </c>
      <c r="E1633" s="181">
        <v>55.62</v>
      </c>
      <c r="F1633" s="181">
        <v>301.64</v>
      </c>
      <c r="G1633" s="181">
        <v>263.94</v>
      </c>
      <c r="H1633" s="828">
        <v>46096.0</v>
      </c>
      <c r="I1633" s="829">
        <f t="shared" si="1"/>
        <v>16.31118222</v>
      </c>
      <c r="J1633" s="830">
        <f t="shared" si="2"/>
        <v>0.2932610971</v>
      </c>
      <c r="K1633" s="830"/>
    </row>
    <row r="1634">
      <c r="A1634" s="181" t="s">
        <v>523</v>
      </c>
      <c r="B1634" s="181" t="s">
        <v>562</v>
      </c>
      <c r="C1634" s="181">
        <v>3.3554432E7</v>
      </c>
      <c r="D1634" s="181">
        <v>8.0</v>
      </c>
      <c r="E1634" s="181">
        <v>83.89</v>
      </c>
      <c r="F1634" s="181">
        <v>399.97</v>
      </c>
      <c r="G1634" s="181">
        <v>349.97</v>
      </c>
      <c r="H1634" s="828">
        <v>46096.0</v>
      </c>
      <c r="I1634" s="829">
        <f t="shared" si="1"/>
        <v>32.62236444</v>
      </c>
      <c r="J1634" s="830">
        <f t="shared" si="2"/>
        <v>0.3888707169</v>
      </c>
      <c r="K1634" s="830"/>
    </row>
    <row r="1635">
      <c r="A1635" s="181" t="s">
        <v>523</v>
      </c>
      <c r="B1635" s="181" t="s">
        <v>562</v>
      </c>
      <c r="C1635" s="181">
        <v>6.7108864E7</v>
      </c>
      <c r="D1635" s="181">
        <v>8.0</v>
      </c>
      <c r="E1635" s="181">
        <v>136.89</v>
      </c>
      <c r="F1635" s="181">
        <v>490.22</v>
      </c>
      <c r="G1635" s="181">
        <v>428.94</v>
      </c>
      <c r="H1635" s="828">
        <v>46096.0</v>
      </c>
      <c r="I1635" s="829">
        <f t="shared" si="1"/>
        <v>65.24472889</v>
      </c>
      <c r="J1635" s="830">
        <f t="shared" si="2"/>
        <v>0.4766215859</v>
      </c>
      <c r="K1635" s="830"/>
    </row>
    <row r="1636">
      <c r="A1636" s="181" t="s">
        <v>523</v>
      </c>
      <c r="B1636" s="181" t="s">
        <v>562</v>
      </c>
      <c r="C1636" s="181">
        <v>1.34217728E8</v>
      </c>
      <c r="D1636" s="181">
        <v>8.0</v>
      </c>
      <c r="E1636" s="181">
        <v>235.04</v>
      </c>
      <c r="F1636" s="181">
        <v>571.05</v>
      </c>
      <c r="G1636" s="181">
        <v>499.67</v>
      </c>
      <c r="H1636" s="828">
        <v>46096.0</v>
      </c>
      <c r="I1636" s="829">
        <f t="shared" si="1"/>
        <v>130.4894578</v>
      </c>
      <c r="J1636" s="830">
        <f t="shared" si="2"/>
        <v>0.5551797897</v>
      </c>
      <c r="K1636" s="830"/>
    </row>
    <row r="1637">
      <c r="A1637" s="181" t="s">
        <v>523</v>
      </c>
      <c r="B1637" s="181" t="s">
        <v>562</v>
      </c>
      <c r="C1637" s="181">
        <v>2.68435456E8</v>
      </c>
      <c r="D1637" s="181">
        <v>8.0</v>
      </c>
      <c r="E1637" s="181">
        <v>425.88</v>
      </c>
      <c r="F1637" s="181">
        <v>630.31</v>
      </c>
      <c r="G1637" s="181">
        <v>551.52</v>
      </c>
      <c r="H1637" s="828">
        <v>46096.0</v>
      </c>
      <c r="I1637" s="829">
        <f t="shared" si="1"/>
        <v>260.9789156</v>
      </c>
      <c r="J1637" s="830">
        <f t="shared" si="2"/>
        <v>0.6127991818</v>
      </c>
      <c r="K1637" s="830"/>
    </row>
    <row r="1638">
      <c r="A1638" s="181" t="s">
        <v>523</v>
      </c>
      <c r="B1638" s="181" t="s">
        <v>562</v>
      </c>
      <c r="C1638" s="181">
        <v>5.36870912E8</v>
      </c>
      <c r="D1638" s="181">
        <v>8.0</v>
      </c>
      <c r="E1638" s="181">
        <v>807.45</v>
      </c>
      <c r="F1638" s="181">
        <v>664.9</v>
      </c>
      <c r="G1638" s="181">
        <v>581.78</v>
      </c>
      <c r="H1638" s="828">
        <v>46096.0</v>
      </c>
      <c r="I1638" s="829">
        <f t="shared" si="1"/>
        <v>521.9578311</v>
      </c>
      <c r="J1638" s="830">
        <f t="shared" si="2"/>
        <v>0.6464274334</v>
      </c>
      <c r="K1638" s="830"/>
    </row>
    <row r="1639">
      <c r="A1639" s="181" t="s">
        <v>523</v>
      </c>
      <c r="B1639" s="181" t="s">
        <v>562</v>
      </c>
      <c r="C1639" s="181">
        <v>1.073741824E9</v>
      </c>
      <c r="D1639" s="181">
        <v>8.0</v>
      </c>
      <c r="E1639" s="181">
        <v>1559.39</v>
      </c>
      <c r="F1639" s="181">
        <v>688.57</v>
      </c>
      <c r="G1639" s="181">
        <v>602.5</v>
      </c>
      <c r="H1639" s="828">
        <v>46096.0</v>
      </c>
      <c r="I1639" s="829">
        <f t="shared" si="1"/>
        <v>1043.915662</v>
      </c>
      <c r="J1639" s="830">
        <f t="shared" si="2"/>
        <v>0.6694384742</v>
      </c>
      <c r="K1639" s="830"/>
    </row>
    <row r="1640">
      <c r="A1640" s="181" t="s">
        <v>523</v>
      </c>
      <c r="B1640" s="181" t="s">
        <v>562</v>
      </c>
      <c r="C1640" s="181">
        <v>2.147483648E9</v>
      </c>
      <c r="D1640" s="181">
        <v>8.0</v>
      </c>
      <c r="E1640" s="181">
        <v>3142.43</v>
      </c>
      <c r="F1640" s="181">
        <v>683.38</v>
      </c>
      <c r="G1640" s="181">
        <v>597.96</v>
      </c>
      <c r="H1640" s="828">
        <v>46096.0</v>
      </c>
      <c r="I1640" s="829">
        <f t="shared" si="1"/>
        <v>2087.831324</v>
      </c>
      <c r="J1640" s="830">
        <f t="shared" si="2"/>
        <v>0.6644002649</v>
      </c>
      <c r="K1640" s="830"/>
    </row>
    <row r="1641">
      <c r="A1641" s="181" t="s">
        <v>523</v>
      </c>
      <c r="B1641" s="181" t="s">
        <v>562</v>
      </c>
      <c r="C1641" s="181">
        <v>4.294967296E9</v>
      </c>
      <c r="D1641" s="181">
        <v>8.0</v>
      </c>
      <c r="E1641" s="181">
        <v>6057.72</v>
      </c>
      <c r="F1641" s="181">
        <v>709.01</v>
      </c>
      <c r="G1641" s="181">
        <v>620.38</v>
      </c>
      <c r="H1641" s="828">
        <v>46096.0</v>
      </c>
      <c r="I1641" s="829">
        <f t="shared" si="1"/>
        <v>4175.662649</v>
      </c>
      <c r="J1641" s="830">
        <f t="shared" si="2"/>
        <v>0.6893125877</v>
      </c>
      <c r="K1641" s="830"/>
    </row>
    <row r="1642">
      <c r="A1642" s="181" t="s">
        <v>523</v>
      </c>
      <c r="B1642" s="181" t="s">
        <v>562</v>
      </c>
      <c r="C1642" s="181">
        <v>8.589934592E9</v>
      </c>
      <c r="D1642" s="181">
        <v>8.0</v>
      </c>
      <c r="E1642" s="181">
        <v>12049.5</v>
      </c>
      <c r="F1642" s="181">
        <v>712.89</v>
      </c>
      <c r="G1642" s="181">
        <v>623.77</v>
      </c>
      <c r="H1642" s="828">
        <v>46096.0</v>
      </c>
      <c r="I1642" s="829">
        <f t="shared" si="1"/>
        <v>8351.325298</v>
      </c>
      <c r="J1642" s="830">
        <f t="shared" si="2"/>
        <v>0.6930848</v>
      </c>
      <c r="K1642" s="830"/>
    </row>
    <row r="1643">
      <c r="A1643" s="181" t="s">
        <v>523</v>
      </c>
      <c r="B1643" s="181" t="s">
        <v>562</v>
      </c>
      <c r="C1643" s="181">
        <v>1.7179869184E10</v>
      </c>
      <c r="D1643" s="181">
        <v>8.0</v>
      </c>
      <c r="E1643" s="181">
        <v>23922.4</v>
      </c>
      <c r="F1643" s="181">
        <v>718.15</v>
      </c>
      <c r="G1643" s="181">
        <v>628.38</v>
      </c>
      <c r="H1643" s="828">
        <v>46096.0</v>
      </c>
      <c r="I1643" s="829">
        <f t="shared" si="1"/>
        <v>16702.6506</v>
      </c>
      <c r="J1643" s="830">
        <f t="shared" si="2"/>
        <v>0.6982012923</v>
      </c>
      <c r="K1643" s="830"/>
    </row>
    <row r="1644">
      <c r="A1644" s="181" t="s">
        <v>523</v>
      </c>
      <c r="B1644" s="181" t="s">
        <v>562</v>
      </c>
      <c r="C1644" s="181">
        <v>640.0</v>
      </c>
      <c r="D1644" s="181">
        <v>10.0</v>
      </c>
      <c r="E1644" s="181">
        <v>15.76</v>
      </c>
      <c r="F1644" s="181">
        <v>0.04</v>
      </c>
      <c r="G1644" s="181">
        <v>0.04</v>
      </c>
      <c r="H1644" s="828">
        <v>46096.0</v>
      </c>
      <c r="I1644" s="829">
        <f t="shared" si="1"/>
        <v>0.00064</v>
      </c>
      <c r="J1644" s="830">
        <f t="shared" si="2"/>
        <v>0.00004060913706</v>
      </c>
      <c r="K1644" s="830"/>
    </row>
    <row r="1645">
      <c r="A1645" s="181" t="s">
        <v>523</v>
      </c>
      <c r="B1645" s="181" t="s">
        <v>562</v>
      </c>
      <c r="C1645" s="181">
        <v>1280.0</v>
      </c>
      <c r="D1645" s="181">
        <v>10.0</v>
      </c>
      <c r="E1645" s="181">
        <v>15.58</v>
      </c>
      <c r="F1645" s="181">
        <v>0.08</v>
      </c>
      <c r="G1645" s="181">
        <v>0.07</v>
      </c>
      <c r="H1645" s="828">
        <v>46096.0</v>
      </c>
      <c r="I1645" s="829">
        <f t="shared" si="1"/>
        <v>0.00128</v>
      </c>
      <c r="J1645" s="830">
        <f t="shared" si="2"/>
        <v>0.00008215661104</v>
      </c>
      <c r="K1645" s="830"/>
    </row>
    <row r="1646">
      <c r="A1646" s="181" t="s">
        <v>523</v>
      </c>
      <c r="B1646" s="181" t="s">
        <v>562</v>
      </c>
      <c r="C1646" s="181">
        <v>2560.0</v>
      </c>
      <c r="D1646" s="181">
        <v>10.0</v>
      </c>
      <c r="E1646" s="181">
        <v>15.86</v>
      </c>
      <c r="F1646" s="181">
        <v>0.16</v>
      </c>
      <c r="G1646" s="181">
        <v>0.15</v>
      </c>
      <c r="H1646" s="828">
        <v>46096.0</v>
      </c>
      <c r="I1646" s="829">
        <f t="shared" si="1"/>
        <v>0.00256</v>
      </c>
      <c r="J1646" s="830">
        <f t="shared" si="2"/>
        <v>0.0001614123581</v>
      </c>
      <c r="K1646" s="830"/>
    </row>
    <row r="1647">
      <c r="A1647" s="181" t="s">
        <v>523</v>
      </c>
      <c r="B1647" s="181" t="s">
        <v>562</v>
      </c>
      <c r="C1647" s="181">
        <v>5120.0</v>
      </c>
      <c r="D1647" s="181">
        <v>10.0</v>
      </c>
      <c r="E1647" s="181">
        <v>15.57</v>
      </c>
      <c r="F1647" s="181">
        <v>0.33</v>
      </c>
      <c r="G1647" s="181">
        <v>0.3</v>
      </c>
      <c r="H1647" s="828">
        <v>46096.0</v>
      </c>
      <c r="I1647" s="829">
        <f t="shared" si="1"/>
        <v>0.00512</v>
      </c>
      <c r="J1647" s="830">
        <f t="shared" si="2"/>
        <v>0.000328837508</v>
      </c>
      <c r="K1647" s="830"/>
    </row>
    <row r="1648">
      <c r="A1648" s="181" t="s">
        <v>523</v>
      </c>
      <c r="B1648" s="181" t="s">
        <v>562</v>
      </c>
      <c r="C1648" s="181">
        <v>10240.0</v>
      </c>
      <c r="D1648" s="181">
        <v>10.0</v>
      </c>
      <c r="E1648" s="181">
        <v>15.98</v>
      </c>
      <c r="F1648" s="181">
        <v>0.64</v>
      </c>
      <c r="G1648" s="181">
        <v>0.58</v>
      </c>
      <c r="H1648" s="828">
        <v>46096.0</v>
      </c>
      <c r="I1648" s="829">
        <f t="shared" si="1"/>
        <v>0.01024</v>
      </c>
      <c r="J1648" s="830">
        <f t="shared" si="2"/>
        <v>0.0006408010013</v>
      </c>
      <c r="K1648" s="830"/>
    </row>
    <row r="1649">
      <c r="A1649" s="181" t="s">
        <v>523</v>
      </c>
      <c r="B1649" s="181" t="s">
        <v>562</v>
      </c>
      <c r="C1649" s="181">
        <v>20480.0</v>
      </c>
      <c r="D1649" s="181">
        <v>10.0</v>
      </c>
      <c r="E1649" s="181">
        <v>15.37</v>
      </c>
      <c r="F1649" s="181">
        <v>1.33</v>
      </c>
      <c r="G1649" s="181">
        <v>1.2</v>
      </c>
      <c r="H1649" s="828">
        <v>46096.0</v>
      </c>
      <c r="I1649" s="829">
        <f t="shared" si="1"/>
        <v>0.02048</v>
      </c>
      <c r="J1649" s="830">
        <f t="shared" si="2"/>
        <v>0.001332465843</v>
      </c>
      <c r="K1649" s="830"/>
    </row>
    <row r="1650">
      <c r="A1650" s="181" t="s">
        <v>523</v>
      </c>
      <c r="B1650" s="181" t="s">
        <v>562</v>
      </c>
      <c r="C1650" s="181">
        <v>40960.0</v>
      </c>
      <c r="D1650" s="181">
        <v>10.0</v>
      </c>
      <c r="E1650" s="181">
        <v>15.86</v>
      </c>
      <c r="F1650" s="181">
        <v>2.58</v>
      </c>
      <c r="G1650" s="181">
        <v>2.32</v>
      </c>
      <c r="H1650" s="828">
        <v>46096.0</v>
      </c>
      <c r="I1650" s="829">
        <f t="shared" si="1"/>
        <v>0.04096</v>
      </c>
      <c r="J1650" s="830">
        <f t="shared" si="2"/>
        <v>0.00258259773</v>
      </c>
      <c r="K1650" s="830"/>
    </row>
    <row r="1651">
      <c r="A1651" s="181" t="s">
        <v>523</v>
      </c>
      <c r="B1651" s="181" t="s">
        <v>562</v>
      </c>
      <c r="C1651" s="181">
        <v>81920.0</v>
      </c>
      <c r="D1651" s="181">
        <v>10.0</v>
      </c>
      <c r="E1651" s="181">
        <v>16.69</v>
      </c>
      <c r="F1651" s="181">
        <v>4.91</v>
      </c>
      <c r="G1651" s="181">
        <v>4.42</v>
      </c>
      <c r="H1651" s="828">
        <v>46096.0</v>
      </c>
      <c r="I1651" s="829">
        <f t="shared" si="1"/>
        <v>0.08192</v>
      </c>
      <c r="J1651" s="830">
        <f t="shared" si="2"/>
        <v>0.00490832834</v>
      </c>
      <c r="K1651" s="830"/>
    </row>
    <row r="1652">
      <c r="A1652" s="181" t="s">
        <v>523</v>
      </c>
      <c r="B1652" s="181" t="s">
        <v>562</v>
      </c>
      <c r="C1652" s="181">
        <v>163840.0</v>
      </c>
      <c r="D1652" s="181">
        <v>10.0</v>
      </c>
      <c r="E1652" s="181">
        <v>17.26</v>
      </c>
      <c r="F1652" s="181">
        <v>9.49</v>
      </c>
      <c r="G1652" s="181">
        <v>8.54</v>
      </c>
      <c r="H1652" s="828">
        <v>46096.0</v>
      </c>
      <c r="I1652" s="829">
        <f t="shared" si="1"/>
        <v>0.16384</v>
      </c>
      <c r="J1652" s="830">
        <f t="shared" si="2"/>
        <v>0.009492468134</v>
      </c>
      <c r="K1652" s="830"/>
    </row>
    <row r="1653">
      <c r="A1653" s="181" t="s">
        <v>523</v>
      </c>
      <c r="B1653" s="181" t="s">
        <v>562</v>
      </c>
      <c r="C1653" s="181">
        <v>327680.0</v>
      </c>
      <c r="D1653" s="181">
        <v>10.0</v>
      </c>
      <c r="E1653" s="181">
        <v>17.86</v>
      </c>
      <c r="F1653" s="181">
        <v>18.35</v>
      </c>
      <c r="G1653" s="181">
        <v>16.52</v>
      </c>
      <c r="H1653" s="828">
        <v>46096.0</v>
      </c>
      <c r="I1653" s="829">
        <f t="shared" si="1"/>
        <v>0.32768</v>
      </c>
      <c r="J1653" s="830">
        <f t="shared" si="2"/>
        <v>0.01834714446</v>
      </c>
      <c r="K1653" s="830"/>
    </row>
    <row r="1654">
      <c r="A1654" s="181" t="s">
        <v>523</v>
      </c>
      <c r="B1654" s="181" t="s">
        <v>562</v>
      </c>
      <c r="C1654" s="181">
        <v>655360.0</v>
      </c>
      <c r="D1654" s="181">
        <v>10.0</v>
      </c>
      <c r="E1654" s="181">
        <v>20.24</v>
      </c>
      <c r="F1654" s="181">
        <v>32.37</v>
      </c>
      <c r="G1654" s="181">
        <v>29.14</v>
      </c>
      <c r="H1654" s="828">
        <v>46096.0</v>
      </c>
      <c r="I1654" s="829">
        <f t="shared" si="1"/>
        <v>0.65536</v>
      </c>
      <c r="J1654" s="830">
        <f t="shared" si="2"/>
        <v>0.03237944664</v>
      </c>
      <c r="K1654" s="830"/>
    </row>
    <row r="1655">
      <c r="A1655" s="181" t="s">
        <v>523</v>
      </c>
      <c r="B1655" s="181" t="s">
        <v>562</v>
      </c>
      <c r="C1655" s="181">
        <v>1310720.0</v>
      </c>
      <c r="D1655" s="181">
        <v>10.0</v>
      </c>
      <c r="E1655" s="181">
        <v>24.86</v>
      </c>
      <c r="F1655" s="181">
        <v>52.73</v>
      </c>
      <c r="G1655" s="181">
        <v>47.46</v>
      </c>
      <c r="H1655" s="828">
        <v>46096.0</v>
      </c>
      <c r="I1655" s="829">
        <f t="shared" si="1"/>
        <v>1.31072</v>
      </c>
      <c r="J1655" s="830">
        <f t="shared" si="2"/>
        <v>0.05272405471</v>
      </c>
      <c r="K1655" s="830"/>
    </row>
    <row r="1656">
      <c r="A1656" s="181" t="s">
        <v>523</v>
      </c>
      <c r="B1656" s="181" t="s">
        <v>562</v>
      </c>
      <c r="C1656" s="181">
        <v>2621440.0</v>
      </c>
      <c r="D1656" s="181">
        <v>10.0</v>
      </c>
      <c r="E1656" s="181">
        <v>37.73</v>
      </c>
      <c r="F1656" s="181">
        <v>69.48</v>
      </c>
      <c r="G1656" s="181">
        <v>62.53</v>
      </c>
      <c r="H1656" s="828">
        <v>46096.0</v>
      </c>
      <c r="I1656" s="829">
        <f t="shared" si="1"/>
        <v>2.62144</v>
      </c>
      <c r="J1656" s="830">
        <f t="shared" si="2"/>
        <v>0.06947892923</v>
      </c>
      <c r="K1656" s="830"/>
    </row>
    <row r="1657">
      <c r="A1657" s="181" t="s">
        <v>523</v>
      </c>
      <c r="B1657" s="181" t="s">
        <v>562</v>
      </c>
      <c r="C1657" s="181">
        <v>5242880.0</v>
      </c>
      <c r="D1657" s="181">
        <v>10.0</v>
      </c>
      <c r="E1657" s="181">
        <v>68.25</v>
      </c>
      <c r="F1657" s="181">
        <v>76.82</v>
      </c>
      <c r="G1657" s="181">
        <v>69.13</v>
      </c>
      <c r="H1657" s="828">
        <v>46096.0</v>
      </c>
      <c r="I1657" s="829">
        <f t="shared" si="1"/>
        <v>5.24288</v>
      </c>
      <c r="J1657" s="830">
        <f t="shared" si="2"/>
        <v>0.07681875458</v>
      </c>
      <c r="K1657" s="830"/>
    </row>
    <row r="1658">
      <c r="A1658" s="181" t="s">
        <v>523</v>
      </c>
      <c r="B1658" s="181" t="s">
        <v>562</v>
      </c>
      <c r="C1658" s="181">
        <v>1.048576E7</v>
      </c>
      <c r="D1658" s="181">
        <v>10.0</v>
      </c>
      <c r="E1658" s="181">
        <v>49.07</v>
      </c>
      <c r="F1658" s="181">
        <v>213.69</v>
      </c>
      <c r="G1658" s="181">
        <v>192.32</v>
      </c>
      <c r="H1658" s="828">
        <v>46096.0</v>
      </c>
      <c r="I1658" s="829">
        <f t="shared" si="1"/>
        <v>10.48576</v>
      </c>
      <c r="J1658" s="830">
        <f t="shared" si="2"/>
        <v>0.2136898309</v>
      </c>
      <c r="K1658" s="830"/>
    </row>
    <row r="1659">
      <c r="A1659" s="181" t="s">
        <v>523</v>
      </c>
      <c r="B1659" s="181" t="s">
        <v>562</v>
      </c>
      <c r="C1659" s="181">
        <v>2.097152E7</v>
      </c>
      <c r="D1659" s="181">
        <v>10.0</v>
      </c>
      <c r="E1659" s="181">
        <v>70.88</v>
      </c>
      <c r="F1659" s="181">
        <v>295.88</v>
      </c>
      <c r="G1659" s="181">
        <v>266.29</v>
      </c>
      <c r="H1659" s="828">
        <v>46096.0</v>
      </c>
      <c r="I1659" s="829">
        <f t="shared" si="1"/>
        <v>20.97152</v>
      </c>
      <c r="J1659" s="830">
        <f t="shared" si="2"/>
        <v>0.2958735892</v>
      </c>
      <c r="K1659" s="830"/>
    </row>
    <row r="1660">
      <c r="A1660" s="181" t="s">
        <v>523</v>
      </c>
      <c r="B1660" s="181" t="s">
        <v>562</v>
      </c>
      <c r="C1660" s="181">
        <v>4.194304E7</v>
      </c>
      <c r="D1660" s="181">
        <v>10.0</v>
      </c>
      <c r="E1660" s="181">
        <v>118.15</v>
      </c>
      <c r="F1660" s="181">
        <v>354.99</v>
      </c>
      <c r="G1660" s="181">
        <v>319.49</v>
      </c>
      <c r="H1660" s="828">
        <v>46096.0</v>
      </c>
      <c r="I1660" s="829">
        <f t="shared" si="1"/>
        <v>41.94304</v>
      </c>
      <c r="J1660" s="830">
        <f t="shared" si="2"/>
        <v>0.3549982226</v>
      </c>
      <c r="K1660" s="830"/>
    </row>
    <row r="1661">
      <c r="A1661" s="181" t="s">
        <v>523</v>
      </c>
      <c r="B1661" s="181" t="s">
        <v>562</v>
      </c>
      <c r="C1661" s="181">
        <v>8.388608E7</v>
      </c>
      <c r="D1661" s="181">
        <v>10.0</v>
      </c>
      <c r="E1661" s="181">
        <v>216.11</v>
      </c>
      <c r="F1661" s="181">
        <v>388.16</v>
      </c>
      <c r="G1661" s="181">
        <v>349.34</v>
      </c>
      <c r="H1661" s="828">
        <v>46096.0</v>
      </c>
      <c r="I1661" s="829">
        <f t="shared" si="1"/>
        <v>83.88608</v>
      </c>
      <c r="J1661" s="830">
        <f t="shared" si="2"/>
        <v>0.3881638055</v>
      </c>
      <c r="K1661" s="830"/>
    </row>
    <row r="1662">
      <c r="A1662" s="181" t="s">
        <v>523</v>
      </c>
      <c r="B1662" s="181" t="s">
        <v>562</v>
      </c>
      <c r="C1662" s="181">
        <v>1.6777216E8</v>
      </c>
      <c r="D1662" s="181">
        <v>10.0</v>
      </c>
      <c r="E1662" s="181">
        <v>403.79</v>
      </c>
      <c r="F1662" s="181">
        <v>415.5</v>
      </c>
      <c r="G1662" s="181">
        <v>373.95</v>
      </c>
      <c r="H1662" s="828">
        <v>46096.0</v>
      </c>
      <c r="I1662" s="829">
        <f t="shared" si="1"/>
        <v>167.77216</v>
      </c>
      <c r="J1662" s="830">
        <f t="shared" si="2"/>
        <v>0.4154935982</v>
      </c>
      <c r="K1662" s="830"/>
    </row>
    <row r="1663">
      <c r="A1663" s="181" t="s">
        <v>523</v>
      </c>
      <c r="B1663" s="181" t="s">
        <v>562</v>
      </c>
      <c r="C1663" s="181">
        <v>3.3554432E8</v>
      </c>
      <c r="D1663" s="181">
        <v>10.0</v>
      </c>
      <c r="E1663" s="181">
        <v>776.21</v>
      </c>
      <c r="F1663" s="181">
        <v>432.29</v>
      </c>
      <c r="G1663" s="181">
        <v>389.06</v>
      </c>
      <c r="H1663" s="828">
        <v>46096.0</v>
      </c>
      <c r="I1663" s="829">
        <f t="shared" si="1"/>
        <v>335.54432</v>
      </c>
      <c r="J1663" s="830">
        <f t="shared" si="2"/>
        <v>0.4322854898</v>
      </c>
      <c r="K1663" s="830"/>
    </row>
    <row r="1664">
      <c r="A1664" s="181" t="s">
        <v>523</v>
      </c>
      <c r="B1664" s="181" t="s">
        <v>562</v>
      </c>
      <c r="C1664" s="181">
        <v>6.7108864E8</v>
      </c>
      <c r="D1664" s="181">
        <v>10.0</v>
      </c>
      <c r="E1664" s="181">
        <v>1559.61</v>
      </c>
      <c r="F1664" s="181">
        <v>430.29</v>
      </c>
      <c r="G1664" s="181">
        <v>387.26</v>
      </c>
      <c r="H1664" s="828">
        <v>46096.0</v>
      </c>
      <c r="I1664" s="829">
        <f t="shared" si="1"/>
        <v>671.08864</v>
      </c>
      <c r="J1664" s="830">
        <f t="shared" si="2"/>
        <v>0.4302925988</v>
      </c>
      <c r="K1664" s="830"/>
    </row>
    <row r="1665">
      <c r="A1665" s="181" t="s">
        <v>523</v>
      </c>
      <c r="B1665" s="181" t="s">
        <v>562</v>
      </c>
      <c r="C1665" s="181">
        <v>1.34217728E9</v>
      </c>
      <c r="D1665" s="181">
        <v>10.0</v>
      </c>
      <c r="E1665" s="181">
        <v>2334.96</v>
      </c>
      <c r="F1665" s="181">
        <v>574.82</v>
      </c>
      <c r="G1665" s="181">
        <v>517.34</v>
      </c>
      <c r="H1665" s="828">
        <v>46096.0</v>
      </c>
      <c r="I1665" s="829">
        <f t="shared" si="1"/>
        <v>1342.17728</v>
      </c>
      <c r="J1665" s="830">
        <f t="shared" si="2"/>
        <v>0.574818104</v>
      </c>
      <c r="K1665" s="830"/>
    </row>
    <row r="1666">
      <c r="A1666" s="181" t="s">
        <v>523</v>
      </c>
      <c r="B1666" s="181" t="s">
        <v>562</v>
      </c>
      <c r="C1666" s="181">
        <v>2.68435456E9</v>
      </c>
      <c r="D1666" s="181">
        <v>10.0</v>
      </c>
      <c r="E1666" s="181">
        <v>4025.59</v>
      </c>
      <c r="F1666" s="181">
        <v>666.82</v>
      </c>
      <c r="G1666" s="181">
        <v>600.14</v>
      </c>
      <c r="H1666" s="828">
        <v>46096.0</v>
      </c>
      <c r="I1666" s="829">
        <f t="shared" si="1"/>
        <v>2684.35456</v>
      </c>
      <c r="J1666" s="830">
        <f t="shared" si="2"/>
        <v>0.6668226421</v>
      </c>
      <c r="K1666" s="830"/>
    </row>
    <row r="1667">
      <c r="A1667" s="181" t="s">
        <v>523</v>
      </c>
      <c r="B1667" s="181" t="s">
        <v>562</v>
      </c>
      <c r="C1667" s="181">
        <v>5.36870912E9</v>
      </c>
      <c r="D1667" s="181">
        <v>10.0</v>
      </c>
      <c r="E1667" s="181">
        <v>7794.7</v>
      </c>
      <c r="F1667" s="181">
        <v>688.76</v>
      </c>
      <c r="G1667" s="181">
        <v>619.89</v>
      </c>
      <c r="H1667" s="828">
        <v>46096.0</v>
      </c>
      <c r="I1667" s="829">
        <f t="shared" si="1"/>
        <v>5368.70912</v>
      </c>
      <c r="J1667" s="830">
        <f t="shared" si="2"/>
        <v>0.6887640474</v>
      </c>
      <c r="K1667" s="830"/>
    </row>
    <row r="1668">
      <c r="A1668" s="181" t="s">
        <v>523</v>
      </c>
      <c r="B1668" s="181" t="s">
        <v>562</v>
      </c>
      <c r="C1668" s="181">
        <v>1.073741824E10</v>
      </c>
      <c r="D1668" s="181">
        <v>10.0</v>
      </c>
      <c r="E1668" s="181">
        <v>15335.7</v>
      </c>
      <c r="F1668" s="181">
        <v>700.16</v>
      </c>
      <c r="G1668" s="181">
        <v>630.14</v>
      </c>
      <c r="H1668" s="828">
        <v>46096.0</v>
      </c>
      <c r="I1668" s="829">
        <f t="shared" si="1"/>
        <v>10737.41824</v>
      </c>
      <c r="J1668" s="830">
        <f t="shared" si="2"/>
        <v>0.700158339</v>
      </c>
      <c r="K1668" s="830"/>
    </row>
    <row r="1669">
      <c r="A1669" s="181" t="s">
        <v>523</v>
      </c>
      <c r="B1669" s="181" t="s">
        <v>562</v>
      </c>
      <c r="C1669" s="181">
        <v>768.0</v>
      </c>
      <c r="D1669" s="181">
        <v>12.0</v>
      </c>
      <c r="E1669" s="181">
        <v>19.37</v>
      </c>
      <c r="F1669" s="181">
        <v>0.04</v>
      </c>
      <c r="G1669" s="181">
        <v>0.04</v>
      </c>
      <c r="H1669" s="828">
        <v>46096.0</v>
      </c>
      <c r="I1669" s="829">
        <f t="shared" si="1"/>
        <v>0.0007822222222</v>
      </c>
      <c r="J1669" s="830">
        <f t="shared" si="2"/>
        <v>0.00004038318132</v>
      </c>
      <c r="K1669" s="830"/>
    </row>
    <row r="1670">
      <c r="A1670" s="181" t="s">
        <v>523</v>
      </c>
      <c r="B1670" s="181" t="s">
        <v>562</v>
      </c>
      <c r="C1670" s="181">
        <v>1536.0</v>
      </c>
      <c r="D1670" s="181">
        <v>12.0</v>
      </c>
      <c r="E1670" s="181">
        <v>16.96</v>
      </c>
      <c r="F1670" s="181">
        <v>0.09</v>
      </c>
      <c r="G1670" s="181">
        <v>0.08</v>
      </c>
      <c r="H1670" s="828">
        <v>46096.0</v>
      </c>
      <c r="I1670" s="829">
        <f t="shared" si="1"/>
        <v>0.001564444444</v>
      </c>
      <c r="J1670" s="830">
        <f t="shared" si="2"/>
        <v>0.00009224318658</v>
      </c>
      <c r="K1670" s="830"/>
    </row>
    <row r="1671">
      <c r="A1671" s="181" t="s">
        <v>523</v>
      </c>
      <c r="B1671" s="181" t="s">
        <v>562</v>
      </c>
      <c r="C1671" s="181">
        <v>3072.0</v>
      </c>
      <c r="D1671" s="181">
        <v>12.0</v>
      </c>
      <c r="E1671" s="181">
        <v>15.54</v>
      </c>
      <c r="F1671" s="181">
        <v>0.2</v>
      </c>
      <c r="G1671" s="181">
        <v>0.18</v>
      </c>
      <c r="H1671" s="828">
        <v>46096.0</v>
      </c>
      <c r="I1671" s="829">
        <f t="shared" si="1"/>
        <v>0.003128888889</v>
      </c>
      <c r="J1671" s="830">
        <f t="shared" si="2"/>
        <v>0.0002013442013</v>
      </c>
      <c r="K1671" s="830"/>
    </row>
    <row r="1672">
      <c r="A1672" s="181" t="s">
        <v>523</v>
      </c>
      <c r="B1672" s="181" t="s">
        <v>562</v>
      </c>
      <c r="C1672" s="181">
        <v>6144.0</v>
      </c>
      <c r="D1672" s="181">
        <v>12.0</v>
      </c>
      <c r="E1672" s="181">
        <v>17.62</v>
      </c>
      <c r="F1672" s="181">
        <v>0.35</v>
      </c>
      <c r="G1672" s="181">
        <v>0.32</v>
      </c>
      <c r="H1672" s="828">
        <v>46096.0</v>
      </c>
      <c r="I1672" s="829">
        <f t="shared" si="1"/>
        <v>0.006257777778</v>
      </c>
      <c r="J1672" s="830">
        <f t="shared" si="2"/>
        <v>0.0003551519738</v>
      </c>
      <c r="K1672" s="830"/>
    </row>
    <row r="1673">
      <c r="A1673" s="181" t="s">
        <v>523</v>
      </c>
      <c r="B1673" s="181" t="s">
        <v>562</v>
      </c>
      <c r="C1673" s="181">
        <v>12288.0</v>
      </c>
      <c r="D1673" s="181">
        <v>12.0</v>
      </c>
      <c r="E1673" s="181">
        <v>15.66</v>
      </c>
      <c r="F1673" s="181">
        <v>0.78</v>
      </c>
      <c r="G1673" s="181">
        <v>0.72</v>
      </c>
      <c r="H1673" s="828">
        <v>46096.0</v>
      </c>
      <c r="I1673" s="829">
        <f t="shared" si="1"/>
        <v>0.01251555556</v>
      </c>
      <c r="J1673" s="830">
        <f t="shared" si="2"/>
        <v>0.0007992053356</v>
      </c>
      <c r="K1673" s="830"/>
    </row>
    <row r="1674">
      <c r="A1674" s="181" t="s">
        <v>523</v>
      </c>
      <c r="B1674" s="181" t="s">
        <v>562</v>
      </c>
      <c r="C1674" s="181">
        <v>24576.0</v>
      </c>
      <c r="D1674" s="181">
        <v>12.0</v>
      </c>
      <c r="E1674" s="181">
        <v>15.28</v>
      </c>
      <c r="F1674" s="181">
        <v>1.61</v>
      </c>
      <c r="G1674" s="181">
        <v>1.47</v>
      </c>
      <c r="H1674" s="828">
        <v>46096.0</v>
      </c>
      <c r="I1674" s="829">
        <f t="shared" si="1"/>
        <v>0.02503111111</v>
      </c>
      <c r="J1674" s="830">
        <f t="shared" si="2"/>
        <v>0.001638161722</v>
      </c>
      <c r="K1674" s="830"/>
    </row>
    <row r="1675">
      <c r="A1675" s="181" t="s">
        <v>523</v>
      </c>
      <c r="B1675" s="181" t="s">
        <v>562</v>
      </c>
      <c r="C1675" s="181">
        <v>49152.0</v>
      </c>
      <c r="D1675" s="181">
        <v>12.0</v>
      </c>
      <c r="E1675" s="181">
        <v>17.14</v>
      </c>
      <c r="F1675" s="181">
        <v>2.87</v>
      </c>
      <c r="G1675" s="181">
        <v>2.63</v>
      </c>
      <c r="H1675" s="828">
        <v>46096.0</v>
      </c>
      <c r="I1675" s="829">
        <f t="shared" si="1"/>
        <v>0.05006222222</v>
      </c>
      <c r="J1675" s="830">
        <f t="shared" si="2"/>
        <v>0.002920783093</v>
      </c>
      <c r="K1675" s="830"/>
    </row>
    <row r="1676">
      <c r="A1676" s="181" t="s">
        <v>523</v>
      </c>
      <c r="B1676" s="181" t="s">
        <v>562</v>
      </c>
      <c r="C1676" s="181">
        <v>98304.0</v>
      </c>
      <c r="D1676" s="181">
        <v>12.0</v>
      </c>
      <c r="E1676" s="181">
        <v>17.01</v>
      </c>
      <c r="F1676" s="181">
        <v>5.78</v>
      </c>
      <c r="G1676" s="181">
        <v>5.3</v>
      </c>
      <c r="H1676" s="828">
        <v>46096.0</v>
      </c>
      <c r="I1676" s="829">
        <f t="shared" si="1"/>
        <v>0.1001244444</v>
      </c>
      <c r="J1676" s="830">
        <f t="shared" si="2"/>
        <v>0.005886210726</v>
      </c>
      <c r="K1676" s="830"/>
    </row>
    <row r="1677">
      <c r="A1677" s="181" t="s">
        <v>523</v>
      </c>
      <c r="B1677" s="181" t="s">
        <v>562</v>
      </c>
      <c r="C1677" s="181">
        <v>196608.0</v>
      </c>
      <c r="D1677" s="181">
        <v>12.0</v>
      </c>
      <c r="E1677" s="181">
        <v>16.9</v>
      </c>
      <c r="F1677" s="181">
        <v>11.63</v>
      </c>
      <c r="G1677" s="181">
        <v>10.67</v>
      </c>
      <c r="H1677" s="828">
        <v>46096.0</v>
      </c>
      <c r="I1677" s="829">
        <f t="shared" si="1"/>
        <v>0.2002488889</v>
      </c>
      <c r="J1677" s="830">
        <f t="shared" si="2"/>
        <v>0.01184904668</v>
      </c>
      <c r="K1677" s="830"/>
    </row>
    <row r="1678">
      <c r="A1678" s="181" t="s">
        <v>523</v>
      </c>
      <c r="B1678" s="181" t="s">
        <v>562</v>
      </c>
      <c r="C1678" s="181">
        <v>393216.0</v>
      </c>
      <c r="D1678" s="181">
        <v>12.0</v>
      </c>
      <c r="E1678" s="181">
        <v>17.89</v>
      </c>
      <c r="F1678" s="181">
        <v>21.98</v>
      </c>
      <c r="G1678" s="181">
        <v>20.15</v>
      </c>
      <c r="H1678" s="828">
        <v>46096.0</v>
      </c>
      <c r="I1678" s="829">
        <f t="shared" si="1"/>
        <v>0.4004977778</v>
      </c>
      <c r="J1678" s="830">
        <f t="shared" si="2"/>
        <v>0.02238668406</v>
      </c>
      <c r="K1678" s="830"/>
    </row>
    <row r="1679">
      <c r="A1679" s="181" t="s">
        <v>523</v>
      </c>
      <c r="B1679" s="181" t="s">
        <v>562</v>
      </c>
      <c r="C1679" s="181">
        <v>786432.0</v>
      </c>
      <c r="D1679" s="181">
        <v>12.0</v>
      </c>
      <c r="E1679" s="181">
        <v>20.08</v>
      </c>
      <c r="F1679" s="181">
        <v>39.16</v>
      </c>
      <c r="G1679" s="181">
        <v>35.9</v>
      </c>
      <c r="H1679" s="828">
        <v>46096.0</v>
      </c>
      <c r="I1679" s="829">
        <f t="shared" si="1"/>
        <v>0.8009955556</v>
      </c>
      <c r="J1679" s="830">
        <f t="shared" si="2"/>
        <v>0.03989021691</v>
      </c>
      <c r="K1679" s="830"/>
    </row>
    <row r="1680">
      <c r="A1680" s="181" t="s">
        <v>523</v>
      </c>
      <c r="B1680" s="181" t="s">
        <v>562</v>
      </c>
      <c r="C1680" s="181">
        <v>1572864.0</v>
      </c>
      <c r="D1680" s="181">
        <v>12.0</v>
      </c>
      <c r="E1680" s="181">
        <v>25.43</v>
      </c>
      <c r="F1680" s="181">
        <v>61.85</v>
      </c>
      <c r="G1680" s="181">
        <v>56.7</v>
      </c>
      <c r="H1680" s="828">
        <v>46096.0</v>
      </c>
      <c r="I1680" s="829">
        <f t="shared" si="1"/>
        <v>1.601991111</v>
      </c>
      <c r="J1680" s="830">
        <f t="shared" si="2"/>
        <v>0.06299611133</v>
      </c>
      <c r="K1680" s="830"/>
    </row>
    <row r="1681">
      <c r="A1681" s="181" t="s">
        <v>523</v>
      </c>
      <c r="B1681" s="181" t="s">
        <v>562</v>
      </c>
      <c r="C1681" s="181">
        <v>3145728.0</v>
      </c>
      <c r="D1681" s="181">
        <v>12.0</v>
      </c>
      <c r="E1681" s="181">
        <v>39.47</v>
      </c>
      <c r="F1681" s="181">
        <v>79.7</v>
      </c>
      <c r="G1681" s="181">
        <v>73.06</v>
      </c>
      <c r="H1681" s="828">
        <v>46096.0</v>
      </c>
      <c r="I1681" s="829">
        <f t="shared" si="1"/>
        <v>3.203982222</v>
      </c>
      <c r="J1681" s="830">
        <f t="shared" si="2"/>
        <v>0.08117512597</v>
      </c>
      <c r="K1681" s="830"/>
    </row>
    <row r="1682">
      <c r="A1682" s="181" t="s">
        <v>523</v>
      </c>
      <c r="B1682" s="181" t="s">
        <v>562</v>
      </c>
      <c r="C1682" s="181">
        <v>6291456.0</v>
      </c>
      <c r="D1682" s="181">
        <v>12.0</v>
      </c>
      <c r="E1682" s="181">
        <v>67.87</v>
      </c>
      <c r="F1682" s="181">
        <v>92.7</v>
      </c>
      <c r="G1682" s="181">
        <v>84.97</v>
      </c>
      <c r="H1682" s="828">
        <v>46096.0</v>
      </c>
      <c r="I1682" s="829">
        <f t="shared" si="1"/>
        <v>6.407964444</v>
      </c>
      <c r="J1682" s="830">
        <f t="shared" si="2"/>
        <v>0.09441527102</v>
      </c>
      <c r="K1682" s="830"/>
    </row>
    <row r="1683">
      <c r="A1683" s="181" t="s">
        <v>523</v>
      </c>
      <c r="B1683" s="181" t="s">
        <v>562</v>
      </c>
      <c r="C1683" s="181">
        <v>1.2582912E7</v>
      </c>
      <c r="D1683" s="181">
        <v>12.0</v>
      </c>
      <c r="E1683" s="181">
        <v>52.22</v>
      </c>
      <c r="F1683" s="181">
        <v>240.94</v>
      </c>
      <c r="G1683" s="181">
        <v>220.86</v>
      </c>
      <c r="H1683" s="828">
        <v>46096.0</v>
      </c>
      <c r="I1683" s="829">
        <f t="shared" si="1"/>
        <v>12.81592889</v>
      </c>
      <c r="J1683" s="830">
        <f t="shared" si="2"/>
        <v>0.2454218477</v>
      </c>
      <c r="K1683" s="830"/>
    </row>
    <row r="1684">
      <c r="A1684" s="181" t="s">
        <v>523</v>
      </c>
      <c r="B1684" s="181" t="s">
        <v>562</v>
      </c>
      <c r="C1684" s="181">
        <v>2.5165824E7</v>
      </c>
      <c r="D1684" s="181">
        <v>12.0</v>
      </c>
      <c r="E1684" s="181">
        <v>77.26</v>
      </c>
      <c r="F1684" s="181">
        <v>325.73</v>
      </c>
      <c r="G1684" s="181">
        <v>298.58</v>
      </c>
      <c r="H1684" s="828">
        <v>46096.0</v>
      </c>
      <c r="I1684" s="829">
        <f t="shared" si="1"/>
        <v>25.63185778</v>
      </c>
      <c r="J1684" s="830">
        <f t="shared" si="2"/>
        <v>0.3317610378</v>
      </c>
      <c r="K1684" s="830"/>
    </row>
    <row r="1685">
      <c r="A1685" s="181" t="s">
        <v>523</v>
      </c>
      <c r="B1685" s="181" t="s">
        <v>562</v>
      </c>
      <c r="C1685" s="181">
        <v>5.0331648E7</v>
      </c>
      <c r="D1685" s="181">
        <v>12.0</v>
      </c>
      <c r="E1685" s="181">
        <v>125.49</v>
      </c>
      <c r="F1685" s="181">
        <v>401.09</v>
      </c>
      <c r="G1685" s="181">
        <v>367.66</v>
      </c>
      <c r="H1685" s="828">
        <v>46096.0</v>
      </c>
      <c r="I1685" s="829">
        <f t="shared" si="1"/>
        <v>51.26371556</v>
      </c>
      <c r="J1685" s="830">
        <f t="shared" si="2"/>
        <v>0.4085083716</v>
      </c>
      <c r="K1685" s="830"/>
    </row>
    <row r="1686">
      <c r="A1686" s="181" t="s">
        <v>523</v>
      </c>
      <c r="B1686" s="181" t="s">
        <v>562</v>
      </c>
      <c r="C1686" s="181">
        <v>1.00663296E8</v>
      </c>
      <c r="D1686" s="181">
        <v>12.0</v>
      </c>
      <c r="E1686" s="181">
        <v>221.96</v>
      </c>
      <c r="F1686" s="181">
        <v>453.52</v>
      </c>
      <c r="G1686" s="181">
        <v>415.72</v>
      </c>
      <c r="H1686" s="828">
        <v>46096.0</v>
      </c>
      <c r="I1686" s="829">
        <f t="shared" si="1"/>
        <v>102.5274311</v>
      </c>
      <c r="J1686" s="830">
        <f t="shared" si="2"/>
        <v>0.4619185038</v>
      </c>
      <c r="K1686" s="830"/>
    </row>
    <row r="1687">
      <c r="A1687" s="181" t="s">
        <v>523</v>
      </c>
      <c r="B1687" s="181" t="s">
        <v>562</v>
      </c>
      <c r="C1687" s="181">
        <v>2.01326592E8</v>
      </c>
      <c r="D1687" s="181">
        <v>12.0</v>
      </c>
      <c r="E1687" s="181">
        <v>412.22</v>
      </c>
      <c r="F1687" s="181">
        <v>488.4</v>
      </c>
      <c r="G1687" s="181">
        <v>447.7</v>
      </c>
      <c r="H1687" s="828">
        <v>46096.0</v>
      </c>
      <c r="I1687" s="829">
        <f t="shared" si="1"/>
        <v>205.0548622</v>
      </c>
      <c r="J1687" s="830">
        <f t="shared" si="2"/>
        <v>0.4974403528</v>
      </c>
      <c r="K1687" s="830"/>
    </row>
    <row r="1688">
      <c r="A1688" s="181" t="s">
        <v>523</v>
      </c>
      <c r="B1688" s="181" t="s">
        <v>562</v>
      </c>
      <c r="C1688" s="181">
        <v>4.02653184E8</v>
      </c>
      <c r="D1688" s="181">
        <v>12.0</v>
      </c>
      <c r="E1688" s="181">
        <v>784.68</v>
      </c>
      <c r="F1688" s="181">
        <v>513.14</v>
      </c>
      <c r="G1688" s="181">
        <v>470.38</v>
      </c>
      <c r="H1688" s="828">
        <v>46096.0</v>
      </c>
      <c r="I1688" s="829">
        <f t="shared" si="1"/>
        <v>410.1097244</v>
      </c>
      <c r="J1688" s="830">
        <f t="shared" si="2"/>
        <v>0.5226458231</v>
      </c>
      <c r="K1688" s="830"/>
    </row>
    <row r="1689">
      <c r="A1689" s="181" t="s">
        <v>523</v>
      </c>
      <c r="B1689" s="181" t="s">
        <v>562</v>
      </c>
      <c r="C1689" s="181">
        <v>8.05306368E8</v>
      </c>
      <c r="D1689" s="181">
        <v>12.0</v>
      </c>
      <c r="E1689" s="181">
        <v>1577.12</v>
      </c>
      <c r="F1689" s="181">
        <v>510.62</v>
      </c>
      <c r="G1689" s="181">
        <v>468.07</v>
      </c>
      <c r="H1689" s="828">
        <v>46096.0</v>
      </c>
      <c r="I1689" s="829">
        <f t="shared" si="1"/>
        <v>820.2194489</v>
      </c>
      <c r="J1689" s="830">
        <f t="shared" si="2"/>
        <v>0.5200742169</v>
      </c>
      <c r="K1689" s="830"/>
    </row>
    <row r="1690">
      <c r="A1690" s="181" t="s">
        <v>523</v>
      </c>
      <c r="B1690" s="181" t="s">
        <v>562</v>
      </c>
      <c r="C1690" s="181">
        <v>1.610612736E9</v>
      </c>
      <c r="D1690" s="181">
        <v>12.0</v>
      </c>
      <c r="E1690" s="181">
        <v>2446.57</v>
      </c>
      <c r="F1690" s="181">
        <v>658.31</v>
      </c>
      <c r="G1690" s="181">
        <v>603.46</v>
      </c>
      <c r="H1690" s="828">
        <v>46096.0</v>
      </c>
      <c r="I1690" s="829">
        <f t="shared" si="1"/>
        <v>1640.438898</v>
      </c>
      <c r="J1690" s="830">
        <f t="shared" si="2"/>
        <v>0.6705056049</v>
      </c>
      <c r="K1690" s="830"/>
    </row>
    <row r="1691">
      <c r="A1691" s="181" t="s">
        <v>523</v>
      </c>
      <c r="B1691" s="181" t="s">
        <v>562</v>
      </c>
      <c r="C1691" s="181">
        <v>3.221225472E9</v>
      </c>
      <c r="D1691" s="181">
        <v>12.0</v>
      </c>
      <c r="E1691" s="181">
        <v>4786.61</v>
      </c>
      <c r="F1691" s="181">
        <v>672.97</v>
      </c>
      <c r="G1691" s="181">
        <v>616.89</v>
      </c>
      <c r="H1691" s="828">
        <v>46096.0</v>
      </c>
      <c r="I1691" s="829">
        <f t="shared" si="1"/>
        <v>3280.877796</v>
      </c>
      <c r="J1691" s="830">
        <f t="shared" si="2"/>
        <v>0.6854282667</v>
      </c>
      <c r="K1691" s="830"/>
    </row>
    <row r="1692">
      <c r="A1692" s="181" t="s">
        <v>523</v>
      </c>
      <c r="B1692" s="181" t="s">
        <v>562</v>
      </c>
      <c r="C1692" s="181">
        <v>6.442450944E9</v>
      </c>
      <c r="D1692" s="181">
        <v>12.0</v>
      </c>
      <c r="E1692" s="181">
        <v>9565.47</v>
      </c>
      <c r="F1692" s="181">
        <v>673.51</v>
      </c>
      <c r="G1692" s="181">
        <v>617.39</v>
      </c>
      <c r="H1692" s="828">
        <v>46096.0</v>
      </c>
      <c r="I1692" s="829">
        <f t="shared" si="1"/>
        <v>6561.755591</v>
      </c>
      <c r="J1692" s="830">
        <f t="shared" si="2"/>
        <v>0.6859836047</v>
      </c>
      <c r="K1692" s="830"/>
    </row>
    <row r="1693">
      <c r="A1693" s="181" t="s">
        <v>523</v>
      </c>
      <c r="B1693" s="181" t="s">
        <v>562</v>
      </c>
      <c r="C1693" s="181">
        <v>1.2884901888E10</v>
      </c>
      <c r="D1693" s="181">
        <v>12.0</v>
      </c>
      <c r="E1693" s="181">
        <v>18842.8</v>
      </c>
      <c r="F1693" s="181">
        <v>683.81</v>
      </c>
      <c r="G1693" s="181">
        <v>626.83</v>
      </c>
      <c r="H1693" s="828">
        <v>46096.0</v>
      </c>
      <c r="I1693" s="829">
        <f t="shared" si="1"/>
        <v>13123.51118</v>
      </c>
      <c r="J1693" s="830">
        <f t="shared" si="2"/>
        <v>0.6964735168</v>
      </c>
      <c r="K1693" s="830"/>
    </row>
    <row r="1694">
      <c r="A1694" s="181" t="s">
        <v>523</v>
      </c>
      <c r="B1694" s="181" t="s">
        <v>562</v>
      </c>
      <c r="C1694" s="181">
        <v>896.0</v>
      </c>
      <c r="D1694" s="181">
        <v>14.0</v>
      </c>
      <c r="E1694" s="181">
        <v>15.31</v>
      </c>
      <c r="F1694" s="181">
        <v>0.06</v>
      </c>
      <c r="G1694" s="181">
        <v>0.05</v>
      </c>
      <c r="H1694" s="828">
        <v>46096.0</v>
      </c>
      <c r="I1694" s="829">
        <f t="shared" si="1"/>
        <v>0.0009244444444</v>
      </c>
      <c r="J1694" s="830">
        <f t="shared" si="2"/>
        <v>0.00006038174033</v>
      </c>
      <c r="K1694" s="830"/>
    </row>
    <row r="1695">
      <c r="A1695" s="181" t="s">
        <v>523</v>
      </c>
      <c r="B1695" s="181" t="s">
        <v>562</v>
      </c>
      <c r="C1695" s="181">
        <v>1792.0</v>
      </c>
      <c r="D1695" s="181">
        <v>14.0</v>
      </c>
      <c r="E1695" s="181">
        <v>15.29</v>
      </c>
      <c r="F1695" s="181">
        <v>0.12</v>
      </c>
      <c r="G1695" s="181">
        <v>0.11</v>
      </c>
      <c r="H1695" s="828">
        <v>46096.0</v>
      </c>
      <c r="I1695" s="829">
        <f t="shared" si="1"/>
        <v>0.001848888889</v>
      </c>
      <c r="J1695" s="830">
        <f t="shared" si="2"/>
        <v>0.0001209214447</v>
      </c>
      <c r="K1695" s="830"/>
    </row>
    <row r="1696">
      <c r="A1696" s="181" t="s">
        <v>523</v>
      </c>
      <c r="B1696" s="181" t="s">
        <v>562</v>
      </c>
      <c r="C1696" s="181">
        <v>3584.0</v>
      </c>
      <c r="D1696" s="181">
        <v>14.0</v>
      </c>
      <c r="E1696" s="181">
        <v>15.68</v>
      </c>
      <c r="F1696" s="181">
        <v>0.23</v>
      </c>
      <c r="G1696" s="181">
        <v>0.21</v>
      </c>
      <c r="H1696" s="828">
        <v>46096.0</v>
      </c>
      <c r="I1696" s="829">
        <f t="shared" si="1"/>
        <v>0.003697777778</v>
      </c>
      <c r="J1696" s="830">
        <f t="shared" si="2"/>
        <v>0.0002358276644</v>
      </c>
      <c r="K1696" s="830"/>
    </row>
    <row r="1697">
      <c r="A1697" s="181" t="s">
        <v>523</v>
      </c>
      <c r="B1697" s="181" t="s">
        <v>562</v>
      </c>
      <c r="C1697" s="181">
        <v>7168.0</v>
      </c>
      <c r="D1697" s="181">
        <v>14.0</v>
      </c>
      <c r="E1697" s="181">
        <v>15.68</v>
      </c>
      <c r="F1697" s="181">
        <v>0.46</v>
      </c>
      <c r="G1697" s="181">
        <v>0.42</v>
      </c>
      <c r="H1697" s="828">
        <v>46096.0</v>
      </c>
      <c r="I1697" s="829">
        <f t="shared" si="1"/>
        <v>0.007395555556</v>
      </c>
      <c r="J1697" s="830">
        <f t="shared" si="2"/>
        <v>0.0004716553288</v>
      </c>
      <c r="K1697" s="830"/>
    </row>
    <row r="1698">
      <c r="A1698" s="181" t="s">
        <v>523</v>
      </c>
      <c r="B1698" s="181" t="s">
        <v>562</v>
      </c>
      <c r="C1698" s="181">
        <v>14336.0</v>
      </c>
      <c r="D1698" s="181">
        <v>14.0</v>
      </c>
      <c r="E1698" s="181">
        <v>15.59</v>
      </c>
      <c r="F1698" s="181">
        <v>0.92</v>
      </c>
      <c r="G1698" s="181">
        <v>0.85</v>
      </c>
      <c r="H1698" s="828">
        <v>46096.0</v>
      </c>
      <c r="I1698" s="829">
        <f t="shared" si="1"/>
        <v>0.01479111111</v>
      </c>
      <c r="J1698" s="830">
        <f t="shared" si="2"/>
        <v>0.0009487563253</v>
      </c>
      <c r="K1698" s="830"/>
    </row>
    <row r="1699">
      <c r="A1699" s="181" t="s">
        <v>523</v>
      </c>
      <c r="B1699" s="181" t="s">
        <v>562</v>
      </c>
      <c r="C1699" s="181">
        <v>28672.0</v>
      </c>
      <c r="D1699" s="181">
        <v>14.0</v>
      </c>
      <c r="E1699" s="181">
        <v>15.37</v>
      </c>
      <c r="F1699" s="181">
        <v>1.87</v>
      </c>
      <c r="G1699" s="181">
        <v>1.73</v>
      </c>
      <c r="H1699" s="828">
        <v>46096.0</v>
      </c>
      <c r="I1699" s="829">
        <f t="shared" si="1"/>
        <v>0.02958222222</v>
      </c>
      <c r="J1699" s="830">
        <f t="shared" si="2"/>
        <v>0.001924672884</v>
      </c>
      <c r="K1699" s="830"/>
    </row>
    <row r="1700">
      <c r="A1700" s="181" t="s">
        <v>523</v>
      </c>
      <c r="B1700" s="181" t="s">
        <v>562</v>
      </c>
      <c r="C1700" s="181">
        <v>57344.0</v>
      </c>
      <c r="D1700" s="181">
        <v>14.0</v>
      </c>
      <c r="E1700" s="181">
        <v>17.02</v>
      </c>
      <c r="F1700" s="181">
        <v>3.37</v>
      </c>
      <c r="G1700" s="181">
        <v>3.13</v>
      </c>
      <c r="H1700" s="828">
        <v>46096.0</v>
      </c>
      <c r="I1700" s="829">
        <f t="shared" si="1"/>
        <v>0.05916444444</v>
      </c>
      <c r="J1700" s="830">
        <f t="shared" si="2"/>
        <v>0.003476171824</v>
      </c>
      <c r="K1700" s="830"/>
    </row>
    <row r="1701">
      <c r="A1701" s="181" t="s">
        <v>523</v>
      </c>
      <c r="B1701" s="181" t="s">
        <v>562</v>
      </c>
      <c r="C1701" s="181">
        <v>114688.0</v>
      </c>
      <c r="D1701" s="181">
        <v>14.0</v>
      </c>
      <c r="E1701" s="181">
        <v>16.39</v>
      </c>
      <c r="F1701" s="181">
        <v>7.0</v>
      </c>
      <c r="G1701" s="181">
        <v>6.5</v>
      </c>
      <c r="H1701" s="828">
        <v>46096.0</v>
      </c>
      <c r="I1701" s="829">
        <f t="shared" si="1"/>
        <v>0.1183288889</v>
      </c>
      <c r="J1701" s="830">
        <f t="shared" si="2"/>
        <v>0.007219578334</v>
      </c>
      <c r="K1701" s="830"/>
    </row>
    <row r="1702">
      <c r="A1702" s="181" t="s">
        <v>523</v>
      </c>
      <c r="B1702" s="181" t="s">
        <v>562</v>
      </c>
      <c r="C1702" s="181">
        <v>229376.0</v>
      </c>
      <c r="D1702" s="181">
        <v>14.0</v>
      </c>
      <c r="E1702" s="181">
        <v>17.04</v>
      </c>
      <c r="F1702" s="181">
        <v>13.46</v>
      </c>
      <c r="G1702" s="181">
        <v>12.5</v>
      </c>
      <c r="H1702" s="828">
        <v>46096.0</v>
      </c>
      <c r="I1702" s="829">
        <f t="shared" si="1"/>
        <v>0.2366577778</v>
      </c>
      <c r="J1702" s="830">
        <f t="shared" si="2"/>
        <v>0.01388836724</v>
      </c>
      <c r="K1702" s="830"/>
    </row>
    <row r="1703">
      <c r="A1703" s="181" t="s">
        <v>523</v>
      </c>
      <c r="B1703" s="181" t="s">
        <v>562</v>
      </c>
      <c r="C1703" s="181">
        <v>458752.0</v>
      </c>
      <c r="D1703" s="181">
        <v>14.0</v>
      </c>
      <c r="E1703" s="181">
        <v>18.58</v>
      </c>
      <c r="F1703" s="181">
        <v>24.68</v>
      </c>
      <c r="G1703" s="181">
        <v>22.92</v>
      </c>
      <c r="H1703" s="828">
        <v>46096.0</v>
      </c>
      <c r="I1703" s="829">
        <f t="shared" si="1"/>
        <v>0.4733155556</v>
      </c>
      <c r="J1703" s="830">
        <f t="shared" si="2"/>
        <v>0.02547446478</v>
      </c>
      <c r="K1703" s="830"/>
    </row>
    <row r="1704">
      <c r="A1704" s="181" t="s">
        <v>523</v>
      </c>
      <c r="B1704" s="181" t="s">
        <v>562</v>
      </c>
      <c r="C1704" s="181">
        <v>917504.0</v>
      </c>
      <c r="D1704" s="181">
        <v>14.0</v>
      </c>
      <c r="E1704" s="181">
        <v>20.41</v>
      </c>
      <c r="F1704" s="181">
        <v>44.95</v>
      </c>
      <c r="G1704" s="181">
        <v>41.74</v>
      </c>
      <c r="H1704" s="828">
        <v>46096.0</v>
      </c>
      <c r="I1704" s="829">
        <f t="shared" si="1"/>
        <v>0.9466311111</v>
      </c>
      <c r="J1704" s="830">
        <f t="shared" si="2"/>
        <v>0.04638075018</v>
      </c>
      <c r="K1704" s="830"/>
    </row>
    <row r="1705">
      <c r="A1705" s="181" t="s">
        <v>523</v>
      </c>
      <c r="B1705" s="181" t="s">
        <v>562</v>
      </c>
      <c r="C1705" s="181">
        <v>1835008.0</v>
      </c>
      <c r="D1705" s="181">
        <v>14.0</v>
      </c>
      <c r="E1705" s="181">
        <v>25.96</v>
      </c>
      <c r="F1705" s="181">
        <v>70.69</v>
      </c>
      <c r="G1705" s="181">
        <v>65.64</v>
      </c>
      <c r="H1705" s="828">
        <v>46096.0</v>
      </c>
      <c r="I1705" s="829">
        <f t="shared" si="1"/>
        <v>1.893262222</v>
      </c>
      <c r="J1705" s="830">
        <f t="shared" si="2"/>
        <v>0.07292997774</v>
      </c>
      <c r="K1705" s="830"/>
    </row>
    <row r="1706">
      <c r="A1706" s="181" t="s">
        <v>523</v>
      </c>
      <c r="B1706" s="181" t="s">
        <v>562</v>
      </c>
      <c r="C1706" s="181">
        <v>3670016.0</v>
      </c>
      <c r="D1706" s="181">
        <v>14.0</v>
      </c>
      <c r="E1706" s="181">
        <v>41.11</v>
      </c>
      <c r="F1706" s="181">
        <v>89.27</v>
      </c>
      <c r="G1706" s="181">
        <v>82.89</v>
      </c>
      <c r="H1706" s="828">
        <v>46096.0</v>
      </c>
      <c r="I1706" s="829">
        <f t="shared" si="1"/>
        <v>3.786524444</v>
      </c>
      <c r="J1706" s="830">
        <f t="shared" si="2"/>
        <v>0.09210713803</v>
      </c>
      <c r="K1706" s="830"/>
    </row>
    <row r="1707">
      <c r="A1707" s="181" t="s">
        <v>523</v>
      </c>
      <c r="B1707" s="181" t="s">
        <v>562</v>
      </c>
      <c r="C1707" s="181">
        <v>7340032.0</v>
      </c>
      <c r="D1707" s="181">
        <v>14.0</v>
      </c>
      <c r="E1707" s="181">
        <v>68.86</v>
      </c>
      <c r="F1707" s="181">
        <v>106.59</v>
      </c>
      <c r="G1707" s="181">
        <v>98.97</v>
      </c>
      <c r="H1707" s="828">
        <v>46096.0</v>
      </c>
      <c r="I1707" s="829">
        <f t="shared" si="1"/>
        <v>7.573048889</v>
      </c>
      <c r="J1707" s="830">
        <f t="shared" si="2"/>
        <v>0.1099774744</v>
      </c>
      <c r="K1707" s="830"/>
    </row>
    <row r="1708">
      <c r="A1708" s="181" t="s">
        <v>523</v>
      </c>
      <c r="B1708" s="181" t="s">
        <v>562</v>
      </c>
      <c r="C1708" s="181">
        <v>1.4680064E7</v>
      </c>
      <c r="D1708" s="181">
        <v>14.0</v>
      </c>
      <c r="E1708" s="181">
        <v>55.42</v>
      </c>
      <c r="F1708" s="181">
        <v>264.87</v>
      </c>
      <c r="G1708" s="181">
        <v>245.95</v>
      </c>
      <c r="H1708" s="828">
        <v>46096.0</v>
      </c>
      <c r="I1708" s="829">
        <f t="shared" si="1"/>
        <v>15.14609778</v>
      </c>
      <c r="J1708" s="830">
        <f t="shared" si="2"/>
        <v>0.2732966037</v>
      </c>
      <c r="K1708" s="830"/>
    </row>
    <row r="1709">
      <c r="A1709" s="181" t="s">
        <v>523</v>
      </c>
      <c r="B1709" s="181" t="s">
        <v>562</v>
      </c>
      <c r="C1709" s="181">
        <v>2.9360128E7</v>
      </c>
      <c r="D1709" s="181">
        <v>14.0</v>
      </c>
      <c r="E1709" s="181">
        <v>84.48</v>
      </c>
      <c r="F1709" s="181">
        <v>347.52</v>
      </c>
      <c r="G1709" s="181">
        <v>322.7</v>
      </c>
      <c r="H1709" s="828">
        <v>46096.0</v>
      </c>
      <c r="I1709" s="829">
        <f t="shared" si="1"/>
        <v>30.29219556</v>
      </c>
      <c r="J1709" s="830">
        <f t="shared" si="2"/>
        <v>0.3585723906</v>
      </c>
      <c r="K1709" s="830"/>
    </row>
    <row r="1710">
      <c r="A1710" s="181" t="s">
        <v>523</v>
      </c>
      <c r="B1710" s="181" t="s">
        <v>562</v>
      </c>
      <c r="C1710" s="181">
        <v>5.8720256E7</v>
      </c>
      <c r="D1710" s="181">
        <v>14.0</v>
      </c>
      <c r="E1710" s="181">
        <v>135.63</v>
      </c>
      <c r="F1710" s="181">
        <v>432.94</v>
      </c>
      <c r="G1710" s="181">
        <v>402.02</v>
      </c>
      <c r="H1710" s="828">
        <v>46096.0</v>
      </c>
      <c r="I1710" s="829">
        <f t="shared" si="1"/>
        <v>60.58439111</v>
      </c>
      <c r="J1710" s="830">
        <f t="shared" si="2"/>
        <v>0.4466887201</v>
      </c>
      <c r="K1710" s="830"/>
    </row>
    <row r="1711">
      <c r="A1711" s="181" t="s">
        <v>523</v>
      </c>
      <c r="B1711" s="181" t="s">
        <v>562</v>
      </c>
      <c r="C1711" s="181">
        <v>1.17440512E8</v>
      </c>
      <c r="D1711" s="181">
        <v>14.0</v>
      </c>
      <c r="E1711" s="181">
        <v>230.14</v>
      </c>
      <c r="F1711" s="181">
        <v>510.29</v>
      </c>
      <c r="G1711" s="181">
        <v>473.84</v>
      </c>
      <c r="H1711" s="828">
        <v>46096.0</v>
      </c>
      <c r="I1711" s="829">
        <f t="shared" si="1"/>
        <v>121.1687822</v>
      </c>
      <c r="J1711" s="830">
        <f t="shared" si="2"/>
        <v>0.5265003138</v>
      </c>
      <c r="K1711" s="830"/>
    </row>
    <row r="1712">
      <c r="A1712" s="181" t="s">
        <v>523</v>
      </c>
      <c r="B1712" s="181" t="s">
        <v>562</v>
      </c>
      <c r="C1712" s="181">
        <v>2.34881024E8</v>
      </c>
      <c r="D1712" s="181">
        <v>14.0</v>
      </c>
      <c r="E1712" s="181">
        <v>420.56</v>
      </c>
      <c r="F1712" s="181">
        <v>558.5</v>
      </c>
      <c r="G1712" s="181">
        <v>518.61</v>
      </c>
      <c r="H1712" s="828">
        <v>46096.0</v>
      </c>
      <c r="I1712" s="829">
        <f t="shared" si="1"/>
        <v>242.3375644</v>
      </c>
      <c r="J1712" s="830">
        <f t="shared" si="2"/>
        <v>0.5762258999</v>
      </c>
      <c r="K1712" s="830"/>
    </row>
    <row r="1713">
      <c r="A1713" s="181" t="s">
        <v>523</v>
      </c>
      <c r="B1713" s="181" t="s">
        <v>562</v>
      </c>
      <c r="C1713" s="181">
        <v>4.69762048E8</v>
      </c>
      <c r="D1713" s="181">
        <v>14.0</v>
      </c>
      <c r="E1713" s="181">
        <v>797.39</v>
      </c>
      <c r="F1713" s="181">
        <v>589.12</v>
      </c>
      <c r="G1713" s="181">
        <v>547.04</v>
      </c>
      <c r="H1713" s="828">
        <v>46096.0</v>
      </c>
      <c r="I1713" s="829">
        <f t="shared" si="1"/>
        <v>484.6751289</v>
      </c>
      <c r="J1713" s="830">
        <f t="shared" si="2"/>
        <v>0.6078269465</v>
      </c>
      <c r="K1713" s="830"/>
    </row>
    <row r="1714">
      <c r="A1714" s="181" t="s">
        <v>523</v>
      </c>
      <c r="B1714" s="181" t="s">
        <v>562</v>
      </c>
      <c r="C1714" s="181">
        <v>9.39524096E8</v>
      </c>
      <c r="D1714" s="181">
        <v>14.0</v>
      </c>
      <c r="E1714" s="181">
        <v>1589.16</v>
      </c>
      <c r="F1714" s="181">
        <v>591.21</v>
      </c>
      <c r="G1714" s="181">
        <v>548.98</v>
      </c>
      <c r="H1714" s="828">
        <v>46096.0</v>
      </c>
      <c r="I1714" s="829">
        <f t="shared" si="1"/>
        <v>969.3502578</v>
      </c>
      <c r="J1714" s="830">
        <f t="shared" si="2"/>
        <v>0.6099765019</v>
      </c>
      <c r="K1714" s="830"/>
    </row>
    <row r="1715">
      <c r="A1715" s="181" t="s">
        <v>523</v>
      </c>
      <c r="B1715" s="181" t="s">
        <v>562</v>
      </c>
      <c r="C1715" s="181">
        <v>1.879048192E9</v>
      </c>
      <c r="D1715" s="181">
        <v>14.0</v>
      </c>
      <c r="E1715" s="181">
        <v>3087.54</v>
      </c>
      <c r="F1715" s="181">
        <v>608.59</v>
      </c>
      <c r="G1715" s="181">
        <v>565.12</v>
      </c>
      <c r="H1715" s="828">
        <v>46096.0</v>
      </c>
      <c r="I1715" s="829">
        <f t="shared" si="1"/>
        <v>1938.700516</v>
      </c>
      <c r="J1715" s="830">
        <f t="shared" si="2"/>
        <v>0.6279110604</v>
      </c>
      <c r="K1715" s="830"/>
    </row>
    <row r="1716">
      <c r="A1716" s="181" t="s">
        <v>523</v>
      </c>
      <c r="B1716" s="181" t="s">
        <v>562</v>
      </c>
      <c r="C1716" s="181">
        <v>3.758096384E9</v>
      </c>
      <c r="D1716" s="181">
        <v>14.0</v>
      </c>
      <c r="E1716" s="181">
        <v>5642.44</v>
      </c>
      <c r="F1716" s="181">
        <v>666.04</v>
      </c>
      <c r="G1716" s="181">
        <v>618.47</v>
      </c>
      <c r="H1716" s="828">
        <v>46096.0</v>
      </c>
      <c r="I1716" s="829">
        <f t="shared" si="1"/>
        <v>3877.401031</v>
      </c>
      <c r="J1716" s="830">
        <f t="shared" si="2"/>
        <v>0.6871851595</v>
      </c>
      <c r="K1716" s="830"/>
    </row>
    <row r="1717">
      <c r="A1717" s="181" t="s">
        <v>523</v>
      </c>
      <c r="B1717" s="181" t="s">
        <v>562</v>
      </c>
      <c r="C1717" s="181">
        <v>7.516192768E9</v>
      </c>
      <c r="D1717" s="181">
        <v>14.0</v>
      </c>
      <c r="E1717" s="181">
        <v>10932.8</v>
      </c>
      <c r="F1717" s="181">
        <v>687.49</v>
      </c>
      <c r="G1717" s="181">
        <v>638.38</v>
      </c>
      <c r="H1717" s="828">
        <v>46096.0</v>
      </c>
      <c r="I1717" s="829">
        <f t="shared" si="1"/>
        <v>7754.802062</v>
      </c>
      <c r="J1717" s="830">
        <f t="shared" si="2"/>
        <v>0.7093152772</v>
      </c>
      <c r="K1717" s="830"/>
    </row>
    <row r="1718">
      <c r="A1718" s="181" t="s">
        <v>523</v>
      </c>
      <c r="B1718" s="181" t="s">
        <v>562</v>
      </c>
      <c r="C1718" s="181">
        <v>1.5032385536E10</v>
      </c>
      <c r="D1718" s="181">
        <v>14.0</v>
      </c>
      <c r="E1718" s="181">
        <v>21750.7</v>
      </c>
      <c r="F1718" s="181">
        <v>691.12</v>
      </c>
      <c r="G1718" s="181">
        <v>641.76</v>
      </c>
      <c r="H1718" s="828">
        <v>46096.0</v>
      </c>
      <c r="I1718" s="829">
        <f t="shared" si="1"/>
        <v>15509.60412</v>
      </c>
      <c r="J1718" s="830">
        <f t="shared" si="2"/>
        <v>0.713062298</v>
      </c>
      <c r="K1718" s="830"/>
    </row>
    <row r="1719">
      <c r="A1719" s="181" t="s">
        <v>523</v>
      </c>
      <c r="B1719" s="181" t="s">
        <v>562</v>
      </c>
      <c r="C1719" s="181">
        <v>1024.0</v>
      </c>
      <c r="D1719" s="181">
        <v>16.0</v>
      </c>
      <c r="E1719" s="181">
        <v>18.05</v>
      </c>
      <c r="F1719" s="181">
        <v>0.06</v>
      </c>
      <c r="G1719" s="181">
        <v>0.05</v>
      </c>
      <c r="H1719" s="828">
        <v>46096.0</v>
      </c>
      <c r="I1719" s="829">
        <f t="shared" si="1"/>
        <v>0.001066666667</v>
      </c>
      <c r="J1719" s="830">
        <f t="shared" si="2"/>
        <v>0.00005909510619</v>
      </c>
      <c r="K1719" s="830"/>
    </row>
    <row r="1720">
      <c r="A1720" s="181" t="s">
        <v>523</v>
      </c>
      <c r="B1720" s="181" t="s">
        <v>562</v>
      </c>
      <c r="C1720" s="181">
        <v>2048.0</v>
      </c>
      <c r="D1720" s="181">
        <v>16.0</v>
      </c>
      <c r="E1720" s="181">
        <v>18.37</v>
      </c>
      <c r="F1720" s="181">
        <v>0.11</v>
      </c>
      <c r="G1720" s="181">
        <v>0.1</v>
      </c>
      <c r="H1720" s="828">
        <v>46096.0</v>
      </c>
      <c r="I1720" s="829">
        <f t="shared" si="1"/>
        <v>0.002133333333</v>
      </c>
      <c r="J1720" s="830">
        <f t="shared" si="2"/>
        <v>0.0001161313736</v>
      </c>
      <c r="K1720" s="830"/>
    </row>
    <row r="1721">
      <c r="A1721" s="181" t="s">
        <v>523</v>
      </c>
      <c r="B1721" s="181" t="s">
        <v>562</v>
      </c>
      <c r="C1721" s="181">
        <v>4096.0</v>
      </c>
      <c r="D1721" s="181">
        <v>16.0</v>
      </c>
      <c r="E1721" s="181">
        <v>15.56</v>
      </c>
      <c r="F1721" s="181">
        <v>0.26</v>
      </c>
      <c r="G1721" s="181">
        <v>0.25</v>
      </c>
      <c r="H1721" s="828">
        <v>46096.0</v>
      </c>
      <c r="I1721" s="829">
        <f t="shared" si="1"/>
        <v>0.004266666667</v>
      </c>
      <c r="J1721" s="830">
        <f t="shared" si="2"/>
        <v>0.0002742073693</v>
      </c>
      <c r="K1721" s="830"/>
    </row>
    <row r="1722">
      <c r="A1722" s="181" t="s">
        <v>523</v>
      </c>
      <c r="B1722" s="181" t="s">
        <v>562</v>
      </c>
      <c r="C1722" s="181">
        <v>8192.0</v>
      </c>
      <c r="D1722" s="181">
        <v>16.0</v>
      </c>
      <c r="E1722" s="181">
        <v>17.07</v>
      </c>
      <c r="F1722" s="181">
        <v>0.48</v>
      </c>
      <c r="G1722" s="181">
        <v>0.45</v>
      </c>
      <c r="H1722" s="828">
        <v>46096.0</v>
      </c>
      <c r="I1722" s="829">
        <f t="shared" si="1"/>
        <v>0.008533333333</v>
      </c>
      <c r="J1722" s="830">
        <f t="shared" si="2"/>
        <v>0.0004999023628</v>
      </c>
      <c r="K1722" s="830"/>
    </row>
    <row r="1723">
      <c r="A1723" s="181" t="s">
        <v>523</v>
      </c>
      <c r="B1723" s="181" t="s">
        <v>562</v>
      </c>
      <c r="C1723" s="181">
        <v>16384.0</v>
      </c>
      <c r="D1723" s="181">
        <v>16.0</v>
      </c>
      <c r="E1723" s="181">
        <v>16.05</v>
      </c>
      <c r="F1723" s="181">
        <v>1.02</v>
      </c>
      <c r="G1723" s="181">
        <v>0.96</v>
      </c>
      <c r="H1723" s="828">
        <v>46096.0</v>
      </c>
      <c r="I1723" s="829">
        <f t="shared" si="1"/>
        <v>0.01706666667</v>
      </c>
      <c r="J1723" s="830">
        <f t="shared" si="2"/>
        <v>0.001063343718</v>
      </c>
      <c r="K1723" s="830"/>
    </row>
    <row r="1724">
      <c r="A1724" s="181" t="s">
        <v>523</v>
      </c>
      <c r="B1724" s="181" t="s">
        <v>562</v>
      </c>
      <c r="C1724" s="181">
        <v>32768.0</v>
      </c>
      <c r="D1724" s="181">
        <v>16.0</v>
      </c>
      <c r="E1724" s="181">
        <v>16.02</v>
      </c>
      <c r="F1724" s="181">
        <v>2.05</v>
      </c>
      <c r="G1724" s="181">
        <v>1.92</v>
      </c>
      <c r="H1724" s="828">
        <v>46096.0</v>
      </c>
      <c r="I1724" s="829">
        <f t="shared" si="1"/>
        <v>0.03413333333</v>
      </c>
      <c r="J1724" s="830">
        <f t="shared" si="2"/>
        <v>0.002130669996</v>
      </c>
      <c r="K1724" s="830"/>
    </row>
    <row r="1725">
      <c r="A1725" s="181" t="s">
        <v>523</v>
      </c>
      <c r="B1725" s="181" t="s">
        <v>562</v>
      </c>
      <c r="C1725" s="181">
        <v>65536.0</v>
      </c>
      <c r="D1725" s="181">
        <v>16.0</v>
      </c>
      <c r="E1725" s="181">
        <v>16.19</v>
      </c>
      <c r="F1725" s="181">
        <v>4.05</v>
      </c>
      <c r="G1725" s="181">
        <v>3.8</v>
      </c>
      <c r="H1725" s="828">
        <v>46096.0</v>
      </c>
      <c r="I1725" s="829">
        <f t="shared" si="1"/>
        <v>0.06826666667</v>
      </c>
      <c r="J1725" s="830">
        <f t="shared" si="2"/>
        <v>0.004216594606</v>
      </c>
      <c r="K1725" s="830"/>
    </row>
    <row r="1726">
      <c r="A1726" s="181" t="s">
        <v>523</v>
      </c>
      <c r="B1726" s="181" t="s">
        <v>562</v>
      </c>
      <c r="C1726" s="181">
        <v>131072.0</v>
      </c>
      <c r="D1726" s="181">
        <v>16.0</v>
      </c>
      <c r="E1726" s="181">
        <v>16.85</v>
      </c>
      <c r="F1726" s="181">
        <v>7.78</v>
      </c>
      <c r="G1726" s="181">
        <v>7.29</v>
      </c>
      <c r="H1726" s="828">
        <v>46096.0</v>
      </c>
      <c r="I1726" s="829">
        <f t="shared" si="1"/>
        <v>0.1365333333</v>
      </c>
      <c r="J1726" s="830">
        <f t="shared" si="2"/>
        <v>0.008102868447</v>
      </c>
      <c r="K1726" s="830"/>
    </row>
    <row r="1727">
      <c r="A1727" s="181" t="s">
        <v>523</v>
      </c>
      <c r="B1727" s="181" t="s">
        <v>562</v>
      </c>
      <c r="C1727" s="181">
        <v>262144.0</v>
      </c>
      <c r="D1727" s="181">
        <v>16.0</v>
      </c>
      <c r="E1727" s="181">
        <v>16.94</v>
      </c>
      <c r="F1727" s="181">
        <v>15.48</v>
      </c>
      <c r="G1727" s="181">
        <v>14.51</v>
      </c>
      <c r="H1727" s="828">
        <v>46096.0</v>
      </c>
      <c r="I1727" s="829">
        <f t="shared" si="1"/>
        <v>0.2730666667</v>
      </c>
      <c r="J1727" s="830">
        <f t="shared" si="2"/>
        <v>0.01611963794</v>
      </c>
      <c r="K1727" s="830"/>
    </row>
    <row r="1728">
      <c r="A1728" s="181" t="s">
        <v>523</v>
      </c>
      <c r="B1728" s="181" t="s">
        <v>562</v>
      </c>
      <c r="C1728" s="181">
        <v>524288.0</v>
      </c>
      <c r="D1728" s="181">
        <v>16.0</v>
      </c>
      <c r="E1728" s="181">
        <v>18.52</v>
      </c>
      <c r="F1728" s="181">
        <v>28.31</v>
      </c>
      <c r="G1728" s="181">
        <v>26.54</v>
      </c>
      <c r="H1728" s="828">
        <v>46096.0</v>
      </c>
      <c r="I1728" s="829">
        <f t="shared" si="1"/>
        <v>0.5461333333</v>
      </c>
      <c r="J1728" s="830">
        <f t="shared" si="2"/>
        <v>0.02948884089</v>
      </c>
      <c r="K1728" s="830"/>
    </row>
    <row r="1729">
      <c r="A1729" s="181" t="s">
        <v>523</v>
      </c>
      <c r="B1729" s="181" t="s">
        <v>562</v>
      </c>
      <c r="C1729" s="181">
        <v>1048576.0</v>
      </c>
      <c r="D1729" s="181">
        <v>16.0</v>
      </c>
      <c r="E1729" s="181">
        <v>20.32</v>
      </c>
      <c r="F1729" s="181">
        <v>51.61</v>
      </c>
      <c r="G1729" s="181">
        <v>48.38</v>
      </c>
      <c r="H1729" s="828">
        <v>46096.0</v>
      </c>
      <c r="I1729" s="829">
        <f t="shared" si="1"/>
        <v>1.092266667</v>
      </c>
      <c r="J1729" s="830">
        <f t="shared" si="2"/>
        <v>0.05375328084</v>
      </c>
      <c r="K1729" s="830"/>
    </row>
    <row r="1730">
      <c r="A1730" s="181" t="s">
        <v>523</v>
      </c>
      <c r="B1730" s="181" t="s">
        <v>562</v>
      </c>
      <c r="C1730" s="181">
        <v>2097152.0</v>
      </c>
      <c r="D1730" s="181">
        <v>16.0</v>
      </c>
      <c r="E1730" s="181">
        <v>25.82</v>
      </c>
      <c r="F1730" s="181">
        <v>81.22</v>
      </c>
      <c r="G1730" s="181">
        <v>76.15</v>
      </c>
      <c r="H1730" s="828">
        <v>46096.0</v>
      </c>
      <c r="I1730" s="829">
        <f t="shared" si="1"/>
        <v>2.184533333</v>
      </c>
      <c r="J1730" s="830">
        <f t="shared" si="2"/>
        <v>0.08460624839</v>
      </c>
      <c r="K1730" s="830"/>
    </row>
    <row r="1731">
      <c r="A1731" s="181" t="s">
        <v>523</v>
      </c>
      <c r="B1731" s="181" t="s">
        <v>562</v>
      </c>
      <c r="C1731" s="181">
        <v>4194304.0</v>
      </c>
      <c r="D1731" s="181">
        <v>16.0</v>
      </c>
      <c r="E1731" s="181">
        <v>40.83</v>
      </c>
      <c r="F1731" s="181">
        <v>102.72</v>
      </c>
      <c r="G1731" s="181">
        <v>96.3</v>
      </c>
      <c r="H1731" s="828">
        <v>46096.0</v>
      </c>
      <c r="I1731" s="829">
        <f t="shared" si="1"/>
        <v>4.369066667</v>
      </c>
      <c r="J1731" s="830">
        <f t="shared" si="2"/>
        <v>0.1070062862</v>
      </c>
      <c r="K1731" s="830"/>
    </row>
    <row r="1732">
      <c r="A1732" s="181" t="s">
        <v>523</v>
      </c>
      <c r="B1732" s="181" t="s">
        <v>562</v>
      </c>
      <c r="C1732" s="181">
        <v>8388608.0</v>
      </c>
      <c r="D1732" s="181">
        <v>16.0</v>
      </c>
      <c r="E1732" s="181">
        <v>69.72</v>
      </c>
      <c r="F1732" s="181">
        <v>120.31</v>
      </c>
      <c r="G1732" s="181">
        <v>112.79</v>
      </c>
      <c r="H1732" s="828">
        <v>46096.0</v>
      </c>
      <c r="I1732" s="829">
        <f t="shared" si="1"/>
        <v>8.738133333</v>
      </c>
      <c r="J1732" s="830">
        <f t="shared" si="2"/>
        <v>0.1253318034</v>
      </c>
      <c r="K1732" s="830"/>
    </row>
    <row r="1733">
      <c r="A1733" s="181" t="s">
        <v>523</v>
      </c>
      <c r="B1733" s="181" t="s">
        <v>562</v>
      </c>
      <c r="C1733" s="181">
        <v>1.6777216E7</v>
      </c>
      <c r="D1733" s="181">
        <v>16.0</v>
      </c>
      <c r="E1733" s="181">
        <v>58.67</v>
      </c>
      <c r="F1733" s="181">
        <v>285.95</v>
      </c>
      <c r="G1733" s="181">
        <v>268.08</v>
      </c>
      <c r="H1733" s="828">
        <v>46096.0</v>
      </c>
      <c r="I1733" s="829">
        <f t="shared" si="1"/>
        <v>17.47626667</v>
      </c>
      <c r="J1733" s="830">
        <f t="shared" si="2"/>
        <v>0.2978739844</v>
      </c>
      <c r="K1733" s="830"/>
    </row>
    <row r="1734">
      <c r="A1734" s="181" t="s">
        <v>523</v>
      </c>
      <c r="B1734" s="181" t="s">
        <v>562</v>
      </c>
      <c r="C1734" s="181">
        <v>3.3554432E7</v>
      </c>
      <c r="D1734" s="181">
        <v>16.0</v>
      </c>
      <c r="E1734" s="181">
        <v>90.69</v>
      </c>
      <c r="F1734" s="181">
        <v>369.97</v>
      </c>
      <c r="G1734" s="181">
        <v>346.85</v>
      </c>
      <c r="H1734" s="828">
        <v>46096.0</v>
      </c>
      <c r="I1734" s="829">
        <f t="shared" si="1"/>
        <v>34.95253333</v>
      </c>
      <c r="J1734" s="830">
        <f t="shared" si="2"/>
        <v>0.3854066968</v>
      </c>
      <c r="K1734" s="830"/>
    </row>
    <row r="1735">
      <c r="A1735" s="181" t="s">
        <v>523</v>
      </c>
      <c r="B1735" s="181" t="s">
        <v>562</v>
      </c>
      <c r="C1735" s="181">
        <v>6.7108864E7</v>
      </c>
      <c r="D1735" s="181">
        <v>16.0</v>
      </c>
      <c r="E1735" s="181">
        <v>146.94</v>
      </c>
      <c r="F1735" s="181">
        <v>456.71</v>
      </c>
      <c r="G1735" s="181">
        <v>428.16</v>
      </c>
      <c r="H1735" s="828">
        <v>46096.0</v>
      </c>
      <c r="I1735" s="829">
        <f t="shared" si="1"/>
        <v>69.90506667</v>
      </c>
      <c r="J1735" s="830">
        <f t="shared" si="2"/>
        <v>0.4757388503</v>
      </c>
      <c r="K1735" s="830"/>
    </row>
    <row r="1736">
      <c r="A1736" s="181" t="s">
        <v>523</v>
      </c>
      <c r="B1736" s="181" t="s">
        <v>562</v>
      </c>
      <c r="C1736" s="181">
        <v>1.34217728E8</v>
      </c>
      <c r="D1736" s="181">
        <v>16.0</v>
      </c>
      <c r="E1736" s="181">
        <v>244.28</v>
      </c>
      <c r="F1736" s="181">
        <v>549.44</v>
      </c>
      <c r="G1736" s="181">
        <v>515.1</v>
      </c>
      <c r="H1736" s="828">
        <v>46096.0</v>
      </c>
      <c r="I1736" s="829">
        <f t="shared" si="1"/>
        <v>139.8101333</v>
      </c>
      <c r="J1736" s="830">
        <f t="shared" si="2"/>
        <v>0.5723355712</v>
      </c>
      <c r="K1736" s="830"/>
    </row>
    <row r="1737">
      <c r="A1737" s="181" t="s">
        <v>523</v>
      </c>
      <c r="B1737" s="181" t="s">
        <v>562</v>
      </c>
      <c r="C1737" s="181">
        <v>2.68435456E8</v>
      </c>
      <c r="D1737" s="181">
        <v>16.0</v>
      </c>
      <c r="E1737" s="181">
        <v>437.21</v>
      </c>
      <c r="F1737" s="181">
        <v>613.97</v>
      </c>
      <c r="G1737" s="181">
        <v>575.59</v>
      </c>
      <c r="H1737" s="828">
        <v>46096.0</v>
      </c>
      <c r="I1737" s="829">
        <f t="shared" si="1"/>
        <v>279.6202667</v>
      </c>
      <c r="J1737" s="830">
        <f t="shared" si="2"/>
        <v>0.6395559723</v>
      </c>
      <c r="K1737" s="830"/>
    </row>
    <row r="1738">
      <c r="A1738" s="181" t="s">
        <v>523</v>
      </c>
      <c r="B1738" s="181" t="s">
        <v>562</v>
      </c>
      <c r="C1738" s="181">
        <v>5.36870912E8</v>
      </c>
      <c r="D1738" s="181">
        <v>16.0</v>
      </c>
      <c r="E1738" s="181">
        <v>821.38</v>
      </c>
      <c r="F1738" s="181">
        <v>653.62</v>
      </c>
      <c r="G1738" s="181">
        <v>612.77</v>
      </c>
      <c r="H1738" s="828">
        <v>46096.0</v>
      </c>
      <c r="I1738" s="829">
        <f t="shared" si="1"/>
        <v>559.2405333</v>
      </c>
      <c r="J1738" s="830">
        <f t="shared" si="2"/>
        <v>0.6808548216</v>
      </c>
      <c r="K1738" s="830"/>
    </row>
    <row r="1739">
      <c r="A1739" s="181" t="s">
        <v>523</v>
      </c>
      <c r="B1739" s="181" t="s">
        <v>562</v>
      </c>
      <c r="C1739" s="181">
        <v>1.073741824E9</v>
      </c>
      <c r="D1739" s="181">
        <v>16.0</v>
      </c>
      <c r="E1739" s="181">
        <v>1633.44</v>
      </c>
      <c r="F1739" s="181">
        <v>657.35</v>
      </c>
      <c r="G1739" s="181">
        <v>616.27</v>
      </c>
      <c r="H1739" s="828">
        <v>46096.0</v>
      </c>
      <c r="I1739" s="829">
        <f t="shared" si="1"/>
        <v>1118.481067</v>
      </c>
      <c r="J1739" s="830">
        <f t="shared" si="2"/>
        <v>0.6847396088</v>
      </c>
      <c r="K1739" s="830"/>
    </row>
    <row r="1740">
      <c r="A1740" s="181" t="s">
        <v>523</v>
      </c>
      <c r="B1740" s="181" t="s">
        <v>562</v>
      </c>
      <c r="C1740" s="181">
        <v>2.147483648E9</v>
      </c>
      <c r="D1740" s="181">
        <v>16.0</v>
      </c>
      <c r="E1740" s="181">
        <v>3237.92</v>
      </c>
      <c r="F1740" s="181">
        <v>663.23</v>
      </c>
      <c r="G1740" s="181">
        <v>621.78</v>
      </c>
      <c r="H1740" s="828">
        <v>46096.0</v>
      </c>
      <c r="I1740" s="829">
        <f t="shared" si="1"/>
        <v>2236.962133</v>
      </c>
      <c r="J1740" s="830">
        <f t="shared" si="2"/>
        <v>0.6908639291</v>
      </c>
      <c r="K1740" s="830"/>
    </row>
    <row r="1741">
      <c r="A1741" s="181" t="s">
        <v>523</v>
      </c>
      <c r="B1741" s="181" t="s">
        <v>562</v>
      </c>
      <c r="C1741" s="181">
        <v>4.294967296E9</v>
      </c>
      <c r="D1741" s="181">
        <v>16.0</v>
      </c>
      <c r="E1741" s="181">
        <v>6632.18</v>
      </c>
      <c r="F1741" s="181">
        <v>647.59</v>
      </c>
      <c r="G1741" s="181">
        <v>607.12</v>
      </c>
      <c r="H1741" s="828">
        <v>46096.0</v>
      </c>
      <c r="I1741" s="829">
        <f t="shared" si="1"/>
        <v>4473.924267</v>
      </c>
      <c r="J1741" s="830">
        <f t="shared" si="2"/>
        <v>0.6745782332</v>
      </c>
      <c r="K1741" s="830"/>
    </row>
    <row r="1742">
      <c r="A1742" s="181" t="s">
        <v>523</v>
      </c>
      <c r="B1742" s="181" t="s">
        <v>562</v>
      </c>
      <c r="C1742" s="181">
        <v>8.589934592E9</v>
      </c>
      <c r="D1742" s="181">
        <v>16.0</v>
      </c>
      <c r="E1742" s="181">
        <v>13269.5</v>
      </c>
      <c r="F1742" s="181">
        <v>647.34</v>
      </c>
      <c r="G1742" s="181">
        <v>606.88</v>
      </c>
      <c r="H1742" s="828">
        <v>46096.0</v>
      </c>
      <c r="I1742" s="829">
        <f t="shared" si="1"/>
        <v>8947.848533</v>
      </c>
      <c r="J1742" s="830">
        <f t="shared" si="2"/>
        <v>0.6743169323</v>
      </c>
      <c r="K1742" s="830"/>
    </row>
    <row r="1743">
      <c r="A1743" s="181" t="s">
        <v>523</v>
      </c>
      <c r="B1743" s="181" t="s">
        <v>562</v>
      </c>
      <c r="C1743" s="181">
        <v>1.7179869184E10</v>
      </c>
      <c r="D1743" s="181">
        <v>16.0</v>
      </c>
      <c r="E1743" s="181">
        <v>26109.9</v>
      </c>
      <c r="F1743" s="181">
        <v>657.98</v>
      </c>
      <c r="G1743" s="181">
        <v>616.86</v>
      </c>
      <c r="H1743" s="828">
        <v>46096.0</v>
      </c>
      <c r="I1743" s="829">
        <f t="shared" si="1"/>
        <v>17895.69707</v>
      </c>
      <c r="J1743" s="830">
        <f t="shared" si="2"/>
        <v>0.6853989125</v>
      </c>
      <c r="K1743" s="830"/>
    </row>
    <row r="1744">
      <c r="A1744" s="181" t="s">
        <v>523</v>
      </c>
      <c r="B1744" s="181" t="s">
        <v>562</v>
      </c>
      <c r="C1744" s="181">
        <v>1152.0</v>
      </c>
      <c r="D1744" s="181">
        <v>18.0</v>
      </c>
      <c r="E1744" s="181">
        <v>26.34</v>
      </c>
      <c r="F1744" s="181">
        <v>0.04</v>
      </c>
      <c r="G1744" s="181">
        <v>0.04</v>
      </c>
      <c r="H1744" s="828">
        <v>46096.0</v>
      </c>
      <c r="I1744" s="829">
        <f t="shared" si="1"/>
        <v>0.001208888889</v>
      </c>
      <c r="J1744" s="830">
        <f t="shared" si="2"/>
        <v>0.00004589555387</v>
      </c>
      <c r="K1744" s="830"/>
    </row>
    <row r="1745">
      <c r="A1745" s="181" t="s">
        <v>523</v>
      </c>
      <c r="B1745" s="181" t="s">
        <v>562</v>
      </c>
      <c r="C1745" s="181">
        <v>2304.0</v>
      </c>
      <c r="D1745" s="181">
        <v>18.0</v>
      </c>
      <c r="E1745" s="181">
        <v>19.97</v>
      </c>
      <c r="F1745" s="181">
        <v>0.12</v>
      </c>
      <c r="G1745" s="181">
        <v>0.11</v>
      </c>
      <c r="H1745" s="828">
        <v>46096.0</v>
      </c>
      <c r="I1745" s="829">
        <f t="shared" si="1"/>
        <v>0.002417777778</v>
      </c>
      <c r="J1745" s="830">
        <f t="shared" si="2"/>
        <v>0.0001210704946</v>
      </c>
      <c r="K1745" s="830"/>
    </row>
    <row r="1746">
      <c r="A1746" s="181" t="s">
        <v>523</v>
      </c>
      <c r="B1746" s="181" t="s">
        <v>562</v>
      </c>
      <c r="C1746" s="181">
        <v>4608.0</v>
      </c>
      <c r="D1746" s="181">
        <v>18.0</v>
      </c>
      <c r="E1746" s="181">
        <v>21.03</v>
      </c>
      <c r="F1746" s="181">
        <v>0.22</v>
      </c>
      <c r="G1746" s="181">
        <v>0.21</v>
      </c>
      <c r="H1746" s="828">
        <v>46096.0</v>
      </c>
      <c r="I1746" s="829">
        <f t="shared" si="1"/>
        <v>0.004835555556</v>
      </c>
      <c r="J1746" s="830">
        <f t="shared" si="2"/>
        <v>0.0002299360702</v>
      </c>
      <c r="K1746" s="830"/>
    </row>
    <row r="1747">
      <c r="A1747" s="181" t="s">
        <v>523</v>
      </c>
      <c r="B1747" s="181" t="s">
        <v>562</v>
      </c>
      <c r="C1747" s="181">
        <v>9216.0</v>
      </c>
      <c r="D1747" s="181">
        <v>18.0</v>
      </c>
      <c r="E1747" s="181">
        <v>19.83</v>
      </c>
      <c r="F1747" s="181">
        <v>0.46</v>
      </c>
      <c r="G1747" s="181">
        <v>0.44</v>
      </c>
      <c r="H1747" s="828">
        <v>46096.0</v>
      </c>
      <c r="I1747" s="829">
        <f t="shared" si="1"/>
        <v>0.009671111111</v>
      </c>
      <c r="J1747" s="830">
        <f t="shared" si="2"/>
        <v>0.0004877010142</v>
      </c>
      <c r="K1747" s="830"/>
    </row>
    <row r="1748">
      <c r="A1748" s="181" t="s">
        <v>523</v>
      </c>
      <c r="B1748" s="181" t="s">
        <v>562</v>
      </c>
      <c r="C1748" s="181">
        <v>18432.0</v>
      </c>
      <c r="D1748" s="181">
        <v>18.0</v>
      </c>
      <c r="E1748" s="181">
        <v>20.0</v>
      </c>
      <c r="F1748" s="181">
        <v>0.92</v>
      </c>
      <c r="G1748" s="181">
        <v>0.87</v>
      </c>
      <c r="H1748" s="828">
        <v>46096.0</v>
      </c>
      <c r="I1748" s="829">
        <f t="shared" si="1"/>
        <v>0.01934222222</v>
      </c>
      <c r="J1748" s="830">
        <f t="shared" si="2"/>
        <v>0.0009671111111</v>
      </c>
      <c r="K1748" s="830"/>
    </row>
    <row r="1749">
      <c r="A1749" s="181" t="s">
        <v>523</v>
      </c>
      <c r="B1749" s="181" t="s">
        <v>562</v>
      </c>
      <c r="C1749" s="181">
        <v>36864.0</v>
      </c>
      <c r="D1749" s="181">
        <v>18.0</v>
      </c>
      <c r="E1749" s="181">
        <v>18.71</v>
      </c>
      <c r="F1749" s="181">
        <v>1.97</v>
      </c>
      <c r="G1749" s="181">
        <v>1.86</v>
      </c>
      <c r="H1749" s="828">
        <v>46096.0</v>
      </c>
      <c r="I1749" s="829">
        <f t="shared" si="1"/>
        <v>0.03868444444</v>
      </c>
      <c r="J1749" s="830">
        <f t="shared" si="2"/>
        <v>0.00206758121</v>
      </c>
      <c r="K1749" s="830"/>
    </row>
    <row r="1750">
      <c r="A1750" s="181" t="s">
        <v>523</v>
      </c>
      <c r="B1750" s="181" t="s">
        <v>562</v>
      </c>
      <c r="C1750" s="181">
        <v>73728.0</v>
      </c>
      <c r="D1750" s="181">
        <v>18.0</v>
      </c>
      <c r="E1750" s="181">
        <v>18.74</v>
      </c>
      <c r="F1750" s="181">
        <v>3.93</v>
      </c>
      <c r="G1750" s="181">
        <v>3.72</v>
      </c>
      <c r="H1750" s="828">
        <v>46096.0</v>
      </c>
      <c r="I1750" s="829">
        <f t="shared" si="1"/>
        <v>0.07736888889</v>
      </c>
      <c r="J1750" s="830">
        <f t="shared" si="2"/>
        <v>0.00412854263</v>
      </c>
      <c r="K1750" s="830"/>
    </row>
    <row r="1751">
      <c r="A1751" s="181" t="s">
        <v>523</v>
      </c>
      <c r="B1751" s="181" t="s">
        <v>562</v>
      </c>
      <c r="C1751" s="181">
        <v>147456.0</v>
      </c>
      <c r="D1751" s="181">
        <v>18.0</v>
      </c>
      <c r="E1751" s="181">
        <v>19.88</v>
      </c>
      <c r="F1751" s="181">
        <v>7.42</v>
      </c>
      <c r="G1751" s="181">
        <v>7.01</v>
      </c>
      <c r="H1751" s="828">
        <v>46096.0</v>
      </c>
      <c r="I1751" s="829">
        <f t="shared" si="1"/>
        <v>0.1547377778</v>
      </c>
      <c r="J1751" s="830">
        <f t="shared" si="2"/>
        <v>0.007783590431</v>
      </c>
      <c r="K1751" s="830"/>
    </row>
    <row r="1752">
      <c r="A1752" s="181" t="s">
        <v>523</v>
      </c>
      <c r="B1752" s="181" t="s">
        <v>562</v>
      </c>
      <c r="C1752" s="181">
        <v>294912.0</v>
      </c>
      <c r="D1752" s="181">
        <v>18.0</v>
      </c>
      <c r="E1752" s="181">
        <v>21.88</v>
      </c>
      <c r="F1752" s="181">
        <v>13.48</v>
      </c>
      <c r="G1752" s="181">
        <v>12.73</v>
      </c>
      <c r="H1752" s="828">
        <v>46096.0</v>
      </c>
      <c r="I1752" s="829">
        <f t="shared" si="1"/>
        <v>0.3094755556</v>
      </c>
      <c r="J1752" s="830">
        <f t="shared" si="2"/>
        <v>0.014144221</v>
      </c>
      <c r="K1752" s="830"/>
    </row>
    <row r="1753">
      <c r="A1753" s="181" t="s">
        <v>523</v>
      </c>
      <c r="B1753" s="181" t="s">
        <v>562</v>
      </c>
      <c r="C1753" s="181">
        <v>589824.0</v>
      </c>
      <c r="D1753" s="181">
        <v>18.0</v>
      </c>
      <c r="E1753" s="181">
        <v>22.25</v>
      </c>
      <c r="F1753" s="181">
        <v>26.51</v>
      </c>
      <c r="G1753" s="181">
        <v>25.03</v>
      </c>
      <c r="H1753" s="828">
        <v>46096.0</v>
      </c>
      <c r="I1753" s="829">
        <f t="shared" si="1"/>
        <v>0.6189511111</v>
      </c>
      <c r="J1753" s="830">
        <f t="shared" si="2"/>
        <v>0.02781802747</v>
      </c>
      <c r="K1753" s="830"/>
    </row>
    <row r="1754">
      <c r="A1754" s="181" t="s">
        <v>523</v>
      </c>
      <c r="B1754" s="181" t="s">
        <v>562</v>
      </c>
      <c r="C1754" s="181">
        <v>1179648.0</v>
      </c>
      <c r="D1754" s="181">
        <v>18.0</v>
      </c>
      <c r="E1754" s="181">
        <v>25.73</v>
      </c>
      <c r="F1754" s="181">
        <v>45.85</v>
      </c>
      <c r="G1754" s="181">
        <v>43.3</v>
      </c>
      <c r="H1754" s="828">
        <v>46096.0</v>
      </c>
      <c r="I1754" s="829">
        <f t="shared" si="1"/>
        <v>1.237902222</v>
      </c>
      <c r="J1754" s="830">
        <f t="shared" si="2"/>
        <v>0.04811124066</v>
      </c>
      <c r="K1754" s="830"/>
    </row>
    <row r="1755">
      <c r="A1755" s="181" t="s">
        <v>523</v>
      </c>
      <c r="B1755" s="181" t="s">
        <v>562</v>
      </c>
      <c r="C1755" s="181">
        <v>2359296.0</v>
      </c>
      <c r="D1755" s="181">
        <v>18.0</v>
      </c>
      <c r="E1755" s="181">
        <v>38.63</v>
      </c>
      <c r="F1755" s="181">
        <v>61.07</v>
      </c>
      <c r="G1755" s="181">
        <v>57.67</v>
      </c>
      <c r="H1755" s="828">
        <v>46096.0</v>
      </c>
      <c r="I1755" s="829">
        <f t="shared" si="1"/>
        <v>2.475804444</v>
      </c>
      <c r="J1755" s="830">
        <f t="shared" si="2"/>
        <v>0.06409020048</v>
      </c>
      <c r="K1755" s="830"/>
    </row>
    <row r="1756">
      <c r="A1756" s="181" t="s">
        <v>523</v>
      </c>
      <c r="B1756" s="181" t="s">
        <v>562</v>
      </c>
      <c r="C1756" s="181">
        <v>4718592.0</v>
      </c>
      <c r="D1756" s="181">
        <v>18.0</v>
      </c>
      <c r="E1756" s="181">
        <v>68.84</v>
      </c>
      <c r="F1756" s="181">
        <v>68.54</v>
      </c>
      <c r="G1756" s="181">
        <v>64.74</v>
      </c>
      <c r="H1756" s="828">
        <v>46096.0</v>
      </c>
      <c r="I1756" s="829">
        <f t="shared" si="1"/>
        <v>4.951608889</v>
      </c>
      <c r="J1756" s="830">
        <f t="shared" si="2"/>
        <v>0.07192924011</v>
      </c>
      <c r="K1756" s="830"/>
    </row>
    <row r="1757">
      <c r="A1757" s="181" t="s">
        <v>523</v>
      </c>
      <c r="B1757" s="181" t="s">
        <v>562</v>
      </c>
      <c r="C1757" s="181">
        <v>9437184.0</v>
      </c>
      <c r="D1757" s="181">
        <v>18.0</v>
      </c>
      <c r="E1757" s="181">
        <v>122.56</v>
      </c>
      <c r="F1757" s="181">
        <v>77.0</v>
      </c>
      <c r="G1757" s="181">
        <v>72.72</v>
      </c>
      <c r="H1757" s="828">
        <v>46096.0</v>
      </c>
      <c r="I1757" s="829">
        <f t="shared" si="1"/>
        <v>9.903217778</v>
      </c>
      <c r="J1757" s="830">
        <f t="shared" si="2"/>
        <v>0.08080301712</v>
      </c>
      <c r="K1757" s="830"/>
    </row>
    <row r="1758">
      <c r="A1758" s="181" t="s">
        <v>523</v>
      </c>
      <c r="B1758" s="181" t="s">
        <v>562</v>
      </c>
      <c r="C1758" s="181">
        <v>1.8874368E7</v>
      </c>
      <c r="D1758" s="181">
        <v>18.0</v>
      </c>
      <c r="E1758" s="181">
        <v>71.16</v>
      </c>
      <c r="F1758" s="181">
        <v>265.23</v>
      </c>
      <c r="G1758" s="181">
        <v>250.5</v>
      </c>
      <c r="H1758" s="828">
        <v>46096.0</v>
      </c>
      <c r="I1758" s="829">
        <f t="shared" si="1"/>
        <v>19.80643556</v>
      </c>
      <c r="J1758" s="830">
        <f t="shared" si="2"/>
        <v>0.2783366436</v>
      </c>
      <c r="K1758" s="830"/>
    </row>
    <row r="1759">
      <c r="A1759" s="181" t="s">
        <v>523</v>
      </c>
      <c r="B1759" s="181" t="s">
        <v>562</v>
      </c>
      <c r="C1759" s="181">
        <v>3.7748736E7</v>
      </c>
      <c r="D1759" s="181">
        <v>18.0</v>
      </c>
      <c r="E1759" s="181">
        <v>118.72</v>
      </c>
      <c r="F1759" s="181">
        <v>317.96</v>
      </c>
      <c r="G1759" s="181">
        <v>300.29</v>
      </c>
      <c r="H1759" s="828">
        <v>46096.0</v>
      </c>
      <c r="I1759" s="829">
        <f t="shared" si="1"/>
        <v>39.61287111</v>
      </c>
      <c r="J1759" s="830">
        <f t="shared" si="2"/>
        <v>0.3336663672</v>
      </c>
      <c r="K1759" s="830"/>
    </row>
    <row r="1760">
      <c r="A1760" s="181" t="s">
        <v>523</v>
      </c>
      <c r="B1760" s="181" t="s">
        <v>562</v>
      </c>
      <c r="C1760" s="181">
        <v>7.5497472E7</v>
      </c>
      <c r="D1760" s="181">
        <v>18.0</v>
      </c>
      <c r="E1760" s="181">
        <v>216.18</v>
      </c>
      <c r="F1760" s="181">
        <v>349.24</v>
      </c>
      <c r="G1760" s="181">
        <v>329.84</v>
      </c>
      <c r="H1760" s="828">
        <v>46096.0</v>
      </c>
      <c r="I1760" s="829">
        <f t="shared" si="1"/>
        <v>79.22574222</v>
      </c>
      <c r="J1760" s="830">
        <f t="shared" si="2"/>
        <v>0.3664804433</v>
      </c>
      <c r="K1760" s="830"/>
    </row>
    <row r="1761">
      <c r="A1761" s="181" t="s">
        <v>523</v>
      </c>
      <c r="B1761" s="181" t="s">
        <v>562</v>
      </c>
      <c r="C1761" s="181">
        <v>1.50994944E8</v>
      </c>
      <c r="D1761" s="181">
        <v>18.0</v>
      </c>
      <c r="E1761" s="181">
        <v>404.3</v>
      </c>
      <c r="F1761" s="181">
        <v>373.47</v>
      </c>
      <c r="G1761" s="181">
        <v>352.72</v>
      </c>
      <c r="H1761" s="828">
        <v>46096.0</v>
      </c>
      <c r="I1761" s="829">
        <f t="shared" si="1"/>
        <v>158.4514844</v>
      </c>
      <c r="J1761" s="830">
        <f t="shared" si="2"/>
        <v>0.3919156182</v>
      </c>
      <c r="K1761" s="830"/>
    </row>
    <row r="1762">
      <c r="A1762" s="181" t="s">
        <v>523</v>
      </c>
      <c r="B1762" s="181" t="s">
        <v>562</v>
      </c>
      <c r="C1762" s="181">
        <v>3.01989888E8</v>
      </c>
      <c r="D1762" s="181">
        <v>18.0</v>
      </c>
      <c r="E1762" s="181">
        <v>775.5</v>
      </c>
      <c r="F1762" s="181">
        <v>389.41</v>
      </c>
      <c r="G1762" s="181">
        <v>367.78</v>
      </c>
      <c r="H1762" s="828">
        <v>46096.0</v>
      </c>
      <c r="I1762" s="829">
        <f t="shared" si="1"/>
        <v>316.9029689</v>
      </c>
      <c r="J1762" s="830">
        <f t="shared" si="2"/>
        <v>0.4086434157</v>
      </c>
      <c r="K1762" s="830"/>
    </row>
    <row r="1763">
      <c r="A1763" s="181" t="s">
        <v>523</v>
      </c>
      <c r="B1763" s="181" t="s">
        <v>562</v>
      </c>
      <c r="C1763" s="181">
        <v>6.03979776E8</v>
      </c>
      <c r="D1763" s="181">
        <v>18.0</v>
      </c>
      <c r="E1763" s="181">
        <v>1554.49</v>
      </c>
      <c r="F1763" s="181">
        <v>388.54</v>
      </c>
      <c r="G1763" s="181">
        <v>366.95</v>
      </c>
      <c r="H1763" s="828">
        <v>46096.0</v>
      </c>
      <c r="I1763" s="829">
        <f t="shared" si="1"/>
        <v>633.8059378</v>
      </c>
      <c r="J1763" s="830">
        <f t="shared" si="2"/>
        <v>0.4077259666</v>
      </c>
      <c r="K1763" s="830"/>
    </row>
    <row r="1764">
      <c r="A1764" s="181" t="s">
        <v>523</v>
      </c>
      <c r="B1764" s="181" t="s">
        <v>562</v>
      </c>
      <c r="C1764" s="181">
        <v>1.207959552E9</v>
      </c>
      <c r="D1764" s="181">
        <v>18.0</v>
      </c>
      <c r="E1764" s="181">
        <v>2396.27</v>
      </c>
      <c r="F1764" s="181">
        <v>504.1</v>
      </c>
      <c r="G1764" s="181">
        <v>476.09</v>
      </c>
      <c r="H1764" s="828">
        <v>46096.0</v>
      </c>
      <c r="I1764" s="829">
        <f t="shared" si="1"/>
        <v>1267.611876</v>
      </c>
      <c r="J1764" s="830">
        <f t="shared" si="2"/>
        <v>0.5289937593</v>
      </c>
      <c r="K1764" s="830"/>
    </row>
    <row r="1765">
      <c r="A1765" s="181" t="s">
        <v>523</v>
      </c>
      <c r="B1765" s="181" t="s">
        <v>562</v>
      </c>
      <c r="C1765" s="181">
        <v>2.415919104E9</v>
      </c>
      <c r="D1765" s="181">
        <v>18.0</v>
      </c>
      <c r="E1765" s="181">
        <v>4016.63</v>
      </c>
      <c r="F1765" s="181">
        <v>601.48</v>
      </c>
      <c r="G1765" s="181">
        <v>568.06</v>
      </c>
      <c r="H1765" s="828">
        <v>46096.0</v>
      </c>
      <c r="I1765" s="829">
        <f t="shared" si="1"/>
        <v>2535.223751</v>
      </c>
      <c r="J1765" s="830">
        <f t="shared" si="2"/>
        <v>0.6311817994</v>
      </c>
      <c r="K1765" s="830"/>
    </row>
    <row r="1766">
      <c r="A1766" s="181" t="s">
        <v>523</v>
      </c>
      <c r="B1766" s="181" t="s">
        <v>562</v>
      </c>
      <c r="C1766" s="181">
        <v>4.831838208E9</v>
      </c>
      <c r="D1766" s="181">
        <v>18.0</v>
      </c>
      <c r="E1766" s="181">
        <v>7349.22</v>
      </c>
      <c r="F1766" s="181">
        <v>657.46</v>
      </c>
      <c r="G1766" s="181">
        <v>620.94</v>
      </c>
      <c r="H1766" s="828">
        <v>46096.0</v>
      </c>
      <c r="I1766" s="829">
        <f t="shared" si="1"/>
        <v>5070.447502</v>
      </c>
      <c r="J1766" s="830">
        <f t="shared" si="2"/>
        <v>0.6899300201</v>
      </c>
      <c r="K1766" s="830"/>
    </row>
    <row r="1767">
      <c r="A1767" s="181" t="s">
        <v>523</v>
      </c>
      <c r="B1767" s="181" t="s">
        <v>562</v>
      </c>
      <c r="C1767" s="181">
        <v>9.663676416E9</v>
      </c>
      <c r="D1767" s="181">
        <v>18.0</v>
      </c>
      <c r="E1767" s="181">
        <v>14705.3</v>
      </c>
      <c r="F1767" s="181">
        <v>657.16</v>
      </c>
      <c r="G1767" s="181">
        <v>620.65</v>
      </c>
      <c r="H1767" s="828">
        <v>46096.0</v>
      </c>
      <c r="I1767" s="829">
        <f t="shared" si="1"/>
        <v>10140.895</v>
      </c>
      <c r="J1767" s="830">
        <f t="shared" si="2"/>
        <v>0.6896081688</v>
      </c>
      <c r="K1767" s="830"/>
    </row>
    <row r="1768">
      <c r="A1768" s="181" t="s">
        <v>523</v>
      </c>
      <c r="B1768" s="181" t="s">
        <v>562</v>
      </c>
      <c r="C1768" s="181">
        <v>1280.0</v>
      </c>
      <c r="D1768" s="181">
        <v>20.0</v>
      </c>
      <c r="E1768" s="181">
        <v>21.8</v>
      </c>
      <c r="F1768" s="181">
        <v>0.06</v>
      </c>
      <c r="G1768" s="181">
        <v>0.06</v>
      </c>
      <c r="H1768" s="828">
        <v>46096.0</v>
      </c>
      <c r="I1768" s="829">
        <f t="shared" si="1"/>
        <v>0.001351111111</v>
      </c>
      <c r="J1768" s="830">
        <f t="shared" si="2"/>
        <v>0.0000619775739</v>
      </c>
      <c r="K1768" s="830"/>
    </row>
    <row r="1769">
      <c r="A1769" s="181" t="s">
        <v>523</v>
      </c>
      <c r="B1769" s="181" t="s">
        <v>562</v>
      </c>
      <c r="C1769" s="181">
        <v>2560.0</v>
      </c>
      <c r="D1769" s="181">
        <v>20.0</v>
      </c>
      <c r="E1769" s="181">
        <v>19.59</v>
      </c>
      <c r="F1769" s="181">
        <v>0.13</v>
      </c>
      <c r="G1769" s="181">
        <v>0.12</v>
      </c>
      <c r="H1769" s="828">
        <v>46096.0</v>
      </c>
      <c r="I1769" s="829">
        <f t="shared" si="1"/>
        <v>0.002702222222</v>
      </c>
      <c r="J1769" s="830">
        <f t="shared" si="2"/>
        <v>0.0001379388577</v>
      </c>
      <c r="K1769" s="830"/>
    </row>
    <row r="1770">
      <c r="A1770" s="181" t="s">
        <v>523</v>
      </c>
      <c r="B1770" s="181" t="s">
        <v>562</v>
      </c>
      <c r="C1770" s="181">
        <v>5120.0</v>
      </c>
      <c r="D1770" s="181">
        <v>20.0</v>
      </c>
      <c r="E1770" s="181">
        <v>18.89</v>
      </c>
      <c r="F1770" s="181">
        <v>0.27</v>
      </c>
      <c r="G1770" s="181">
        <v>0.26</v>
      </c>
      <c r="H1770" s="828">
        <v>46096.0</v>
      </c>
      <c r="I1770" s="829">
        <f t="shared" si="1"/>
        <v>0.005404444444</v>
      </c>
      <c r="J1770" s="830">
        <f t="shared" si="2"/>
        <v>0.0002861008176</v>
      </c>
      <c r="K1770" s="830"/>
    </row>
    <row r="1771">
      <c r="A1771" s="181" t="s">
        <v>523</v>
      </c>
      <c r="B1771" s="181" t="s">
        <v>562</v>
      </c>
      <c r="C1771" s="181">
        <v>10240.0</v>
      </c>
      <c r="D1771" s="181">
        <v>20.0</v>
      </c>
      <c r="E1771" s="181">
        <v>18.57</v>
      </c>
      <c r="F1771" s="181">
        <v>0.55</v>
      </c>
      <c r="G1771" s="181">
        <v>0.52</v>
      </c>
      <c r="H1771" s="828">
        <v>46096.0</v>
      </c>
      <c r="I1771" s="829">
        <f t="shared" si="1"/>
        <v>0.01080888889</v>
      </c>
      <c r="J1771" s="830">
        <f t="shared" si="2"/>
        <v>0.000582061868</v>
      </c>
      <c r="K1771" s="830"/>
    </row>
    <row r="1772">
      <c r="A1772" s="181" t="s">
        <v>523</v>
      </c>
      <c r="B1772" s="181" t="s">
        <v>562</v>
      </c>
      <c r="C1772" s="181">
        <v>20480.0</v>
      </c>
      <c r="D1772" s="181">
        <v>20.0</v>
      </c>
      <c r="E1772" s="181">
        <v>18.69</v>
      </c>
      <c r="F1772" s="181">
        <v>1.1</v>
      </c>
      <c r="G1772" s="181">
        <v>1.04</v>
      </c>
      <c r="H1772" s="828">
        <v>46096.0</v>
      </c>
      <c r="I1772" s="829">
        <f t="shared" si="1"/>
        <v>0.02161777778</v>
      </c>
      <c r="J1772" s="830">
        <f t="shared" si="2"/>
        <v>0.001156649426</v>
      </c>
      <c r="K1772" s="830"/>
    </row>
    <row r="1773">
      <c r="A1773" s="181" t="s">
        <v>523</v>
      </c>
      <c r="B1773" s="181" t="s">
        <v>562</v>
      </c>
      <c r="C1773" s="181">
        <v>40960.0</v>
      </c>
      <c r="D1773" s="181">
        <v>20.0</v>
      </c>
      <c r="E1773" s="181">
        <v>18.93</v>
      </c>
      <c r="F1773" s="181">
        <v>2.16</v>
      </c>
      <c r="G1773" s="181">
        <v>2.06</v>
      </c>
      <c r="H1773" s="828">
        <v>46096.0</v>
      </c>
      <c r="I1773" s="829">
        <f t="shared" si="1"/>
        <v>0.04323555556</v>
      </c>
      <c r="J1773" s="830">
        <f t="shared" si="2"/>
        <v>0.002283970183</v>
      </c>
      <c r="K1773" s="830"/>
    </row>
    <row r="1774">
      <c r="A1774" s="181" t="s">
        <v>523</v>
      </c>
      <c r="B1774" s="181" t="s">
        <v>562</v>
      </c>
      <c r="C1774" s="181">
        <v>81920.0</v>
      </c>
      <c r="D1774" s="181">
        <v>20.0</v>
      </c>
      <c r="E1774" s="181">
        <v>19.13</v>
      </c>
      <c r="F1774" s="181">
        <v>4.28</v>
      </c>
      <c r="G1774" s="181">
        <v>4.07</v>
      </c>
      <c r="H1774" s="828">
        <v>46096.0</v>
      </c>
      <c r="I1774" s="829">
        <f t="shared" si="1"/>
        <v>0.08647111111</v>
      </c>
      <c r="J1774" s="830">
        <f t="shared" si="2"/>
        <v>0.00452018354</v>
      </c>
      <c r="K1774" s="830"/>
    </row>
    <row r="1775">
      <c r="A1775" s="181" t="s">
        <v>523</v>
      </c>
      <c r="B1775" s="181" t="s">
        <v>562</v>
      </c>
      <c r="C1775" s="181">
        <v>163840.0</v>
      </c>
      <c r="D1775" s="181">
        <v>20.0</v>
      </c>
      <c r="E1775" s="181">
        <v>19.25</v>
      </c>
      <c r="F1775" s="181">
        <v>8.51</v>
      </c>
      <c r="G1775" s="181">
        <v>8.08</v>
      </c>
      <c r="H1775" s="828">
        <v>46096.0</v>
      </c>
      <c r="I1775" s="829">
        <f t="shared" si="1"/>
        <v>0.1729422222</v>
      </c>
      <c r="J1775" s="830">
        <f t="shared" si="2"/>
        <v>0.008984011544</v>
      </c>
      <c r="K1775" s="830"/>
    </row>
    <row r="1776">
      <c r="A1776" s="181" t="s">
        <v>523</v>
      </c>
      <c r="B1776" s="181" t="s">
        <v>562</v>
      </c>
      <c r="C1776" s="181">
        <v>327680.0</v>
      </c>
      <c r="D1776" s="181">
        <v>20.0</v>
      </c>
      <c r="E1776" s="181">
        <v>19.73</v>
      </c>
      <c r="F1776" s="181">
        <v>16.61</v>
      </c>
      <c r="G1776" s="181">
        <v>15.78</v>
      </c>
      <c r="H1776" s="828">
        <v>46096.0</v>
      </c>
      <c r="I1776" s="829">
        <f t="shared" si="1"/>
        <v>0.3458844444</v>
      </c>
      <c r="J1776" s="830">
        <f t="shared" si="2"/>
        <v>0.01753088923</v>
      </c>
      <c r="K1776" s="830"/>
    </row>
    <row r="1777">
      <c r="A1777" s="181" t="s">
        <v>523</v>
      </c>
      <c r="B1777" s="181" t="s">
        <v>562</v>
      </c>
      <c r="C1777" s="181">
        <v>655360.0</v>
      </c>
      <c r="D1777" s="181">
        <v>20.0</v>
      </c>
      <c r="E1777" s="181">
        <v>21.66</v>
      </c>
      <c r="F1777" s="181">
        <v>30.26</v>
      </c>
      <c r="G1777" s="181">
        <v>28.74</v>
      </c>
      <c r="H1777" s="828">
        <v>46096.0</v>
      </c>
      <c r="I1777" s="829">
        <f t="shared" si="1"/>
        <v>0.6917688889</v>
      </c>
      <c r="J1777" s="830">
        <f t="shared" si="2"/>
        <v>0.03193762183</v>
      </c>
      <c r="K1777" s="830"/>
    </row>
    <row r="1778">
      <c r="A1778" s="181" t="s">
        <v>523</v>
      </c>
      <c r="B1778" s="181" t="s">
        <v>562</v>
      </c>
      <c r="C1778" s="181">
        <v>1310720.0</v>
      </c>
      <c r="D1778" s="181">
        <v>20.0</v>
      </c>
      <c r="E1778" s="181">
        <v>26.95</v>
      </c>
      <c r="F1778" s="181">
        <v>48.64</v>
      </c>
      <c r="G1778" s="181">
        <v>46.21</v>
      </c>
      <c r="H1778" s="828">
        <v>46096.0</v>
      </c>
      <c r="I1778" s="829">
        <f t="shared" si="1"/>
        <v>1.383537778</v>
      </c>
      <c r="J1778" s="830">
        <f t="shared" si="2"/>
        <v>0.05133720882</v>
      </c>
      <c r="K1778" s="830"/>
    </row>
    <row r="1779">
      <c r="A1779" s="181" t="s">
        <v>523</v>
      </c>
      <c r="B1779" s="181" t="s">
        <v>562</v>
      </c>
      <c r="C1779" s="181">
        <v>2621440.0</v>
      </c>
      <c r="D1779" s="181">
        <v>20.0</v>
      </c>
      <c r="E1779" s="181">
        <v>39.47</v>
      </c>
      <c r="F1779" s="181">
        <v>66.42</v>
      </c>
      <c r="G1779" s="181">
        <v>63.1</v>
      </c>
      <c r="H1779" s="828">
        <v>46096.0</v>
      </c>
      <c r="I1779" s="829">
        <f t="shared" si="1"/>
        <v>2.767075556</v>
      </c>
      <c r="J1779" s="830">
        <f t="shared" si="2"/>
        <v>0.07010579061</v>
      </c>
      <c r="K1779" s="830"/>
    </row>
    <row r="1780">
      <c r="A1780" s="181" t="s">
        <v>523</v>
      </c>
      <c r="B1780" s="181" t="s">
        <v>562</v>
      </c>
      <c r="C1780" s="181">
        <v>5242880.0</v>
      </c>
      <c r="D1780" s="181">
        <v>20.0</v>
      </c>
      <c r="E1780" s="181">
        <v>68.84</v>
      </c>
      <c r="F1780" s="181">
        <v>76.16</v>
      </c>
      <c r="G1780" s="181">
        <v>72.35</v>
      </c>
      <c r="H1780" s="828">
        <v>46096.0</v>
      </c>
      <c r="I1780" s="829">
        <f t="shared" si="1"/>
        <v>5.534151111</v>
      </c>
      <c r="J1780" s="830">
        <f t="shared" si="2"/>
        <v>0.08039150365</v>
      </c>
      <c r="K1780" s="830"/>
    </row>
    <row r="1781">
      <c r="A1781" s="181" t="s">
        <v>523</v>
      </c>
      <c r="B1781" s="181" t="s">
        <v>562</v>
      </c>
      <c r="C1781" s="181">
        <v>1.048576E7</v>
      </c>
      <c r="D1781" s="181">
        <v>20.0</v>
      </c>
      <c r="E1781" s="181">
        <v>124.55</v>
      </c>
      <c r="F1781" s="181">
        <v>84.19</v>
      </c>
      <c r="G1781" s="181">
        <v>79.98</v>
      </c>
      <c r="H1781" s="828">
        <v>46096.0</v>
      </c>
      <c r="I1781" s="829">
        <f t="shared" si="1"/>
        <v>11.06830222</v>
      </c>
      <c r="J1781" s="830">
        <f t="shared" si="2"/>
        <v>0.08886633659</v>
      </c>
      <c r="K1781" s="830"/>
    </row>
    <row r="1782">
      <c r="A1782" s="181" t="s">
        <v>523</v>
      </c>
      <c r="B1782" s="181" t="s">
        <v>562</v>
      </c>
      <c r="C1782" s="181">
        <v>2.097152E7</v>
      </c>
      <c r="D1782" s="181">
        <v>20.0</v>
      </c>
      <c r="E1782" s="181">
        <v>72.5</v>
      </c>
      <c r="F1782" s="181">
        <v>289.26</v>
      </c>
      <c r="G1782" s="181">
        <v>274.8</v>
      </c>
      <c r="H1782" s="828">
        <v>46096.0</v>
      </c>
      <c r="I1782" s="829">
        <f t="shared" si="1"/>
        <v>22.13660444</v>
      </c>
      <c r="J1782" s="830">
        <f t="shared" si="2"/>
        <v>0.3053324751</v>
      </c>
      <c r="K1782" s="830"/>
    </row>
    <row r="1783">
      <c r="A1783" s="181" t="s">
        <v>523</v>
      </c>
      <c r="B1783" s="181" t="s">
        <v>562</v>
      </c>
      <c r="C1783" s="181">
        <v>4.194304E7</v>
      </c>
      <c r="D1783" s="181">
        <v>20.0</v>
      </c>
      <c r="E1783" s="181">
        <v>123.07</v>
      </c>
      <c r="F1783" s="181">
        <v>340.82</v>
      </c>
      <c r="G1783" s="181">
        <v>323.78</v>
      </c>
      <c r="H1783" s="828">
        <v>46096.0</v>
      </c>
      <c r="I1783" s="829">
        <f t="shared" si="1"/>
        <v>44.27320889</v>
      </c>
      <c r="J1783" s="830">
        <f t="shared" si="2"/>
        <v>0.3597400576</v>
      </c>
      <c r="K1783" s="830"/>
    </row>
    <row r="1784">
      <c r="A1784" s="181" t="s">
        <v>523</v>
      </c>
      <c r="B1784" s="181" t="s">
        <v>562</v>
      </c>
      <c r="C1784" s="181">
        <v>8.388608E7</v>
      </c>
      <c r="D1784" s="181">
        <v>20.0</v>
      </c>
      <c r="E1784" s="181">
        <v>218.82</v>
      </c>
      <c r="F1784" s="181">
        <v>383.36</v>
      </c>
      <c r="G1784" s="181">
        <v>364.19</v>
      </c>
      <c r="H1784" s="828">
        <v>46096.0</v>
      </c>
      <c r="I1784" s="829">
        <f t="shared" si="1"/>
        <v>88.54641778</v>
      </c>
      <c r="J1784" s="830">
        <f t="shared" si="2"/>
        <v>0.4046541348</v>
      </c>
      <c r="K1784" s="830"/>
    </row>
    <row r="1785">
      <c r="A1785" s="181" t="s">
        <v>523</v>
      </c>
      <c r="B1785" s="181" t="s">
        <v>562</v>
      </c>
      <c r="C1785" s="181">
        <v>1.6777216E8</v>
      </c>
      <c r="D1785" s="181">
        <v>20.0</v>
      </c>
      <c r="E1785" s="181">
        <v>407.86</v>
      </c>
      <c r="F1785" s="181">
        <v>411.35</v>
      </c>
      <c r="G1785" s="181">
        <v>390.78</v>
      </c>
      <c r="H1785" s="828">
        <v>46096.0</v>
      </c>
      <c r="I1785" s="829">
        <f t="shared" si="1"/>
        <v>177.0928356</v>
      </c>
      <c r="J1785" s="830">
        <f t="shared" si="2"/>
        <v>0.4342000578</v>
      </c>
      <c r="K1785" s="830"/>
    </row>
    <row r="1786">
      <c r="A1786" s="181" t="s">
        <v>523</v>
      </c>
      <c r="B1786" s="181" t="s">
        <v>562</v>
      </c>
      <c r="C1786" s="181">
        <v>3.3554432E8</v>
      </c>
      <c r="D1786" s="181">
        <v>20.0</v>
      </c>
      <c r="E1786" s="181">
        <v>778.94</v>
      </c>
      <c r="F1786" s="181">
        <v>430.77</v>
      </c>
      <c r="G1786" s="181">
        <v>409.23</v>
      </c>
      <c r="H1786" s="828">
        <v>46096.0</v>
      </c>
      <c r="I1786" s="829">
        <f t="shared" si="1"/>
        <v>354.1856711</v>
      </c>
      <c r="J1786" s="830">
        <f t="shared" si="2"/>
        <v>0.4547021223</v>
      </c>
      <c r="K1786" s="830"/>
    </row>
    <row r="1787">
      <c r="A1787" s="181" t="s">
        <v>523</v>
      </c>
      <c r="B1787" s="181" t="s">
        <v>562</v>
      </c>
      <c r="C1787" s="181">
        <v>6.7108864E8</v>
      </c>
      <c r="D1787" s="181">
        <v>20.0</v>
      </c>
      <c r="E1787" s="181">
        <v>1565.34</v>
      </c>
      <c r="F1787" s="181">
        <v>428.72</v>
      </c>
      <c r="G1787" s="181">
        <v>407.28</v>
      </c>
      <c r="H1787" s="828">
        <v>46096.0</v>
      </c>
      <c r="I1787" s="829">
        <f t="shared" si="1"/>
        <v>708.3713422</v>
      </c>
      <c r="J1787" s="830">
        <f t="shared" si="2"/>
        <v>0.4525351312</v>
      </c>
      <c r="K1787" s="830"/>
    </row>
    <row r="1788">
      <c r="A1788" s="181" t="s">
        <v>523</v>
      </c>
      <c r="B1788" s="181" t="s">
        <v>562</v>
      </c>
      <c r="C1788" s="181">
        <v>1.34217728E9</v>
      </c>
      <c r="D1788" s="181">
        <v>20.0</v>
      </c>
      <c r="E1788" s="181">
        <v>2413.81</v>
      </c>
      <c r="F1788" s="181">
        <v>556.04</v>
      </c>
      <c r="G1788" s="181">
        <v>528.24</v>
      </c>
      <c r="H1788" s="828">
        <v>46096.0</v>
      </c>
      <c r="I1788" s="829">
        <f t="shared" si="1"/>
        <v>1416.742684</v>
      </c>
      <c r="J1788" s="830">
        <f t="shared" si="2"/>
        <v>0.5869321465</v>
      </c>
      <c r="K1788" s="830"/>
    </row>
    <row r="1789">
      <c r="A1789" s="181" t="s">
        <v>523</v>
      </c>
      <c r="B1789" s="181" t="s">
        <v>562</v>
      </c>
      <c r="C1789" s="181">
        <v>2.68435456E9</v>
      </c>
      <c r="D1789" s="181">
        <v>20.0</v>
      </c>
      <c r="E1789" s="181">
        <v>4100.0</v>
      </c>
      <c r="F1789" s="181">
        <v>654.72</v>
      </c>
      <c r="G1789" s="181">
        <v>621.98</v>
      </c>
      <c r="H1789" s="828">
        <v>46096.0</v>
      </c>
      <c r="I1789" s="829">
        <f t="shared" si="1"/>
        <v>2833.485369</v>
      </c>
      <c r="J1789" s="830">
        <f t="shared" si="2"/>
        <v>0.6910939924</v>
      </c>
      <c r="K1789" s="830"/>
    </row>
    <row r="1790">
      <c r="A1790" s="181" t="s">
        <v>523</v>
      </c>
      <c r="B1790" s="181" t="s">
        <v>562</v>
      </c>
      <c r="C1790" s="181">
        <v>5.36870912E9</v>
      </c>
      <c r="D1790" s="181">
        <v>20.0</v>
      </c>
      <c r="E1790" s="181">
        <v>8207.84</v>
      </c>
      <c r="F1790" s="181">
        <v>654.1</v>
      </c>
      <c r="G1790" s="181">
        <v>621.39</v>
      </c>
      <c r="H1790" s="828">
        <v>46096.0</v>
      </c>
      <c r="I1790" s="829">
        <f t="shared" si="1"/>
        <v>5666.970738</v>
      </c>
      <c r="J1790" s="830">
        <f t="shared" si="2"/>
        <v>0.6904338703</v>
      </c>
      <c r="K1790" s="830"/>
    </row>
    <row r="1791">
      <c r="A1791" s="181" t="s">
        <v>523</v>
      </c>
      <c r="B1791" s="181" t="s">
        <v>562</v>
      </c>
      <c r="C1791" s="181">
        <v>1.073741824E10</v>
      </c>
      <c r="D1791" s="181">
        <v>20.0</v>
      </c>
      <c r="E1791" s="181">
        <v>16607.6</v>
      </c>
      <c r="F1791" s="181">
        <v>646.54</v>
      </c>
      <c r="G1791" s="181">
        <v>614.21</v>
      </c>
      <c r="H1791" s="828">
        <v>46096.0</v>
      </c>
      <c r="I1791" s="829">
        <f t="shared" si="1"/>
        <v>11333.94148</v>
      </c>
      <c r="J1791" s="830">
        <f t="shared" si="2"/>
        <v>0.6824551094</v>
      </c>
      <c r="K1791" s="830"/>
    </row>
    <row r="1792">
      <c r="A1792" s="181" t="s">
        <v>523</v>
      </c>
      <c r="B1792" s="181" t="s">
        <v>562</v>
      </c>
      <c r="C1792" s="181">
        <v>1408.0</v>
      </c>
      <c r="D1792" s="181">
        <v>22.0</v>
      </c>
      <c r="E1792" s="181">
        <v>21.86</v>
      </c>
      <c r="F1792" s="181">
        <v>0.06</v>
      </c>
      <c r="G1792" s="181">
        <v>0.06</v>
      </c>
      <c r="H1792" s="828">
        <v>46096.0</v>
      </c>
      <c r="I1792" s="829">
        <f t="shared" si="1"/>
        <v>0.001493333333</v>
      </c>
      <c r="J1792" s="830">
        <f t="shared" si="2"/>
        <v>0.00006831351022</v>
      </c>
      <c r="K1792" s="830"/>
    </row>
    <row r="1793">
      <c r="A1793" s="181" t="s">
        <v>523</v>
      </c>
      <c r="B1793" s="181" t="s">
        <v>562</v>
      </c>
      <c r="C1793" s="181">
        <v>2816.0</v>
      </c>
      <c r="D1793" s="181">
        <v>22.0</v>
      </c>
      <c r="E1793" s="181">
        <v>20.52</v>
      </c>
      <c r="F1793" s="181">
        <v>0.14</v>
      </c>
      <c r="G1793" s="181">
        <v>0.13</v>
      </c>
      <c r="H1793" s="828">
        <v>46096.0</v>
      </c>
      <c r="I1793" s="829">
        <f t="shared" si="1"/>
        <v>0.002986666667</v>
      </c>
      <c r="J1793" s="830">
        <f t="shared" si="2"/>
        <v>0.0001455490578</v>
      </c>
      <c r="K1793" s="830"/>
    </row>
    <row r="1794">
      <c r="A1794" s="181" t="s">
        <v>523</v>
      </c>
      <c r="B1794" s="181" t="s">
        <v>562</v>
      </c>
      <c r="C1794" s="181">
        <v>5632.0</v>
      </c>
      <c r="D1794" s="181">
        <v>22.0</v>
      </c>
      <c r="E1794" s="181">
        <v>20.1</v>
      </c>
      <c r="F1794" s="181">
        <v>0.28</v>
      </c>
      <c r="G1794" s="181">
        <v>0.27</v>
      </c>
      <c r="H1794" s="828">
        <v>46096.0</v>
      </c>
      <c r="I1794" s="829">
        <f t="shared" si="1"/>
        <v>0.005973333333</v>
      </c>
      <c r="J1794" s="830">
        <f t="shared" si="2"/>
        <v>0.0002971807629</v>
      </c>
      <c r="K1794" s="830"/>
    </row>
    <row r="1795">
      <c r="A1795" s="181" t="s">
        <v>523</v>
      </c>
      <c r="B1795" s="181" t="s">
        <v>562</v>
      </c>
      <c r="C1795" s="181">
        <v>11264.0</v>
      </c>
      <c r="D1795" s="181">
        <v>22.0</v>
      </c>
      <c r="E1795" s="181">
        <v>20.66</v>
      </c>
      <c r="F1795" s="181">
        <v>0.55</v>
      </c>
      <c r="G1795" s="181">
        <v>0.52</v>
      </c>
      <c r="H1795" s="828">
        <v>46096.0</v>
      </c>
      <c r="I1795" s="829">
        <f t="shared" si="1"/>
        <v>0.01194666667</v>
      </c>
      <c r="J1795" s="830">
        <f t="shared" si="2"/>
        <v>0.0005782510487</v>
      </c>
      <c r="K1795" s="830"/>
    </row>
    <row r="1796">
      <c r="A1796" s="181" t="s">
        <v>523</v>
      </c>
      <c r="B1796" s="181" t="s">
        <v>562</v>
      </c>
      <c r="C1796" s="181">
        <v>22528.0</v>
      </c>
      <c r="D1796" s="181">
        <v>22.0</v>
      </c>
      <c r="E1796" s="181">
        <v>20.62</v>
      </c>
      <c r="F1796" s="181">
        <v>1.09</v>
      </c>
      <c r="G1796" s="181">
        <v>1.04</v>
      </c>
      <c r="H1796" s="828">
        <v>46096.0</v>
      </c>
      <c r="I1796" s="829">
        <f t="shared" si="1"/>
        <v>0.02389333333</v>
      </c>
      <c r="J1796" s="830">
        <f t="shared" si="2"/>
        <v>0.001158745554</v>
      </c>
      <c r="K1796" s="830"/>
    </row>
    <row r="1797">
      <c r="A1797" s="181" t="s">
        <v>523</v>
      </c>
      <c r="B1797" s="181" t="s">
        <v>562</v>
      </c>
      <c r="C1797" s="181">
        <v>45056.0</v>
      </c>
      <c r="D1797" s="181">
        <v>22.0</v>
      </c>
      <c r="E1797" s="181">
        <v>18.97</v>
      </c>
      <c r="F1797" s="181">
        <v>2.38</v>
      </c>
      <c r="G1797" s="181">
        <v>2.27</v>
      </c>
      <c r="H1797" s="828">
        <v>46096.0</v>
      </c>
      <c r="I1797" s="829">
        <f t="shared" si="1"/>
        <v>0.04778666667</v>
      </c>
      <c r="J1797" s="830">
        <f t="shared" si="2"/>
        <v>0.002519065191</v>
      </c>
      <c r="K1797" s="830"/>
    </row>
    <row r="1798">
      <c r="A1798" s="181" t="s">
        <v>523</v>
      </c>
      <c r="B1798" s="181" t="s">
        <v>562</v>
      </c>
      <c r="C1798" s="181">
        <v>90112.0</v>
      </c>
      <c r="D1798" s="181">
        <v>22.0</v>
      </c>
      <c r="E1798" s="181">
        <v>19.02</v>
      </c>
      <c r="F1798" s="181">
        <v>4.74</v>
      </c>
      <c r="G1798" s="181">
        <v>4.52</v>
      </c>
      <c r="H1798" s="828">
        <v>46096.0</v>
      </c>
      <c r="I1798" s="829">
        <f t="shared" si="1"/>
        <v>0.09557333333</v>
      </c>
      <c r="J1798" s="830">
        <f t="shared" si="2"/>
        <v>0.005024886085</v>
      </c>
      <c r="K1798" s="830"/>
    </row>
    <row r="1799">
      <c r="A1799" s="181" t="s">
        <v>523</v>
      </c>
      <c r="B1799" s="181" t="s">
        <v>562</v>
      </c>
      <c r="C1799" s="181">
        <v>180224.0</v>
      </c>
      <c r="D1799" s="181">
        <v>22.0</v>
      </c>
      <c r="E1799" s="181">
        <v>17.99</v>
      </c>
      <c r="F1799" s="181">
        <v>10.02</v>
      </c>
      <c r="G1799" s="181">
        <v>9.56</v>
      </c>
      <c r="H1799" s="828">
        <v>46096.0</v>
      </c>
      <c r="I1799" s="829">
        <f t="shared" si="1"/>
        <v>0.1911466667</v>
      </c>
      <c r="J1799" s="830">
        <f t="shared" si="2"/>
        <v>0.01062516213</v>
      </c>
      <c r="K1799" s="830"/>
    </row>
    <row r="1800">
      <c r="A1800" s="181" t="s">
        <v>523</v>
      </c>
      <c r="B1800" s="181" t="s">
        <v>562</v>
      </c>
      <c r="C1800" s="181">
        <v>360448.0</v>
      </c>
      <c r="D1800" s="181">
        <v>22.0</v>
      </c>
      <c r="E1800" s="181">
        <v>18.7</v>
      </c>
      <c r="F1800" s="181">
        <v>19.28</v>
      </c>
      <c r="G1800" s="181">
        <v>18.4</v>
      </c>
      <c r="H1800" s="828">
        <v>46096.0</v>
      </c>
      <c r="I1800" s="829">
        <f t="shared" si="1"/>
        <v>0.3822933333</v>
      </c>
      <c r="J1800" s="830">
        <f t="shared" si="2"/>
        <v>0.02044349376</v>
      </c>
      <c r="K1800" s="830"/>
    </row>
    <row r="1801">
      <c r="A1801" s="181" t="s">
        <v>523</v>
      </c>
      <c r="B1801" s="181" t="s">
        <v>562</v>
      </c>
      <c r="C1801" s="181">
        <v>720896.0</v>
      </c>
      <c r="D1801" s="181">
        <v>22.0</v>
      </c>
      <c r="E1801" s="181">
        <v>21.08</v>
      </c>
      <c r="F1801" s="181">
        <v>34.2</v>
      </c>
      <c r="G1801" s="181">
        <v>32.64</v>
      </c>
      <c r="H1801" s="828">
        <v>46096.0</v>
      </c>
      <c r="I1801" s="829">
        <f t="shared" si="1"/>
        <v>0.7645866667</v>
      </c>
      <c r="J1801" s="830">
        <f t="shared" si="2"/>
        <v>0.03627071474</v>
      </c>
      <c r="K1801" s="830"/>
    </row>
    <row r="1802">
      <c r="A1802" s="181" t="s">
        <v>523</v>
      </c>
      <c r="B1802" s="181" t="s">
        <v>562</v>
      </c>
      <c r="C1802" s="181">
        <v>1441792.0</v>
      </c>
      <c r="D1802" s="181">
        <v>22.0</v>
      </c>
      <c r="E1802" s="181">
        <v>26.1</v>
      </c>
      <c r="F1802" s="181">
        <v>55.23</v>
      </c>
      <c r="G1802" s="181">
        <v>52.72</v>
      </c>
      <c r="H1802" s="828">
        <v>46096.0</v>
      </c>
      <c r="I1802" s="829">
        <f t="shared" si="1"/>
        <v>1.529173333</v>
      </c>
      <c r="J1802" s="830">
        <f t="shared" si="2"/>
        <v>0.0585890166</v>
      </c>
      <c r="K1802" s="830"/>
    </row>
    <row r="1803">
      <c r="A1803" s="181" t="s">
        <v>523</v>
      </c>
      <c r="B1803" s="181" t="s">
        <v>562</v>
      </c>
      <c r="C1803" s="181">
        <v>2883584.0</v>
      </c>
      <c r="D1803" s="181">
        <v>22.0</v>
      </c>
      <c r="E1803" s="181">
        <v>40.08</v>
      </c>
      <c r="F1803" s="181">
        <v>71.94</v>
      </c>
      <c r="G1803" s="181">
        <v>68.67</v>
      </c>
      <c r="H1803" s="828">
        <v>46096.0</v>
      </c>
      <c r="I1803" s="829">
        <f t="shared" si="1"/>
        <v>3.058346667</v>
      </c>
      <c r="J1803" s="830">
        <f t="shared" si="2"/>
        <v>0.07630605456</v>
      </c>
      <c r="K1803" s="830"/>
    </row>
    <row r="1804">
      <c r="A1804" s="181" t="s">
        <v>523</v>
      </c>
      <c r="B1804" s="181" t="s">
        <v>562</v>
      </c>
      <c r="C1804" s="181">
        <v>5767168.0</v>
      </c>
      <c r="D1804" s="181">
        <v>22.0</v>
      </c>
      <c r="E1804" s="181">
        <v>69.07</v>
      </c>
      <c r="F1804" s="181">
        <v>83.5</v>
      </c>
      <c r="G1804" s="181">
        <v>79.71</v>
      </c>
      <c r="H1804" s="828">
        <v>46096.0</v>
      </c>
      <c r="I1804" s="829">
        <f t="shared" si="1"/>
        <v>6.116693333</v>
      </c>
      <c r="J1804" s="830">
        <f t="shared" si="2"/>
        <v>0.08855788813</v>
      </c>
      <c r="K1804" s="830"/>
    </row>
    <row r="1805">
      <c r="A1805" s="181" t="s">
        <v>523</v>
      </c>
      <c r="B1805" s="181" t="s">
        <v>562</v>
      </c>
      <c r="C1805" s="181">
        <v>1.1534336E7</v>
      </c>
      <c r="D1805" s="181">
        <v>22.0</v>
      </c>
      <c r="E1805" s="181">
        <v>123.45</v>
      </c>
      <c r="F1805" s="181">
        <v>93.43</v>
      </c>
      <c r="G1805" s="181">
        <v>89.19</v>
      </c>
      <c r="H1805" s="828">
        <v>46096.0</v>
      </c>
      <c r="I1805" s="829">
        <f t="shared" si="1"/>
        <v>12.23338667</v>
      </c>
      <c r="J1805" s="830">
        <f t="shared" si="2"/>
        <v>0.09909588227</v>
      </c>
      <c r="K1805" s="830"/>
    </row>
    <row r="1806">
      <c r="A1806" s="181" t="s">
        <v>523</v>
      </c>
      <c r="B1806" s="181" t="s">
        <v>562</v>
      </c>
      <c r="C1806" s="181">
        <v>2.3068672E7</v>
      </c>
      <c r="D1806" s="181">
        <v>22.0</v>
      </c>
      <c r="E1806" s="181">
        <v>76.29</v>
      </c>
      <c r="F1806" s="181">
        <v>302.38</v>
      </c>
      <c r="G1806" s="181">
        <v>288.63</v>
      </c>
      <c r="H1806" s="828">
        <v>46096.0</v>
      </c>
      <c r="I1806" s="829">
        <f t="shared" si="1"/>
        <v>24.46677333</v>
      </c>
      <c r="J1806" s="830">
        <f t="shared" si="2"/>
        <v>0.3207074759</v>
      </c>
      <c r="K1806" s="830"/>
    </row>
    <row r="1807">
      <c r="A1807" s="181" t="s">
        <v>523</v>
      </c>
      <c r="B1807" s="181" t="s">
        <v>562</v>
      </c>
      <c r="C1807" s="181">
        <v>4.6137344E7</v>
      </c>
      <c r="D1807" s="181">
        <v>22.0</v>
      </c>
      <c r="E1807" s="181">
        <v>126.26</v>
      </c>
      <c r="F1807" s="181">
        <v>365.42</v>
      </c>
      <c r="G1807" s="181">
        <v>348.81</v>
      </c>
      <c r="H1807" s="828">
        <v>46096.0</v>
      </c>
      <c r="I1807" s="829">
        <f t="shared" si="1"/>
        <v>48.93354667</v>
      </c>
      <c r="J1807" s="830">
        <f t="shared" si="2"/>
        <v>0.3875617509</v>
      </c>
      <c r="K1807" s="830"/>
    </row>
    <row r="1808">
      <c r="A1808" s="181" t="s">
        <v>523</v>
      </c>
      <c r="B1808" s="181" t="s">
        <v>562</v>
      </c>
      <c r="C1808" s="181">
        <v>9.2274688E7</v>
      </c>
      <c r="D1808" s="181">
        <v>22.0</v>
      </c>
      <c r="E1808" s="181">
        <v>221.74</v>
      </c>
      <c r="F1808" s="181">
        <v>416.14</v>
      </c>
      <c r="G1808" s="181">
        <v>397.23</v>
      </c>
      <c r="H1808" s="828">
        <v>46096.0</v>
      </c>
      <c r="I1808" s="829">
        <f t="shared" si="1"/>
        <v>97.86709333</v>
      </c>
      <c r="J1808" s="830">
        <f t="shared" si="2"/>
        <v>0.4413596705</v>
      </c>
      <c r="K1808" s="830"/>
    </row>
    <row r="1809">
      <c r="A1809" s="181" t="s">
        <v>523</v>
      </c>
      <c r="B1809" s="181" t="s">
        <v>562</v>
      </c>
      <c r="C1809" s="181">
        <v>1.84549376E8</v>
      </c>
      <c r="D1809" s="181">
        <v>22.0</v>
      </c>
      <c r="E1809" s="181">
        <v>408.79</v>
      </c>
      <c r="F1809" s="181">
        <v>451.45</v>
      </c>
      <c r="G1809" s="181">
        <v>430.93</v>
      </c>
      <c r="H1809" s="828">
        <v>46096.0</v>
      </c>
      <c r="I1809" s="829">
        <f t="shared" si="1"/>
        <v>195.7341867</v>
      </c>
      <c r="J1809" s="830">
        <f t="shared" si="2"/>
        <v>0.4788135391</v>
      </c>
      <c r="K1809" s="830"/>
    </row>
    <row r="1810">
      <c r="A1810" s="181" t="s">
        <v>523</v>
      </c>
      <c r="B1810" s="181" t="s">
        <v>562</v>
      </c>
      <c r="C1810" s="181">
        <v>3.69098752E8</v>
      </c>
      <c r="D1810" s="181">
        <v>22.0</v>
      </c>
      <c r="E1810" s="181">
        <v>782.36</v>
      </c>
      <c r="F1810" s="181">
        <v>471.77</v>
      </c>
      <c r="G1810" s="181">
        <v>450.33</v>
      </c>
      <c r="H1810" s="828">
        <v>46096.0</v>
      </c>
      <c r="I1810" s="829">
        <f t="shared" si="1"/>
        <v>391.4683733</v>
      </c>
      <c r="J1810" s="830">
        <f t="shared" si="2"/>
        <v>0.5003685942</v>
      </c>
      <c r="K1810" s="830"/>
    </row>
    <row r="1811">
      <c r="A1811" s="181" t="s">
        <v>523</v>
      </c>
      <c r="B1811" s="181" t="s">
        <v>562</v>
      </c>
      <c r="C1811" s="181">
        <v>7.38197504E8</v>
      </c>
      <c r="D1811" s="181">
        <v>22.0</v>
      </c>
      <c r="E1811" s="181">
        <v>1584.04</v>
      </c>
      <c r="F1811" s="181">
        <v>466.02</v>
      </c>
      <c r="G1811" s="181">
        <v>444.84</v>
      </c>
      <c r="H1811" s="828">
        <v>46096.0</v>
      </c>
      <c r="I1811" s="829">
        <f t="shared" si="1"/>
        <v>782.9367467</v>
      </c>
      <c r="J1811" s="830">
        <f t="shared" si="2"/>
        <v>0.4942657677</v>
      </c>
      <c r="K1811" s="830"/>
    </row>
    <row r="1812">
      <c r="A1812" s="181" t="s">
        <v>523</v>
      </c>
      <c r="B1812" s="181" t="s">
        <v>562</v>
      </c>
      <c r="C1812" s="181">
        <v>1.476395008E9</v>
      </c>
      <c r="D1812" s="181">
        <v>22.0</v>
      </c>
      <c r="E1812" s="181">
        <v>2404.84</v>
      </c>
      <c r="F1812" s="181">
        <v>613.93</v>
      </c>
      <c r="G1812" s="181">
        <v>586.02</v>
      </c>
      <c r="H1812" s="828">
        <v>46096.0</v>
      </c>
      <c r="I1812" s="829">
        <f t="shared" si="1"/>
        <v>1565.873493</v>
      </c>
      <c r="J1812" s="830">
        <f t="shared" si="2"/>
        <v>0.6511341683</v>
      </c>
      <c r="K1812" s="830"/>
    </row>
    <row r="1813">
      <c r="A1813" s="181" t="s">
        <v>523</v>
      </c>
      <c r="B1813" s="181" t="s">
        <v>562</v>
      </c>
      <c r="C1813" s="181">
        <v>2.952790016E9</v>
      </c>
      <c r="D1813" s="181">
        <v>22.0</v>
      </c>
      <c r="E1813" s="181">
        <v>4755.88</v>
      </c>
      <c r="F1813" s="181">
        <v>620.87</v>
      </c>
      <c r="G1813" s="181">
        <v>592.65</v>
      </c>
      <c r="H1813" s="828">
        <v>46096.0</v>
      </c>
      <c r="I1813" s="829">
        <f t="shared" si="1"/>
        <v>3131.746987</v>
      </c>
      <c r="J1813" s="830">
        <f t="shared" si="2"/>
        <v>0.6585000014</v>
      </c>
      <c r="K1813" s="830"/>
    </row>
    <row r="1814">
      <c r="A1814" s="181" t="s">
        <v>523</v>
      </c>
      <c r="B1814" s="181" t="s">
        <v>562</v>
      </c>
      <c r="C1814" s="181">
        <v>5.905580032E9</v>
      </c>
      <c r="D1814" s="181">
        <v>22.0</v>
      </c>
      <c r="E1814" s="181">
        <v>9028.71</v>
      </c>
      <c r="F1814" s="181">
        <v>654.09</v>
      </c>
      <c r="G1814" s="181">
        <v>624.36</v>
      </c>
      <c r="H1814" s="828">
        <v>46096.0</v>
      </c>
      <c r="I1814" s="829">
        <f t="shared" si="1"/>
        <v>6263.493973</v>
      </c>
      <c r="J1814" s="830">
        <f t="shared" si="2"/>
        <v>0.6937307736</v>
      </c>
      <c r="K1814" s="830"/>
    </row>
    <row r="1815">
      <c r="A1815" s="181" t="s">
        <v>523</v>
      </c>
      <c r="B1815" s="181" t="s">
        <v>562</v>
      </c>
      <c r="C1815" s="181">
        <v>1.1811160064E10</v>
      </c>
      <c r="D1815" s="181">
        <v>22.0</v>
      </c>
      <c r="E1815" s="181">
        <v>17996.5</v>
      </c>
      <c r="F1815" s="181">
        <v>656.3</v>
      </c>
      <c r="G1815" s="181">
        <v>626.47</v>
      </c>
      <c r="H1815" s="828">
        <v>46096.0</v>
      </c>
      <c r="I1815" s="829">
        <f t="shared" si="1"/>
        <v>12526.98795</v>
      </c>
      <c r="J1815" s="830">
        <f t="shared" si="2"/>
        <v>0.6960791235</v>
      </c>
      <c r="K1815" s="830"/>
    </row>
    <row r="1816">
      <c r="A1816" s="181" t="s">
        <v>523</v>
      </c>
      <c r="B1816" s="181" t="s">
        <v>562</v>
      </c>
      <c r="C1816" s="181">
        <v>1536.0</v>
      </c>
      <c r="D1816" s="181">
        <v>24.0</v>
      </c>
      <c r="E1816" s="181">
        <v>21.34</v>
      </c>
      <c r="F1816" s="181">
        <v>0.07</v>
      </c>
      <c r="G1816" s="181">
        <v>0.07</v>
      </c>
      <c r="H1816" s="828">
        <v>46096.0</v>
      </c>
      <c r="I1816" s="829">
        <f t="shared" si="1"/>
        <v>0.001635555556</v>
      </c>
      <c r="J1816" s="830">
        <f t="shared" si="2"/>
        <v>0.00007664271582</v>
      </c>
      <c r="K1816" s="830"/>
    </row>
    <row r="1817">
      <c r="A1817" s="181" t="s">
        <v>523</v>
      </c>
      <c r="B1817" s="181" t="s">
        <v>562</v>
      </c>
      <c r="C1817" s="181">
        <v>3072.0</v>
      </c>
      <c r="D1817" s="181">
        <v>24.0</v>
      </c>
      <c r="E1817" s="181">
        <v>21.35</v>
      </c>
      <c r="F1817" s="181">
        <v>0.14</v>
      </c>
      <c r="G1817" s="181">
        <v>0.14</v>
      </c>
      <c r="H1817" s="828">
        <v>46096.0</v>
      </c>
      <c r="I1817" s="829">
        <f t="shared" si="1"/>
        <v>0.003271111111</v>
      </c>
      <c r="J1817" s="830">
        <f t="shared" si="2"/>
        <v>0.0001532136352</v>
      </c>
      <c r="K1817" s="830"/>
    </row>
    <row r="1818">
      <c r="A1818" s="181" t="s">
        <v>523</v>
      </c>
      <c r="B1818" s="181" t="s">
        <v>562</v>
      </c>
      <c r="C1818" s="181">
        <v>6144.0</v>
      </c>
      <c r="D1818" s="181">
        <v>24.0</v>
      </c>
      <c r="E1818" s="181">
        <v>20.77</v>
      </c>
      <c r="F1818" s="181">
        <v>0.3</v>
      </c>
      <c r="G1818" s="181">
        <v>0.28</v>
      </c>
      <c r="H1818" s="828">
        <v>46096.0</v>
      </c>
      <c r="I1818" s="829">
        <f t="shared" si="1"/>
        <v>0.006542222222</v>
      </c>
      <c r="J1818" s="830">
        <f t="shared" si="2"/>
        <v>0.0003149842187</v>
      </c>
      <c r="K1818" s="830"/>
    </row>
    <row r="1819">
      <c r="A1819" s="181" t="s">
        <v>523</v>
      </c>
      <c r="B1819" s="181" t="s">
        <v>562</v>
      </c>
      <c r="C1819" s="181">
        <v>12288.0</v>
      </c>
      <c r="D1819" s="181">
        <v>24.0</v>
      </c>
      <c r="E1819" s="181">
        <v>21.51</v>
      </c>
      <c r="F1819" s="181">
        <v>0.57</v>
      </c>
      <c r="G1819" s="181">
        <v>0.55</v>
      </c>
      <c r="H1819" s="828">
        <v>46096.0</v>
      </c>
      <c r="I1819" s="829">
        <f t="shared" si="1"/>
        <v>0.01308444444</v>
      </c>
      <c r="J1819" s="830">
        <f t="shared" si="2"/>
        <v>0.0006082958831</v>
      </c>
      <c r="K1819" s="830"/>
    </row>
    <row r="1820">
      <c r="A1820" s="181" t="s">
        <v>523</v>
      </c>
      <c r="B1820" s="181" t="s">
        <v>562</v>
      </c>
      <c r="C1820" s="181">
        <v>24576.0</v>
      </c>
      <c r="D1820" s="181">
        <v>24.0</v>
      </c>
      <c r="E1820" s="181">
        <v>20.87</v>
      </c>
      <c r="F1820" s="181">
        <v>1.18</v>
      </c>
      <c r="G1820" s="181">
        <v>1.13</v>
      </c>
      <c r="H1820" s="828">
        <v>46096.0</v>
      </c>
      <c r="I1820" s="829">
        <f t="shared" si="1"/>
        <v>0.02616888889</v>
      </c>
      <c r="J1820" s="830">
        <f t="shared" si="2"/>
        <v>0.001253899803</v>
      </c>
      <c r="K1820" s="830"/>
    </row>
    <row r="1821">
      <c r="A1821" s="181" t="s">
        <v>523</v>
      </c>
      <c r="B1821" s="181" t="s">
        <v>562</v>
      </c>
      <c r="C1821" s="181">
        <v>49152.0</v>
      </c>
      <c r="D1821" s="181">
        <v>24.0</v>
      </c>
      <c r="E1821" s="181">
        <v>20.38</v>
      </c>
      <c r="F1821" s="181">
        <v>2.41</v>
      </c>
      <c r="G1821" s="181">
        <v>2.31</v>
      </c>
      <c r="H1821" s="828">
        <v>46096.0</v>
      </c>
      <c r="I1821" s="829">
        <f t="shared" si="1"/>
        <v>0.05233777778</v>
      </c>
      <c r="J1821" s="830">
        <f t="shared" si="2"/>
        <v>0.002568095082</v>
      </c>
      <c r="K1821" s="830"/>
    </row>
    <row r="1822">
      <c r="A1822" s="181" t="s">
        <v>523</v>
      </c>
      <c r="B1822" s="181" t="s">
        <v>562</v>
      </c>
      <c r="C1822" s="181">
        <v>98304.0</v>
      </c>
      <c r="D1822" s="181">
        <v>24.0</v>
      </c>
      <c r="E1822" s="181">
        <v>20.01</v>
      </c>
      <c r="F1822" s="181">
        <v>4.91</v>
      </c>
      <c r="G1822" s="181">
        <v>4.71</v>
      </c>
      <c r="H1822" s="828">
        <v>46096.0</v>
      </c>
      <c r="I1822" s="829">
        <f t="shared" si="1"/>
        <v>0.1046755556</v>
      </c>
      <c r="J1822" s="830">
        <f t="shared" si="2"/>
        <v>0.005231162197</v>
      </c>
      <c r="K1822" s="830"/>
    </row>
    <row r="1823">
      <c r="A1823" s="181" t="s">
        <v>523</v>
      </c>
      <c r="B1823" s="181" t="s">
        <v>562</v>
      </c>
      <c r="C1823" s="181">
        <v>196608.0</v>
      </c>
      <c r="D1823" s="181">
        <v>24.0</v>
      </c>
      <c r="E1823" s="181">
        <v>18.65</v>
      </c>
      <c r="F1823" s="181">
        <v>10.54</v>
      </c>
      <c r="G1823" s="181">
        <v>10.1</v>
      </c>
      <c r="H1823" s="828">
        <v>46096.0</v>
      </c>
      <c r="I1823" s="829">
        <f t="shared" si="1"/>
        <v>0.2093511111</v>
      </c>
      <c r="J1823" s="830">
        <f t="shared" si="2"/>
        <v>0.01122526065</v>
      </c>
      <c r="K1823" s="830"/>
    </row>
    <row r="1824">
      <c r="A1824" s="181" t="s">
        <v>523</v>
      </c>
      <c r="B1824" s="181" t="s">
        <v>562</v>
      </c>
      <c r="C1824" s="181">
        <v>393216.0</v>
      </c>
      <c r="D1824" s="181">
        <v>24.0</v>
      </c>
      <c r="E1824" s="181">
        <v>18.38</v>
      </c>
      <c r="F1824" s="181">
        <v>21.39</v>
      </c>
      <c r="G1824" s="181">
        <v>20.5</v>
      </c>
      <c r="H1824" s="828">
        <v>46096.0</v>
      </c>
      <c r="I1824" s="829">
        <f t="shared" si="1"/>
        <v>0.4187022222</v>
      </c>
      <c r="J1824" s="830">
        <f t="shared" si="2"/>
        <v>0.02278031677</v>
      </c>
      <c r="K1824" s="830"/>
    </row>
    <row r="1825">
      <c r="A1825" s="181" t="s">
        <v>523</v>
      </c>
      <c r="B1825" s="181" t="s">
        <v>562</v>
      </c>
      <c r="C1825" s="181">
        <v>786432.0</v>
      </c>
      <c r="D1825" s="181">
        <v>24.0</v>
      </c>
      <c r="E1825" s="181">
        <v>20.48</v>
      </c>
      <c r="F1825" s="181">
        <v>38.4</v>
      </c>
      <c r="G1825" s="181">
        <v>36.8</v>
      </c>
      <c r="H1825" s="828">
        <v>46096.0</v>
      </c>
      <c r="I1825" s="829">
        <f t="shared" si="1"/>
        <v>0.8374044444</v>
      </c>
      <c r="J1825" s="830">
        <f t="shared" si="2"/>
        <v>0.04088888889</v>
      </c>
      <c r="K1825" s="830"/>
    </row>
    <row r="1826">
      <c r="A1826" s="181" t="s">
        <v>523</v>
      </c>
      <c r="B1826" s="181" t="s">
        <v>562</v>
      </c>
      <c r="C1826" s="181">
        <v>1572864.0</v>
      </c>
      <c r="D1826" s="181">
        <v>24.0</v>
      </c>
      <c r="E1826" s="181">
        <v>26.32</v>
      </c>
      <c r="F1826" s="181">
        <v>59.77</v>
      </c>
      <c r="G1826" s="181">
        <v>57.28</v>
      </c>
      <c r="H1826" s="828">
        <v>46096.0</v>
      </c>
      <c r="I1826" s="829">
        <f t="shared" si="1"/>
        <v>1.674808889</v>
      </c>
      <c r="J1826" s="830">
        <f t="shared" si="2"/>
        <v>0.06363255657</v>
      </c>
      <c r="K1826" s="830"/>
    </row>
    <row r="1827">
      <c r="A1827" s="181" t="s">
        <v>523</v>
      </c>
      <c r="B1827" s="181" t="s">
        <v>562</v>
      </c>
      <c r="C1827" s="181">
        <v>3145728.0</v>
      </c>
      <c r="D1827" s="181">
        <v>24.0</v>
      </c>
      <c r="E1827" s="181">
        <v>40.74</v>
      </c>
      <c r="F1827" s="181">
        <v>77.22</v>
      </c>
      <c r="G1827" s="181">
        <v>74.0</v>
      </c>
      <c r="H1827" s="828">
        <v>46096.0</v>
      </c>
      <c r="I1827" s="829">
        <f t="shared" si="1"/>
        <v>3.349617778</v>
      </c>
      <c r="J1827" s="830">
        <f t="shared" si="2"/>
        <v>0.08221938581</v>
      </c>
      <c r="K1827" s="830"/>
    </row>
    <row r="1828">
      <c r="A1828" s="181" t="s">
        <v>523</v>
      </c>
      <c r="B1828" s="181" t="s">
        <v>562</v>
      </c>
      <c r="C1828" s="181">
        <v>6291456.0</v>
      </c>
      <c r="D1828" s="181">
        <v>24.0</v>
      </c>
      <c r="E1828" s="181">
        <v>69.12</v>
      </c>
      <c r="F1828" s="181">
        <v>91.03</v>
      </c>
      <c r="G1828" s="181">
        <v>87.23</v>
      </c>
      <c r="H1828" s="828">
        <v>46096.0</v>
      </c>
      <c r="I1828" s="829">
        <f t="shared" si="1"/>
        <v>6.699235556</v>
      </c>
      <c r="J1828" s="830">
        <f t="shared" si="2"/>
        <v>0.0969218107</v>
      </c>
      <c r="K1828" s="830"/>
    </row>
    <row r="1829">
      <c r="A1829" s="181" t="s">
        <v>523</v>
      </c>
      <c r="B1829" s="181" t="s">
        <v>562</v>
      </c>
      <c r="C1829" s="181">
        <v>1.2582912E7</v>
      </c>
      <c r="D1829" s="181">
        <v>24.0</v>
      </c>
      <c r="E1829" s="181">
        <v>124.23</v>
      </c>
      <c r="F1829" s="181">
        <v>101.28</v>
      </c>
      <c r="G1829" s="181">
        <v>97.06</v>
      </c>
      <c r="H1829" s="828">
        <v>46096.0</v>
      </c>
      <c r="I1829" s="829">
        <f t="shared" si="1"/>
        <v>13.39847111</v>
      </c>
      <c r="J1829" s="830">
        <f t="shared" si="2"/>
        <v>0.1078521381</v>
      </c>
      <c r="K1829" s="830"/>
    </row>
    <row r="1830">
      <c r="A1830" s="181" t="s">
        <v>523</v>
      </c>
      <c r="B1830" s="181" t="s">
        <v>562</v>
      </c>
      <c r="C1830" s="181">
        <v>2.5165824E7</v>
      </c>
      <c r="D1830" s="181">
        <v>24.0</v>
      </c>
      <c r="E1830" s="181">
        <v>79.36</v>
      </c>
      <c r="F1830" s="181">
        <v>317.12</v>
      </c>
      <c r="G1830" s="181">
        <v>303.9</v>
      </c>
      <c r="H1830" s="828">
        <v>46096.0</v>
      </c>
      <c r="I1830" s="829">
        <f t="shared" si="1"/>
        <v>26.79694222</v>
      </c>
      <c r="J1830" s="830">
        <f t="shared" si="2"/>
        <v>0.3376630824</v>
      </c>
      <c r="K1830" s="830"/>
    </row>
    <row r="1831">
      <c r="A1831" s="181" t="s">
        <v>523</v>
      </c>
      <c r="B1831" s="181" t="s">
        <v>562</v>
      </c>
      <c r="C1831" s="181">
        <v>5.0331648E7</v>
      </c>
      <c r="D1831" s="181">
        <v>24.0</v>
      </c>
      <c r="E1831" s="181">
        <v>129.34</v>
      </c>
      <c r="F1831" s="181">
        <v>389.14</v>
      </c>
      <c r="G1831" s="181">
        <v>372.92</v>
      </c>
      <c r="H1831" s="828">
        <v>46096.0</v>
      </c>
      <c r="I1831" s="829">
        <f t="shared" si="1"/>
        <v>53.59388444</v>
      </c>
      <c r="J1831" s="830">
        <f t="shared" si="2"/>
        <v>0.4143643455</v>
      </c>
      <c r="K1831" s="830"/>
    </row>
    <row r="1832">
      <c r="A1832" s="181" t="s">
        <v>523</v>
      </c>
      <c r="B1832" s="181" t="s">
        <v>562</v>
      </c>
      <c r="C1832" s="181">
        <v>1.00663296E8</v>
      </c>
      <c r="D1832" s="181">
        <v>24.0</v>
      </c>
      <c r="E1832" s="181">
        <v>225.65</v>
      </c>
      <c r="F1832" s="181">
        <v>446.1</v>
      </c>
      <c r="G1832" s="181">
        <v>427.52</v>
      </c>
      <c r="H1832" s="828">
        <v>46096.0</v>
      </c>
      <c r="I1832" s="829">
        <f t="shared" si="1"/>
        <v>107.1877689</v>
      </c>
      <c r="J1832" s="830">
        <f t="shared" si="2"/>
        <v>0.4750178103</v>
      </c>
      <c r="K1832" s="830"/>
    </row>
    <row r="1833">
      <c r="A1833" s="181" t="s">
        <v>523</v>
      </c>
      <c r="B1833" s="181" t="s">
        <v>562</v>
      </c>
      <c r="C1833" s="181">
        <v>2.01326592E8</v>
      </c>
      <c r="D1833" s="181">
        <v>24.0</v>
      </c>
      <c r="E1833" s="181">
        <v>414.0</v>
      </c>
      <c r="F1833" s="181">
        <v>486.29</v>
      </c>
      <c r="G1833" s="181">
        <v>466.03</v>
      </c>
      <c r="H1833" s="828">
        <v>46096.0</v>
      </c>
      <c r="I1833" s="829">
        <f t="shared" si="1"/>
        <v>214.3755378</v>
      </c>
      <c r="J1833" s="830">
        <f t="shared" si="2"/>
        <v>0.5178153086</v>
      </c>
      <c r="K1833" s="830"/>
    </row>
    <row r="1834">
      <c r="A1834" s="181" t="s">
        <v>523</v>
      </c>
      <c r="B1834" s="181" t="s">
        <v>562</v>
      </c>
      <c r="C1834" s="181">
        <v>4.02653184E8</v>
      </c>
      <c r="D1834" s="181">
        <v>24.0</v>
      </c>
      <c r="E1834" s="181">
        <v>786.94</v>
      </c>
      <c r="F1834" s="181">
        <v>511.67</v>
      </c>
      <c r="G1834" s="181">
        <v>490.35</v>
      </c>
      <c r="H1834" s="828">
        <v>46096.0</v>
      </c>
      <c r="I1834" s="829">
        <f t="shared" si="1"/>
        <v>428.7510756</v>
      </c>
      <c r="J1834" s="830">
        <f t="shared" si="2"/>
        <v>0.5448332472</v>
      </c>
      <c r="K1834" s="830"/>
    </row>
    <row r="1835">
      <c r="A1835" s="181" t="s">
        <v>523</v>
      </c>
      <c r="B1835" s="181" t="s">
        <v>562</v>
      </c>
      <c r="C1835" s="181">
        <v>8.05306368E8</v>
      </c>
      <c r="D1835" s="181">
        <v>24.0</v>
      </c>
      <c r="E1835" s="181">
        <v>1596.22</v>
      </c>
      <c r="F1835" s="181">
        <v>504.51</v>
      </c>
      <c r="G1835" s="181">
        <v>483.49</v>
      </c>
      <c r="H1835" s="828">
        <v>46096.0</v>
      </c>
      <c r="I1835" s="829">
        <f t="shared" si="1"/>
        <v>857.5021511</v>
      </c>
      <c r="J1835" s="830">
        <f t="shared" si="2"/>
        <v>0.5372079983</v>
      </c>
      <c r="K1835" s="830"/>
    </row>
    <row r="1836">
      <c r="A1836" s="181" t="s">
        <v>523</v>
      </c>
      <c r="B1836" s="181" t="s">
        <v>562</v>
      </c>
      <c r="C1836" s="181">
        <v>1.610612736E9</v>
      </c>
      <c r="D1836" s="181">
        <v>24.0</v>
      </c>
      <c r="E1836" s="181">
        <v>2455.21</v>
      </c>
      <c r="F1836" s="181">
        <v>656.0</v>
      </c>
      <c r="G1836" s="181">
        <v>628.67</v>
      </c>
      <c r="H1836" s="828">
        <v>46096.0</v>
      </c>
      <c r="I1836" s="829">
        <f t="shared" si="1"/>
        <v>1715.004302</v>
      </c>
      <c r="J1836" s="830">
        <f t="shared" si="2"/>
        <v>0.6985163396</v>
      </c>
      <c r="K1836" s="830"/>
    </row>
    <row r="1837">
      <c r="A1837" s="181" t="s">
        <v>523</v>
      </c>
      <c r="B1837" s="181" t="s">
        <v>562</v>
      </c>
      <c r="C1837" s="181">
        <v>3.221225472E9</v>
      </c>
      <c r="D1837" s="181">
        <v>24.0</v>
      </c>
      <c r="E1837" s="181">
        <v>4901.51</v>
      </c>
      <c r="F1837" s="181">
        <v>657.19</v>
      </c>
      <c r="G1837" s="181">
        <v>629.81</v>
      </c>
      <c r="H1837" s="828">
        <v>46096.0</v>
      </c>
      <c r="I1837" s="829">
        <f t="shared" si="1"/>
        <v>3430.008604</v>
      </c>
      <c r="J1837" s="830">
        <f t="shared" si="2"/>
        <v>0.6997861076</v>
      </c>
      <c r="K1837" s="830"/>
    </row>
    <row r="1838">
      <c r="A1838" s="181" t="s">
        <v>523</v>
      </c>
      <c r="B1838" s="181" t="s">
        <v>562</v>
      </c>
      <c r="C1838" s="181">
        <v>6.442450944E9</v>
      </c>
      <c r="D1838" s="181">
        <v>24.0</v>
      </c>
      <c r="E1838" s="181">
        <v>9780.48</v>
      </c>
      <c r="F1838" s="181">
        <v>658.71</v>
      </c>
      <c r="G1838" s="181">
        <v>631.26</v>
      </c>
      <c r="H1838" s="828">
        <v>46096.0</v>
      </c>
      <c r="I1838" s="829">
        <f t="shared" si="1"/>
        <v>6860.017209</v>
      </c>
      <c r="J1838" s="830">
        <f t="shared" si="2"/>
        <v>0.701398828</v>
      </c>
      <c r="K1838" s="830"/>
    </row>
    <row r="1839">
      <c r="A1839" s="181" t="s">
        <v>523</v>
      </c>
      <c r="B1839" s="181" t="s">
        <v>562</v>
      </c>
      <c r="C1839" s="181">
        <v>1.2884901888E10</v>
      </c>
      <c r="D1839" s="181">
        <v>24.0</v>
      </c>
      <c r="E1839" s="181">
        <v>20032.0</v>
      </c>
      <c r="F1839" s="181">
        <v>643.21</v>
      </c>
      <c r="G1839" s="181">
        <v>616.41</v>
      </c>
      <c r="H1839" s="828">
        <v>46096.0</v>
      </c>
      <c r="I1839" s="829">
        <f t="shared" si="1"/>
        <v>13720.03442</v>
      </c>
      <c r="J1839" s="830">
        <f t="shared" si="2"/>
        <v>0.6849058715</v>
      </c>
      <c r="K1839" s="830"/>
    </row>
    <row r="1840">
      <c r="A1840" s="181" t="s">
        <v>523</v>
      </c>
      <c r="B1840" s="181" t="s">
        <v>562</v>
      </c>
      <c r="C1840" s="181">
        <v>1664.0</v>
      </c>
      <c r="D1840" s="181">
        <v>26.0</v>
      </c>
      <c r="E1840" s="181">
        <v>20.71</v>
      </c>
      <c r="F1840" s="181">
        <v>0.08</v>
      </c>
      <c r="G1840" s="181">
        <v>0.08</v>
      </c>
      <c r="H1840" s="828">
        <v>46096.0</v>
      </c>
      <c r="I1840" s="829">
        <f t="shared" si="1"/>
        <v>0.001777777778</v>
      </c>
      <c r="J1840" s="830">
        <f t="shared" si="2"/>
        <v>0.0000858415151</v>
      </c>
      <c r="K1840" s="830"/>
    </row>
    <row r="1841">
      <c r="A1841" s="181" t="s">
        <v>523</v>
      </c>
      <c r="B1841" s="181" t="s">
        <v>562</v>
      </c>
      <c r="C1841" s="181">
        <v>3328.0</v>
      </c>
      <c r="D1841" s="181">
        <v>26.0</v>
      </c>
      <c r="E1841" s="181">
        <v>24.05</v>
      </c>
      <c r="F1841" s="181">
        <v>0.14</v>
      </c>
      <c r="G1841" s="181">
        <v>0.13</v>
      </c>
      <c r="H1841" s="828">
        <v>46096.0</v>
      </c>
      <c r="I1841" s="829">
        <f t="shared" si="1"/>
        <v>0.003555555556</v>
      </c>
      <c r="J1841" s="830">
        <f t="shared" si="2"/>
        <v>0.0001478401478</v>
      </c>
      <c r="K1841" s="830"/>
    </row>
    <row r="1842">
      <c r="A1842" s="181" t="s">
        <v>523</v>
      </c>
      <c r="B1842" s="181" t="s">
        <v>562</v>
      </c>
      <c r="C1842" s="181">
        <v>6656.0</v>
      </c>
      <c r="D1842" s="181">
        <v>26.0</v>
      </c>
      <c r="E1842" s="181">
        <v>19.27</v>
      </c>
      <c r="F1842" s="181">
        <v>0.35</v>
      </c>
      <c r="G1842" s="181">
        <v>0.33</v>
      </c>
      <c r="H1842" s="828">
        <v>46096.0</v>
      </c>
      <c r="I1842" s="829">
        <f t="shared" si="1"/>
        <v>0.007111111111</v>
      </c>
      <c r="J1842" s="830">
        <f t="shared" si="2"/>
        <v>0.0003690249668</v>
      </c>
      <c r="K1842" s="830"/>
    </row>
    <row r="1843">
      <c r="A1843" s="181" t="s">
        <v>523</v>
      </c>
      <c r="B1843" s="181" t="s">
        <v>562</v>
      </c>
      <c r="C1843" s="181">
        <v>13312.0</v>
      </c>
      <c r="D1843" s="181">
        <v>26.0</v>
      </c>
      <c r="E1843" s="181">
        <v>19.99</v>
      </c>
      <c r="F1843" s="181">
        <v>0.67</v>
      </c>
      <c r="G1843" s="181">
        <v>0.64</v>
      </c>
      <c r="H1843" s="828">
        <v>46096.0</v>
      </c>
      <c r="I1843" s="829">
        <f t="shared" si="1"/>
        <v>0.01422222222</v>
      </c>
      <c r="J1843" s="830">
        <f t="shared" si="2"/>
        <v>0.0007114668445</v>
      </c>
      <c r="K1843" s="830"/>
    </row>
    <row r="1844">
      <c r="A1844" s="181" t="s">
        <v>523</v>
      </c>
      <c r="B1844" s="181" t="s">
        <v>562</v>
      </c>
      <c r="C1844" s="181">
        <v>26624.0</v>
      </c>
      <c r="D1844" s="181">
        <v>26.0</v>
      </c>
      <c r="E1844" s="181">
        <v>19.26</v>
      </c>
      <c r="F1844" s="181">
        <v>1.38</v>
      </c>
      <c r="G1844" s="181">
        <v>1.33</v>
      </c>
      <c r="H1844" s="828">
        <v>46096.0</v>
      </c>
      <c r="I1844" s="829">
        <f t="shared" si="1"/>
        <v>0.02844444444</v>
      </c>
      <c r="J1844" s="830">
        <f t="shared" si="2"/>
        <v>0.001476866274</v>
      </c>
      <c r="K1844" s="830"/>
    </row>
    <row r="1845">
      <c r="A1845" s="181" t="s">
        <v>523</v>
      </c>
      <c r="B1845" s="181" t="s">
        <v>562</v>
      </c>
      <c r="C1845" s="181">
        <v>53248.0</v>
      </c>
      <c r="D1845" s="181">
        <v>26.0</v>
      </c>
      <c r="E1845" s="181">
        <v>19.59</v>
      </c>
      <c r="F1845" s="181">
        <v>2.72</v>
      </c>
      <c r="G1845" s="181">
        <v>2.61</v>
      </c>
      <c r="H1845" s="828">
        <v>46096.0</v>
      </c>
      <c r="I1845" s="829">
        <f t="shared" si="1"/>
        <v>0.05688888889</v>
      </c>
      <c r="J1845" s="830">
        <f t="shared" si="2"/>
        <v>0.002903975951</v>
      </c>
      <c r="K1845" s="830"/>
    </row>
    <row r="1846">
      <c r="A1846" s="181" t="s">
        <v>523</v>
      </c>
      <c r="B1846" s="181" t="s">
        <v>562</v>
      </c>
      <c r="C1846" s="181">
        <v>106496.0</v>
      </c>
      <c r="D1846" s="181">
        <v>26.0</v>
      </c>
      <c r="E1846" s="181">
        <v>22.1</v>
      </c>
      <c r="F1846" s="181">
        <v>4.82</v>
      </c>
      <c r="G1846" s="181">
        <v>4.63</v>
      </c>
      <c r="H1846" s="828">
        <v>46096.0</v>
      </c>
      <c r="I1846" s="829">
        <f t="shared" si="1"/>
        <v>0.1137777778</v>
      </c>
      <c r="J1846" s="830">
        <f t="shared" si="2"/>
        <v>0.005148315737</v>
      </c>
      <c r="K1846" s="830"/>
    </row>
    <row r="1847">
      <c r="A1847" s="181" t="s">
        <v>523</v>
      </c>
      <c r="B1847" s="181" t="s">
        <v>562</v>
      </c>
      <c r="C1847" s="181">
        <v>212992.0</v>
      </c>
      <c r="D1847" s="181">
        <v>26.0</v>
      </c>
      <c r="E1847" s="181">
        <v>20.75</v>
      </c>
      <c r="F1847" s="181">
        <v>10.27</v>
      </c>
      <c r="G1847" s="181">
        <v>9.87</v>
      </c>
      <c r="H1847" s="828">
        <v>46096.0</v>
      </c>
      <c r="I1847" s="829">
        <f t="shared" si="1"/>
        <v>0.2275555556</v>
      </c>
      <c r="J1847" s="830">
        <f t="shared" si="2"/>
        <v>0.0109665328</v>
      </c>
      <c r="K1847" s="830"/>
    </row>
    <row r="1848">
      <c r="A1848" s="181" t="s">
        <v>523</v>
      </c>
      <c r="B1848" s="181" t="s">
        <v>562</v>
      </c>
      <c r="C1848" s="181">
        <v>425984.0</v>
      </c>
      <c r="D1848" s="181">
        <v>26.0</v>
      </c>
      <c r="E1848" s="181">
        <v>20.57</v>
      </c>
      <c r="F1848" s="181">
        <v>20.7</v>
      </c>
      <c r="G1848" s="181">
        <v>19.91</v>
      </c>
      <c r="H1848" s="828">
        <v>46096.0</v>
      </c>
      <c r="I1848" s="829">
        <f t="shared" si="1"/>
        <v>0.4551111111</v>
      </c>
      <c r="J1848" s="830">
        <f t="shared" si="2"/>
        <v>0.02212499325</v>
      </c>
      <c r="K1848" s="830"/>
    </row>
    <row r="1849">
      <c r="A1849" s="181" t="s">
        <v>523</v>
      </c>
      <c r="B1849" s="181" t="s">
        <v>562</v>
      </c>
      <c r="C1849" s="181">
        <v>851968.0</v>
      </c>
      <c r="D1849" s="181">
        <v>26.0</v>
      </c>
      <c r="E1849" s="181">
        <v>20.35</v>
      </c>
      <c r="F1849" s="181">
        <v>41.86</v>
      </c>
      <c r="G1849" s="181">
        <v>40.25</v>
      </c>
      <c r="H1849" s="828">
        <v>46096.0</v>
      </c>
      <c r="I1849" s="829">
        <f t="shared" si="1"/>
        <v>0.9102222222</v>
      </c>
      <c r="J1849" s="830">
        <f t="shared" si="2"/>
        <v>0.04472836473</v>
      </c>
      <c r="K1849" s="830"/>
    </row>
    <row r="1850">
      <c r="A1850" s="181" t="s">
        <v>523</v>
      </c>
      <c r="B1850" s="181" t="s">
        <v>562</v>
      </c>
      <c r="C1850" s="181">
        <v>1703936.0</v>
      </c>
      <c r="D1850" s="181">
        <v>26.0</v>
      </c>
      <c r="E1850" s="181">
        <v>26.44</v>
      </c>
      <c r="F1850" s="181">
        <v>64.45</v>
      </c>
      <c r="G1850" s="181">
        <v>61.97</v>
      </c>
      <c r="H1850" s="828">
        <v>46096.0</v>
      </c>
      <c r="I1850" s="829">
        <f t="shared" si="1"/>
        <v>1.820444444</v>
      </c>
      <c r="J1850" s="830">
        <f t="shared" si="2"/>
        <v>0.06885190788</v>
      </c>
      <c r="K1850" s="830"/>
    </row>
    <row r="1851">
      <c r="A1851" s="181" t="s">
        <v>523</v>
      </c>
      <c r="B1851" s="181" t="s">
        <v>562</v>
      </c>
      <c r="C1851" s="181">
        <v>3407872.0</v>
      </c>
      <c r="D1851" s="181">
        <v>26.0</v>
      </c>
      <c r="E1851" s="181">
        <v>41.72</v>
      </c>
      <c r="F1851" s="181">
        <v>81.68</v>
      </c>
      <c r="G1851" s="181">
        <v>78.53</v>
      </c>
      <c r="H1851" s="828">
        <v>46096.0</v>
      </c>
      <c r="I1851" s="829">
        <f t="shared" si="1"/>
        <v>3.640888889</v>
      </c>
      <c r="J1851" s="830">
        <f t="shared" si="2"/>
        <v>0.08726962821</v>
      </c>
      <c r="K1851" s="830"/>
    </row>
    <row r="1852">
      <c r="A1852" s="181" t="s">
        <v>523</v>
      </c>
      <c r="B1852" s="181" t="s">
        <v>562</v>
      </c>
      <c r="C1852" s="181">
        <v>6815744.0</v>
      </c>
      <c r="D1852" s="181">
        <v>26.0</v>
      </c>
      <c r="E1852" s="181">
        <v>69.08</v>
      </c>
      <c r="F1852" s="181">
        <v>98.66</v>
      </c>
      <c r="G1852" s="181">
        <v>94.87</v>
      </c>
      <c r="H1852" s="828">
        <v>46096.0</v>
      </c>
      <c r="I1852" s="829">
        <f t="shared" si="1"/>
        <v>7.281777778</v>
      </c>
      <c r="J1852" s="830">
        <f t="shared" si="2"/>
        <v>0.1054107959</v>
      </c>
      <c r="K1852" s="830"/>
    </row>
    <row r="1853">
      <c r="A1853" s="181" t="s">
        <v>523</v>
      </c>
      <c r="B1853" s="181" t="s">
        <v>562</v>
      </c>
      <c r="C1853" s="181">
        <v>1.3631488E7</v>
      </c>
      <c r="D1853" s="181">
        <v>26.0</v>
      </c>
      <c r="E1853" s="181">
        <v>124.21</v>
      </c>
      <c r="F1853" s="181">
        <v>109.75</v>
      </c>
      <c r="G1853" s="181">
        <v>105.53</v>
      </c>
      <c r="H1853" s="828">
        <v>46096.0</v>
      </c>
      <c r="I1853" s="829">
        <f t="shared" si="1"/>
        <v>14.56355556</v>
      </c>
      <c r="J1853" s="830">
        <f t="shared" si="2"/>
        <v>0.117249461</v>
      </c>
      <c r="K1853" s="830"/>
    </row>
    <row r="1854">
      <c r="A1854" s="181" t="s">
        <v>523</v>
      </c>
      <c r="B1854" s="181" t="s">
        <v>562</v>
      </c>
      <c r="C1854" s="181">
        <v>2.7262976E7</v>
      </c>
      <c r="D1854" s="181">
        <v>26.0</v>
      </c>
      <c r="E1854" s="181">
        <v>82.53</v>
      </c>
      <c r="F1854" s="181">
        <v>330.32</v>
      </c>
      <c r="G1854" s="181">
        <v>317.62</v>
      </c>
      <c r="H1854" s="828">
        <v>46096.0</v>
      </c>
      <c r="I1854" s="829">
        <f t="shared" si="1"/>
        <v>29.12711111</v>
      </c>
      <c r="J1854" s="830">
        <f t="shared" si="2"/>
        <v>0.352927555</v>
      </c>
      <c r="K1854" s="830"/>
    </row>
    <row r="1855">
      <c r="A1855" s="181" t="s">
        <v>523</v>
      </c>
      <c r="B1855" s="181" t="s">
        <v>562</v>
      </c>
      <c r="C1855" s="181">
        <v>5.4525952E7</v>
      </c>
      <c r="D1855" s="181">
        <v>26.0</v>
      </c>
      <c r="E1855" s="181">
        <v>134.66</v>
      </c>
      <c r="F1855" s="181">
        <v>404.92</v>
      </c>
      <c r="G1855" s="181">
        <v>389.35</v>
      </c>
      <c r="H1855" s="828">
        <v>46096.0</v>
      </c>
      <c r="I1855" s="829">
        <f t="shared" si="1"/>
        <v>58.25422222</v>
      </c>
      <c r="J1855" s="830">
        <f t="shared" si="2"/>
        <v>0.432602274</v>
      </c>
      <c r="K1855" s="830"/>
    </row>
    <row r="1856">
      <c r="A1856" s="181" t="s">
        <v>523</v>
      </c>
      <c r="B1856" s="181" t="s">
        <v>562</v>
      </c>
      <c r="C1856" s="181">
        <v>1.09051904E8</v>
      </c>
      <c r="D1856" s="181">
        <v>26.0</v>
      </c>
      <c r="E1856" s="181">
        <v>229.81</v>
      </c>
      <c r="F1856" s="181">
        <v>474.54</v>
      </c>
      <c r="G1856" s="181">
        <v>456.29</v>
      </c>
      <c r="H1856" s="828">
        <v>46096.0</v>
      </c>
      <c r="I1856" s="829">
        <f t="shared" si="1"/>
        <v>116.5084444</v>
      </c>
      <c r="J1856" s="830">
        <f t="shared" si="2"/>
        <v>0.5069772614</v>
      </c>
      <c r="K1856" s="830"/>
    </row>
    <row r="1857">
      <c r="A1857" s="181" t="s">
        <v>523</v>
      </c>
      <c r="B1857" s="181" t="s">
        <v>562</v>
      </c>
      <c r="C1857" s="181">
        <v>2.18103808E8</v>
      </c>
      <c r="D1857" s="181">
        <v>26.0</v>
      </c>
      <c r="E1857" s="181">
        <v>419.1</v>
      </c>
      <c r="F1857" s="181">
        <v>520.41</v>
      </c>
      <c r="G1857" s="181">
        <v>500.39</v>
      </c>
      <c r="H1857" s="828">
        <v>46096.0</v>
      </c>
      <c r="I1857" s="829">
        <f t="shared" si="1"/>
        <v>233.0168889</v>
      </c>
      <c r="J1857" s="830">
        <f t="shared" si="2"/>
        <v>0.5559935311</v>
      </c>
      <c r="K1857" s="830"/>
    </row>
    <row r="1858">
      <c r="A1858" s="181" t="s">
        <v>523</v>
      </c>
      <c r="B1858" s="181" t="s">
        <v>562</v>
      </c>
      <c r="C1858" s="181">
        <v>4.36207616E8</v>
      </c>
      <c r="D1858" s="181">
        <v>26.0</v>
      </c>
      <c r="E1858" s="181">
        <v>794.98</v>
      </c>
      <c r="F1858" s="181">
        <v>548.7</v>
      </c>
      <c r="G1858" s="181">
        <v>527.6</v>
      </c>
      <c r="H1858" s="828">
        <v>46096.0</v>
      </c>
      <c r="I1858" s="829">
        <f t="shared" si="1"/>
        <v>466.0337778</v>
      </c>
      <c r="J1858" s="830">
        <f t="shared" si="2"/>
        <v>0.5862207575</v>
      </c>
      <c r="K1858" s="830"/>
    </row>
    <row r="1859">
      <c r="A1859" s="181" t="s">
        <v>523</v>
      </c>
      <c r="B1859" s="181" t="s">
        <v>562</v>
      </c>
      <c r="C1859" s="181">
        <v>8.72415232E8</v>
      </c>
      <c r="D1859" s="181">
        <v>26.0</v>
      </c>
      <c r="E1859" s="181">
        <v>1603.49</v>
      </c>
      <c r="F1859" s="181">
        <v>544.07</v>
      </c>
      <c r="G1859" s="181">
        <v>523.15</v>
      </c>
      <c r="H1859" s="828">
        <v>46096.0</v>
      </c>
      <c r="I1859" s="829">
        <f t="shared" si="1"/>
        <v>932.0675556</v>
      </c>
      <c r="J1859" s="830">
        <f t="shared" si="2"/>
        <v>0.5812743176</v>
      </c>
      <c r="K1859" s="830"/>
    </row>
    <row r="1860">
      <c r="A1860" s="181" t="s">
        <v>523</v>
      </c>
      <c r="B1860" s="181" t="s">
        <v>562</v>
      </c>
      <c r="C1860" s="181">
        <v>1.744830464E9</v>
      </c>
      <c r="D1860" s="181">
        <v>26.0</v>
      </c>
      <c r="E1860" s="181">
        <v>3192.38</v>
      </c>
      <c r="F1860" s="181">
        <v>546.56</v>
      </c>
      <c r="G1860" s="181">
        <v>525.54</v>
      </c>
      <c r="H1860" s="828">
        <v>46096.0</v>
      </c>
      <c r="I1860" s="829">
        <f t="shared" si="1"/>
        <v>1864.135111</v>
      </c>
      <c r="J1860" s="830">
        <f t="shared" si="2"/>
        <v>0.583932712</v>
      </c>
      <c r="K1860" s="830"/>
    </row>
    <row r="1861">
      <c r="A1861" s="181" t="s">
        <v>523</v>
      </c>
      <c r="B1861" s="181" t="s">
        <v>562</v>
      </c>
      <c r="C1861" s="181">
        <v>3.489660928E9</v>
      </c>
      <c r="D1861" s="181">
        <v>26.0</v>
      </c>
      <c r="E1861" s="181">
        <v>5633.26</v>
      </c>
      <c r="F1861" s="181">
        <v>619.47</v>
      </c>
      <c r="G1861" s="181">
        <v>595.65</v>
      </c>
      <c r="H1861" s="828">
        <v>46096.0</v>
      </c>
      <c r="I1861" s="829">
        <f t="shared" si="1"/>
        <v>3728.270222</v>
      </c>
      <c r="J1861" s="830">
        <f t="shared" si="2"/>
        <v>0.6618317319</v>
      </c>
      <c r="K1861" s="830"/>
    </row>
    <row r="1862">
      <c r="A1862" s="181" t="s">
        <v>523</v>
      </c>
      <c r="B1862" s="181" t="s">
        <v>562</v>
      </c>
      <c r="C1862" s="181">
        <v>6.979321856E9</v>
      </c>
      <c r="D1862" s="181">
        <v>26.0</v>
      </c>
      <c r="E1862" s="181">
        <v>10614.9</v>
      </c>
      <c r="F1862" s="181">
        <v>657.5</v>
      </c>
      <c r="G1862" s="181">
        <v>632.22</v>
      </c>
      <c r="H1862" s="828">
        <v>46096.0</v>
      </c>
      <c r="I1862" s="829">
        <f t="shared" si="1"/>
        <v>7456.540444</v>
      </c>
      <c r="J1862" s="830">
        <f t="shared" si="2"/>
        <v>0.7024597918</v>
      </c>
      <c r="K1862" s="830"/>
    </row>
    <row r="1863">
      <c r="A1863" s="181" t="s">
        <v>523</v>
      </c>
      <c r="B1863" s="181" t="s">
        <v>562</v>
      </c>
      <c r="C1863" s="181">
        <v>1.3958643712E10</v>
      </c>
      <c r="D1863" s="181">
        <v>26.0</v>
      </c>
      <c r="E1863" s="181">
        <v>21749.6</v>
      </c>
      <c r="F1863" s="181">
        <v>641.79</v>
      </c>
      <c r="G1863" s="181">
        <v>617.1</v>
      </c>
      <c r="H1863" s="828">
        <v>46096.0</v>
      </c>
      <c r="I1863" s="829">
        <f t="shared" si="1"/>
        <v>14913.08089</v>
      </c>
      <c r="J1863" s="830">
        <f t="shared" si="2"/>
        <v>0.6856715015</v>
      </c>
      <c r="K1863" s="830"/>
    </row>
    <row r="1864">
      <c r="A1864" s="181" t="s">
        <v>523</v>
      </c>
      <c r="B1864" s="181" t="s">
        <v>562</v>
      </c>
      <c r="C1864" s="181">
        <v>1792.0</v>
      </c>
      <c r="D1864" s="181">
        <v>28.0</v>
      </c>
      <c r="E1864" s="181">
        <v>24.55</v>
      </c>
      <c r="F1864" s="181">
        <v>0.07</v>
      </c>
      <c r="G1864" s="181">
        <v>0.07</v>
      </c>
      <c r="H1864" s="828">
        <v>46096.0</v>
      </c>
      <c r="I1864" s="829">
        <f t="shared" si="1"/>
        <v>0.00192</v>
      </c>
      <c r="J1864" s="830">
        <f t="shared" si="2"/>
        <v>0.00007820773931</v>
      </c>
      <c r="K1864" s="830"/>
    </row>
    <row r="1865">
      <c r="A1865" s="181" t="s">
        <v>523</v>
      </c>
      <c r="B1865" s="181" t="s">
        <v>562</v>
      </c>
      <c r="C1865" s="181">
        <v>3584.0</v>
      </c>
      <c r="D1865" s="181">
        <v>28.0</v>
      </c>
      <c r="E1865" s="181">
        <v>23.88</v>
      </c>
      <c r="F1865" s="181">
        <v>0.15</v>
      </c>
      <c r="G1865" s="181">
        <v>0.14</v>
      </c>
      <c r="H1865" s="828">
        <v>46096.0</v>
      </c>
      <c r="I1865" s="829">
        <f t="shared" si="1"/>
        <v>0.00384</v>
      </c>
      <c r="J1865" s="830">
        <f t="shared" si="2"/>
        <v>0.0001608040201</v>
      </c>
      <c r="K1865" s="830"/>
    </row>
    <row r="1866">
      <c r="A1866" s="181" t="s">
        <v>523</v>
      </c>
      <c r="B1866" s="181" t="s">
        <v>562</v>
      </c>
      <c r="C1866" s="181">
        <v>7168.0</v>
      </c>
      <c r="D1866" s="181">
        <v>28.0</v>
      </c>
      <c r="E1866" s="181">
        <v>24.6</v>
      </c>
      <c r="F1866" s="181">
        <v>0.29</v>
      </c>
      <c r="G1866" s="181">
        <v>0.28</v>
      </c>
      <c r="H1866" s="828">
        <v>46096.0</v>
      </c>
      <c r="I1866" s="829">
        <f t="shared" si="1"/>
        <v>0.00768</v>
      </c>
      <c r="J1866" s="830">
        <f t="shared" si="2"/>
        <v>0.000312195122</v>
      </c>
      <c r="K1866" s="830"/>
    </row>
    <row r="1867">
      <c r="A1867" s="181" t="s">
        <v>523</v>
      </c>
      <c r="B1867" s="181" t="s">
        <v>562</v>
      </c>
      <c r="C1867" s="181">
        <v>14336.0</v>
      </c>
      <c r="D1867" s="181">
        <v>28.0</v>
      </c>
      <c r="E1867" s="181">
        <v>22.81</v>
      </c>
      <c r="F1867" s="181">
        <v>0.63</v>
      </c>
      <c r="G1867" s="181">
        <v>0.61</v>
      </c>
      <c r="H1867" s="828">
        <v>46096.0</v>
      </c>
      <c r="I1867" s="829">
        <f t="shared" si="1"/>
        <v>0.01536</v>
      </c>
      <c r="J1867" s="830">
        <f t="shared" si="2"/>
        <v>0.0006733888645</v>
      </c>
      <c r="K1867" s="830"/>
    </row>
    <row r="1868">
      <c r="A1868" s="181" t="s">
        <v>523</v>
      </c>
      <c r="B1868" s="181" t="s">
        <v>562</v>
      </c>
      <c r="C1868" s="181">
        <v>28672.0</v>
      </c>
      <c r="D1868" s="181">
        <v>28.0</v>
      </c>
      <c r="E1868" s="181">
        <v>23.71</v>
      </c>
      <c r="F1868" s="181">
        <v>1.21</v>
      </c>
      <c r="G1868" s="181">
        <v>1.17</v>
      </c>
      <c r="H1868" s="828">
        <v>46096.0</v>
      </c>
      <c r="I1868" s="829">
        <f t="shared" si="1"/>
        <v>0.03072</v>
      </c>
      <c r="J1868" s="830">
        <f t="shared" si="2"/>
        <v>0.001295655841</v>
      </c>
      <c r="K1868" s="830"/>
    </row>
    <row r="1869">
      <c r="A1869" s="181" t="s">
        <v>523</v>
      </c>
      <c r="B1869" s="181" t="s">
        <v>562</v>
      </c>
      <c r="C1869" s="181">
        <v>57344.0</v>
      </c>
      <c r="D1869" s="181">
        <v>28.0</v>
      </c>
      <c r="E1869" s="181">
        <v>21.39</v>
      </c>
      <c r="F1869" s="181">
        <v>2.68</v>
      </c>
      <c r="G1869" s="181">
        <v>2.58</v>
      </c>
      <c r="H1869" s="828">
        <v>46096.0</v>
      </c>
      <c r="I1869" s="829">
        <f t="shared" si="1"/>
        <v>0.06144</v>
      </c>
      <c r="J1869" s="830">
        <f t="shared" si="2"/>
        <v>0.002872370266</v>
      </c>
      <c r="K1869" s="830"/>
    </row>
    <row r="1870">
      <c r="A1870" s="181" t="s">
        <v>523</v>
      </c>
      <c r="B1870" s="181" t="s">
        <v>562</v>
      </c>
      <c r="C1870" s="181">
        <v>114688.0</v>
      </c>
      <c r="D1870" s="181">
        <v>28.0</v>
      </c>
      <c r="E1870" s="181">
        <v>21.44</v>
      </c>
      <c r="F1870" s="181">
        <v>5.35</v>
      </c>
      <c r="G1870" s="181">
        <v>5.16</v>
      </c>
      <c r="H1870" s="828">
        <v>46096.0</v>
      </c>
      <c r="I1870" s="829">
        <f t="shared" si="1"/>
        <v>0.12288</v>
      </c>
      <c r="J1870" s="830">
        <f t="shared" si="2"/>
        <v>0.005731343284</v>
      </c>
      <c r="K1870" s="830"/>
    </row>
    <row r="1871">
      <c r="A1871" s="181" t="s">
        <v>523</v>
      </c>
      <c r="B1871" s="181" t="s">
        <v>562</v>
      </c>
      <c r="C1871" s="181">
        <v>229376.0</v>
      </c>
      <c r="D1871" s="181">
        <v>28.0</v>
      </c>
      <c r="E1871" s="181">
        <v>21.83</v>
      </c>
      <c r="F1871" s="181">
        <v>10.51</v>
      </c>
      <c r="G1871" s="181">
        <v>10.13</v>
      </c>
      <c r="H1871" s="828">
        <v>46096.0</v>
      </c>
      <c r="I1871" s="829">
        <f t="shared" si="1"/>
        <v>0.24576</v>
      </c>
      <c r="J1871" s="830">
        <f t="shared" si="2"/>
        <v>0.01125790197</v>
      </c>
      <c r="K1871" s="830"/>
    </row>
    <row r="1872">
      <c r="A1872" s="181" t="s">
        <v>523</v>
      </c>
      <c r="B1872" s="181" t="s">
        <v>562</v>
      </c>
      <c r="C1872" s="181">
        <v>458752.0</v>
      </c>
      <c r="D1872" s="181">
        <v>28.0</v>
      </c>
      <c r="E1872" s="181">
        <v>22.89</v>
      </c>
      <c r="F1872" s="181">
        <v>20.04</v>
      </c>
      <c r="G1872" s="181">
        <v>19.33</v>
      </c>
      <c r="H1872" s="828">
        <v>46096.0</v>
      </c>
      <c r="I1872" s="829">
        <f t="shared" si="1"/>
        <v>0.49152</v>
      </c>
      <c r="J1872" s="830">
        <f t="shared" si="2"/>
        <v>0.02147313237</v>
      </c>
      <c r="K1872" s="830"/>
    </row>
    <row r="1873">
      <c r="A1873" s="181" t="s">
        <v>523</v>
      </c>
      <c r="B1873" s="181" t="s">
        <v>562</v>
      </c>
      <c r="C1873" s="181">
        <v>917504.0</v>
      </c>
      <c r="D1873" s="181">
        <v>28.0</v>
      </c>
      <c r="E1873" s="181">
        <v>22.49</v>
      </c>
      <c r="F1873" s="181">
        <v>40.8</v>
      </c>
      <c r="G1873" s="181">
        <v>39.34</v>
      </c>
      <c r="H1873" s="828">
        <v>46096.0</v>
      </c>
      <c r="I1873" s="829">
        <f t="shared" si="1"/>
        <v>0.98304</v>
      </c>
      <c r="J1873" s="830">
        <f t="shared" si="2"/>
        <v>0.04371009337</v>
      </c>
      <c r="K1873" s="830"/>
    </row>
    <row r="1874">
      <c r="A1874" s="181" t="s">
        <v>523</v>
      </c>
      <c r="B1874" s="181" t="s">
        <v>562</v>
      </c>
      <c r="C1874" s="181">
        <v>1835008.0</v>
      </c>
      <c r="D1874" s="181">
        <v>28.0</v>
      </c>
      <c r="E1874" s="181">
        <v>27.7</v>
      </c>
      <c r="F1874" s="181">
        <v>66.26</v>
      </c>
      <c r="G1874" s="181">
        <v>63.89</v>
      </c>
      <c r="H1874" s="828">
        <v>46096.0</v>
      </c>
      <c r="I1874" s="829">
        <f t="shared" si="1"/>
        <v>1.96608</v>
      </c>
      <c r="J1874" s="830">
        <f t="shared" si="2"/>
        <v>0.07097761733</v>
      </c>
      <c r="K1874" s="830"/>
    </row>
    <row r="1875">
      <c r="A1875" s="181" t="s">
        <v>523</v>
      </c>
      <c r="B1875" s="181" t="s">
        <v>562</v>
      </c>
      <c r="C1875" s="181">
        <v>3670016.0</v>
      </c>
      <c r="D1875" s="181">
        <v>28.0</v>
      </c>
      <c r="E1875" s="181">
        <v>41.84</v>
      </c>
      <c r="F1875" s="181">
        <v>87.71</v>
      </c>
      <c r="G1875" s="181">
        <v>84.58</v>
      </c>
      <c r="H1875" s="828">
        <v>46096.0</v>
      </c>
      <c r="I1875" s="829">
        <f t="shared" si="1"/>
        <v>3.93216</v>
      </c>
      <c r="J1875" s="830">
        <f t="shared" si="2"/>
        <v>0.09398087954</v>
      </c>
      <c r="K1875" s="830"/>
    </row>
    <row r="1876">
      <c r="A1876" s="181" t="s">
        <v>523</v>
      </c>
      <c r="B1876" s="181" t="s">
        <v>562</v>
      </c>
      <c r="C1876" s="181">
        <v>7340032.0</v>
      </c>
      <c r="D1876" s="181">
        <v>28.0</v>
      </c>
      <c r="E1876" s="181">
        <v>70.17</v>
      </c>
      <c r="F1876" s="181">
        <v>104.6</v>
      </c>
      <c r="G1876" s="181">
        <v>100.87</v>
      </c>
      <c r="H1876" s="828">
        <v>46096.0</v>
      </c>
      <c r="I1876" s="829">
        <f t="shared" si="1"/>
        <v>7.86432</v>
      </c>
      <c r="J1876" s="830">
        <f t="shared" si="2"/>
        <v>0.1120752458</v>
      </c>
      <c r="K1876" s="830"/>
    </row>
    <row r="1877">
      <c r="A1877" s="181" t="s">
        <v>523</v>
      </c>
      <c r="B1877" s="181" t="s">
        <v>562</v>
      </c>
      <c r="C1877" s="181">
        <v>1.4680064E7</v>
      </c>
      <c r="D1877" s="181">
        <v>28.0</v>
      </c>
      <c r="E1877" s="181">
        <v>128.62</v>
      </c>
      <c r="F1877" s="181">
        <v>114.14</v>
      </c>
      <c r="G1877" s="181">
        <v>110.06</v>
      </c>
      <c r="H1877" s="828">
        <v>46096.0</v>
      </c>
      <c r="I1877" s="829">
        <f t="shared" si="1"/>
        <v>15.72864</v>
      </c>
      <c r="J1877" s="830">
        <f t="shared" si="2"/>
        <v>0.1222876691</v>
      </c>
      <c r="K1877" s="830"/>
    </row>
    <row r="1878">
      <c r="A1878" s="181" t="s">
        <v>523</v>
      </c>
      <c r="B1878" s="181" t="s">
        <v>562</v>
      </c>
      <c r="C1878" s="181">
        <v>2.9360128E7</v>
      </c>
      <c r="D1878" s="181">
        <v>28.0</v>
      </c>
      <c r="E1878" s="181">
        <v>87.19</v>
      </c>
      <c r="F1878" s="181">
        <v>336.72</v>
      </c>
      <c r="G1878" s="181">
        <v>324.7</v>
      </c>
      <c r="H1878" s="828">
        <v>46096.0</v>
      </c>
      <c r="I1878" s="829">
        <f t="shared" si="1"/>
        <v>31.45728</v>
      </c>
      <c r="J1878" s="830">
        <f t="shared" si="2"/>
        <v>0.3607899989</v>
      </c>
      <c r="K1878" s="830"/>
    </row>
    <row r="1879">
      <c r="A1879" s="181" t="s">
        <v>523</v>
      </c>
      <c r="B1879" s="181" t="s">
        <v>562</v>
      </c>
      <c r="C1879" s="181">
        <v>5.8720256E7</v>
      </c>
      <c r="D1879" s="181">
        <v>28.0</v>
      </c>
      <c r="E1879" s="181">
        <v>138.87</v>
      </c>
      <c r="F1879" s="181">
        <v>422.86</v>
      </c>
      <c r="G1879" s="181">
        <v>407.75</v>
      </c>
      <c r="H1879" s="828">
        <v>46096.0</v>
      </c>
      <c r="I1879" s="829">
        <f t="shared" si="1"/>
        <v>62.91456</v>
      </c>
      <c r="J1879" s="830">
        <f t="shared" si="2"/>
        <v>0.4530464463</v>
      </c>
      <c r="K1879" s="830"/>
    </row>
    <row r="1880">
      <c r="A1880" s="181" t="s">
        <v>523</v>
      </c>
      <c r="B1880" s="181" t="s">
        <v>562</v>
      </c>
      <c r="C1880" s="181">
        <v>1.17440512E8</v>
      </c>
      <c r="D1880" s="181">
        <v>28.0</v>
      </c>
      <c r="E1880" s="181">
        <v>235.64</v>
      </c>
      <c r="F1880" s="181">
        <v>498.39</v>
      </c>
      <c r="G1880" s="181">
        <v>480.59</v>
      </c>
      <c r="H1880" s="828">
        <v>46096.0</v>
      </c>
      <c r="I1880" s="829">
        <f t="shared" si="1"/>
        <v>125.82912</v>
      </c>
      <c r="J1880" s="830">
        <f t="shared" si="2"/>
        <v>0.5339887965</v>
      </c>
      <c r="K1880" s="830"/>
    </row>
    <row r="1881">
      <c r="A1881" s="181" t="s">
        <v>523</v>
      </c>
      <c r="B1881" s="181" t="s">
        <v>562</v>
      </c>
      <c r="C1881" s="181">
        <v>2.34881024E8</v>
      </c>
      <c r="D1881" s="181">
        <v>28.0</v>
      </c>
      <c r="E1881" s="181">
        <v>425.63</v>
      </c>
      <c r="F1881" s="181">
        <v>551.85</v>
      </c>
      <c r="G1881" s="181">
        <v>532.14</v>
      </c>
      <c r="H1881" s="828">
        <v>46096.0</v>
      </c>
      <c r="I1881" s="829">
        <f t="shared" si="1"/>
        <v>251.65824</v>
      </c>
      <c r="J1881" s="830">
        <f t="shared" si="2"/>
        <v>0.5912605784</v>
      </c>
      <c r="K1881" s="830"/>
    </row>
    <row r="1882">
      <c r="A1882" s="181" t="s">
        <v>523</v>
      </c>
      <c r="B1882" s="181" t="s">
        <v>562</v>
      </c>
      <c r="C1882" s="181">
        <v>4.69762048E8</v>
      </c>
      <c r="D1882" s="181">
        <v>28.0</v>
      </c>
      <c r="E1882" s="181">
        <v>806.52</v>
      </c>
      <c r="F1882" s="181">
        <v>582.45</v>
      </c>
      <c r="G1882" s="181">
        <v>561.65</v>
      </c>
      <c r="H1882" s="828">
        <v>46096.0</v>
      </c>
      <c r="I1882" s="829">
        <f t="shared" si="1"/>
        <v>503.31648</v>
      </c>
      <c r="J1882" s="830">
        <f t="shared" si="2"/>
        <v>0.624059515</v>
      </c>
      <c r="K1882" s="830"/>
    </row>
    <row r="1883">
      <c r="A1883" s="181" t="s">
        <v>523</v>
      </c>
      <c r="B1883" s="181" t="s">
        <v>562</v>
      </c>
      <c r="C1883" s="181">
        <v>9.39524096E8</v>
      </c>
      <c r="D1883" s="181">
        <v>28.0</v>
      </c>
      <c r="E1883" s="181">
        <v>1611.79</v>
      </c>
      <c r="F1883" s="181">
        <v>582.91</v>
      </c>
      <c r="G1883" s="181">
        <v>562.09</v>
      </c>
      <c r="H1883" s="828">
        <v>46096.0</v>
      </c>
      <c r="I1883" s="829">
        <f t="shared" si="1"/>
        <v>1006.63296</v>
      </c>
      <c r="J1883" s="830">
        <f t="shared" si="2"/>
        <v>0.6245434951</v>
      </c>
      <c r="K1883" s="830"/>
    </row>
    <row r="1884">
      <c r="A1884" s="181" t="s">
        <v>523</v>
      </c>
      <c r="B1884" s="181" t="s">
        <v>562</v>
      </c>
      <c r="C1884" s="181">
        <v>1.879048192E9</v>
      </c>
      <c r="D1884" s="181">
        <v>28.0</v>
      </c>
      <c r="E1884" s="181">
        <v>3215.85</v>
      </c>
      <c r="F1884" s="181">
        <v>584.31</v>
      </c>
      <c r="G1884" s="181">
        <v>563.44</v>
      </c>
      <c r="H1884" s="828">
        <v>46096.0</v>
      </c>
      <c r="I1884" s="829">
        <f t="shared" si="1"/>
        <v>2013.26592</v>
      </c>
      <c r="J1884" s="830">
        <f t="shared" si="2"/>
        <v>0.6260447222</v>
      </c>
      <c r="K1884" s="830"/>
    </row>
    <row r="1885">
      <c r="A1885" s="181" t="s">
        <v>523</v>
      </c>
      <c r="B1885" s="181" t="s">
        <v>562</v>
      </c>
      <c r="C1885" s="181">
        <v>3.758096384E9</v>
      </c>
      <c r="D1885" s="181">
        <v>28.0</v>
      </c>
      <c r="E1885" s="181">
        <v>5733.62</v>
      </c>
      <c r="F1885" s="181">
        <v>655.45</v>
      </c>
      <c r="G1885" s="181">
        <v>632.04</v>
      </c>
      <c r="H1885" s="828">
        <v>46096.0</v>
      </c>
      <c r="I1885" s="829">
        <f t="shared" si="1"/>
        <v>4026.53184</v>
      </c>
      <c r="J1885" s="830">
        <f t="shared" si="2"/>
        <v>0.7022669518</v>
      </c>
      <c r="K1885" s="830"/>
    </row>
    <row r="1886">
      <c r="A1886" s="181" t="s">
        <v>523</v>
      </c>
      <c r="B1886" s="181" t="s">
        <v>562</v>
      </c>
      <c r="C1886" s="181">
        <v>7.516192768E9</v>
      </c>
      <c r="D1886" s="181">
        <v>28.0</v>
      </c>
      <c r="E1886" s="181">
        <v>11411.0</v>
      </c>
      <c r="F1886" s="181">
        <v>658.68</v>
      </c>
      <c r="G1886" s="181">
        <v>635.15</v>
      </c>
      <c r="H1886" s="828">
        <v>46096.0</v>
      </c>
      <c r="I1886" s="829">
        <f t="shared" si="1"/>
        <v>8053.06368</v>
      </c>
      <c r="J1886" s="830">
        <f t="shared" si="2"/>
        <v>0.705728129</v>
      </c>
      <c r="K1886" s="830"/>
    </row>
    <row r="1887">
      <c r="A1887" s="181" t="s">
        <v>523</v>
      </c>
      <c r="B1887" s="181" t="s">
        <v>562</v>
      </c>
      <c r="C1887" s="181">
        <v>1.5032385536E10</v>
      </c>
      <c r="D1887" s="181">
        <v>28.0</v>
      </c>
      <c r="E1887" s="181">
        <v>23175.2</v>
      </c>
      <c r="F1887" s="181">
        <v>648.64</v>
      </c>
      <c r="G1887" s="181">
        <v>625.48</v>
      </c>
      <c r="H1887" s="828">
        <v>46096.0</v>
      </c>
      <c r="I1887" s="829">
        <f t="shared" si="1"/>
        <v>16106.12736</v>
      </c>
      <c r="J1887" s="830">
        <f t="shared" si="2"/>
        <v>0.6949725293</v>
      </c>
      <c r="K1887" s="830"/>
    </row>
    <row r="1888">
      <c r="A1888" s="181" t="s">
        <v>523</v>
      </c>
      <c r="B1888" s="181" t="s">
        <v>562</v>
      </c>
      <c r="C1888" s="181">
        <v>1920.0</v>
      </c>
      <c r="D1888" s="181">
        <v>30.0</v>
      </c>
      <c r="E1888" s="181">
        <v>23.13</v>
      </c>
      <c r="F1888" s="181">
        <v>0.08</v>
      </c>
      <c r="G1888" s="181">
        <v>0.08</v>
      </c>
      <c r="H1888" s="828">
        <v>46096.0</v>
      </c>
      <c r="I1888" s="829">
        <f t="shared" si="1"/>
        <v>0.002062222222</v>
      </c>
      <c r="J1888" s="830">
        <f t="shared" si="2"/>
        <v>0.00008915789979</v>
      </c>
      <c r="K1888" s="830"/>
    </row>
    <row r="1889">
      <c r="A1889" s="181" t="s">
        <v>523</v>
      </c>
      <c r="B1889" s="181" t="s">
        <v>562</v>
      </c>
      <c r="C1889" s="181">
        <v>3840.0</v>
      </c>
      <c r="D1889" s="181">
        <v>30.0</v>
      </c>
      <c r="E1889" s="181">
        <v>21.27</v>
      </c>
      <c r="F1889" s="181">
        <v>0.18</v>
      </c>
      <c r="G1889" s="181">
        <v>0.17</v>
      </c>
      <c r="H1889" s="828">
        <v>46096.0</v>
      </c>
      <c r="I1889" s="829">
        <f t="shared" si="1"/>
        <v>0.004124444444</v>
      </c>
      <c r="J1889" s="830">
        <f t="shared" si="2"/>
        <v>0.0001939090007</v>
      </c>
      <c r="K1889" s="830"/>
    </row>
    <row r="1890">
      <c r="A1890" s="181" t="s">
        <v>523</v>
      </c>
      <c r="B1890" s="181" t="s">
        <v>562</v>
      </c>
      <c r="C1890" s="181">
        <v>7680.0</v>
      </c>
      <c r="D1890" s="181">
        <v>30.0</v>
      </c>
      <c r="E1890" s="181">
        <v>20.66</v>
      </c>
      <c r="F1890" s="181">
        <v>0.37</v>
      </c>
      <c r="G1890" s="181">
        <v>0.36</v>
      </c>
      <c r="H1890" s="828">
        <v>46096.0</v>
      </c>
      <c r="I1890" s="829">
        <f t="shared" si="1"/>
        <v>0.008248888889</v>
      </c>
      <c r="J1890" s="830">
        <f t="shared" si="2"/>
        <v>0.0003992685813</v>
      </c>
      <c r="K1890" s="830"/>
    </row>
    <row r="1891">
      <c r="A1891" s="181" t="s">
        <v>523</v>
      </c>
      <c r="B1891" s="181" t="s">
        <v>562</v>
      </c>
      <c r="C1891" s="181">
        <v>15360.0</v>
      </c>
      <c r="D1891" s="181">
        <v>30.0</v>
      </c>
      <c r="E1891" s="181">
        <v>21.41</v>
      </c>
      <c r="F1891" s="181">
        <v>0.72</v>
      </c>
      <c r="G1891" s="181">
        <v>0.69</v>
      </c>
      <c r="H1891" s="828">
        <v>46096.0</v>
      </c>
      <c r="I1891" s="829">
        <f t="shared" si="1"/>
        <v>0.01649777778</v>
      </c>
      <c r="J1891" s="830">
        <f t="shared" si="2"/>
        <v>0.0007705641185</v>
      </c>
      <c r="K1891" s="830"/>
    </row>
    <row r="1892">
      <c r="A1892" s="181" t="s">
        <v>523</v>
      </c>
      <c r="B1892" s="181" t="s">
        <v>562</v>
      </c>
      <c r="C1892" s="181">
        <v>30720.0</v>
      </c>
      <c r="D1892" s="181">
        <v>30.0</v>
      </c>
      <c r="E1892" s="181">
        <v>19.96</v>
      </c>
      <c r="F1892" s="181">
        <v>1.54</v>
      </c>
      <c r="G1892" s="181">
        <v>1.49</v>
      </c>
      <c r="H1892" s="828">
        <v>46096.0</v>
      </c>
      <c r="I1892" s="829">
        <f t="shared" si="1"/>
        <v>0.03299555556</v>
      </c>
      <c r="J1892" s="830">
        <f t="shared" si="2"/>
        <v>0.001653083946</v>
      </c>
      <c r="K1892" s="830"/>
    </row>
    <row r="1893">
      <c r="A1893" s="181" t="s">
        <v>523</v>
      </c>
      <c r="B1893" s="181" t="s">
        <v>562</v>
      </c>
      <c r="C1893" s="181">
        <v>61440.0</v>
      </c>
      <c r="D1893" s="181">
        <v>30.0</v>
      </c>
      <c r="E1893" s="181">
        <v>19.88</v>
      </c>
      <c r="F1893" s="181">
        <v>3.09</v>
      </c>
      <c r="G1893" s="181">
        <v>2.99</v>
      </c>
      <c r="H1893" s="828">
        <v>46096.0</v>
      </c>
      <c r="I1893" s="829">
        <f t="shared" si="1"/>
        <v>0.06599111111</v>
      </c>
      <c r="J1893" s="830">
        <f t="shared" si="2"/>
        <v>0.00331947239</v>
      </c>
      <c r="K1893" s="830"/>
    </row>
    <row r="1894">
      <c r="A1894" s="181" t="s">
        <v>523</v>
      </c>
      <c r="B1894" s="181" t="s">
        <v>562</v>
      </c>
      <c r="C1894" s="181">
        <v>122880.0</v>
      </c>
      <c r="D1894" s="181">
        <v>30.0</v>
      </c>
      <c r="E1894" s="181">
        <v>20.36</v>
      </c>
      <c r="F1894" s="181">
        <v>6.03</v>
      </c>
      <c r="G1894" s="181">
        <v>5.83</v>
      </c>
      <c r="H1894" s="828">
        <v>46096.0</v>
      </c>
      <c r="I1894" s="829">
        <f t="shared" si="1"/>
        <v>0.1319822222</v>
      </c>
      <c r="J1894" s="830">
        <f t="shared" si="2"/>
        <v>0.006482427418</v>
      </c>
      <c r="K1894" s="830"/>
    </row>
    <row r="1895">
      <c r="A1895" s="181" t="s">
        <v>523</v>
      </c>
      <c r="B1895" s="181" t="s">
        <v>562</v>
      </c>
      <c r="C1895" s="181">
        <v>245760.0</v>
      </c>
      <c r="D1895" s="181">
        <v>30.0</v>
      </c>
      <c r="E1895" s="181">
        <v>20.11</v>
      </c>
      <c r="F1895" s="181">
        <v>12.22</v>
      </c>
      <c r="G1895" s="181">
        <v>11.82</v>
      </c>
      <c r="H1895" s="828">
        <v>46096.0</v>
      </c>
      <c r="I1895" s="829">
        <f t="shared" si="1"/>
        <v>0.2639644444</v>
      </c>
      <c r="J1895" s="830">
        <f t="shared" si="2"/>
        <v>0.01312602906</v>
      </c>
      <c r="K1895" s="830"/>
    </row>
    <row r="1896">
      <c r="A1896" s="181" t="s">
        <v>523</v>
      </c>
      <c r="B1896" s="181" t="s">
        <v>562</v>
      </c>
      <c r="C1896" s="181">
        <v>491520.0</v>
      </c>
      <c r="D1896" s="181">
        <v>30.0</v>
      </c>
      <c r="E1896" s="181">
        <v>20.08</v>
      </c>
      <c r="F1896" s="181">
        <v>24.47</v>
      </c>
      <c r="G1896" s="181">
        <v>23.66</v>
      </c>
      <c r="H1896" s="828">
        <v>46096.0</v>
      </c>
      <c r="I1896" s="829">
        <f t="shared" si="1"/>
        <v>0.5279288889</v>
      </c>
      <c r="J1896" s="830">
        <f t="shared" si="2"/>
        <v>0.02629127933</v>
      </c>
      <c r="K1896" s="830"/>
    </row>
    <row r="1897">
      <c r="A1897" s="181" t="s">
        <v>523</v>
      </c>
      <c r="B1897" s="181" t="s">
        <v>562</v>
      </c>
      <c r="C1897" s="181">
        <v>983040.0</v>
      </c>
      <c r="D1897" s="181">
        <v>30.0</v>
      </c>
      <c r="E1897" s="181">
        <v>21.05</v>
      </c>
      <c r="F1897" s="181">
        <v>46.71</v>
      </c>
      <c r="G1897" s="181">
        <v>45.15</v>
      </c>
      <c r="H1897" s="828">
        <v>46096.0</v>
      </c>
      <c r="I1897" s="829">
        <f t="shared" si="1"/>
        <v>1.055857778</v>
      </c>
      <c r="J1897" s="830">
        <f t="shared" si="2"/>
        <v>0.05015951438</v>
      </c>
      <c r="K1897" s="830"/>
    </row>
    <row r="1898">
      <c r="A1898" s="181" t="s">
        <v>523</v>
      </c>
      <c r="B1898" s="181" t="s">
        <v>562</v>
      </c>
      <c r="C1898" s="181">
        <v>1966080.0</v>
      </c>
      <c r="D1898" s="181">
        <v>30.0</v>
      </c>
      <c r="E1898" s="181">
        <v>26.29</v>
      </c>
      <c r="F1898" s="181">
        <v>74.78</v>
      </c>
      <c r="G1898" s="181">
        <v>72.29</v>
      </c>
      <c r="H1898" s="828">
        <v>46096.0</v>
      </c>
      <c r="I1898" s="829">
        <f t="shared" si="1"/>
        <v>2.111715556</v>
      </c>
      <c r="J1898" s="830">
        <f t="shared" si="2"/>
        <v>0.08032390854</v>
      </c>
      <c r="K1898" s="830"/>
    </row>
    <row r="1899">
      <c r="A1899" s="181" t="s">
        <v>523</v>
      </c>
      <c r="B1899" s="181" t="s">
        <v>562</v>
      </c>
      <c r="C1899" s="181">
        <v>3932160.0</v>
      </c>
      <c r="D1899" s="181">
        <v>30.0</v>
      </c>
      <c r="E1899" s="181">
        <v>41.81</v>
      </c>
      <c r="F1899" s="181">
        <v>94.04</v>
      </c>
      <c r="G1899" s="181">
        <v>90.9</v>
      </c>
      <c r="H1899" s="828">
        <v>46096.0</v>
      </c>
      <c r="I1899" s="829">
        <f t="shared" si="1"/>
        <v>4.223431111</v>
      </c>
      <c r="J1899" s="830">
        <f t="shared" si="2"/>
        <v>0.1010148556</v>
      </c>
      <c r="K1899" s="830"/>
    </row>
    <row r="1900">
      <c r="A1900" s="181" t="s">
        <v>523</v>
      </c>
      <c r="B1900" s="181" t="s">
        <v>562</v>
      </c>
      <c r="C1900" s="181">
        <v>7864320.0</v>
      </c>
      <c r="D1900" s="181">
        <v>30.0</v>
      </c>
      <c r="E1900" s="181">
        <v>70.61</v>
      </c>
      <c r="F1900" s="181">
        <v>111.38</v>
      </c>
      <c r="G1900" s="181">
        <v>107.67</v>
      </c>
      <c r="H1900" s="828">
        <v>46096.0</v>
      </c>
      <c r="I1900" s="829">
        <f t="shared" si="1"/>
        <v>8.446862222</v>
      </c>
      <c r="J1900" s="830">
        <f t="shared" si="2"/>
        <v>0.1196269965</v>
      </c>
      <c r="K1900" s="830"/>
    </row>
    <row r="1901">
      <c r="A1901" s="181" t="s">
        <v>523</v>
      </c>
      <c r="B1901" s="181" t="s">
        <v>562</v>
      </c>
      <c r="C1901" s="181">
        <v>1.572864E7</v>
      </c>
      <c r="D1901" s="181">
        <v>30.0</v>
      </c>
      <c r="E1901" s="181">
        <v>127.87</v>
      </c>
      <c r="F1901" s="181">
        <v>123.01</v>
      </c>
      <c r="G1901" s="181">
        <v>118.91</v>
      </c>
      <c r="H1901" s="828">
        <v>46096.0</v>
      </c>
      <c r="I1901" s="829">
        <f t="shared" si="1"/>
        <v>16.89372444</v>
      </c>
      <c r="J1901" s="830">
        <f t="shared" si="2"/>
        <v>0.1321164029</v>
      </c>
      <c r="K1901" s="830"/>
    </row>
    <row r="1902">
      <c r="A1902" s="181" t="s">
        <v>523</v>
      </c>
      <c r="B1902" s="181" t="s">
        <v>562</v>
      </c>
      <c r="C1902" s="181">
        <v>3.145728E7</v>
      </c>
      <c r="D1902" s="181">
        <v>30.0</v>
      </c>
      <c r="E1902" s="181">
        <v>89.93</v>
      </c>
      <c r="F1902" s="181">
        <v>349.8</v>
      </c>
      <c r="G1902" s="181">
        <v>338.14</v>
      </c>
      <c r="H1902" s="828">
        <v>46096.0</v>
      </c>
      <c r="I1902" s="829">
        <f t="shared" si="1"/>
        <v>33.78744889</v>
      </c>
      <c r="J1902" s="830">
        <f t="shared" si="2"/>
        <v>0.3757083163</v>
      </c>
      <c r="K1902" s="830"/>
    </row>
    <row r="1903">
      <c r="A1903" s="181" t="s">
        <v>523</v>
      </c>
      <c r="B1903" s="181" t="s">
        <v>562</v>
      </c>
      <c r="C1903" s="181">
        <v>6.291456E7</v>
      </c>
      <c r="D1903" s="181">
        <v>30.0</v>
      </c>
      <c r="E1903" s="181">
        <v>144.28</v>
      </c>
      <c r="F1903" s="181">
        <v>436.05</v>
      </c>
      <c r="G1903" s="181">
        <v>421.51</v>
      </c>
      <c r="H1903" s="828">
        <v>46096.0</v>
      </c>
      <c r="I1903" s="829">
        <f t="shared" si="1"/>
        <v>67.57489778</v>
      </c>
      <c r="J1903" s="830">
        <f t="shared" si="2"/>
        <v>0.4683594246</v>
      </c>
      <c r="K1903" s="830"/>
    </row>
    <row r="1904">
      <c r="A1904" s="181" t="s">
        <v>523</v>
      </c>
      <c r="B1904" s="181" t="s">
        <v>562</v>
      </c>
      <c r="C1904" s="181">
        <v>1.2582912E8</v>
      </c>
      <c r="D1904" s="181">
        <v>30.0</v>
      </c>
      <c r="E1904" s="181">
        <v>241.94</v>
      </c>
      <c r="F1904" s="181">
        <v>520.08</v>
      </c>
      <c r="G1904" s="181">
        <v>502.75</v>
      </c>
      <c r="H1904" s="828">
        <v>46096.0</v>
      </c>
      <c r="I1904" s="829">
        <f t="shared" si="1"/>
        <v>135.1497956</v>
      </c>
      <c r="J1904" s="830">
        <f t="shared" si="2"/>
        <v>0.5586087276</v>
      </c>
      <c r="K1904" s="830"/>
    </row>
    <row r="1905">
      <c r="A1905" s="181" t="s">
        <v>523</v>
      </c>
      <c r="B1905" s="181" t="s">
        <v>562</v>
      </c>
      <c r="C1905" s="181">
        <v>2.5165824E8</v>
      </c>
      <c r="D1905" s="181">
        <v>30.0</v>
      </c>
      <c r="E1905" s="181">
        <v>438.63</v>
      </c>
      <c r="F1905" s="181">
        <v>573.74</v>
      </c>
      <c r="G1905" s="181">
        <v>554.62</v>
      </c>
      <c r="H1905" s="828">
        <v>46096.0</v>
      </c>
      <c r="I1905" s="829">
        <f t="shared" si="1"/>
        <v>270.2995911</v>
      </c>
      <c r="J1905" s="830">
        <f t="shared" si="2"/>
        <v>0.6162359873</v>
      </c>
      <c r="K1905" s="830"/>
    </row>
    <row r="1906">
      <c r="A1906" s="181" t="s">
        <v>523</v>
      </c>
      <c r="B1906" s="181" t="s">
        <v>562</v>
      </c>
      <c r="C1906" s="181">
        <v>5.0331648E8</v>
      </c>
      <c r="D1906" s="181">
        <v>30.0</v>
      </c>
      <c r="E1906" s="181">
        <v>831.54</v>
      </c>
      <c r="F1906" s="181">
        <v>605.28</v>
      </c>
      <c r="G1906" s="181">
        <v>585.1</v>
      </c>
      <c r="H1906" s="828">
        <v>46096.0</v>
      </c>
      <c r="I1906" s="829">
        <f t="shared" si="1"/>
        <v>540.5991822</v>
      </c>
      <c r="J1906" s="830">
        <f t="shared" si="2"/>
        <v>0.6501180728</v>
      </c>
      <c r="K1906" s="830"/>
    </row>
    <row r="1907">
      <c r="A1907" s="181" t="s">
        <v>523</v>
      </c>
      <c r="B1907" s="181" t="s">
        <v>562</v>
      </c>
      <c r="C1907" s="181">
        <v>1.00663296E9</v>
      </c>
      <c r="D1907" s="181">
        <v>30.0</v>
      </c>
      <c r="E1907" s="181">
        <v>1660.1</v>
      </c>
      <c r="F1907" s="181">
        <v>606.37</v>
      </c>
      <c r="G1907" s="181">
        <v>586.16</v>
      </c>
      <c r="H1907" s="828">
        <v>46096.0</v>
      </c>
      <c r="I1907" s="829">
        <f t="shared" si="1"/>
        <v>1081.198364</v>
      </c>
      <c r="J1907" s="830">
        <f t="shared" si="2"/>
        <v>0.6512850819</v>
      </c>
      <c r="K1907" s="830"/>
    </row>
    <row r="1908">
      <c r="A1908" s="181" t="s">
        <v>523</v>
      </c>
      <c r="B1908" s="181" t="s">
        <v>562</v>
      </c>
      <c r="C1908" s="181">
        <v>2.01326592E9</v>
      </c>
      <c r="D1908" s="181">
        <v>30.0</v>
      </c>
      <c r="E1908" s="181">
        <v>3331.08</v>
      </c>
      <c r="F1908" s="181">
        <v>604.39</v>
      </c>
      <c r="G1908" s="181">
        <v>584.24</v>
      </c>
      <c r="H1908" s="828">
        <v>46096.0</v>
      </c>
      <c r="I1908" s="829">
        <f t="shared" si="1"/>
        <v>2162.396729</v>
      </c>
      <c r="J1908" s="830">
        <f t="shared" si="2"/>
        <v>0.6491578494</v>
      </c>
      <c r="K1908" s="830"/>
    </row>
    <row r="1909">
      <c r="A1909" s="181" t="s">
        <v>523</v>
      </c>
      <c r="B1909" s="181" t="s">
        <v>562</v>
      </c>
      <c r="C1909" s="181">
        <v>4.02653184E9</v>
      </c>
      <c r="D1909" s="181">
        <v>30.0</v>
      </c>
      <c r="E1909" s="181">
        <v>6432.91</v>
      </c>
      <c r="F1909" s="181">
        <v>625.93</v>
      </c>
      <c r="G1909" s="181">
        <v>605.06</v>
      </c>
      <c r="H1909" s="828">
        <v>46096.0</v>
      </c>
      <c r="I1909" s="829">
        <f t="shared" si="1"/>
        <v>4324.793458</v>
      </c>
      <c r="J1909" s="830">
        <f t="shared" si="2"/>
        <v>0.6722919266</v>
      </c>
      <c r="K1909" s="830"/>
    </row>
    <row r="1910">
      <c r="A1910" s="181" t="s">
        <v>523</v>
      </c>
      <c r="B1910" s="181" t="s">
        <v>562</v>
      </c>
      <c r="C1910" s="181">
        <v>8.05306368E9</v>
      </c>
      <c r="D1910" s="181">
        <v>30.0</v>
      </c>
      <c r="E1910" s="181">
        <v>12326.2</v>
      </c>
      <c r="F1910" s="181">
        <v>653.33</v>
      </c>
      <c r="G1910" s="181">
        <v>631.55</v>
      </c>
      <c r="H1910" s="828">
        <v>46096.0</v>
      </c>
      <c r="I1910" s="829">
        <f t="shared" si="1"/>
        <v>8649.586916</v>
      </c>
      <c r="J1910" s="830">
        <f t="shared" si="2"/>
        <v>0.7017237198</v>
      </c>
      <c r="K1910" s="830"/>
    </row>
    <row r="1911">
      <c r="A1911" s="181" t="s">
        <v>523</v>
      </c>
      <c r="B1911" s="181" t="s">
        <v>562</v>
      </c>
      <c r="C1911" s="181">
        <v>1.610612736E10</v>
      </c>
      <c r="D1911" s="181">
        <v>30.0</v>
      </c>
      <c r="E1911" s="181">
        <v>24859.7</v>
      </c>
      <c r="F1911" s="181">
        <v>647.88</v>
      </c>
      <c r="G1911" s="181">
        <v>626.29</v>
      </c>
      <c r="H1911" s="828">
        <v>46096.0</v>
      </c>
      <c r="I1911" s="829">
        <f t="shared" si="1"/>
        <v>17299.17383</v>
      </c>
      <c r="J1911" s="830">
        <f t="shared" si="2"/>
        <v>0.695872188</v>
      </c>
      <c r="K1911" s="830"/>
    </row>
    <row r="1912">
      <c r="A1912" s="181" t="s">
        <v>523</v>
      </c>
      <c r="B1912" s="181" t="s">
        <v>562</v>
      </c>
      <c r="C1912" s="181">
        <v>2048.0</v>
      </c>
      <c r="D1912" s="181">
        <v>32.0</v>
      </c>
      <c r="E1912" s="181">
        <v>29.57</v>
      </c>
      <c r="F1912" s="181">
        <v>0.07</v>
      </c>
      <c r="G1912" s="181">
        <v>0.07</v>
      </c>
      <c r="H1912" s="828">
        <v>46096.0</v>
      </c>
      <c r="I1912" s="829">
        <f t="shared" si="1"/>
        <v>0.002204444444</v>
      </c>
      <c r="J1912" s="830">
        <f t="shared" si="2"/>
        <v>0.00007455003194</v>
      </c>
      <c r="K1912" s="830"/>
    </row>
    <row r="1913">
      <c r="A1913" s="181" t="s">
        <v>523</v>
      </c>
      <c r="B1913" s="181" t="s">
        <v>562</v>
      </c>
      <c r="C1913" s="181">
        <v>4096.0</v>
      </c>
      <c r="D1913" s="181">
        <v>32.0</v>
      </c>
      <c r="E1913" s="181">
        <v>25.86</v>
      </c>
      <c r="F1913" s="181">
        <v>0.16</v>
      </c>
      <c r="G1913" s="181">
        <v>0.15</v>
      </c>
      <c r="H1913" s="828">
        <v>46096.0</v>
      </c>
      <c r="I1913" s="829">
        <f t="shared" si="1"/>
        <v>0.004408888889</v>
      </c>
      <c r="J1913" s="830">
        <f t="shared" si="2"/>
        <v>0.0001704906763</v>
      </c>
      <c r="K1913" s="830"/>
    </row>
    <row r="1914">
      <c r="A1914" s="181" t="s">
        <v>523</v>
      </c>
      <c r="B1914" s="181" t="s">
        <v>562</v>
      </c>
      <c r="C1914" s="181">
        <v>8192.0</v>
      </c>
      <c r="D1914" s="181">
        <v>32.0</v>
      </c>
      <c r="E1914" s="181">
        <v>25.36</v>
      </c>
      <c r="F1914" s="181">
        <v>0.32</v>
      </c>
      <c r="G1914" s="181">
        <v>0.31</v>
      </c>
      <c r="H1914" s="828">
        <v>46096.0</v>
      </c>
      <c r="I1914" s="829">
        <f t="shared" si="1"/>
        <v>0.008817777778</v>
      </c>
      <c r="J1914" s="830">
        <f t="shared" si="2"/>
        <v>0.000347704171</v>
      </c>
      <c r="K1914" s="830"/>
    </row>
    <row r="1915">
      <c r="A1915" s="181" t="s">
        <v>523</v>
      </c>
      <c r="B1915" s="181" t="s">
        <v>562</v>
      </c>
      <c r="C1915" s="181">
        <v>16384.0</v>
      </c>
      <c r="D1915" s="181">
        <v>32.0</v>
      </c>
      <c r="E1915" s="181">
        <v>23.74</v>
      </c>
      <c r="F1915" s="181">
        <v>0.69</v>
      </c>
      <c r="G1915" s="181">
        <v>0.67</v>
      </c>
      <c r="H1915" s="828">
        <v>46096.0</v>
      </c>
      <c r="I1915" s="829">
        <f t="shared" si="1"/>
        <v>0.01763555556</v>
      </c>
      <c r="J1915" s="830">
        <f t="shared" si="2"/>
        <v>0.0007428624918</v>
      </c>
      <c r="K1915" s="830"/>
    </row>
    <row r="1916">
      <c r="A1916" s="181" t="s">
        <v>523</v>
      </c>
      <c r="B1916" s="181" t="s">
        <v>562</v>
      </c>
      <c r="C1916" s="181">
        <v>32768.0</v>
      </c>
      <c r="D1916" s="181">
        <v>32.0</v>
      </c>
      <c r="E1916" s="181">
        <v>22.43</v>
      </c>
      <c r="F1916" s="181">
        <v>1.46</v>
      </c>
      <c r="G1916" s="181">
        <v>1.42</v>
      </c>
      <c r="H1916" s="828">
        <v>46096.0</v>
      </c>
      <c r="I1916" s="829">
        <f t="shared" si="1"/>
        <v>0.03527111111</v>
      </c>
      <c r="J1916" s="830">
        <f t="shared" si="2"/>
        <v>0.001572497152</v>
      </c>
      <c r="K1916" s="830"/>
    </row>
    <row r="1917">
      <c r="A1917" s="181" t="s">
        <v>523</v>
      </c>
      <c r="B1917" s="181" t="s">
        <v>562</v>
      </c>
      <c r="C1917" s="181">
        <v>65536.0</v>
      </c>
      <c r="D1917" s="181">
        <v>32.0</v>
      </c>
      <c r="E1917" s="181">
        <v>22.59</v>
      </c>
      <c r="F1917" s="181">
        <v>2.9</v>
      </c>
      <c r="G1917" s="181">
        <v>2.81</v>
      </c>
      <c r="H1917" s="828">
        <v>46096.0</v>
      </c>
      <c r="I1917" s="829">
        <f t="shared" si="1"/>
        <v>0.07054222222</v>
      </c>
      <c r="J1917" s="830">
        <f t="shared" si="2"/>
        <v>0.003122719001</v>
      </c>
      <c r="K1917" s="830"/>
    </row>
    <row r="1918">
      <c r="A1918" s="181" t="s">
        <v>523</v>
      </c>
      <c r="B1918" s="181" t="s">
        <v>562</v>
      </c>
      <c r="C1918" s="181">
        <v>131072.0</v>
      </c>
      <c r="D1918" s="181">
        <v>32.0</v>
      </c>
      <c r="E1918" s="181">
        <v>22.51</v>
      </c>
      <c r="F1918" s="181">
        <v>5.82</v>
      </c>
      <c r="G1918" s="181">
        <v>5.64</v>
      </c>
      <c r="H1918" s="828">
        <v>46096.0</v>
      </c>
      <c r="I1918" s="829">
        <f t="shared" si="1"/>
        <v>0.1410844444</v>
      </c>
      <c r="J1918" s="830">
        <f t="shared" si="2"/>
        <v>0.006267634138</v>
      </c>
      <c r="K1918" s="830"/>
    </row>
    <row r="1919">
      <c r="A1919" s="181" t="s">
        <v>523</v>
      </c>
      <c r="B1919" s="181" t="s">
        <v>562</v>
      </c>
      <c r="C1919" s="181">
        <v>262144.0</v>
      </c>
      <c r="D1919" s="181">
        <v>32.0</v>
      </c>
      <c r="E1919" s="181">
        <v>23.05</v>
      </c>
      <c r="F1919" s="181">
        <v>11.37</v>
      </c>
      <c r="G1919" s="181">
        <v>11.02</v>
      </c>
      <c r="H1919" s="828">
        <v>46096.0</v>
      </c>
      <c r="I1919" s="829">
        <f t="shared" si="1"/>
        <v>0.2821688889</v>
      </c>
      <c r="J1919" s="830">
        <f t="shared" si="2"/>
        <v>0.01224160039</v>
      </c>
      <c r="K1919" s="830"/>
    </row>
    <row r="1920">
      <c r="A1920" s="181" t="s">
        <v>523</v>
      </c>
      <c r="B1920" s="181" t="s">
        <v>562</v>
      </c>
      <c r="C1920" s="181">
        <v>524288.0</v>
      </c>
      <c r="D1920" s="181">
        <v>32.0</v>
      </c>
      <c r="E1920" s="181">
        <v>22.07</v>
      </c>
      <c r="F1920" s="181">
        <v>23.76</v>
      </c>
      <c r="G1920" s="181">
        <v>23.01</v>
      </c>
      <c r="H1920" s="828">
        <v>46096.0</v>
      </c>
      <c r="I1920" s="829">
        <f t="shared" si="1"/>
        <v>0.5643377778</v>
      </c>
      <c r="J1920" s="830">
        <f t="shared" si="2"/>
        <v>0.02557035695</v>
      </c>
      <c r="K1920" s="830"/>
    </row>
    <row r="1921">
      <c r="A1921" s="181" t="s">
        <v>523</v>
      </c>
      <c r="B1921" s="181" t="s">
        <v>562</v>
      </c>
      <c r="C1921" s="181">
        <v>1048576.0</v>
      </c>
      <c r="D1921" s="181">
        <v>32.0</v>
      </c>
      <c r="E1921" s="181">
        <v>22.14</v>
      </c>
      <c r="F1921" s="181">
        <v>47.36</v>
      </c>
      <c r="G1921" s="181">
        <v>45.88</v>
      </c>
      <c r="H1921" s="828">
        <v>46096.0</v>
      </c>
      <c r="I1921" s="829">
        <f t="shared" si="1"/>
        <v>1.128675556</v>
      </c>
      <c r="J1921" s="830">
        <f t="shared" si="2"/>
        <v>0.05097902238</v>
      </c>
      <c r="K1921" s="830"/>
    </row>
    <row r="1922">
      <c r="A1922" s="181" t="s">
        <v>523</v>
      </c>
      <c r="B1922" s="181" t="s">
        <v>562</v>
      </c>
      <c r="C1922" s="181">
        <v>2097152.0</v>
      </c>
      <c r="D1922" s="181">
        <v>32.0</v>
      </c>
      <c r="E1922" s="181">
        <v>27.49</v>
      </c>
      <c r="F1922" s="181">
        <v>76.29</v>
      </c>
      <c r="G1922" s="181">
        <v>73.9</v>
      </c>
      <c r="H1922" s="828">
        <v>46096.0</v>
      </c>
      <c r="I1922" s="829">
        <f t="shared" si="1"/>
        <v>2.257351111</v>
      </c>
      <c r="J1922" s="830">
        <f t="shared" si="2"/>
        <v>0.08211535508</v>
      </c>
      <c r="K1922" s="830"/>
    </row>
    <row r="1923">
      <c r="A1923" s="181" t="s">
        <v>523</v>
      </c>
      <c r="B1923" s="181" t="s">
        <v>562</v>
      </c>
      <c r="C1923" s="181">
        <v>4194304.0</v>
      </c>
      <c r="D1923" s="181">
        <v>32.0</v>
      </c>
      <c r="E1923" s="181">
        <v>42.64</v>
      </c>
      <c r="F1923" s="181">
        <v>98.37</v>
      </c>
      <c r="G1923" s="181">
        <v>95.3</v>
      </c>
      <c r="H1923" s="828">
        <v>46096.0</v>
      </c>
      <c r="I1923" s="829">
        <f t="shared" si="1"/>
        <v>4.514702222</v>
      </c>
      <c r="J1923" s="830">
        <f t="shared" si="2"/>
        <v>0.105879508</v>
      </c>
      <c r="K1923" s="830"/>
    </row>
    <row r="1924">
      <c r="A1924" s="181" t="s">
        <v>523</v>
      </c>
      <c r="B1924" s="181" t="s">
        <v>562</v>
      </c>
      <c r="C1924" s="181">
        <v>8388608.0</v>
      </c>
      <c r="D1924" s="181">
        <v>32.0</v>
      </c>
      <c r="E1924" s="181">
        <v>70.51</v>
      </c>
      <c r="F1924" s="181">
        <v>118.97</v>
      </c>
      <c r="G1924" s="181">
        <v>115.25</v>
      </c>
      <c r="H1924" s="828">
        <v>46096.0</v>
      </c>
      <c r="I1924" s="829">
        <f t="shared" si="1"/>
        <v>9.029404444</v>
      </c>
      <c r="J1924" s="830">
        <f t="shared" si="2"/>
        <v>0.1280584945</v>
      </c>
      <c r="K1924" s="830"/>
    </row>
    <row r="1925">
      <c r="A1925" s="181" t="s">
        <v>523</v>
      </c>
      <c r="B1925" s="181" t="s">
        <v>562</v>
      </c>
      <c r="C1925" s="181">
        <v>1.6777216E7</v>
      </c>
      <c r="D1925" s="181">
        <v>32.0</v>
      </c>
      <c r="E1925" s="181">
        <v>128.16</v>
      </c>
      <c r="F1925" s="181">
        <v>130.91</v>
      </c>
      <c r="G1925" s="181">
        <v>126.82</v>
      </c>
      <c r="H1925" s="828">
        <v>46096.0</v>
      </c>
      <c r="I1925" s="829">
        <f t="shared" si="1"/>
        <v>18.05880889</v>
      </c>
      <c r="J1925" s="830">
        <f t="shared" si="2"/>
        <v>0.1409083091</v>
      </c>
      <c r="K1925" s="830"/>
    </row>
    <row r="1926">
      <c r="A1926" s="181" t="s">
        <v>523</v>
      </c>
      <c r="B1926" s="181" t="s">
        <v>562</v>
      </c>
      <c r="C1926" s="181">
        <v>3.3554432E7</v>
      </c>
      <c r="D1926" s="181">
        <v>32.0</v>
      </c>
      <c r="E1926" s="181">
        <v>92.84</v>
      </c>
      <c r="F1926" s="181">
        <v>361.41</v>
      </c>
      <c r="G1926" s="181">
        <v>350.12</v>
      </c>
      <c r="H1926" s="828">
        <v>46096.0</v>
      </c>
      <c r="I1926" s="829">
        <f t="shared" si="1"/>
        <v>36.11761778</v>
      </c>
      <c r="J1926" s="830">
        <f t="shared" si="2"/>
        <v>0.3890307818</v>
      </c>
      <c r="K1926" s="830"/>
    </row>
    <row r="1927">
      <c r="A1927" s="181" t="s">
        <v>523</v>
      </c>
      <c r="B1927" s="181" t="s">
        <v>562</v>
      </c>
      <c r="C1927" s="181">
        <v>6.7108864E7</v>
      </c>
      <c r="D1927" s="181">
        <v>32.0</v>
      </c>
      <c r="E1927" s="181">
        <v>149.33</v>
      </c>
      <c r="F1927" s="181">
        <v>449.41</v>
      </c>
      <c r="G1927" s="181">
        <v>435.36</v>
      </c>
      <c r="H1927" s="828">
        <v>46096.0</v>
      </c>
      <c r="I1927" s="829">
        <f t="shared" si="1"/>
        <v>72.23523556</v>
      </c>
      <c r="J1927" s="830">
        <f t="shared" si="2"/>
        <v>0.4837288928</v>
      </c>
      <c r="K1927" s="830"/>
    </row>
    <row r="1928">
      <c r="A1928" s="181" t="s">
        <v>523</v>
      </c>
      <c r="B1928" s="181" t="s">
        <v>562</v>
      </c>
      <c r="C1928" s="181">
        <v>1.34217728E8</v>
      </c>
      <c r="D1928" s="181">
        <v>32.0</v>
      </c>
      <c r="E1928" s="181">
        <v>248.33</v>
      </c>
      <c r="F1928" s="181">
        <v>540.48</v>
      </c>
      <c r="G1928" s="181">
        <v>523.59</v>
      </c>
      <c r="H1928" s="828">
        <v>46096.0</v>
      </c>
      <c r="I1928" s="829">
        <f t="shared" si="1"/>
        <v>144.4704711</v>
      </c>
      <c r="J1928" s="830">
        <f t="shared" si="2"/>
        <v>0.5817680953</v>
      </c>
      <c r="K1928" s="830"/>
    </row>
    <row r="1929">
      <c r="A1929" s="181" t="s">
        <v>523</v>
      </c>
      <c r="B1929" s="181" t="s">
        <v>562</v>
      </c>
      <c r="C1929" s="181">
        <v>2.68435456E8</v>
      </c>
      <c r="D1929" s="181">
        <v>32.0</v>
      </c>
      <c r="E1929" s="181">
        <v>445.6</v>
      </c>
      <c r="F1929" s="181">
        <v>602.42</v>
      </c>
      <c r="G1929" s="181">
        <v>583.59</v>
      </c>
      <c r="H1929" s="828">
        <v>46096.0</v>
      </c>
      <c r="I1929" s="829">
        <f t="shared" si="1"/>
        <v>288.9409422</v>
      </c>
      <c r="J1929" s="830">
        <f t="shared" si="2"/>
        <v>0.6484311989</v>
      </c>
      <c r="K1929" s="830"/>
    </row>
    <row r="1930">
      <c r="A1930" s="181" t="s">
        <v>523</v>
      </c>
      <c r="B1930" s="181" t="s">
        <v>562</v>
      </c>
      <c r="C1930" s="181">
        <v>5.36870912E8</v>
      </c>
      <c r="D1930" s="181">
        <v>32.0</v>
      </c>
      <c r="E1930" s="181">
        <v>843.82</v>
      </c>
      <c r="F1930" s="181">
        <v>636.24</v>
      </c>
      <c r="G1930" s="181">
        <v>616.35</v>
      </c>
      <c r="H1930" s="828">
        <v>46096.0</v>
      </c>
      <c r="I1930" s="829">
        <f t="shared" si="1"/>
        <v>577.8818844</v>
      </c>
      <c r="J1930" s="830">
        <f t="shared" si="2"/>
        <v>0.6848402319</v>
      </c>
      <c r="K1930" s="830"/>
    </row>
    <row r="1931">
      <c r="A1931" s="181" t="s">
        <v>523</v>
      </c>
      <c r="B1931" s="181" t="s">
        <v>562</v>
      </c>
      <c r="C1931" s="181">
        <v>1.073741824E9</v>
      </c>
      <c r="D1931" s="181">
        <v>32.0</v>
      </c>
      <c r="E1931" s="181">
        <v>1675.1</v>
      </c>
      <c r="F1931" s="181">
        <v>641.0</v>
      </c>
      <c r="G1931" s="181">
        <v>620.97</v>
      </c>
      <c r="H1931" s="828">
        <v>46096.0</v>
      </c>
      <c r="I1931" s="829">
        <f t="shared" si="1"/>
        <v>1155.763769</v>
      </c>
      <c r="J1931" s="830">
        <f t="shared" si="2"/>
        <v>0.6899670282</v>
      </c>
      <c r="K1931" s="830"/>
    </row>
    <row r="1932">
      <c r="A1932" s="181" t="s">
        <v>523</v>
      </c>
      <c r="B1932" s="181" t="s">
        <v>562</v>
      </c>
      <c r="C1932" s="181">
        <v>2.147483648E9</v>
      </c>
      <c r="D1932" s="181">
        <v>32.0</v>
      </c>
      <c r="E1932" s="181">
        <v>3344.08</v>
      </c>
      <c r="F1932" s="181">
        <v>642.18</v>
      </c>
      <c r="G1932" s="181">
        <v>622.11</v>
      </c>
      <c r="H1932" s="828">
        <v>46096.0</v>
      </c>
      <c r="I1932" s="829">
        <f t="shared" si="1"/>
        <v>2311.527538</v>
      </c>
      <c r="J1932" s="830">
        <f t="shared" si="2"/>
        <v>0.6912297367</v>
      </c>
      <c r="K1932" s="830"/>
    </row>
    <row r="1933">
      <c r="A1933" s="181" t="s">
        <v>523</v>
      </c>
      <c r="B1933" s="181" t="s">
        <v>562</v>
      </c>
      <c r="C1933" s="181">
        <v>4.294967296E9</v>
      </c>
      <c r="D1933" s="181">
        <v>32.0</v>
      </c>
      <c r="E1933" s="181">
        <v>6646.73</v>
      </c>
      <c r="F1933" s="181">
        <v>646.18</v>
      </c>
      <c r="G1933" s="181">
        <v>625.98</v>
      </c>
      <c r="H1933" s="828">
        <v>46096.0</v>
      </c>
      <c r="I1933" s="829">
        <f t="shared" si="1"/>
        <v>4623.055076</v>
      </c>
      <c r="J1933" s="830">
        <f t="shared" si="2"/>
        <v>0.6955382685</v>
      </c>
      <c r="K1933" s="830"/>
    </row>
    <row r="1934">
      <c r="A1934" s="181" t="s">
        <v>523</v>
      </c>
      <c r="B1934" s="181" t="s">
        <v>562</v>
      </c>
      <c r="C1934" s="181">
        <v>8.589934592E9</v>
      </c>
      <c r="D1934" s="181">
        <v>32.0</v>
      </c>
      <c r="E1934" s="181">
        <v>13215.9</v>
      </c>
      <c r="F1934" s="181">
        <v>649.97</v>
      </c>
      <c r="G1934" s="181">
        <v>629.66</v>
      </c>
      <c r="H1934" s="828">
        <v>46096.0</v>
      </c>
      <c r="I1934" s="829">
        <f t="shared" si="1"/>
        <v>9246.110151</v>
      </c>
      <c r="J1934" s="830">
        <f t="shared" si="2"/>
        <v>0.6996201659</v>
      </c>
      <c r="K1934" s="830"/>
    </row>
    <row r="1935">
      <c r="A1935" s="181" t="s">
        <v>523</v>
      </c>
      <c r="B1935" s="181" t="s">
        <v>562</v>
      </c>
      <c r="C1935" s="181">
        <v>1.7179869184E10</v>
      </c>
      <c r="D1935" s="181">
        <v>32.0</v>
      </c>
      <c r="E1935" s="181">
        <v>26830.8</v>
      </c>
      <c r="F1935" s="181">
        <v>640.3</v>
      </c>
      <c r="G1935" s="181">
        <v>620.29</v>
      </c>
      <c r="H1935" s="828">
        <v>46096.0</v>
      </c>
      <c r="I1935" s="829">
        <f t="shared" si="1"/>
        <v>18492.2203</v>
      </c>
      <c r="J1935" s="830">
        <f t="shared" si="2"/>
        <v>0.689216136</v>
      </c>
      <c r="K1935" s="830"/>
    </row>
    <row r="1936">
      <c r="A1936" s="181" t="s">
        <v>523</v>
      </c>
      <c r="B1936" s="181" t="s">
        <v>563</v>
      </c>
      <c r="C1936" s="181">
        <v>128.0</v>
      </c>
      <c r="D1936" s="181">
        <v>2.0</v>
      </c>
      <c r="E1936" s="181">
        <v>10.51</v>
      </c>
      <c r="F1936" s="181">
        <v>0.01</v>
      </c>
      <c r="G1936" s="181">
        <v>0.01</v>
      </c>
      <c r="H1936" s="828">
        <v>46096.0</v>
      </c>
      <c r="I1936" s="829">
        <f t="shared" si="1"/>
        <v>0.00007111111111</v>
      </c>
      <c r="J1936" s="830">
        <f t="shared" si="2"/>
        <v>0.000006766042922</v>
      </c>
      <c r="K1936" s="830"/>
    </row>
    <row r="1937">
      <c r="A1937" s="181" t="s">
        <v>523</v>
      </c>
      <c r="B1937" s="181" t="s">
        <v>563</v>
      </c>
      <c r="C1937" s="181">
        <v>256.0</v>
      </c>
      <c r="D1937" s="181">
        <v>2.0</v>
      </c>
      <c r="E1937" s="181">
        <v>10.44</v>
      </c>
      <c r="F1937" s="181">
        <v>0.02</v>
      </c>
      <c r="G1937" s="181">
        <v>0.01</v>
      </c>
      <c r="H1937" s="828">
        <v>46096.0</v>
      </c>
      <c r="I1937" s="829">
        <f t="shared" si="1"/>
        <v>0.0001422222222</v>
      </c>
      <c r="J1937" s="830">
        <f t="shared" si="2"/>
        <v>0.00001362281822</v>
      </c>
      <c r="K1937" s="830"/>
    </row>
    <row r="1938">
      <c r="A1938" s="181" t="s">
        <v>523</v>
      </c>
      <c r="B1938" s="181" t="s">
        <v>563</v>
      </c>
      <c r="C1938" s="181">
        <v>512.0</v>
      </c>
      <c r="D1938" s="181">
        <v>2.0</v>
      </c>
      <c r="E1938" s="181">
        <v>10.92</v>
      </c>
      <c r="F1938" s="181">
        <v>0.05</v>
      </c>
      <c r="G1938" s="181">
        <v>0.02</v>
      </c>
      <c r="H1938" s="828">
        <v>46096.0</v>
      </c>
      <c r="I1938" s="829">
        <f t="shared" si="1"/>
        <v>0.0002844444444</v>
      </c>
      <c r="J1938" s="830">
        <f t="shared" si="2"/>
        <v>0.00002604802605</v>
      </c>
      <c r="K1938" s="830"/>
    </row>
    <row r="1939">
      <c r="A1939" s="181" t="s">
        <v>523</v>
      </c>
      <c r="B1939" s="181" t="s">
        <v>563</v>
      </c>
      <c r="C1939" s="181">
        <v>1024.0</v>
      </c>
      <c r="D1939" s="181">
        <v>2.0</v>
      </c>
      <c r="E1939" s="181">
        <v>10.59</v>
      </c>
      <c r="F1939" s="181">
        <v>0.1</v>
      </c>
      <c r="G1939" s="181">
        <v>0.05</v>
      </c>
      <c r="H1939" s="828">
        <v>46096.0</v>
      </c>
      <c r="I1939" s="829">
        <f t="shared" si="1"/>
        <v>0.0005688888889</v>
      </c>
      <c r="J1939" s="830">
        <f t="shared" si="2"/>
        <v>0.00005371944182</v>
      </c>
      <c r="K1939" s="830"/>
    </row>
    <row r="1940">
      <c r="A1940" s="181" t="s">
        <v>523</v>
      </c>
      <c r="B1940" s="181" t="s">
        <v>563</v>
      </c>
      <c r="C1940" s="181">
        <v>2048.0</v>
      </c>
      <c r="D1940" s="181">
        <v>2.0</v>
      </c>
      <c r="E1940" s="181">
        <v>10.27</v>
      </c>
      <c r="F1940" s="181">
        <v>0.2</v>
      </c>
      <c r="G1940" s="181">
        <v>0.1</v>
      </c>
      <c r="H1940" s="828">
        <v>46096.0</v>
      </c>
      <c r="I1940" s="829">
        <f t="shared" si="1"/>
        <v>0.001137777778</v>
      </c>
      <c r="J1940" s="830">
        <f t="shared" si="2"/>
        <v>0.0001107865412</v>
      </c>
      <c r="K1940" s="830"/>
    </row>
    <row r="1941">
      <c r="A1941" s="181" t="s">
        <v>523</v>
      </c>
      <c r="B1941" s="181" t="s">
        <v>563</v>
      </c>
      <c r="C1941" s="181">
        <v>4096.0</v>
      </c>
      <c r="D1941" s="181">
        <v>2.0</v>
      </c>
      <c r="E1941" s="181">
        <v>10.91</v>
      </c>
      <c r="F1941" s="181">
        <v>0.38</v>
      </c>
      <c r="G1941" s="181">
        <v>0.19</v>
      </c>
      <c r="H1941" s="828">
        <v>46096.0</v>
      </c>
      <c r="I1941" s="829">
        <f t="shared" si="1"/>
        <v>0.002275555556</v>
      </c>
      <c r="J1941" s="830">
        <f t="shared" si="2"/>
        <v>0.0002085752113</v>
      </c>
      <c r="K1941" s="830"/>
    </row>
    <row r="1942">
      <c r="A1942" s="181" t="s">
        <v>523</v>
      </c>
      <c r="B1942" s="181" t="s">
        <v>563</v>
      </c>
      <c r="C1942" s="181">
        <v>8192.0</v>
      </c>
      <c r="D1942" s="181">
        <v>2.0</v>
      </c>
      <c r="E1942" s="181">
        <v>10.54</v>
      </c>
      <c r="F1942" s="181">
        <v>0.78</v>
      </c>
      <c r="G1942" s="181">
        <v>0.39</v>
      </c>
      <c r="H1942" s="828">
        <v>46096.0</v>
      </c>
      <c r="I1942" s="829">
        <f t="shared" si="1"/>
        <v>0.004551111111</v>
      </c>
      <c r="J1942" s="830">
        <f t="shared" si="2"/>
        <v>0.0004317942231</v>
      </c>
      <c r="K1942" s="830"/>
    </row>
    <row r="1943">
      <c r="A1943" s="181" t="s">
        <v>523</v>
      </c>
      <c r="B1943" s="181" t="s">
        <v>563</v>
      </c>
      <c r="C1943" s="181">
        <v>16384.0</v>
      </c>
      <c r="D1943" s="181">
        <v>2.0</v>
      </c>
      <c r="E1943" s="181">
        <v>10.74</v>
      </c>
      <c r="F1943" s="181">
        <v>1.53</v>
      </c>
      <c r="G1943" s="181">
        <v>0.76</v>
      </c>
      <c r="H1943" s="828">
        <v>46096.0</v>
      </c>
      <c r="I1943" s="829">
        <f t="shared" si="1"/>
        <v>0.009102222222</v>
      </c>
      <c r="J1943" s="830">
        <f t="shared" si="2"/>
        <v>0.0008475067246</v>
      </c>
      <c r="K1943" s="830"/>
    </row>
    <row r="1944">
      <c r="A1944" s="181" t="s">
        <v>523</v>
      </c>
      <c r="B1944" s="181" t="s">
        <v>563</v>
      </c>
      <c r="C1944" s="181">
        <v>32768.0</v>
      </c>
      <c r="D1944" s="181">
        <v>2.0</v>
      </c>
      <c r="E1944" s="181">
        <v>11.43</v>
      </c>
      <c r="F1944" s="181">
        <v>2.87</v>
      </c>
      <c r="G1944" s="181">
        <v>1.43</v>
      </c>
      <c r="H1944" s="828">
        <v>46096.0</v>
      </c>
      <c r="I1944" s="829">
        <f t="shared" si="1"/>
        <v>0.01820444444</v>
      </c>
      <c r="J1944" s="830">
        <f t="shared" si="2"/>
        <v>0.001592689803</v>
      </c>
      <c r="K1944" s="830"/>
    </row>
    <row r="1945">
      <c r="A1945" s="181" t="s">
        <v>523</v>
      </c>
      <c r="B1945" s="181" t="s">
        <v>563</v>
      </c>
      <c r="C1945" s="181">
        <v>65536.0</v>
      </c>
      <c r="D1945" s="181">
        <v>2.0</v>
      </c>
      <c r="E1945" s="181">
        <v>11.17</v>
      </c>
      <c r="F1945" s="181">
        <v>5.87</v>
      </c>
      <c r="G1945" s="181">
        <v>2.93</v>
      </c>
      <c r="H1945" s="828">
        <v>46096.0</v>
      </c>
      <c r="I1945" s="829">
        <f t="shared" si="1"/>
        <v>0.03640888889</v>
      </c>
      <c r="J1945" s="830">
        <f t="shared" si="2"/>
        <v>0.00325952452</v>
      </c>
      <c r="K1945" s="830"/>
    </row>
    <row r="1946">
      <c r="A1946" s="181" t="s">
        <v>523</v>
      </c>
      <c r="B1946" s="181" t="s">
        <v>563</v>
      </c>
      <c r="C1946" s="181">
        <v>131072.0</v>
      </c>
      <c r="D1946" s="181">
        <v>2.0</v>
      </c>
      <c r="E1946" s="181">
        <v>11.17</v>
      </c>
      <c r="F1946" s="181">
        <v>11.73</v>
      </c>
      <c r="G1946" s="181">
        <v>5.87</v>
      </c>
      <c r="H1946" s="828">
        <v>46096.0</v>
      </c>
      <c r="I1946" s="829">
        <f t="shared" si="1"/>
        <v>0.07281777778</v>
      </c>
      <c r="J1946" s="830">
        <f t="shared" si="2"/>
        <v>0.00651904904</v>
      </c>
      <c r="K1946" s="830"/>
    </row>
    <row r="1947">
      <c r="A1947" s="181" t="s">
        <v>523</v>
      </c>
      <c r="B1947" s="181" t="s">
        <v>563</v>
      </c>
      <c r="C1947" s="181">
        <v>262144.0</v>
      </c>
      <c r="D1947" s="181">
        <v>2.0</v>
      </c>
      <c r="E1947" s="181">
        <v>11.95</v>
      </c>
      <c r="F1947" s="181">
        <v>21.94</v>
      </c>
      <c r="G1947" s="181">
        <v>10.97</v>
      </c>
      <c r="H1947" s="828">
        <v>46096.0</v>
      </c>
      <c r="I1947" s="829">
        <f t="shared" si="1"/>
        <v>0.1456355556</v>
      </c>
      <c r="J1947" s="830">
        <f t="shared" si="2"/>
        <v>0.01218707578</v>
      </c>
      <c r="K1947" s="830"/>
    </row>
    <row r="1948">
      <c r="A1948" s="181" t="s">
        <v>523</v>
      </c>
      <c r="B1948" s="181" t="s">
        <v>563</v>
      </c>
      <c r="C1948" s="181">
        <v>524288.0</v>
      </c>
      <c r="D1948" s="181">
        <v>2.0</v>
      </c>
      <c r="E1948" s="181">
        <v>12.49</v>
      </c>
      <c r="F1948" s="181">
        <v>41.97</v>
      </c>
      <c r="G1948" s="181">
        <v>20.99</v>
      </c>
      <c r="H1948" s="828">
        <v>46096.0</v>
      </c>
      <c r="I1948" s="829">
        <f t="shared" si="1"/>
        <v>0.2912711111</v>
      </c>
      <c r="J1948" s="830">
        <f t="shared" si="2"/>
        <v>0.02332034517</v>
      </c>
      <c r="K1948" s="830"/>
    </row>
    <row r="1949">
      <c r="A1949" s="181" t="s">
        <v>523</v>
      </c>
      <c r="B1949" s="181" t="s">
        <v>563</v>
      </c>
      <c r="C1949" s="181">
        <v>1048576.0</v>
      </c>
      <c r="D1949" s="181">
        <v>2.0</v>
      </c>
      <c r="E1949" s="181">
        <v>13.99</v>
      </c>
      <c r="F1949" s="181">
        <v>74.98</v>
      </c>
      <c r="G1949" s="181">
        <v>37.49</v>
      </c>
      <c r="H1949" s="828">
        <v>46096.0</v>
      </c>
      <c r="I1949" s="829">
        <f t="shared" si="1"/>
        <v>0.5825422222</v>
      </c>
      <c r="J1949" s="830">
        <f t="shared" si="2"/>
        <v>0.04163990152</v>
      </c>
      <c r="K1949" s="830"/>
    </row>
    <row r="1950">
      <c r="A1950" s="181" t="s">
        <v>523</v>
      </c>
      <c r="B1950" s="181" t="s">
        <v>563</v>
      </c>
      <c r="C1950" s="181">
        <v>2097152.0</v>
      </c>
      <c r="D1950" s="181">
        <v>2.0</v>
      </c>
      <c r="E1950" s="181">
        <v>17.11</v>
      </c>
      <c r="F1950" s="181">
        <v>122.58</v>
      </c>
      <c r="G1950" s="181">
        <v>61.29</v>
      </c>
      <c r="H1950" s="828">
        <v>46096.0</v>
      </c>
      <c r="I1950" s="829">
        <f t="shared" si="1"/>
        <v>1.165084444</v>
      </c>
      <c r="J1950" s="830">
        <f t="shared" si="2"/>
        <v>0.06809377232</v>
      </c>
      <c r="K1950" s="830"/>
    </row>
    <row r="1951">
      <c r="A1951" s="181" t="s">
        <v>523</v>
      </c>
      <c r="B1951" s="181" t="s">
        <v>563</v>
      </c>
      <c r="C1951" s="181">
        <v>4194304.0</v>
      </c>
      <c r="D1951" s="181">
        <v>2.0</v>
      </c>
      <c r="E1951" s="181">
        <v>29.04</v>
      </c>
      <c r="F1951" s="181">
        <v>144.42</v>
      </c>
      <c r="G1951" s="181">
        <v>72.21</v>
      </c>
      <c r="H1951" s="828">
        <v>46096.0</v>
      </c>
      <c r="I1951" s="829">
        <f t="shared" si="1"/>
        <v>2.330168889</v>
      </c>
      <c r="J1951" s="830">
        <f t="shared" si="2"/>
        <v>0.08023997551</v>
      </c>
      <c r="K1951" s="830"/>
    </row>
    <row r="1952">
      <c r="A1952" s="181" t="s">
        <v>523</v>
      </c>
      <c r="B1952" s="181" t="s">
        <v>563</v>
      </c>
      <c r="C1952" s="181">
        <v>8388608.0</v>
      </c>
      <c r="D1952" s="181">
        <v>2.0</v>
      </c>
      <c r="E1952" s="181">
        <v>31.09</v>
      </c>
      <c r="F1952" s="181">
        <v>269.78</v>
      </c>
      <c r="G1952" s="181">
        <v>134.89</v>
      </c>
      <c r="H1952" s="828">
        <v>46096.0</v>
      </c>
      <c r="I1952" s="829">
        <f t="shared" si="1"/>
        <v>4.660337778</v>
      </c>
      <c r="J1952" s="830">
        <f t="shared" si="2"/>
        <v>0.1498982881</v>
      </c>
      <c r="K1952" s="830"/>
    </row>
    <row r="1953">
      <c r="A1953" s="181" t="s">
        <v>523</v>
      </c>
      <c r="B1953" s="181" t="s">
        <v>563</v>
      </c>
      <c r="C1953" s="181">
        <v>1.6777216E7</v>
      </c>
      <c r="D1953" s="181">
        <v>2.0</v>
      </c>
      <c r="E1953" s="181">
        <v>40.9</v>
      </c>
      <c r="F1953" s="181">
        <v>410.24</v>
      </c>
      <c r="G1953" s="181">
        <v>205.12</v>
      </c>
      <c r="H1953" s="828">
        <v>46096.0</v>
      </c>
      <c r="I1953" s="829">
        <f t="shared" si="1"/>
        <v>9.320675556</v>
      </c>
      <c r="J1953" s="830">
        <f t="shared" si="2"/>
        <v>0.2278893779</v>
      </c>
      <c r="K1953" s="830"/>
    </row>
    <row r="1954">
      <c r="A1954" s="181" t="s">
        <v>523</v>
      </c>
      <c r="B1954" s="181" t="s">
        <v>563</v>
      </c>
      <c r="C1954" s="181">
        <v>3.3554432E7</v>
      </c>
      <c r="D1954" s="181">
        <v>2.0</v>
      </c>
      <c r="E1954" s="181">
        <v>57.09</v>
      </c>
      <c r="F1954" s="181">
        <v>587.77</v>
      </c>
      <c r="G1954" s="181">
        <v>293.88</v>
      </c>
      <c r="H1954" s="828">
        <v>46096.0</v>
      </c>
      <c r="I1954" s="829">
        <f t="shared" si="1"/>
        <v>18.64135111</v>
      </c>
      <c r="J1954" s="830">
        <f t="shared" si="2"/>
        <v>0.3265256807</v>
      </c>
      <c r="K1954" s="830"/>
    </row>
    <row r="1955">
      <c r="A1955" s="181" t="s">
        <v>523</v>
      </c>
      <c r="B1955" s="181" t="s">
        <v>563</v>
      </c>
      <c r="C1955" s="181">
        <v>6.7108864E7</v>
      </c>
      <c r="D1955" s="181">
        <v>2.0</v>
      </c>
      <c r="E1955" s="181">
        <v>95.82</v>
      </c>
      <c r="F1955" s="181">
        <v>700.33</v>
      </c>
      <c r="G1955" s="181">
        <v>350.17</v>
      </c>
      <c r="H1955" s="828">
        <v>46096.0</v>
      </c>
      <c r="I1955" s="829">
        <f t="shared" si="1"/>
        <v>37.28270222</v>
      </c>
      <c r="J1955" s="830">
        <f t="shared" si="2"/>
        <v>0.3890910272</v>
      </c>
      <c r="K1955" s="830"/>
    </row>
    <row r="1956">
      <c r="A1956" s="181" t="s">
        <v>523</v>
      </c>
      <c r="B1956" s="181" t="s">
        <v>563</v>
      </c>
      <c r="C1956" s="181">
        <v>1.34217728E8</v>
      </c>
      <c r="D1956" s="181">
        <v>2.0</v>
      </c>
      <c r="E1956" s="181">
        <v>176.56</v>
      </c>
      <c r="F1956" s="181">
        <v>760.19</v>
      </c>
      <c r="G1956" s="181">
        <v>380.09</v>
      </c>
      <c r="H1956" s="828">
        <v>46096.0</v>
      </c>
      <c r="I1956" s="829">
        <f t="shared" si="1"/>
        <v>74.56540444</v>
      </c>
      <c r="J1956" s="830">
        <f t="shared" si="2"/>
        <v>0.4223233147</v>
      </c>
      <c r="K1956" s="830"/>
    </row>
    <row r="1957">
      <c r="A1957" s="181" t="s">
        <v>523</v>
      </c>
      <c r="B1957" s="181" t="s">
        <v>563</v>
      </c>
      <c r="C1957" s="181">
        <v>2.68435456E8</v>
      </c>
      <c r="D1957" s="181">
        <v>2.0</v>
      </c>
      <c r="E1957" s="181">
        <v>320.09</v>
      </c>
      <c r="F1957" s="181">
        <v>838.63</v>
      </c>
      <c r="G1957" s="181">
        <v>419.31</v>
      </c>
      <c r="H1957" s="828">
        <v>46096.0</v>
      </c>
      <c r="I1957" s="829">
        <f t="shared" si="1"/>
        <v>149.1308089</v>
      </c>
      <c r="J1957" s="830">
        <f t="shared" si="2"/>
        <v>0.4659027426</v>
      </c>
      <c r="K1957" s="830"/>
    </row>
    <row r="1958">
      <c r="A1958" s="181" t="s">
        <v>523</v>
      </c>
      <c r="B1958" s="181" t="s">
        <v>563</v>
      </c>
      <c r="C1958" s="181">
        <v>5.36870912E8</v>
      </c>
      <c r="D1958" s="181">
        <v>2.0</v>
      </c>
      <c r="E1958" s="181">
        <v>607.09</v>
      </c>
      <c r="F1958" s="181">
        <v>884.33</v>
      </c>
      <c r="G1958" s="181">
        <v>442.17</v>
      </c>
      <c r="H1958" s="828">
        <v>46096.0</v>
      </c>
      <c r="I1958" s="829">
        <f t="shared" si="1"/>
        <v>298.2616178</v>
      </c>
      <c r="J1958" s="830">
        <f t="shared" si="2"/>
        <v>0.491297201</v>
      </c>
      <c r="K1958" s="830"/>
    </row>
    <row r="1959">
      <c r="A1959" s="181" t="s">
        <v>523</v>
      </c>
      <c r="B1959" s="181" t="s">
        <v>563</v>
      </c>
      <c r="C1959" s="181">
        <v>1.073741824E9</v>
      </c>
      <c r="D1959" s="181">
        <v>2.0</v>
      </c>
      <c r="E1959" s="181">
        <v>1137.31</v>
      </c>
      <c r="F1959" s="181">
        <v>944.11</v>
      </c>
      <c r="G1959" s="181">
        <v>472.05</v>
      </c>
      <c r="H1959" s="828">
        <v>46096.0</v>
      </c>
      <c r="I1959" s="829">
        <f t="shared" si="1"/>
        <v>596.5232356</v>
      </c>
      <c r="J1959" s="830">
        <f t="shared" si="2"/>
        <v>0.5245036407</v>
      </c>
      <c r="K1959" s="830"/>
    </row>
    <row r="1960">
      <c r="A1960" s="181" t="s">
        <v>523</v>
      </c>
      <c r="B1960" s="181" t="s">
        <v>563</v>
      </c>
      <c r="C1960" s="181">
        <v>2.147483648E9</v>
      </c>
      <c r="D1960" s="181">
        <v>2.0</v>
      </c>
      <c r="E1960" s="181">
        <v>2132.28</v>
      </c>
      <c r="F1960" s="181">
        <v>1007.1</v>
      </c>
      <c r="G1960" s="181">
        <v>503.56</v>
      </c>
      <c r="H1960" s="828">
        <v>46096.0</v>
      </c>
      <c r="I1960" s="829">
        <f t="shared" si="1"/>
        <v>1193.046471</v>
      </c>
      <c r="J1960" s="830">
        <f t="shared" si="2"/>
        <v>0.5595167948</v>
      </c>
      <c r="K1960" s="830"/>
    </row>
    <row r="1961">
      <c r="A1961" s="181" t="s">
        <v>523</v>
      </c>
      <c r="B1961" s="181" t="s">
        <v>563</v>
      </c>
      <c r="C1961" s="181">
        <v>4.294967296E9</v>
      </c>
      <c r="D1961" s="181">
        <v>2.0</v>
      </c>
      <c r="E1961" s="181">
        <v>4050.32</v>
      </c>
      <c r="F1961" s="181">
        <v>1060.4</v>
      </c>
      <c r="G1961" s="181">
        <v>530.2</v>
      </c>
      <c r="H1961" s="828">
        <v>46096.0</v>
      </c>
      <c r="I1961" s="829">
        <f t="shared" si="1"/>
        <v>2386.092942</v>
      </c>
      <c r="J1961" s="830">
        <f t="shared" si="2"/>
        <v>0.589112204</v>
      </c>
      <c r="K1961" s="830"/>
    </row>
    <row r="1962">
      <c r="A1962" s="181" t="s">
        <v>523</v>
      </c>
      <c r="B1962" s="181" t="s">
        <v>563</v>
      </c>
      <c r="C1962" s="181">
        <v>8.589934592E9</v>
      </c>
      <c r="D1962" s="181">
        <v>2.0</v>
      </c>
      <c r="E1962" s="181">
        <v>7795.15</v>
      </c>
      <c r="F1962" s="181">
        <v>1102.0</v>
      </c>
      <c r="G1962" s="181">
        <v>550.98</v>
      </c>
      <c r="H1962" s="828">
        <v>46096.0</v>
      </c>
      <c r="I1962" s="829">
        <f t="shared" si="1"/>
        <v>4772.185884</v>
      </c>
      <c r="J1962" s="830">
        <f t="shared" si="2"/>
        <v>0.6121993656</v>
      </c>
      <c r="K1962" s="830"/>
    </row>
    <row r="1963">
      <c r="A1963" s="181" t="s">
        <v>523</v>
      </c>
      <c r="B1963" s="181" t="s">
        <v>563</v>
      </c>
      <c r="C1963" s="181">
        <v>1.7179869184E10</v>
      </c>
      <c r="D1963" s="181">
        <v>2.0</v>
      </c>
      <c r="E1963" s="181">
        <v>14989.2</v>
      </c>
      <c r="F1963" s="181">
        <v>1146.2</v>
      </c>
      <c r="G1963" s="181">
        <v>573.08</v>
      </c>
      <c r="H1963" s="828">
        <v>46096.0</v>
      </c>
      <c r="I1963" s="829">
        <f t="shared" si="1"/>
        <v>9544.371769</v>
      </c>
      <c r="J1963" s="830">
        <f t="shared" si="2"/>
        <v>0.6367499112</v>
      </c>
      <c r="K1963" s="830"/>
    </row>
    <row r="1964">
      <c r="A1964" s="181" t="s">
        <v>523</v>
      </c>
      <c r="B1964" s="181" t="s">
        <v>563</v>
      </c>
      <c r="C1964" s="181">
        <v>256.0</v>
      </c>
      <c r="D1964" s="181">
        <v>4.0</v>
      </c>
      <c r="E1964" s="181">
        <v>13.39</v>
      </c>
      <c r="F1964" s="181">
        <v>0.02</v>
      </c>
      <c r="G1964" s="181">
        <v>0.01</v>
      </c>
      <c r="H1964" s="828">
        <v>46096.0</v>
      </c>
      <c r="I1964" s="829">
        <f t="shared" si="1"/>
        <v>0.0002133333333</v>
      </c>
      <c r="J1964" s="830">
        <f t="shared" si="2"/>
        <v>0.00001593228778</v>
      </c>
      <c r="K1964" s="830"/>
    </row>
    <row r="1965">
      <c r="A1965" s="181" t="s">
        <v>523</v>
      </c>
      <c r="B1965" s="181" t="s">
        <v>563</v>
      </c>
      <c r="C1965" s="181">
        <v>512.0</v>
      </c>
      <c r="D1965" s="181">
        <v>4.0</v>
      </c>
      <c r="E1965" s="181">
        <v>13.36</v>
      </c>
      <c r="F1965" s="181">
        <v>0.04</v>
      </c>
      <c r="G1965" s="181">
        <v>0.03</v>
      </c>
      <c r="H1965" s="828">
        <v>46096.0</v>
      </c>
      <c r="I1965" s="829">
        <f t="shared" si="1"/>
        <v>0.0004266666667</v>
      </c>
      <c r="J1965" s="830">
        <f t="shared" si="2"/>
        <v>0.00003193612774</v>
      </c>
      <c r="K1965" s="830"/>
    </row>
    <row r="1966">
      <c r="A1966" s="181" t="s">
        <v>523</v>
      </c>
      <c r="B1966" s="181" t="s">
        <v>563</v>
      </c>
      <c r="C1966" s="181">
        <v>1024.0</v>
      </c>
      <c r="D1966" s="181">
        <v>4.0</v>
      </c>
      <c r="E1966" s="181">
        <v>13.14</v>
      </c>
      <c r="F1966" s="181">
        <v>0.08</v>
      </c>
      <c r="G1966" s="181">
        <v>0.06</v>
      </c>
      <c r="H1966" s="828">
        <v>46096.0</v>
      </c>
      <c r="I1966" s="829">
        <f t="shared" si="1"/>
        <v>0.0008533333333</v>
      </c>
      <c r="J1966" s="830">
        <f t="shared" si="2"/>
        <v>0.00006494165398</v>
      </c>
      <c r="K1966" s="830"/>
    </row>
    <row r="1967">
      <c r="A1967" s="181" t="s">
        <v>523</v>
      </c>
      <c r="B1967" s="181" t="s">
        <v>563</v>
      </c>
      <c r="C1967" s="181">
        <v>2048.0</v>
      </c>
      <c r="D1967" s="181">
        <v>4.0</v>
      </c>
      <c r="E1967" s="181">
        <v>12.84</v>
      </c>
      <c r="F1967" s="181">
        <v>0.16</v>
      </c>
      <c r="G1967" s="181">
        <v>0.12</v>
      </c>
      <c r="H1967" s="828">
        <v>46096.0</v>
      </c>
      <c r="I1967" s="829">
        <f t="shared" si="1"/>
        <v>0.001706666667</v>
      </c>
      <c r="J1967" s="830">
        <f t="shared" si="2"/>
        <v>0.0001329179647</v>
      </c>
      <c r="K1967" s="830"/>
    </row>
    <row r="1968">
      <c r="A1968" s="181" t="s">
        <v>523</v>
      </c>
      <c r="B1968" s="181" t="s">
        <v>563</v>
      </c>
      <c r="C1968" s="181">
        <v>4096.0</v>
      </c>
      <c r="D1968" s="181">
        <v>4.0</v>
      </c>
      <c r="E1968" s="181">
        <v>13.15</v>
      </c>
      <c r="F1968" s="181">
        <v>0.31</v>
      </c>
      <c r="G1968" s="181">
        <v>0.23</v>
      </c>
      <c r="H1968" s="828">
        <v>46096.0</v>
      </c>
      <c r="I1968" s="829">
        <f t="shared" si="1"/>
        <v>0.003413333333</v>
      </c>
      <c r="J1968" s="830">
        <f t="shared" si="2"/>
        <v>0.0002595690748</v>
      </c>
      <c r="K1968" s="830"/>
    </row>
    <row r="1969">
      <c r="A1969" s="181" t="s">
        <v>523</v>
      </c>
      <c r="B1969" s="181" t="s">
        <v>563</v>
      </c>
      <c r="C1969" s="181">
        <v>8192.0</v>
      </c>
      <c r="D1969" s="181">
        <v>4.0</v>
      </c>
      <c r="E1969" s="181">
        <v>13.35</v>
      </c>
      <c r="F1969" s="181">
        <v>0.61</v>
      </c>
      <c r="G1969" s="181">
        <v>0.46</v>
      </c>
      <c r="H1969" s="828">
        <v>46096.0</v>
      </c>
      <c r="I1969" s="829">
        <f t="shared" si="1"/>
        <v>0.006826666667</v>
      </c>
      <c r="J1969" s="830">
        <f t="shared" si="2"/>
        <v>0.000511360799</v>
      </c>
      <c r="K1969" s="830"/>
    </row>
    <row r="1970">
      <c r="A1970" s="181" t="s">
        <v>523</v>
      </c>
      <c r="B1970" s="181" t="s">
        <v>563</v>
      </c>
      <c r="C1970" s="181">
        <v>16384.0</v>
      </c>
      <c r="D1970" s="181">
        <v>4.0</v>
      </c>
      <c r="E1970" s="181">
        <v>13.79</v>
      </c>
      <c r="F1970" s="181">
        <v>1.19</v>
      </c>
      <c r="G1970" s="181">
        <v>0.89</v>
      </c>
      <c r="H1970" s="828">
        <v>46096.0</v>
      </c>
      <c r="I1970" s="829">
        <f t="shared" si="1"/>
        <v>0.01365333333</v>
      </c>
      <c r="J1970" s="830">
        <f t="shared" si="2"/>
        <v>0.0009900894368</v>
      </c>
      <c r="K1970" s="830"/>
    </row>
    <row r="1971">
      <c r="A1971" s="181" t="s">
        <v>523</v>
      </c>
      <c r="B1971" s="181" t="s">
        <v>563</v>
      </c>
      <c r="C1971" s="181">
        <v>32768.0</v>
      </c>
      <c r="D1971" s="181">
        <v>4.0</v>
      </c>
      <c r="E1971" s="181">
        <v>13.92</v>
      </c>
      <c r="F1971" s="181">
        <v>2.35</v>
      </c>
      <c r="G1971" s="181">
        <v>1.77</v>
      </c>
      <c r="H1971" s="828">
        <v>46096.0</v>
      </c>
      <c r="I1971" s="829">
        <f t="shared" si="1"/>
        <v>0.02730666667</v>
      </c>
      <c r="J1971" s="830">
        <f t="shared" si="2"/>
        <v>0.001961685824</v>
      </c>
      <c r="K1971" s="830"/>
    </row>
    <row r="1972">
      <c r="A1972" s="181" t="s">
        <v>523</v>
      </c>
      <c r="B1972" s="181" t="s">
        <v>563</v>
      </c>
      <c r="C1972" s="181">
        <v>65536.0</v>
      </c>
      <c r="D1972" s="181">
        <v>4.0</v>
      </c>
      <c r="E1972" s="181">
        <v>13.94</v>
      </c>
      <c r="F1972" s="181">
        <v>4.7</v>
      </c>
      <c r="G1972" s="181">
        <v>3.53</v>
      </c>
      <c r="H1972" s="828">
        <v>46096.0</v>
      </c>
      <c r="I1972" s="829">
        <f t="shared" si="1"/>
        <v>0.05461333333</v>
      </c>
      <c r="J1972" s="830">
        <f t="shared" si="2"/>
        <v>0.003917742707</v>
      </c>
      <c r="K1972" s="830"/>
    </row>
    <row r="1973">
      <c r="A1973" s="181" t="s">
        <v>523</v>
      </c>
      <c r="B1973" s="181" t="s">
        <v>563</v>
      </c>
      <c r="C1973" s="181">
        <v>131072.0</v>
      </c>
      <c r="D1973" s="181">
        <v>4.0</v>
      </c>
      <c r="E1973" s="181">
        <v>14.87</v>
      </c>
      <c r="F1973" s="181">
        <v>8.82</v>
      </c>
      <c r="G1973" s="181">
        <v>6.61</v>
      </c>
      <c r="H1973" s="828">
        <v>46096.0</v>
      </c>
      <c r="I1973" s="829">
        <f t="shared" si="1"/>
        <v>0.1092266667</v>
      </c>
      <c r="J1973" s="830">
        <f t="shared" si="2"/>
        <v>0.007345438243</v>
      </c>
      <c r="K1973" s="830"/>
    </row>
    <row r="1974">
      <c r="A1974" s="181" t="s">
        <v>523</v>
      </c>
      <c r="B1974" s="181" t="s">
        <v>563</v>
      </c>
      <c r="C1974" s="181">
        <v>262144.0</v>
      </c>
      <c r="D1974" s="181">
        <v>4.0</v>
      </c>
      <c r="E1974" s="181">
        <v>14.51</v>
      </c>
      <c r="F1974" s="181">
        <v>18.06</v>
      </c>
      <c r="G1974" s="181">
        <v>13.55</v>
      </c>
      <c r="H1974" s="828">
        <v>46096.0</v>
      </c>
      <c r="I1974" s="829">
        <f t="shared" si="1"/>
        <v>0.2184533333</v>
      </c>
      <c r="J1974" s="830">
        <f t="shared" si="2"/>
        <v>0.01505536412</v>
      </c>
      <c r="K1974" s="830"/>
    </row>
    <row r="1975">
      <c r="A1975" s="181" t="s">
        <v>523</v>
      </c>
      <c r="B1975" s="181" t="s">
        <v>563</v>
      </c>
      <c r="C1975" s="181">
        <v>524288.0</v>
      </c>
      <c r="D1975" s="181">
        <v>4.0</v>
      </c>
      <c r="E1975" s="181">
        <v>15.59</v>
      </c>
      <c r="F1975" s="181">
        <v>33.63</v>
      </c>
      <c r="G1975" s="181">
        <v>25.22</v>
      </c>
      <c r="H1975" s="828">
        <v>46096.0</v>
      </c>
      <c r="I1975" s="829">
        <f t="shared" si="1"/>
        <v>0.4369066667</v>
      </c>
      <c r="J1975" s="830">
        <f t="shared" si="2"/>
        <v>0.02802480222</v>
      </c>
      <c r="K1975" s="830"/>
    </row>
    <row r="1976">
      <c r="A1976" s="181" t="s">
        <v>523</v>
      </c>
      <c r="B1976" s="181" t="s">
        <v>563</v>
      </c>
      <c r="C1976" s="181">
        <v>1048576.0</v>
      </c>
      <c r="D1976" s="181">
        <v>4.0</v>
      </c>
      <c r="E1976" s="181">
        <v>15.95</v>
      </c>
      <c r="F1976" s="181">
        <v>65.75</v>
      </c>
      <c r="G1976" s="181">
        <v>49.31</v>
      </c>
      <c r="H1976" s="828">
        <v>46096.0</v>
      </c>
      <c r="I1976" s="829">
        <f t="shared" si="1"/>
        <v>0.8738133333</v>
      </c>
      <c r="J1976" s="830">
        <f t="shared" si="2"/>
        <v>0.05478453501</v>
      </c>
      <c r="K1976" s="830"/>
    </row>
    <row r="1977">
      <c r="A1977" s="181" t="s">
        <v>523</v>
      </c>
      <c r="B1977" s="181" t="s">
        <v>563</v>
      </c>
      <c r="C1977" s="181">
        <v>2097152.0</v>
      </c>
      <c r="D1977" s="181">
        <v>4.0</v>
      </c>
      <c r="E1977" s="181">
        <v>20.28</v>
      </c>
      <c r="F1977" s="181">
        <v>103.4</v>
      </c>
      <c r="G1977" s="181">
        <v>77.55</v>
      </c>
      <c r="H1977" s="828">
        <v>46096.0</v>
      </c>
      <c r="I1977" s="829">
        <f t="shared" si="1"/>
        <v>1.747626667</v>
      </c>
      <c r="J1977" s="830">
        <f t="shared" si="2"/>
        <v>0.08617488494</v>
      </c>
      <c r="K1977" s="830"/>
    </row>
    <row r="1978">
      <c r="A1978" s="181" t="s">
        <v>523</v>
      </c>
      <c r="B1978" s="181" t="s">
        <v>563</v>
      </c>
      <c r="C1978" s="181">
        <v>4194304.0</v>
      </c>
      <c r="D1978" s="181">
        <v>4.0</v>
      </c>
      <c r="E1978" s="181">
        <v>32.21</v>
      </c>
      <c r="F1978" s="181">
        <v>130.21</v>
      </c>
      <c r="G1978" s="181">
        <v>97.66</v>
      </c>
      <c r="H1978" s="828">
        <v>46096.0</v>
      </c>
      <c r="I1978" s="829">
        <f t="shared" si="1"/>
        <v>3.495253333</v>
      </c>
      <c r="J1978" s="830">
        <f t="shared" si="2"/>
        <v>0.10851454</v>
      </c>
      <c r="K1978" s="830"/>
    </row>
    <row r="1979">
      <c r="A1979" s="181" t="s">
        <v>523</v>
      </c>
      <c r="B1979" s="181" t="s">
        <v>563</v>
      </c>
      <c r="C1979" s="181">
        <v>8388608.0</v>
      </c>
      <c r="D1979" s="181">
        <v>4.0</v>
      </c>
      <c r="E1979" s="181">
        <v>51.22</v>
      </c>
      <c r="F1979" s="181">
        <v>163.76</v>
      </c>
      <c r="G1979" s="181">
        <v>122.82</v>
      </c>
      <c r="H1979" s="828">
        <v>46096.0</v>
      </c>
      <c r="I1979" s="829">
        <f t="shared" si="1"/>
        <v>6.990506667</v>
      </c>
      <c r="J1979" s="830">
        <f t="shared" si="2"/>
        <v>0.1364800208</v>
      </c>
      <c r="K1979" s="830"/>
    </row>
    <row r="1980">
      <c r="A1980" s="181" t="s">
        <v>523</v>
      </c>
      <c r="B1980" s="181" t="s">
        <v>563</v>
      </c>
      <c r="C1980" s="181">
        <v>1.6777216E7</v>
      </c>
      <c r="D1980" s="181">
        <v>4.0</v>
      </c>
      <c r="E1980" s="181">
        <v>58.47</v>
      </c>
      <c r="F1980" s="181">
        <v>286.94</v>
      </c>
      <c r="G1980" s="181">
        <v>215.21</v>
      </c>
      <c r="H1980" s="828">
        <v>46096.0</v>
      </c>
      <c r="I1980" s="829">
        <f t="shared" si="1"/>
        <v>13.98101333</v>
      </c>
      <c r="J1980" s="830">
        <f t="shared" si="2"/>
        <v>0.2391143036</v>
      </c>
      <c r="K1980" s="830"/>
    </row>
    <row r="1981">
      <c r="A1981" s="181" t="s">
        <v>523</v>
      </c>
      <c r="B1981" s="181" t="s">
        <v>563</v>
      </c>
      <c r="C1981" s="181">
        <v>3.3554432E7</v>
      </c>
      <c r="D1981" s="181">
        <v>4.0</v>
      </c>
      <c r="E1981" s="181">
        <v>73.29</v>
      </c>
      <c r="F1981" s="181">
        <v>457.84</v>
      </c>
      <c r="G1981" s="181">
        <v>343.38</v>
      </c>
      <c r="H1981" s="828">
        <v>46096.0</v>
      </c>
      <c r="I1981" s="829">
        <f t="shared" si="1"/>
        <v>27.96202667</v>
      </c>
      <c r="J1981" s="830">
        <f t="shared" si="2"/>
        <v>0.3815258107</v>
      </c>
      <c r="K1981" s="830"/>
    </row>
    <row r="1982">
      <c r="A1982" s="181" t="s">
        <v>523</v>
      </c>
      <c r="B1982" s="181" t="s">
        <v>563</v>
      </c>
      <c r="C1982" s="181">
        <v>6.7108864E7</v>
      </c>
      <c r="D1982" s="181">
        <v>4.0</v>
      </c>
      <c r="E1982" s="181">
        <v>111.15</v>
      </c>
      <c r="F1982" s="181">
        <v>603.78</v>
      </c>
      <c r="G1982" s="181">
        <v>452.84</v>
      </c>
      <c r="H1982" s="828">
        <v>46096.0</v>
      </c>
      <c r="I1982" s="829">
        <f t="shared" si="1"/>
        <v>55.92405333</v>
      </c>
      <c r="J1982" s="830">
        <f t="shared" si="2"/>
        <v>0.5031403809</v>
      </c>
      <c r="K1982" s="830"/>
    </row>
    <row r="1983">
      <c r="A1983" s="181" t="s">
        <v>523</v>
      </c>
      <c r="B1983" s="181" t="s">
        <v>563</v>
      </c>
      <c r="C1983" s="181">
        <v>1.34217728E8</v>
      </c>
      <c r="D1983" s="181">
        <v>4.0</v>
      </c>
      <c r="E1983" s="181">
        <v>198.96</v>
      </c>
      <c r="F1983" s="181">
        <v>674.58</v>
      </c>
      <c r="G1983" s="181">
        <v>505.94</v>
      </c>
      <c r="H1983" s="828">
        <v>46096.0</v>
      </c>
      <c r="I1983" s="829">
        <f t="shared" si="1"/>
        <v>111.8481067</v>
      </c>
      <c r="J1983" s="830">
        <f t="shared" si="2"/>
        <v>0.562163785</v>
      </c>
      <c r="K1983" s="830"/>
    </row>
    <row r="1984">
      <c r="A1984" s="181" t="s">
        <v>523</v>
      </c>
      <c r="B1984" s="181" t="s">
        <v>563</v>
      </c>
      <c r="C1984" s="181">
        <v>2.68435456E8</v>
      </c>
      <c r="D1984" s="181">
        <v>4.0</v>
      </c>
      <c r="E1984" s="181">
        <v>372.73</v>
      </c>
      <c r="F1984" s="181">
        <v>720.2</v>
      </c>
      <c r="G1984" s="181">
        <v>540.15</v>
      </c>
      <c r="H1984" s="828">
        <v>46096.0</v>
      </c>
      <c r="I1984" s="829">
        <f t="shared" si="1"/>
        <v>223.6962133</v>
      </c>
      <c r="J1984" s="830">
        <f t="shared" si="2"/>
        <v>0.600156181</v>
      </c>
      <c r="K1984" s="830"/>
    </row>
    <row r="1985">
      <c r="A1985" s="181" t="s">
        <v>523</v>
      </c>
      <c r="B1985" s="181" t="s">
        <v>563</v>
      </c>
      <c r="C1985" s="181">
        <v>5.36870912E8</v>
      </c>
      <c r="D1985" s="181">
        <v>4.0</v>
      </c>
      <c r="E1985" s="181">
        <v>700.99</v>
      </c>
      <c r="F1985" s="181">
        <v>765.88</v>
      </c>
      <c r="G1985" s="181">
        <v>574.41</v>
      </c>
      <c r="H1985" s="828">
        <v>46096.0</v>
      </c>
      <c r="I1985" s="829">
        <f t="shared" si="1"/>
        <v>447.3924267</v>
      </c>
      <c r="J1985" s="830">
        <f t="shared" si="2"/>
        <v>0.6382293994</v>
      </c>
      <c r="K1985" s="830"/>
    </row>
    <row r="1986">
      <c r="A1986" s="181" t="s">
        <v>523</v>
      </c>
      <c r="B1986" s="181" t="s">
        <v>563</v>
      </c>
      <c r="C1986" s="181">
        <v>1.073741824E9</v>
      </c>
      <c r="D1986" s="181">
        <v>4.0</v>
      </c>
      <c r="E1986" s="181">
        <v>1308.89</v>
      </c>
      <c r="F1986" s="181">
        <v>820.35</v>
      </c>
      <c r="G1986" s="181">
        <v>615.26</v>
      </c>
      <c r="H1986" s="828">
        <v>46096.0</v>
      </c>
      <c r="I1986" s="829">
        <f t="shared" si="1"/>
        <v>894.7848533</v>
      </c>
      <c r="J1986" s="830">
        <f t="shared" si="2"/>
        <v>0.6836211243</v>
      </c>
      <c r="K1986" s="830"/>
    </row>
    <row r="1987">
      <c r="A1987" s="181" t="s">
        <v>523</v>
      </c>
      <c r="B1987" s="181" t="s">
        <v>563</v>
      </c>
      <c r="C1987" s="181">
        <v>2.147483648E9</v>
      </c>
      <c r="D1987" s="181">
        <v>4.0</v>
      </c>
      <c r="E1987" s="181">
        <v>2541.18</v>
      </c>
      <c r="F1987" s="181">
        <v>845.07</v>
      </c>
      <c r="G1987" s="181">
        <v>633.81</v>
      </c>
      <c r="H1987" s="828">
        <v>46096.0</v>
      </c>
      <c r="I1987" s="829">
        <f t="shared" si="1"/>
        <v>1789.569707</v>
      </c>
      <c r="J1987" s="830">
        <f t="shared" si="2"/>
        <v>0.7042278417</v>
      </c>
      <c r="K1987" s="830"/>
    </row>
    <row r="1988">
      <c r="A1988" s="181" t="s">
        <v>523</v>
      </c>
      <c r="B1988" s="181" t="s">
        <v>563</v>
      </c>
      <c r="C1988" s="181">
        <v>4.294967296E9</v>
      </c>
      <c r="D1988" s="181">
        <v>4.0</v>
      </c>
      <c r="E1988" s="181">
        <v>4959.52</v>
      </c>
      <c r="F1988" s="181">
        <v>866.01</v>
      </c>
      <c r="G1988" s="181">
        <v>649.5</v>
      </c>
      <c r="H1988" s="828">
        <v>46096.0</v>
      </c>
      <c r="I1988" s="829">
        <f t="shared" si="1"/>
        <v>3579.139413</v>
      </c>
      <c r="J1988" s="830">
        <f t="shared" si="2"/>
        <v>0.7216705273</v>
      </c>
      <c r="K1988" s="830"/>
    </row>
    <row r="1989">
      <c r="A1989" s="181" t="s">
        <v>523</v>
      </c>
      <c r="B1989" s="181" t="s">
        <v>563</v>
      </c>
      <c r="C1989" s="181">
        <v>8.589934592E9</v>
      </c>
      <c r="D1989" s="181">
        <v>4.0</v>
      </c>
      <c r="E1989" s="181">
        <v>9737.57</v>
      </c>
      <c r="F1989" s="181">
        <v>882.14</v>
      </c>
      <c r="G1989" s="181">
        <v>661.61</v>
      </c>
      <c r="H1989" s="828">
        <v>46096.0</v>
      </c>
      <c r="I1989" s="829">
        <f t="shared" si="1"/>
        <v>7158.278827</v>
      </c>
      <c r="J1989" s="830">
        <f t="shared" si="2"/>
        <v>0.735119627</v>
      </c>
      <c r="K1989" s="830"/>
    </row>
    <row r="1990">
      <c r="A1990" s="181" t="s">
        <v>523</v>
      </c>
      <c r="B1990" s="181" t="s">
        <v>563</v>
      </c>
      <c r="C1990" s="181">
        <v>1.7179869184E10</v>
      </c>
      <c r="D1990" s="181">
        <v>4.0</v>
      </c>
      <c r="E1990" s="181">
        <v>19200.7</v>
      </c>
      <c r="F1990" s="181">
        <v>894.75</v>
      </c>
      <c r="G1990" s="181">
        <v>671.07</v>
      </c>
      <c r="H1990" s="828">
        <v>46096.0</v>
      </c>
      <c r="I1990" s="829">
        <f t="shared" si="1"/>
        <v>14316.55765</v>
      </c>
      <c r="J1990" s="830">
        <f t="shared" si="2"/>
        <v>0.7456268601</v>
      </c>
      <c r="K1990" s="830"/>
    </row>
    <row r="1991">
      <c r="A1991" s="181" t="s">
        <v>523</v>
      </c>
      <c r="B1991" s="181" t="s">
        <v>563</v>
      </c>
      <c r="C1991" s="181">
        <v>384.0</v>
      </c>
      <c r="D1991" s="181">
        <v>6.0</v>
      </c>
      <c r="E1991" s="181">
        <v>17.44</v>
      </c>
      <c r="F1991" s="181">
        <v>0.02</v>
      </c>
      <c r="G1991" s="181">
        <v>0.02</v>
      </c>
      <c r="H1991" s="828">
        <v>46096.0</v>
      </c>
      <c r="I1991" s="829">
        <f t="shared" si="1"/>
        <v>0.0003555555556</v>
      </c>
      <c r="J1991" s="830">
        <f t="shared" si="2"/>
        <v>0.00002038735984</v>
      </c>
      <c r="K1991" s="830"/>
    </row>
    <row r="1992">
      <c r="A1992" s="181" t="s">
        <v>523</v>
      </c>
      <c r="B1992" s="181" t="s">
        <v>563</v>
      </c>
      <c r="C1992" s="181">
        <v>768.0</v>
      </c>
      <c r="D1992" s="181">
        <v>6.0</v>
      </c>
      <c r="E1992" s="181">
        <v>17.51</v>
      </c>
      <c r="F1992" s="181">
        <v>0.04</v>
      </c>
      <c r="G1992" s="181">
        <v>0.04</v>
      </c>
      <c r="H1992" s="828">
        <v>46096.0</v>
      </c>
      <c r="I1992" s="829">
        <f t="shared" si="1"/>
        <v>0.0007111111111</v>
      </c>
      <c r="J1992" s="830">
        <f t="shared" si="2"/>
        <v>0.00004061171394</v>
      </c>
      <c r="K1992" s="830"/>
    </row>
    <row r="1993">
      <c r="A1993" s="181" t="s">
        <v>523</v>
      </c>
      <c r="B1993" s="181" t="s">
        <v>563</v>
      </c>
      <c r="C1993" s="181">
        <v>1536.0</v>
      </c>
      <c r="D1993" s="181">
        <v>6.0</v>
      </c>
      <c r="E1993" s="181">
        <v>17.43</v>
      </c>
      <c r="F1993" s="181">
        <v>0.09</v>
      </c>
      <c r="G1993" s="181">
        <v>0.07</v>
      </c>
      <c r="H1993" s="828">
        <v>46096.0</v>
      </c>
      <c r="I1993" s="829">
        <f t="shared" si="1"/>
        <v>0.001422222222</v>
      </c>
      <c r="J1993" s="830">
        <f t="shared" si="2"/>
        <v>0.00008159622617</v>
      </c>
      <c r="K1993" s="830"/>
    </row>
    <row r="1994">
      <c r="A1994" s="181" t="s">
        <v>523</v>
      </c>
      <c r="B1994" s="181" t="s">
        <v>563</v>
      </c>
      <c r="C1994" s="181">
        <v>3072.0</v>
      </c>
      <c r="D1994" s="181">
        <v>6.0</v>
      </c>
      <c r="E1994" s="181">
        <v>17.73</v>
      </c>
      <c r="F1994" s="181">
        <v>0.17</v>
      </c>
      <c r="G1994" s="181">
        <v>0.14</v>
      </c>
      <c r="H1994" s="828">
        <v>46096.0</v>
      </c>
      <c r="I1994" s="829">
        <f t="shared" si="1"/>
        <v>0.002844444444</v>
      </c>
      <c r="J1994" s="830">
        <f t="shared" si="2"/>
        <v>0.0001604311587</v>
      </c>
      <c r="K1994" s="830"/>
    </row>
    <row r="1995">
      <c r="A1995" s="181" t="s">
        <v>523</v>
      </c>
      <c r="B1995" s="181" t="s">
        <v>563</v>
      </c>
      <c r="C1995" s="181">
        <v>6144.0</v>
      </c>
      <c r="D1995" s="181">
        <v>6.0</v>
      </c>
      <c r="E1995" s="181">
        <v>17.8</v>
      </c>
      <c r="F1995" s="181">
        <v>0.35</v>
      </c>
      <c r="G1995" s="181">
        <v>0.29</v>
      </c>
      <c r="H1995" s="828">
        <v>46096.0</v>
      </c>
      <c r="I1995" s="829">
        <f t="shared" si="1"/>
        <v>0.005688888889</v>
      </c>
      <c r="J1995" s="830">
        <f t="shared" si="2"/>
        <v>0.0003196004994</v>
      </c>
      <c r="K1995" s="830"/>
    </row>
    <row r="1996">
      <c r="A1996" s="181" t="s">
        <v>523</v>
      </c>
      <c r="B1996" s="181" t="s">
        <v>563</v>
      </c>
      <c r="C1996" s="181">
        <v>12288.0</v>
      </c>
      <c r="D1996" s="181">
        <v>6.0</v>
      </c>
      <c r="E1996" s="181">
        <v>18.11</v>
      </c>
      <c r="F1996" s="181">
        <v>0.68</v>
      </c>
      <c r="G1996" s="181">
        <v>0.57</v>
      </c>
      <c r="H1996" s="828">
        <v>46096.0</v>
      </c>
      <c r="I1996" s="829">
        <f t="shared" si="1"/>
        <v>0.01137777778</v>
      </c>
      <c r="J1996" s="830">
        <f t="shared" si="2"/>
        <v>0.0006282594024</v>
      </c>
      <c r="K1996" s="830"/>
    </row>
    <row r="1997">
      <c r="A1997" s="181" t="s">
        <v>523</v>
      </c>
      <c r="B1997" s="181" t="s">
        <v>563</v>
      </c>
      <c r="C1997" s="181">
        <v>24576.0</v>
      </c>
      <c r="D1997" s="181">
        <v>6.0</v>
      </c>
      <c r="E1997" s="181">
        <v>18.29</v>
      </c>
      <c r="F1997" s="181">
        <v>1.34</v>
      </c>
      <c r="G1997" s="181">
        <v>1.12</v>
      </c>
      <c r="H1997" s="828">
        <v>46096.0</v>
      </c>
      <c r="I1997" s="829">
        <f t="shared" si="1"/>
        <v>0.02275555556</v>
      </c>
      <c r="J1997" s="830">
        <f t="shared" si="2"/>
        <v>0.001244152846</v>
      </c>
      <c r="K1997" s="830"/>
    </row>
    <row r="1998">
      <c r="A1998" s="181" t="s">
        <v>523</v>
      </c>
      <c r="B1998" s="181" t="s">
        <v>563</v>
      </c>
      <c r="C1998" s="181">
        <v>49152.0</v>
      </c>
      <c r="D1998" s="181">
        <v>6.0</v>
      </c>
      <c r="E1998" s="181">
        <v>18.9</v>
      </c>
      <c r="F1998" s="181">
        <v>2.6</v>
      </c>
      <c r="G1998" s="181">
        <v>2.17</v>
      </c>
      <c r="H1998" s="828">
        <v>46096.0</v>
      </c>
      <c r="I1998" s="829">
        <f t="shared" si="1"/>
        <v>0.04551111111</v>
      </c>
      <c r="J1998" s="830">
        <f t="shared" si="2"/>
        <v>0.002407995297</v>
      </c>
      <c r="K1998" s="830"/>
    </row>
    <row r="1999">
      <c r="A1999" s="181" t="s">
        <v>523</v>
      </c>
      <c r="B1999" s="181" t="s">
        <v>563</v>
      </c>
      <c r="C1999" s="181">
        <v>98304.0</v>
      </c>
      <c r="D1999" s="181">
        <v>6.0</v>
      </c>
      <c r="E1999" s="181">
        <v>19.44</v>
      </c>
      <c r="F1999" s="181">
        <v>5.06</v>
      </c>
      <c r="G1999" s="181">
        <v>4.21</v>
      </c>
      <c r="H1999" s="828">
        <v>46096.0</v>
      </c>
      <c r="I1999" s="829">
        <f t="shared" si="1"/>
        <v>0.09102222222</v>
      </c>
      <c r="J1999" s="830">
        <f t="shared" si="2"/>
        <v>0.004682213077</v>
      </c>
      <c r="K1999" s="830"/>
    </row>
    <row r="2000">
      <c r="A2000" s="181" t="s">
        <v>523</v>
      </c>
      <c r="B2000" s="181" t="s">
        <v>563</v>
      </c>
      <c r="C2000" s="181">
        <v>196608.0</v>
      </c>
      <c r="D2000" s="181">
        <v>6.0</v>
      </c>
      <c r="E2000" s="181">
        <v>19.62</v>
      </c>
      <c r="F2000" s="181">
        <v>10.02</v>
      </c>
      <c r="G2000" s="181">
        <v>8.35</v>
      </c>
      <c r="H2000" s="828">
        <v>46096.0</v>
      </c>
      <c r="I2000" s="829">
        <f t="shared" si="1"/>
        <v>0.1820444444</v>
      </c>
      <c r="J2000" s="830">
        <f t="shared" si="2"/>
        <v>0.009278513988</v>
      </c>
      <c r="K2000" s="830"/>
    </row>
    <row r="2001">
      <c r="A2001" s="181" t="s">
        <v>523</v>
      </c>
      <c r="B2001" s="181" t="s">
        <v>563</v>
      </c>
      <c r="C2001" s="181">
        <v>393216.0</v>
      </c>
      <c r="D2001" s="181">
        <v>6.0</v>
      </c>
      <c r="E2001" s="181">
        <v>19.83</v>
      </c>
      <c r="F2001" s="181">
        <v>19.83</v>
      </c>
      <c r="G2001" s="181">
        <v>16.53</v>
      </c>
      <c r="H2001" s="828">
        <v>46096.0</v>
      </c>
      <c r="I2001" s="829">
        <f t="shared" si="1"/>
        <v>0.3640888889</v>
      </c>
      <c r="J2001" s="830">
        <f t="shared" si="2"/>
        <v>0.01836050877</v>
      </c>
      <c r="K2001" s="830"/>
    </row>
    <row r="2002">
      <c r="A2002" s="181" t="s">
        <v>523</v>
      </c>
      <c r="B2002" s="181" t="s">
        <v>563</v>
      </c>
      <c r="C2002" s="181">
        <v>786432.0</v>
      </c>
      <c r="D2002" s="181">
        <v>6.0</v>
      </c>
      <c r="E2002" s="181">
        <v>19.87</v>
      </c>
      <c r="F2002" s="181">
        <v>39.58</v>
      </c>
      <c r="G2002" s="181">
        <v>32.98</v>
      </c>
      <c r="H2002" s="828">
        <v>46096.0</v>
      </c>
      <c r="I2002" s="829">
        <f t="shared" si="1"/>
        <v>0.7281777778</v>
      </c>
      <c r="J2002" s="830">
        <f t="shared" si="2"/>
        <v>0.03664709501</v>
      </c>
      <c r="K2002" s="830"/>
    </row>
    <row r="2003">
      <c r="A2003" s="181" t="s">
        <v>523</v>
      </c>
      <c r="B2003" s="181" t="s">
        <v>563</v>
      </c>
      <c r="C2003" s="181">
        <v>1572864.0</v>
      </c>
      <c r="D2003" s="181">
        <v>6.0</v>
      </c>
      <c r="E2003" s="181">
        <v>22.15</v>
      </c>
      <c r="F2003" s="181">
        <v>71.02</v>
      </c>
      <c r="G2003" s="181">
        <v>59.19</v>
      </c>
      <c r="H2003" s="828">
        <v>46096.0</v>
      </c>
      <c r="I2003" s="829">
        <f t="shared" si="1"/>
        <v>1.456355556</v>
      </c>
      <c r="J2003" s="830">
        <f t="shared" si="2"/>
        <v>0.06574968648</v>
      </c>
      <c r="K2003" s="830"/>
    </row>
    <row r="2004">
      <c r="A2004" s="181" t="s">
        <v>523</v>
      </c>
      <c r="B2004" s="181" t="s">
        <v>563</v>
      </c>
      <c r="C2004" s="181">
        <v>3145728.0</v>
      </c>
      <c r="D2004" s="181">
        <v>6.0</v>
      </c>
      <c r="E2004" s="181">
        <v>31.11</v>
      </c>
      <c r="F2004" s="181">
        <v>101.11</v>
      </c>
      <c r="G2004" s="181">
        <v>84.26</v>
      </c>
      <c r="H2004" s="828">
        <v>46096.0</v>
      </c>
      <c r="I2004" s="829">
        <f t="shared" si="1"/>
        <v>2.912711111</v>
      </c>
      <c r="J2004" s="830">
        <f t="shared" si="2"/>
        <v>0.09362620094</v>
      </c>
      <c r="K2004" s="830"/>
    </row>
    <row r="2005">
      <c r="A2005" s="181" t="s">
        <v>523</v>
      </c>
      <c r="B2005" s="181" t="s">
        <v>563</v>
      </c>
      <c r="C2005" s="181">
        <v>6291456.0</v>
      </c>
      <c r="D2005" s="181">
        <v>6.0</v>
      </c>
      <c r="E2005" s="181">
        <v>55.39</v>
      </c>
      <c r="F2005" s="181">
        <v>113.59</v>
      </c>
      <c r="G2005" s="181">
        <v>94.66</v>
      </c>
      <c r="H2005" s="828">
        <v>46096.0</v>
      </c>
      <c r="I2005" s="829">
        <f t="shared" si="1"/>
        <v>5.825422222</v>
      </c>
      <c r="J2005" s="830">
        <f t="shared" si="2"/>
        <v>0.1051710096</v>
      </c>
      <c r="K2005" s="830"/>
    </row>
    <row r="2006">
      <c r="A2006" s="181" t="s">
        <v>523</v>
      </c>
      <c r="B2006" s="181" t="s">
        <v>563</v>
      </c>
      <c r="C2006" s="181">
        <v>1.2582912E7</v>
      </c>
      <c r="D2006" s="181">
        <v>6.0</v>
      </c>
      <c r="E2006" s="181">
        <v>40.85</v>
      </c>
      <c r="F2006" s="181">
        <v>308.02</v>
      </c>
      <c r="G2006" s="181">
        <v>256.68</v>
      </c>
      <c r="H2006" s="828">
        <v>46096.0</v>
      </c>
      <c r="I2006" s="829">
        <f t="shared" si="1"/>
        <v>11.65084444</v>
      </c>
      <c r="J2006" s="830">
        <f t="shared" si="2"/>
        <v>0.2852103903</v>
      </c>
      <c r="K2006" s="830"/>
    </row>
    <row r="2007">
      <c r="A2007" s="181" t="s">
        <v>523</v>
      </c>
      <c r="B2007" s="181" t="s">
        <v>563</v>
      </c>
      <c r="C2007" s="181">
        <v>2.5165824E7</v>
      </c>
      <c r="D2007" s="181">
        <v>6.0</v>
      </c>
      <c r="E2007" s="181">
        <v>114.16</v>
      </c>
      <c r="F2007" s="181">
        <v>220.43</v>
      </c>
      <c r="G2007" s="181">
        <v>183.69</v>
      </c>
      <c r="H2007" s="828">
        <v>46096.0</v>
      </c>
      <c r="I2007" s="829">
        <f t="shared" si="1"/>
        <v>23.30168889</v>
      </c>
      <c r="J2007" s="830">
        <f t="shared" si="2"/>
        <v>0.2041143035</v>
      </c>
      <c r="K2007" s="830"/>
    </row>
    <row r="2008">
      <c r="A2008" s="181" t="s">
        <v>523</v>
      </c>
      <c r="B2008" s="181" t="s">
        <v>563</v>
      </c>
      <c r="C2008" s="181">
        <v>5.0331648E7</v>
      </c>
      <c r="D2008" s="181">
        <v>6.0</v>
      </c>
      <c r="E2008" s="181">
        <v>134.33</v>
      </c>
      <c r="F2008" s="181">
        <v>374.69</v>
      </c>
      <c r="G2008" s="181">
        <v>312.24</v>
      </c>
      <c r="H2008" s="828">
        <v>46096.0</v>
      </c>
      <c r="I2008" s="829">
        <f t="shared" si="1"/>
        <v>46.60337778</v>
      </c>
      <c r="J2008" s="830">
        <f t="shared" si="2"/>
        <v>0.3469320165</v>
      </c>
      <c r="K2008" s="830"/>
    </row>
    <row r="2009">
      <c r="A2009" s="181" t="s">
        <v>523</v>
      </c>
      <c r="B2009" s="181" t="s">
        <v>563</v>
      </c>
      <c r="C2009" s="181">
        <v>1.00663296E8</v>
      </c>
      <c r="D2009" s="181">
        <v>6.0</v>
      </c>
      <c r="E2009" s="181">
        <v>166.06</v>
      </c>
      <c r="F2009" s="181">
        <v>606.18</v>
      </c>
      <c r="G2009" s="181">
        <v>505.15</v>
      </c>
      <c r="H2009" s="828">
        <v>46096.0</v>
      </c>
      <c r="I2009" s="829">
        <f t="shared" si="1"/>
        <v>93.20675556</v>
      </c>
      <c r="J2009" s="830">
        <f t="shared" si="2"/>
        <v>0.5612836057</v>
      </c>
      <c r="K2009" s="830"/>
    </row>
    <row r="2010">
      <c r="A2010" s="181" t="s">
        <v>523</v>
      </c>
      <c r="B2010" s="181" t="s">
        <v>563</v>
      </c>
      <c r="C2010" s="181">
        <v>2.01326592E8</v>
      </c>
      <c r="D2010" s="181">
        <v>6.0</v>
      </c>
      <c r="E2010" s="181">
        <v>298.68</v>
      </c>
      <c r="F2010" s="181">
        <v>674.05</v>
      </c>
      <c r="G2010" s="181">
        <v>561.71</v>
      </c>
      <c r="H2010" s="828">
        <v>46096.0</v>
      </c>
      <c r="I2010" s="829">
        <f t="shared" si="1"/>
        <v>186.4135111</v>
      </c>
      <c r="J2010" s="830">
        <f t="shared" si="2"/>
        <v>0.6241245183</v>
      </c>
      <c r="K2010" s="830"/>
    </row>
    <row r="2011">
      <c r="A2011" s="181" t="s">
        <v>523</v>
      </c>
      <c r="B2011" s="181" t="s">
        <v>563</v>
      </c>
      <c r="C2011" s="181">
        <v>4.02653184E8</v>
      </c>
      <c r="D2011" s="181">
        <v>6.0</v>
      </c>
      <c r="E2011" s="181">
        <v>625.36</v>
      </c>
      <c r="F2011" s="181">
        <v>643.87</v>
      </c>
      <c r="G2011" s="181">
        <v>536.56</v>
      </c>
      <c r="H2011" s="828">
        <v>46096.0</v>
      </c>
      <c r="I2011" s="829">
        <f t="shared" si="1"/>
        <v>372.8270222</v>
      </c>
      <c r="J2011" s="830">
        <f t="shared" si="2"/>
        <v>0.596179836</v>
      </c>
      <c r="K2011" s="830"/>
    </row>
    <row r="2012">
      <c r="A2012" s="181" t="s">
        <v>523</v>
      </c>
      <c r="B2012" s="181" t="s">
        <v>563</v>
      </c>
      <c r="C2012" s="181">
        <v>8.05306368E8</v>
      </c>
      <c r="D2012" s="181">
        <v>6.0</v>
      </c>
      <c r="E2012" s="181">
        <v>1130.19</v>
      </c>
      <c r="F2012" s="181">
        <v>712.54</v>
      </c>
      <c r="G2012" s="181">
        <v>593.78</v>
      </c>
      <c r="H2012" s="828">
        <v>46096.0</v>
      </c>
      <c r="I2012" s="829">
        <f t="shared" si="1"/>
        <v>745.6540444</v>
      </c>
      <c r="J2012" s="830">
        <f t="shared" si="2"/>
        <v>0.6597599027</v>
      </c>
      <c r="K2012" s="830"/>
    </row>
    <row r="2013">
      <c r="A2013" s="181" t="s">
        <v>523</v>
      </c>
      <c r="B2013" s="181" t="s">
        <v>563</v>
      </c>
      <c r="C2013" s="181">
        <v>1.610612736E9</v>
      </c>
      <c r="D2013" s="181">
        <v>6.0</v>
      </c>
      <c r="E2013" s="181">
        <v>2104.95</v>
      </c>
      <c r="F2013" s="181">
        <v>765.15</v>
      </c>
      <c r="G2013" s="181">
        <v>637.63</v>
      </c>
      <c r="H2013" s="828">
        <v>46096.0</v>
      </c>
      <c r="I2013" s="829">
        <f t="shared" si="1"/>
        <v>1491.308089</v>
      </c>
      <c r="J2013" s="830">
        <f t="shared" si="2"/>
        <v>0.7084767281</v>
      </c>
      <c r="K2013" s="830"/>
    </row>
    <row r="2014">
      <c r="A2014" s="181" t="s">
        <v>523</v>
      </c>
      <c r="B2014" s="181" t="s">
        <v>563</v>
      </c>
      <c r="C2014" s="181">
        <v>3.221225472E9</v>
      </c>
      <c r="D2014" s="181">
        <v>6.0</v>
      </c>
      <c r="E2014" s="181">
        <v>4069.72</v>
      </c>
      <c r="F2014" s="181">
        <v>791.51</v>
      </c>
      <c r="G2014" s="181">
        <v>659.59</v>
      </c>
      <c r="H2014" s="828">
        <v>46096.0</v>
      </c>
      <c r="I2014" s="829">
        <f t="shared" si="1"/>
        <v>2982.616178</v>
      </c>
      <c r="J2014" s="830">
        <f t="shared" si="2"/>
        <v>0.732879947</v>
      </c>
      <c r="K2014" s="830"/>
    </row>
    <row r="2015">
      <c r="A2015" s="181" t="s">
        <v>523</v>
      </c>
      <c r="B2015" s="181" t="s">
        <v>563</v>
      </c>
      <c r="C2015" s="181">
        <v>6.442450944E9</v>
      </c>
      <c r="D2015" s="181">
        <v>6.0</v>
      </c>
      <c r="E2015" s="181">
        <v>7933.29</v>
      </c>
      <c r="F2015" s="181">
        <v>812.08</v>
      </c>
      <c r="G2015" s="181">
        <v>676.73</v>
      </c>
      <c r="H2015" s="828">
        <v>46096.0</v>
      </c>
      <c r="I2015" s="829">
        <f t="shared" si="1"/>
        <v>5965.232356</v>
      </c>
      <c r="J2015" s="830">
        <f t="shared" si="2"/>
        <v>0.751924152</v>
      </c>
      <c r="K2015" s="830"/>
    </row>
    <row r="2016">
      <c r="A2016" s="181" t="s">
        <v>523</v>
      </c>
      <c r="B2016" s="181" t="s">
        <v>563</v>
      </c>
      <c r="C2016" s="181">
        <v>1.2884901888E10</v>
      </c>
      <c r="D2016" s="181">
        <v>6.0</v>
      </c>
      <c r="E2016" s="181">
        <v>15758.4</v>
      </c>
      <c r="F2016" s="181">
        <v>817.65</v>
      </c>
      <c r="G2016" s="181">
        <v>681.38</v>
      </c>
      <c r="H2016" s="828">
        <v>46096.0</v>
      </c>
      <c r="I2016" s="829">
        <f t="shared" si="1"/>
        <v>11930.46471</v>
      </c>
      <c r="J2016" s="830">
        <f t="shared" si="2"/>
        <v>0.7570860437</v>
      </c>
      <c r="K2016" s="830"/>
    </row>
    <row r="2017">
      <c r="A2017" s="181" t="s">
        <v>523</v>
      </c>
      <c r="B2017" s="181" t="s">
        <v>563</v>
      </c>
      <c r="C2017" s="181">
        <v>512.0</v>
      </c>
      <c r="D2017" s="181">
        <v>8.0</v>
      </c>
      <c r="E2017" s="181">
        <v>20.1</v>
      </c>
      <c r="F2017" s="181">
        <v>0.03</v>
      </c>
      <c r="G2017" s="181">
        <v>0.02</v>
      </c>
      <c r="H2017" s="828">
        <v>46096.0</v>
      </c>
      <c r="I2017" s="829">
        <f t="shared" si="1"/>
        <v>0.0004977777778</v>
      </c>
      <c r="J2017" s="830">
        <f t="shared" si="2"/>
        <v>0.00002476506357</v>
      </c>
      <c r="K2017" s="830"/>
    </row>
    <row r="2018">
      <c r="A2018" s="181" t="s">
        <v>523</v>
      </c>
      <c r="B2018" s="181" t="s">
        <v>563</v>
      </c>
      <c r="C2018" s="181">
        <v>1024.0</v>
      </c>
      <c r="D2018" s="181">
        <v>8.0</v>
      </c>
      <c r="E2018" s="181">
        <v>19.64</v>
      </c>
      <c r="F2018" s="181">
        <v>0.05</v>
      </c>
      <c r="G2018" s="181">
        <v>0.05</v>
      </c>
      <c r="H2018" s="828">
        <v>46096.0</v>
      </c>
      <c r="I2018" s="829">
        <f t="shared" si="1"/>
        <v>0.0009955555556</v>
      </c>
      <c r="J2018" s="830">
        <f t="shared" si="2"/>
        <v>0.0000506902014</v>
      </c>
      <c r="K2018" s="830"/>
    </row>
    <row r="2019">
      <c r="A2019" s="181" t="s">
        <v>523</v>
      </c>
      <c r="B2019" s="181" t="s">
        <v>563</v>
      </c>
      <c r="C2019" s="181">
        <v>2048.0</v>
      </c>
      <c r="D2019" s="181">
        <v>8.0</v>
      </c>
      <c r="E2019" s="181">
        <v>20.36</v>
      </c>
      <c r="F2019" s="181">
        <v>0.1</v>
      </c>
      <c r="G2019" s="181">
        <v>0.09</v>
      </c>
      <c r="H2019" s="828">
        <v>46096.0</v>
      </c>
      <c r="I2019" s="829">
        <f t="shared" si="1"/>
        <v>0.001991111111</v>
      </c>
      <c r="J2019" s="830">
        <f t="shared" si="2"/>
        <v>0.00009779524121</v>
      </c>
      <c r="K2019" s="830"/>
    </row>
    <row r="2020">
      <c r="A2020" s="181" t="s">
        <v>523</v>
      </c>
      <c r="B2020" s="181" t="s">
        <v>563</v>
      </c>
      <c r="C2020" s="181">
        <v>4096.0</v>
      </c>
      <c r="D2020" s="181">
        <v>8.0</v>
      </c>
      <c r="E2020" s="181">
        <v>19.59</v>
      </c>
      <c r="F2020" s="181">
        <v>0.21</v>
      </c>
      <c r="G2020" s="181">
        <v>0.18</v>
      </c>
      <c r="H2020" s="828">
        <v>46096.0</v>
      </c>
      <c r="I2020" s="829">
        <f t="shared" si="1"/>
        <v>0.003982222222</v>
      </c>
      <c r="J2020" s="830">
        <f t="shared" si="2"/>
        <v>0.0002032783166</v>
      </c>
      <c r="K2020" s="830"/>
    </row>
    <row r="2021">
      <c r="A2021" s="181" t="s">
        <v>523</v>
      </c>
      <c r="B2021" s="181" t="s">
        <v>563</v>
      </c>
      <c r="C2021" s="181">
        <v>8192.0</v>
      </c>
      <c r="D2021" s="181">
        <v>8.0</v>
      </c>
      <c r="E2021" s="181">
        <v>19.93</v>
      </c>
      <c r="F2021" s="181">
        <v>0.41</v>
      </c>
      <c r="G2021" s="181">
        <v>0.36</v>
      </c>
      <c r="H2021" s="828">
        <v>46096.0</v>
      </c>
      <c r="I2021" s="829">
        <f t="shared" si="1"/>
        <v>0.007964444444</v>
      </c>
      <c r="J2021" s="830">
        <f t="shared" si="2"/>
        <v>0.0003996208954</v>
      </c>
      <c r="K2021" s="830"/>
    </row>
    <row r="2022">
      <c r="A2022" s="181" t="s">
        <v>523</v>
      </c>
      <c r="B2022" s="181" t="s">
        <v>563</v>
      </c>
      <c r="C2022" s="181">
        <v>16384.0</v>
      </c>
      <c r="D2022" s="181">
        <v>8.0</v>
      </c>
      <c r="E2022" s="181">
        <v>20.54</v>
      </c>
      <c r="F2022" s="181">
        <v>0.8</v>
      </c>
      <c r="G2022" s="181">
        <v>0.7</v>
      </c>
      <c r="H2022" s="828">
        <v>46096.0</v>
      </c>
      <c r="I2022" s="829">
        <f t="shared" si="1"/>
        <v>0.01592888889</v>
      </c>
      <c r="J2022" s="830">
        <f t="shared" si="2"/>
        <v>0.0007755057882</v>
      </c>
      <c r="K2022" s="830"/>
    </row>
    <row r="2023">
      <c r="A2023" s="181" t="s">
        <v>523</v>
      </c>
      <c r="B2023" s="181" t="s">
        <v>563</v>
      </c>
      <c r="C2023" s="181">
        <v>32768.0</v>
      </c>
      <c r="D2023" s="181">
        <v>8.0</v>
      </c>
      <c r="E2023" s="181">
        <v>21.24</v>
      </c>
      <c r="F2023" s="181">
        <v>1.54</v>
      </c>
      <c r="G2023" s="181">
        <v>1.35</v>
      </c>
      <c r="H2023" s="828">
        <v>46096.0</v>
      </c>
      <c r="I2023" s="829">
        <f t="shared" si="1"/>
        <v>0.03185777778</v>
      </c>
      <c r="J2023" s="830">
        <f t="shared" si="2"/>
        <v>0.001499895376</v>
      </c>
      <c r="K2023" s="830"/>
    </row>
    <row r="2024">
      <c r="A2024" s="181" t="s">
        <v>523</v>
      </c>
      <c r="B2024" s="181" t="s">
        <v>563</v>
      </c>
      <c r="C2024" s="181">
        <v>65536.0</v>
      </c>
      <c r="D2024" s="181">
        <v>8.0</v>
      </c>
      <c r="E2024" s="181">
        <v>21.43</v>
      </c>
      <c r="F2024" s="181">
        <v>3.06</v>
      </c>
      <c r="G2024" s="181">
        <v>2.68</v>
      </c>
      <c r="H2024" s="828">
        <v>46096.0</v>
      </c>
      <c r="I2024" s="829">
        <f t="shared" si="1"/>
        <v>0.06371555556</v>
      </c>
      <c r="J2024" s="830">
        <f t="shared" si="2"/>
        <v>0.00297319438</v>
      </c>
      <c r="K2024" s="830"/>
    </row>
    <row r="2025">
      <c r="A2025" s="181" t="s">
        <v>523</v>
      </c>
      <c r="B2025" s="181" t="s">
        <v>563</v>
      </c>
      <c r="C2025" s="181">
        <v>131072.0</v>
      </c>
      <c r="D2025" s="181">
        <v>8.0</v>
      </c>
      <c r="E2025" s="181">
        <v>21.51</v>
      </c>
      <c r="F2025" s="181">
        <v>6.09</v>
      </c>
      <c r="G2025" s="181">
        <v>5.33</v>
      </c>
      <c r="H2025" s="828">
        <v>46096.0</v>
      </c>
      <c r="I2025" s="829">
        <f t="shared" si="1"/>
        <v>0.1274311111</v>
      </c>
      <c r="J2025" s="830">
        <f t="shared" si="2"/>
        <v>0.005924272948</v>
      </c>
      <c r="K2025" s="830"/>
    </row>
    <row r="2026">
      <c r="A2026" s="181" t="s">
        <v>523</v>
      </c>
      <c r="B2026" s="181" t="s">
        <v>563</v>
      </c>
      <c r="C2026" s="181">
        <v>262144.0</v>
      </c>
      <c r="D2026" s="181">
        <v>8.0</v>
      </c>
      <c r="E2026" s="181">
        <v>21.92</v>
      </c>
      <c r="F2026" s="181">
        <v>11.96</v>
      </c>
      <c r="G2026" s="181">
        <v>10.46</v>
      </c>
      <c r="H2026" s="828">
        <v>46096.0</v>
      </c>
      <c r="I2026" s="829">
        <f t="shared" si="1"/>
        <v>0.2548622222</v>
      </c>
      <c r="J2026" s="830">
        <f t="shared" si="2"/>
        <v>0.0116269262</v>
      </c>
      <c r="K2026" s="830"/>
    </row>
    <row r="2027">
      <c r="A2027" s="181" t="s">
        <v>523</v>
      </c>
      <c r="B2027" s="181" t="s">
        <v>563</v>
      </c>
      <c r="C2027" s="181">
        <v>524288.0</v>
      </c>
      <c r="D2027" s="181">
        <v>8.0</v>
      </c>
      <c r="E2027" s="181">
        <v>22.11</v>
      </c>
      <c r="F2027" s="181">
        <v>23.71</v>
      </c>
      <c r="G2027" s="181">
        <v>20.75</v>
      </c>
      <c r="H2027" s="828">
        <v>46096.0</v>
      </c>
      <c r="I2027" s="829">
        <f t="shared" si="1"/>
        <v>0.5097244444</v>
      </c>
      <c r="J2027" s="830">
        <f t="shared" si="2"/>
        <v>0.02305402282</v>
      </c>
      <c r="K2027" s="830"/>
    </row>
    <row r="2028">
      <c r="A2028" s="181" t="s">
        <v>523</v>
      </c>
      <c r="B2028" s="181" t="s">
        <v>563</v>
      </c>
      <c r="C2028" s="181">
        <v>1048576.0</v>
      </c>
      <c r="D2028" s="181">
        <v>8.0</v>
      </c>
      <c r="E2028" s="181">
        <v>21.94</v>
      </c>
      <c r="F2028" s="181">
        <v>47.8</v>
      </c>
      <c r="G2028" s="181">
        <v>41.82</v>
      </c>
      <c r="H2028" s="828">
        <v>46096.0</v>
      </c>
      <c r="I2028" s="829">
        <f t="shared" si="1"/>
        <v>1.019448889</v>
      </c>
      <c r="J2028" s="830">
        <f t="shared" si="2"/>
        <v>0.04646530943</v>
      </c>
      <c r="K2028" s="830"/>
    </row>
    <row r="2029">
      <c r="A2029" s="181" t="s">
        <v>523</v>
      </c>
      <c r="B2029" s="181" t="s">
        <v>563</v>
      </c>
      <c r="C2029" s="181">
        <v>2097152.0</v>
      </c>
      <c r="D2029" s="181">
        <v>8.0</v>
      </c>
      <c r="E2029" s="181">
        <v>24.9</v>
      </c>
      <c r="F2029" s="181">
        <v>84.22</v>
      </c>
      <c r="G2029" s="181">
        <v>73.69</v>
      </c>
      <c r="H2029" s="828">
        <v>46096.0</v>
      </c>
      <c r="I2029" s="829">
        <f t="shared" si="1"/>
        <v>2.038897778</v>
      </c>
      <c r="J2029" s="830">
        <f t="shared" si="2"/>
        <v>0.08188344489</v>
      </c>
      <c r="K2029" s="830"/>
    </row>
    <row r="2030">
      <c r="A2030" s="181" t="s">
        <v>523</v>
      </c>
      <c r="B2030" s="181" t="s">
        <v>563</v>
      </c>
      <c r="C2030" s="181">
        <v>4194304.0</v>
      </c>
      <c r="D2030" s="181">
        <v>8.0</v>
      </c>
      <c r="E2030" s="181">
        <v>36.81</v>
      </c>
      <c r="F2030" s="181">
        <v>113.93</v>
      </c>
      <c r="G2030" s="181">
        <v>99.69</v>
      </c>
      <c r="H2030" s="828">
        <v>46096.0</v>
      </c>
      <c r="I2030" s="829">
        <f t="shared" si="1"/>
        <v>4.077795556</v>
      </c>
      <c r="J2030" s="830">
        <f t="shared" si="2"/>
        <v>0.1107795587</v>
      </c>
      <c r="K2030" s="830"/>
    </row>
    <row r="2031">
      <c r="A2031" s="181" t="s">
        <v>523</v>
      </c>
      <c r="B2031" s="181" t="s">
        <v>563</v>
      </c>
      <c r="C2031" s="181">
        <v>8388608.0</v>
      </c>
      <c r="D2031" s="181">
        <v>8.0</v>
      </c>
      <c r="E2031" s="181">
        <v>59.1</v>
      </c>
      <c r="F2031" s="181">
        <v>141.95</v>
      </c>
      <c r="G2031" s="181">
        <v>124.21</v>
      </c>
      <c r="H2031" s="828">
        <v>46096.0</v>
      </c>
      <c r="I2031" s="829">
        <f t="shared" si="1"/>
        <v>8.155591111</v>
      </c>
      <c r="J2031" s="830">
        <f t="shared" si="2"/>
        <v>0.1379964655</v>
      </c>
      <c r="K2031" s="830"/>
    </row>
    <row r="2032">
      <c r="A2032" s="181" t="s">
        <v>523</v>
      </c>
      <c r="B2032" s="181" t="s">
        <v>563</v>
      </c>
      <c r="C2032" s="181">
        <v>1.6777216E7</v>
      </c>
      <c r="D2032" s="181">
        <v>8.0</v>
      </c>
      <c r="E2032" s="181">
        <v>50.5</v>
      </c>
      <c r="F2032" s="181">
        <v>332.24</v>
      </c>
      <c r="G2032" s="181">
        <v>290.71</v>
      </c>
      <c r="H2032" s="828">
        <v>46096.0</v>
      </c>
      <c r="I2032" s="829">
        <f t="shared" si="1"/>
        <v>16.31118222</v>
      </c>
      <c r="J2032" s="830">
        <f t="shared" si="2"/>
        <v>0.3229937074</v>
      </c>
      <c r="K2032" s="830"/>
    </row>
    <row r="2033">
      <c r="A2033" s="181" t="s">
        <v>523</v>
      </c>
      <c r="B2033" s="181" t="s">
        <v>563</v>
      </c>
      <c r="C2033" s="181">
        <v>3.3554432E7</v>
      </c>
      <c r="D2033" s="181">
        <v>8.0</v>
      </c>
      <c r="E2033" s="181">
        <v>77.23</v>
      </c>
      <c r="F2033" s="181">
        <v>434.45</v>
      </c>
      <c r="G2033" s="181">
        <v>380.14</v>
      </c>
      <c r="H2033" s="828">
        <v>46096.0</v>
      </c>
      <c r="I2033" s="829">
        <f t="shared" si="1"/>
        <v>32.62236444</v>
      </c>
      <c r="J2033" s="830">
        <f t="shared" si="2"/>
        <v>0.4224053405</v>
      </c>
      <c r="K2033" s="830"/>
    </row>
    <row r="2034">
      <c r="A2034" s="181" t="s">
        <v>523</v>
      </c>
      <c r="B2034" s="181" t="s">
        <v>563</v>
      </c>
      <c r="C2034" s="181">
        <v>6.7108864E7</v>
      </c>
      <c r="D2034" s="181">
        <v>8.0</v>
      </c>
      <c r="E2034" s="181">
        <v>180.54</v>
      </c>
      <c r="F2034" s="181">
        <v>371.72</v>
      </c>
      <c r="G2034" s="181">
        <v>325.26</v>
      </c>
      <c r="H2034" s="828">
        <v>46096.0</v>
      </c>
      <c r="I2034" s="829">
        <f t="shared" si="1"/>
        <v>65.24472889</v>
      </c>
      <c r="J2034" s="830">
        <f t="shared" si="2"/>
        <v>0.3613865564</v>
      </c>
      <c r="K2034" s="830"/>
    </row>
    <row r="2035">
      <c r="A2035" s="181" t="s">
        <v>523</v>
      </c>
      <c r="B2035" s="181" t="s">
        <v>563</v>
      </c>
      <c r="C2035" s="181">
        <v>1.34217728E8</v>
      </c>
      <c r="D2035" s="181">
        <v>8.0</v>
      </c>
      <c r="E2035" s="181">
        <v>216.14</v>
      </c>
      <c r="F2035" s="181">
        <v>620.97</v>
      </c>
      <c r="G2035" s="181">
        <v>543.35</v>
      </c>
      <c r="H2035" s="828">
        <v>46096.0</v>
      </c>
      <c r="I2035" s="829">
        <f t="shared" si="1"/>
        <v>130.4894578</v>
      </c>
      <c r="J2035" s="830">
        <f t="shared" si="2"/>
        <v>0.6037265558</v>
      </c>
      <c r="K2035" s="830"/>
    </row>
    <row r="2036">
      <c r="A2036" s="181" t="s">
        <v>523</v>
      </c>
      <c r="B2036" s="181" t="s">
        <v>563</v>
      </c>
      <c r="C2036" s="181">
        <v>2.68435456E8</v>
      </c>
      <c r="D2036" s="181">
        <v>8.0</v>
      </c>
      <c r="E2036" s="181">
        <v>410.3</v>
      </c>
      <c r="F2036" s="181">
        <v>654.24</v>
      </c>
      <c r="G2036" s="181">
        <v>572.46</v>
      </c>
      <c r="H2036" s="828">
        <v>46096.0</v>
      </c>
      <c r="I2036" s="829">
        <f t="shared" si="1"/>
        <v>260.9789156</v>
      </c>
      <c r="J2036" s="830">
        <f t="shared" si="2"/>
        <v>0.6360685244</v>
      </c>
      <c r="K2036" s="830"/>
    </row>
    <row r="2037">
      <c r="A2037" s="181" t="s">
        <v>523</v>
      </c>
      <c r="B2037" s="181" t="s">
        <v>563</v>
      </c>
      <c r="C2037" s="181">
        <v>5.36870912E8</v>
      </c>
      <c r="D2037" s="181">
        <v>8.0</v>
      </c>
      <c r="E2037" s="181">
        <v>804.84</v>
      </c>
      <c r="F2037" s="181">
        <v>667.05</v>
      </c>
      <c r="G2037" s="181">
        <v>583.67</v>
      </c>
      <c r="H2037" s="828">
        <v>46096.0</v>
      </c>
      <c r="I2037" s="829">
        <f t="shared" si="1"/>
        <v>521.9578311</v>
      </c>
      <c r="J2037" s="830">
        <f t="shared" si="2"/>
        <v>0.6485237204</v>
      </c>
      <c r="K2037" s="830"/>
    </row>
    <row r="2038">
      <c r="A2038" s="181" t="s">
        <v>523</v>
      </c>
      <c r="B2038" s="181" t="s">
        <v>563</v>
      </c>
      <c r="C2038" s="181">
        <v>1.073741824E9</v>
      </c>
      <c r="D2038" s="181">
        <v>8.0</v>
      </c>
      <c r="E2038" s="181">
        <v>1505.88</v>
      </c>
      <c r="F2038" s="181">
        <v>713.03</v>
      </c>
      <c r="G2038" s="181">
        <v>623.9</v>
      </c>
      <c r="H2038" s="828">
        <v>46096.0</v>
      </c>
      <c r="I2038" s="829">
        <f t="shared" si="1"/>
        <v>1043.915662</v>
      </c>
      <c r="J2038" s="830">
        <f t="shared" si="2"/>
        <v>0.6932263276</v>
      </c>
      <c r="K2038" s="830"/>
    </row>
    <row r="2039">
      <c r="A2039" s="181" t="s">
        <v>523</v>
      </c>
      <c r="B2039" s="181" t="s">
        <v>563</v>
      </c>
      <c r="C2039" s="181">
        <v>2.147483648E9</v>
      </c>
      <c r="D2039" s="181">
        <v>8.0</v>
      </c>
      <c r="E2039" s="181">
        <v>2906.18</v>
      </c>
      <c r="F2039" s="181">
        <v>738.94</v>
      </c>
      <c r="G2039" s="181">
        <v>646.57</v>
      </c>
      <c r="H2039" s="828">
        <v>46096.0</v>
      </c>
      <c r="I2039" s="829">
        <f t="shared" si="1"/>
        <v>2087.831324</v>
      </c>
      <c r="J2039" s="830">
        <f t="shared" si="2"/>
        <v>0.7184108777</v>
      </c>
      <c r="K2039" s="830"/>
    </row>
    <row r="2040">
      <c r="A2040" s="181" t="s">
        <v>523</v>
      </c>
      <c r="B2040" s="181" t="s">
        <v>563</v>
      </c>
      <c r="C2040" s="181">
        <v>4.294967296E9</v>
      </c>
      <c r="D2040" s="181">
        <v>8.0</v>
      </c>
      <c r="E2040" s="181">
        <v>5697.73</v>
      </c>
      <c r="F2040" s="181">
        <v>753.8</v>
      </c>
      <c r="G2040" s="181">
        <v>659.58</v>
      </c>
      <c r="H2040" s="828">
        <v>46096.0</v>
      </c>
      <c r="I2040" s="829">
        <f t="shared" si="1"/>
        <v>4175.662649</v>
      </c>
      <c r="J2040" s="830">
        <f t="shared" si="2"/>
        <v>0.7328642545</v>
      </c>
      <c r="K2040" s="830"/>
    </row>
    <row r="2041">
      <c r="A2041" s="181" t="s">
        <v>523</v>
      </c>
      <c r="B2041" s="181" t="s">
        <v>563</v>
      </c>
      <c r="C2041" s="181">
        <v>8.589934592E9</v>
      </c>
      <c r="D2041" s="181">
        <v>8.0</v>
      </c>
      <c r="E2041" s="181">
        <v>11115.8</v>
      </c>
      <c r="F2041" s="181">
        <v>772.77</v>
      </c>
      <c r="G2041" s="181">
        <v>676.17</v>
      </c>
      <c r="H2041" s="828">
        <v>46096.0</v>
      </c>
      <c r="I2041" s="829">
        <f t="shared" si="1"/>
        <v>8351.325298</v>
      </c>
      <c r="J2041" s="830">
        <f t="shared" si="2"/>
        <v>0.7513022273</v>
      </c>
      <c r="K2041" s="830"/>
    </row>
    <row r="2042">
      <c r="A2042" s="181" t="s">
        <v>523</v>
      </c>
      <c r="B2042" s="181" t="s">
        <v>563</v>
      </c>
      <c r="C2042" s="181">
        <v>1.7179869184E10</v>
      </c>
      <c r="D2042" s="181">
        <v>8.0</v>
      </c>
      <c r="E2042" s="181">
        <v>21866.9</v>
      </c>
      <c r="F2042" s="181">
        <v>785.66</v>
      </c>
      <c r="G2042" s="181">
        <v>687.45</v>
      </c>
      <c r="H2042" s="828">
        <v>46096.0</v>
      </c>
      <c r="I2042" s="829">
        <f t="shared" si="1"/>
        <v>16702.6506</v>
      </c>
      <c r="J2042" s="830">
        <f t="shared" si="2"/>
        <v>0.7638325778</v>
      </c>
      <c r="K2042" s="830"/>
    </row>
    <row r="2043">
      <c r="A2043" s="181" t="s">
        <v>523</v>
      </c>
      <c r="B2043" s="181" t="s">
        <v>563</v>
      </c>
      <c r="C2043" s="181">
        <v>640.0</v>
      </c>
      <c r="D2043" s="181">
        <v>10.0</v>
      </c>
      <c r="E2043" s="181">
        <v>24.85</v>
      </c>
      <c r="F2043" s="181">
        <v>0.03</v>
      </c>
      <c r="G2043" s="181">
        <v>0.02</v>
      </c>
      <c r="H2043" s="828">
        <v>46096.0</v>
      </c>
      <c r="I2043" s="829">
        <f t="shared" si="1"/>
        <v>0.00064</v>
      </c>
      <c r="J2043" s="830">
        <f t="shared" si="2"/>
        <v>0.00002575452716</v>
      </c>
      <c r="K2043" s="830"/>
    </row>
    <row r="2044">
      <c r="A2044" s="181" t="s">
        <v>523</v>
      </c>
      <c r="B2044" s="181" t="s">
        <v>563</v>
      </c>
      <c r="C2044" s="181">
        <v>1280.0</v>
      </c>
      <c r="D2044" s="181">
        <v>10.0</v>
      </c>
      <c r="E2044" s="181">
        <v>23.56</v>
      </c>
      <c r="F2044" s="181">
        <v>0.05</v>
      </c>
      <c r="G2044" s="181">
        <v>0.05</v>
      </c>
      <c r="H2044" s="828">
        <v>46096.0</v>
      </c>
      <c r="I2044" s="829">
        <f t="shared" si="1"/>
        <v>0.00128</v>
      </c>
      <c r="J2044" s="830">
        <f t="shared" si="2"/>
        <v>0.00005432937182</v>
      </c>
      <c r="K2044" s="830"/>
    </row>
    <row r="2045">
      <c r="A2045" s="181" t="s">
        <v>523</v>
      </c>
      <c r="B2045" s="181" t="s">
        <v>563</v>
      </c>
      <c r="C2045" s="181">
        <v>2560.0</v>
      </c>
      <c r="D2045" s="181">
        <v>10.0</v>
      </c>
      <c r="E2045" s="181">
        <v>24.36</v>
      </c>
      <c r="F2045" s="181">
        <v>0.11</v>
      </c>
      <c r="G2045" s="181">
        <v>0.09</v>
      </c>
      <c r="H2045" s="828">
        <v>46096.0</v>
      </c>
      <c r="I2045" s="829">
        <f t="shared" si="1"/>
        <v>0.00256</v>
      </c>
      <c r="J2045" s="830">
        <f t="shared" si="2"/>
        <v>0.000105090312</v>
      </c>
      <c r="K2045" s="830"/>
    </row>
    <row r="2046">
      <c r="A2046" s="181" t="s">
        <v>523</v>
      </c>
      <c r="B2046" s="181" t="s">
        <v>563</v>
      </c>
      <c r="C2046" s="181">
        <v>5120.0</v>
      </c>
      <c r="D2046" s="181">
        <v>10.0</v>
      </c>
      <c r="E2046" s="181">
        <v>23.91</v>
      </c>
      <c r="F2046" s="181">
        <v>0.21</v>
      </c>
      <c r="G2046" s="181">
        <v>0.19</v>
      </c>
      <c r="H2046" s="828">
        <v>46096.0</v>
      </c>
      <c r="I2046" s="829">
        <f t="shared" si="1"/>
        <v>0.00512</v>
      </c>
      <c r="J2046" s="830">
        <f t="shared" si="2"/>
        <v>0.0002141363446</v>
      </c>
      <c r="K2046" s="830"/>
    </row>
    <row r="2047">
      <c r="A2047" s="181" t="s">
        <v>523</v>
      </c>
      <c r="B2047" s="181" t="s">
        <v>563</v>
      </c>
      <c r="C2047" s="181">
        <v>10240.0</v>
      </c>
      <c r="D2047" s="181">
        <v>10.0</v>
      </c>
      <c r="E2047" s="181">
        <v>24.21</v>
      </c>
      <c r="F2047" s="181">
        <v>0.42</v>
      </c>
      <c r="G2047" s="181">
        <v>0.38</v>
      </c>
      <c r="H2047" s="828">
        <v>46096.0</v>
      </c>
      <c r="I2047" s="829">
        <f t="shared" si="1"/>
        <v>0.01024</v>
      </c>
      <c r="J2047" s="830">
        <f t="shared" si="2"/>
        <v>0.0004229657166</v>
      </c>
      <c r="K2047" s="830"/>
    </row>
    <row r="2048">
      <c r="A2048" s="181" t="s">
        <v>523</v>
      </c>
      <c r="B2048" s="181" t="s">
        <v>563</v>
      </c>
      <c r="C2048" s="181">
        <v>20480.0</v>
      </c>
      <c r="D2048" s="181">
        <v>10.0</v>
      </c>
      <c r="E2048" s="181">
        <v>24.43</v>
      </c>
      <c r="F2048" s="181">
        <v>0.84</v>
      </c>
      <c r="G2048" s="181">
        <v>0.75</v>
      </c>
      <c r="H2048" s="828">
        <v>46096.0</v>
      </c>
      <c r="I2048" s="829">
        <f t="shared" si="1"/>
        <v>0.02048</v>
      </c>
      <c r="J2048" s="830">
        <f t="shared" si="2"/>
        <v>0.0008383135489</v>
      </c>
      <c r="K2048" s="830"/>
    </row>
    <row r="2049">
      <c r="A2049" s="181" t="s">
        <v>523</v>
      </c>
      <c r="B2049" s="181" t="s">
        <v>563</v>
      </c>
      <c r="C2049" s="181">
        <v>40960.0</v>
      </c>
      <c r="D2049" s="181">
        <v>10.0</v>
      </c>
      <c r="E2049" s="181">
        <v>24.96</v>
      </c>
      <c r="F2049" s="181">
        <v>1.64</v>
      </c>
      <c r="G2049" s="181">
        <v>1.48</v>
      </c>
      <c r="H2049" s="828">
        <v>46096.0</v>
      </c>
      <c r="I2049" s="829">
        <f t="shared" si="1"/>
        <v>0.04096</v>
      </c>
      <c r="J2049" s="830">
        <f t="shared" si="2"/>
        <v>0.001641025641</v>
      </c>
      <c r="K2049" s="830"/>
    </row>
    <row r="2050">
      <c r="A2050" s="181" t="s">
        <v>523</v>
      </c>
      <c r="B2050" s="181" t="s">
        <v>563</v>
      </c>
      <c r="C2050" s="181">
        <v>81920.0</v>
      </c>
      <c r="D2050" s="181">
        <v>10.0</v>
      </c>
      <c r="E2050" s="181">
        <v>26.08</v>
      </c>
      <c r="F2050" s="181">
        <v>3.14</v>
      </c>
      <c r="G2050" s="181">
        <v>2.83</v>
      </c>
      <c r="H2050" s="828">
        <v>46096.0</v>
      </c>
      <c r="I2050" s="829">
        <f t="shared" si="1"/>
        <v>0.08192</v>
      </c>
      <c r="J2050" s="830">
        <f t="shared" si="2"/>
        <v>0.003141104294</v>
      </c>
      <c r="K2050" s="830"/>
    </row>
    <row r="2051">
      <c r="A2051" s="181" t="s">
        <v>523</v>
      </c>
      <c r="B2051" s="181" t="s">
        <v>563</v>
      </c>
      <c r="C2051" s="181">
        <v>163840.0</v>
      </c>
      <c r="D2051" s="181">
        <v>10.0</v>
      </c>
      <c r="E2051" s="181">
        <v>26.93</v>
      </c>
      <c r="F2051" s="181">
        <v>6.08</v>
      </c>
      <c r="G2051" s="181">
        <v>5.48</v>
      </c>
      <c r="H2051" s="828">
        <v>46096.0</v>
      </c>
      <c r="I2051" s="829">
        <f t="shared" si="1"/>
        <v>0.16384</v>
      </c>
      <c r="J2051" s="830">
        <f t="shared" si="2"/>
        <v>0.006083921277</v>
      </c>
      <c r="K2051" s="830"/>
    </row>
    <row r="2052">
      <c r="A2052" s="181" t="s">
        <v>523</v>
      </c>
      <c r="B2052" s="181" t="s">
        <v>563</v>
      </c>
      <c r="C2052" s="181">
        <v>327680.0</v>
      </c>
      <c r="D2052" s="181">
        <v>10.0</v>
      </c>
      <c r="E2052" s="181">
        <v>27.57</v>
      </c>
      <c r="F2052" s="181">
        <v>11.89</v>
      </c>
      <c r="G2052" s="181">
        <v>10.7</v>
      </c>
      <c r="H2052" s="828">
        <v>46096.0</v>
      </c>
      <c r="I2052" s="829">
        <f t="shared" si="1"/>
        <v>0.32768</v>
      </c>
      <c r="J2052" s="830">
        <f t="shared" si="2"/>
        <v>0.01188538266</v>
      </c>
      <c r="K2052" s="830"/>
    </row>
    <row r="2053">
      <c r="A2053" s="181" t="s">
        <v>523</v>
      </c>
      <c r="B2053" s="181" t="s">
        <v>563</v>
      </c>
      <c r="C2053" s="181">
        <v>655360.0</v>
      </c>
      <c r="D2053" s="181">
        <v>10.0</v>
      </c>
      <c r="E2053" s="181">
        <v>28.19</v>
      </c>
      <c r="F2053" s="181">
        <v>23.25</v>
      </c>
      <c r="G2053" s="181">
        <v>20.93</v>
      </c>
      <c r="H2053" s="828">
        <v>46096.0</v>
      </c>
      <c r="I2053" s="829">
        <f t="shared" si="1"/>
        <v>0.65536</v>
      </c>
      <c r="J2053" s="830">
        <f t="shared" si="2"/>
        <v>0.02324796027</v>
      </c>
      <c r="K2053" s="830"/>
    </row>
    <row r="2054">
      <c r="A2054" s="181" t="s">
        <v>523</v>
      </c>
      <c r="B2054" s="181" t="s">
        <v>563</v>
      </c>
      <c r="C2054" s="181">
        <v>1310720.0</v>
      </c>
      <c r="D2054" s="181">
        <v>10.0</v>
      </c>
      <c r="E2054" s="181">
        <v>28.19</v>
      </c>
      <c r="F2054" s="181">
        <v>46.5</v>
      </c>
      <c r="G2054" s="181">
        <v>41.85</v>
      </c>
      <c r="H2054" s="828">
        <v>46096.0</v>
      </c>
      <c r="I2054" s="829">
        <f t="shared" si="1"/>
        <v>1.31072</v>
      </c>
      <c r="J2054" s="830">
        <f t="shared" si="2"/>
        <v>0.04649592054</v>
      </c>
      <c r="K2054" s="830"/>
    </row>
    <row r="2055">
      <c r="A2055" s="181" t="s">
        <v>523</v>
      </c>
      <c r="B2055" s="181" t="s">
        <v>563</v>
      </c>
      <c r="C2055" s="181">
        <v>2621440.0</v>
      </c>
      <c r="D2055" s="181">
        <v>10.0</v>
      </c>
      <c r="E2055" s="181">
        <v>34.59</v>
      </c>
      <c r="F2055" s="181">
        <v>75.78</v>
      </c>
      <c r="G2055" s="181">
        <v>68.2</v>
      </c>
      <c r="H2055" s="828">
        <v>46096.0</v>
      </c>
      <c r="I2055" s="829">
        <f t="shared" si="1"/>
        <v>2.62144</v>
      </c>
      <c r="J2055" s="830">
        <f t="shared" si="2"/>
        <v>0.07578606534</v>
      </c>
      <c r="K2055" s="830"/>
    </row>
    <row r="2056">
      <c r="A2056" s="181" t="s">
        <v>523</v>
      </c>
      <c r="B2056" s="181" t="s">
        <v>563</v>
      </c>
      <c r="C2056" s="181">
        <v>5242880.0</v>
      </c>
      <c r="D2056" s="181">
        <v>10.0</v>
      </c>
      <c r="E2056" s="181">
        <v>50.02</v>
      </c>
      <c r="F2056" s="181">
        <v>104.81</v>
      </c>
      <c r="G2056" s="181">
        <v>94.33</v>
      </c>
      <c r="H2056" s="828">
        <v>46096.0</v>
      </c>
      <c r="I2056" s="829">
        <f t="shared" si="1"/>
        <v>5.24288</v>
      </c>
      <c r="J2056" s="830">
        <f t="shared" si="2"/>
        <v>0.1048156737</v>
      </c>
      <c r="K2056" s="830"/>
    </row>
    <row r="2057">
      <c r="A2057" s="181" t="s">
        <v>523</v>
      </c>
      <c r="B2057" s="181" t="s">
        <v>563</v>
      </c>
      <c r="C2057" s="181">
        <v>1.048576E7</v>
      </c>
      <c r="D2057" s="181">
        <v>10.0</v>
      </c>
      <c r="E2057" s="181">
        <v>44.93</v>
      </c>
      <c r="F2057" s="181">
        <v>233.4</v>
      </c>
      <c r="G2057" s="181">
        <v>210.06</v>
      </c>
      <c r="H2057" s="828">
        <v>46096.0</v>
      </c>
      <c r="I2057" s="829">
        <f t="shared" si="1"/>
        <v>10.48576</v>
      </c>
      <c r="J2057" s="830">
        <f t="shared" si="2"/>
        <v>0.2333799243</v>
      </c>
      <c r="K2057" s="830"/>
    </row>
    <row r="2058">
      <c r="A2058" s="181" t="s">
        <v>523</v>
      </c>
      <c r="B2058" s="181" t="s">
        <v>563</v>
      </c>
      <c r="C2058" s="181">
        <v>2.097152E7</v>
      </c>
      <c r="D2058" s="181">
        <v>10.0</v>
      </c>
      <c r="E2058" s="181">
        <v>60.96</v>
      </c>
      <c r="F2058" s="181">
        <v>344.0</v>
      </c>
      <c r="G2058" s="181">
        <v>309.6</v>
      </c>
      <c r="H2058" s="828">
        <v>46096.0</v>
      </c>
      <c r="I2058" s="829">
        <f t="shared" si="1"/>
        <v>20.97152</v>
      </c>
      <c r="J2058" s="830">
        <f t="shared" si="2"/>
        <v>0.3440209974</v>
      </c>
      <c r="K2058" s="830"/>
    </row>
    <row r="2059">
      <c r="A2059" s="181" t="s">
        <v>523</v>
      </c>
      <c r="B2059" s="181" t="s">
        <v>563</v>
      </c>
      <c r="C2059" s="181">
        <v>4.194304E7</v>
      </c>
      <c r="D2059" s="181">
        <v>10.0</v>
      </c>
      <c r="E2059" s="181">
        <v>94.92</v>
      </c>
      <c r="F2059" s="181">
        <v>441.86</v>
      </c>
      <c r="G2059" s="181">
        <v>397.67</v>
      </c>
      <c r="H2059" s="828">
        <v>46096.0</v>
      </c>
      <c r="I2059" s="829">
        <f t="shared" si="1"/>
        <v>41.94304</v>
      </c>
      <c r="J2059" s="830">
        <f t="shared" si="2"/>
        <v>0.4418777918</v>
      </c>
      <c r="K2059" s="830"/>
    </row>
    <row r="2060">
      <c r="A2060" s="181" t="s">
        <v>523</v>
      </c>
      <c r="B2060" s="181" t="s">
        <v>563</v>
      </c>
      <c r="C2060" s="181">
        <v>8.388608E7</v>
      </c>
      <c r="D2060" s="181">
        <v>10.0</v>
      </c>
      <c r="E2060" s="181">
        <v>227.54</v>
      </c>
      <c r="F2060" s="181">
        <v>368.67</v>
      </c>
      <c r="G2060" s="181">
        <v>331.8</v>
      </c>
      <c r="H2060" s="828">
        <v>46096.0</v>
      </c>
      <c r="I2060" s="829">
        <f t="shared" si="1"/>
        <v>83.88608</v>
      </c>
      <c r="J2060" s="830">
        <f t="shared" si="2"/>
        <v>0.3686652017</v>
      </c>
      <c r="K2060" s="830"/>
    </row>
    <row r="2061">
      <c r="A2061" s="181" t="s">
        <v>523</v>
      </c>
      <c r="B2061" s="181" t="s">
        <v>563</v>
      </c>
      <c r="C2061" s="181">
        <v>1.6777216E8</v>
      </c>
      <c r="D2061" s="181">
        <v>10.0</v>
      </c>
      <c r="E2061" s="181">
        <v>267.65</v>
      </c>
      <c r="F2061" s="181">
        <v>626.84</v>
      </c>
      <c r="G2061" s="181">
        <v>564.15</v>
      </c>
      <c r="H2061" s="828">
        <v>46096.0</v>
      </c>
      <c r="I2061" s="829">
        <f t="shared" si="1"/>
        <v>167.77216</v>
      </c>
      <c r="J2061" s="830">
        <f t="shared" si="2"/>
        <v>0.6268341491</v>
      </c>
      <c r="K2061" s="830"/>
    </row>
    <row r="2062">
      <c r="A2062" s="181" t="s">
        <v>523</v>
      </c>
      <c r="B2062" s="181" t="s">
        <v>563</v>
      </c>
      <c r="C2062" s="181">
        <v>3.3554432E8</v>
      </c>
      <c r="D2062" s="181">
        <v>10.0</v>
      </c>
      <c r="E2062" s="181">
        <v>518.74</v>
      </c>
      <c r="F2062" s="181">
        <v>646.84</v>
      </c>
      <c r="G2062" s="181">
        <v>582.16</v>
      </c>
      <c r="H2062" s="828">
        <v>46096.0</v>
      </c>
      <c r="I2062" s="829">
        <f t="shared" si="1"/>
        <v>335.54432</v>
      </c>
      <c r="J2062" s="830">
        <f t="shared" si="2"/>
        <v>0.6468448934</v>
      </c>
      <c r="K2062" s="830"/>
    </row>
    <row r="2063">
      <c r="A2063" s="181" t="s">
        <v>523</v>
      </c>
      <c r="B2063" s="181" t="s">
        <v>563</v>
      </c>
      <c r="C2063" s="181">
        <v>6.7108864E8</v>
      </c>
      <c r="D2063" s="181">
        <v>10.0</v>
      </c>
      <c r="E2063" s="181">
        <v>1049.84</v>
      </c>
      <c r="F2063" s="181">
        <v>639.23</v>
      </c>
      <c r="G2063" s="181">
        <v>575.31</v>
      </c>
      <c r="H2063" s="828">
        <v>46096.0</v>
      </c>
      <c r="I2063" s="829">
        <f t="shared" si="1"/>
        <v>671.08864</v>
      </c>
      <c r="J2063" s="830">
        <f t="shared" si="2"/>
        <v>0.6392294445</v>
      </c>
      <c r="K2063" s="830"/>
    </row>
    <row r="2064">
      <c r="A2064" s="181" t="s">
        <v>523</v>
      </c>
      <c r="B2064" s="181" t="s">
        <v>563</v>
      </c>
      <c r="C2064" s="181">
        <v>1.34217728E9</v>
      </c>
      <c r="D2064" s="181">
        <v>10.0</v>
      </c>
      <c r="E2064" s="181">
        <v>1916.34</v>
      </c>
      <c r="F2064" s="181">
        <v>700.38</v>
      </c>
      <c r="G2064" s="181">
        <v>630.35</v>
      </c>
      <c r="H2064" s="828">
        <v>46096.0</v>
      </c>
      <c r="I2064" s="829">
        <f t="shared" si="1"/>
        <v>1342.17728</v>
      </c>
      <c r="J2064" s="830">
        <f t="shared" si="2"/>
        <v>0.7003857771</v>
      </c>
      <c r="K2064" s="830"/>
    </row>
    <row r="2065">
      <c r="A2065" s="181" t="s">
        <v>523</v>
      </c>
      <c r="B2065" s="181" t="s">
        <v>563</v>
      </c>
      <c r="C2065" s="181">
        <v>2.68435456E9</v>
      </c>
      <c r="D2065" s="181">
        <v>10.0</v>
      </c>
      <c r="E2065" s="181">
        <v>3642.37</v>
      </c>
      <c r="F2065" s="181">
        <v>736.98</v>
      </c>
      <c r="G2065" s="181">
        <v>663.28</v>
      </c>
      <c r="H2065" s="828">
        <v>46096.0</v>
      </c>
      <c r="I2065" s="829">
        <f t="shared" si="1"/>
        <v>2684.35456</v>
      </c>
      <c r="J2065" s="830">
        <f t="shared" si="2"/>
        <v>0.736980197</v>
      </c>
      <c r="K2065" s="830"/>
    </row>
    <row r="2066">
      <c r="A2066" s="181" t="s">
        <v>523</v>
      </c>
      <c r="B2066" s="181" t="s">
        <v>563</v>
      </c>
      <c r="C2066" s="181">
        <v>5.36870912E9</v>
      </c>
      <c r="D2066" s="181">
        <v>10.0</v>
      </c>
      <c r="E2066" s="181">
        <v>7147.39</v>
      </c>
      <c r="F2066" s="181">
        <v>751.14</v>
      </c>
      <c r="G2066" s="181">
        <v>676.03</v>
      </c>
      <c r="H2066" s="828">
        <v>46096.0</v>
      </c>
      <c r="I2066" s="829">
        <f t="shared" si="1"/>
        <v>5368.70912</v>
      </c>
      <c r="J2066" s="830">
        <f t="shared" si="2"/>
        <v>0.7511426017</v>
      </c>
      <c r="K2066" s="830"/>
    </row>
    <row r="2067">
      <c r="A2067" s="181" t="s">
        <v>523</v>
      </c>
      <c r="B2067" s="181" t="s">
        <v>563</v>
      </c>
      <c r="C2067" s="181">
        <v>1.073741824E10</v>
      </c>
      <c r="D2067" s="181">
        <v>10.0</v>
      </c>
      <c r="E2067" s="181">
        <v>13986.2</v>
      </c>
      <c r="F2067" s="181">
        <v>767.72</v>
      </c>
      <c r="G2067" s="181">
        <v>690.95</v>
      </c>
      <c r="H2067" s="828">
        <v>46096.0</v>
      </c>
      <c r="I2067" s="829">
        <f t="shared" si="1"/>
        <v>10737.41824</v>
      </c>
      <c r="J2067" s="830">
        <f t="shared" si="2"/>
        <v>0.7677151935</v>
      </c>
      <c r="K2067" s="830"/>
    </row>
    <row r="2068">
      <c r="A2068" s="181" t="s">
        <v>523</v>
      </c>
      <c r="B2068" s="181" t="s">
        <v>563</v>
      </c>
      <c r="C2068" s="181">
        <v>768.0</v>
      </c>
      <c r="D2068" s="181">
        <v>12.0</v>
      </c>
      <c r="E2068" s="181">
        <v>26.6</v>
      </c>
      <c r="F2068" s="181">
        <v>0.03</v>
      </c>
      <c r="G2068" s="181">
        <v>0.03</v>
      </c>
      <c r="H2068" s="828">
        <v>46096.0</v>
      </c>
      <c r="I2068" s="829">
        <f t="shared" si="1"/>
        <v>0.0007822222222</v>
      </c>
      <c r="J2068" s="830">
        <f t="shared" si="2"/>
        <v>0.00002940685046</v>
      </c>
      <c r="K2068" s="830"/>
    </row>
    <row r="2069">
      <c r="A2069" s="181" t="s">
        <v>523</v>
      </c>
      <c r="B2069" s="181" t="s">
        <v>563</v>
      </c>
      <c r="C2069" s="181">
        <v>1536.0</v>
      </c>
      <c r="D2069" s="181">
        <v>12.0</v>
      </c>
      <c r="E2069" s="181">
        <v>27.1</v>
      </c>
      <c r="F2069" s="181">
        <v>0.06</v>
      </c>
      <c r="G2069" s="181">
        <v>0.05</v>
      </c>
      <c r="H2069" s="828">
        <v>46096.0</v>
      </c>
      <c r="I2069" s="829">
        <f t="shared" si="1"/>
        <v>0.001564444444</v>
      </c>
      <c r="J2069" s="830">
        <f t="shared" si="2"/>
        <v>0.00005772857729</v>
      </c>
      <c r="K2069" s="830"/>
    </row>
    <row r="2070">
      <c r="A2070" s="181" t="s">
        <v>523</v>
      </c>
      <c r="B2070" s="181" t="s">
        <v>563</v>
      </c>
      <c r="C2070" s="181">
        <v>3072.0</v>
      </c>
      <c r="D2070" s="181">
        <v>12.0</v>
      </c>
      <c r="E2070" s="181">
        <v>27.16</v>
      </c>
      <c r="F2070" s="181">
        <v>0.11</v>
      </c>
      <c r="G2070" s="181">
        <v>0.1</v>
      </c>
      <c r="H2070" s="828">
        <v>46096.0</v>
      </c>
      <c r="I2070" s="829">
        <f t="shared" si="1"/>
        <v>0.003128888889</v>
      </c>
      <c r="J2070" s="830">
        <f t="shared" si="2"/>
        <v>0.0001152020946</v>
      </c>
      <c r="K2070" s="830"/>
    </row>
    <row r="2071">
      <c r="A2071" s="181" t="s">
        <v>523</v>
      </c>
      <c r="B2071" s="181" t="s">
        <v>563</v>
      </c>
      <c r="C2071" s="181">
        <v>6144.0</v>
      </c>
      <c r="D2071" s="181">
        <v>12.0</v>
      </c>
      <c r="E2071" s="181">
        <v>27.34</v>
      </c>
      <c r="F2071" s="181">
        <v>0.22</v>
      </c>
      <c r="G2071" s="181">
        <v>0.21</v>
      </c>
      <c r="H2071" s="828">
        <v>46096.0</v>
      </c>
      <c r="I2071" s="829">
        <f t="shared" si="1"/>
        <v>0.006257777778</v>
      </c>
      <c r="J2071" s="830">
        <f t="shared" si="2"/>
        <v>0.0002288872633</v>
      </c>
      <c r="K2071" s="830"/>
    </row>
    <row r="2072">
      <c r="A2072" s="181" t="s">
        <v>523</v>
      </c>
      <c r="B2072" s="181" t="s">
        <v>563</v>
      </c>
      <c r="C2072" s="181">
        <v>12288.0</v>
      </c>
      <c r="D2072" s="181">
        <v>12.0</v>
      </c>
      <c r="E2072" s="181">
        <v>28.39</v>
      </c>
      <c r="F2072" s="181">
        <v>0.43</v>
      </c>
      <c r="G2072" s="181">
        <v>0.4</v>
      </c>
      <c r="H2072" s="828">
        <v>46096.0</v>
      </c>
      <c r="I2072" s="829">
        <f t="shared" si="1"/>
        <v>0.01251555556</v>
      </c>
      <c r="J2072" s="830">
        <f t="shared" si="2"/>
        <v>0.0004408438026</v>
      </c>
      <c r="K2072" s="830"/>
    </row>
    <row r="2073">
      <c r="A2073" s="181" t="s">
        <v>523</v>
      </c>
      <c r="B2073" s="181" t="s">
        <v>563</v>
      </c>
      <c r="C2073" s="181">
        <v>24576.0</v>
      </c>
      <c r="D2073" s="181">
        <v>12.0</v>
      </c>
      <c r="E2073" s="181">
        <v>27.82</v>
      </c>
      <c r="F2073" s="181">
        <v>0.88</v>
      </c>
      <c r="G2073" s="181">
        <v>0.81</v>
      </c>
      <c r="H2073" s="828">
        <v>46096.0</v>
      </c>
      <c r="I2073" s="829">
        <f t="shared" si="1"/>
        <v>0.02503111111</v>
      </c>
      <c r="J2073" s="830">
        <f t="shared" si="2"/>
        <v>0.0008997523764</v>
      </c>
      <c r="K2073" s="830"/>
    </row>
    <row r="2074">
      <c r="A2074" s="181" t="s">
        <v>523</v>
      </c>
      <c r="B2074" s="181" t="s">
        <v>563</v>
      </c>
      <c r="C2074" s="181">
        <v>49152.0</v>
      </c>
      <c r="D2074" s="181">
        <v>12.0</v>
      </c>
      <c r="E2074" s="181">
        <v>28.44</v>
      </c>
      <c r="F2074" s="181">
        <v>1.73</v>
      </c>
      <c r="G2074" s="181">
        <v>1.58</v>
      </c>
      <c r="H2074" s="828">
        <v>46096.0</v>
      </c>
      <c r="I2074" s="829">
        <f t="shared" si="1"/>
        <v>0.05006222222</v>
      </c>
      <c r="J2074" s="830">
        <f t="shared" si="2"/>
        <v>0.001760275043</v>
      </c>
      <c r="K2074" s="830"/>
    </row>
    <row r="2075">
      <c r="A2075" s="181" t="s">
        <v>523</v>
      </c>
      <c r="B2075" s="181" t="s">
        <v>563</v>
      </c>
      <c r="C2075" s="181">
        <v>98304.0</v>
      </c>
      <c r="D2075" s="181">
        <v>12.0</v>
      </c>
      <c r="E2075" s="181">
        <v>31.43</v>
      </c>
      <c r="F2075" s="181">
        <v>3.13</v>
      </c>
      <c r="G2075" s="181">
        <v>2.87</v>
      </c>
      <c r="H2075" s="828">
        <v>46096.0</v>
      </c>
      <c r="I2075" s="829">
        <f t="shared" si="1"/>
        <v>0.1001244444</v>
      </c>
      <c r="J2075" s="830">
        <f t="shared" si="2"/>
        <v>0.003185632976</v>
      </c>
      <c r="K2075" s="830"/>
    </row>
    <row r="2076">
      <c r="A2076" s="181" t="s">
        <v>523</v>
      </c>
      <c r="B2076" s="181" t="s">
        <v>563</v>
      </c>
      <c r="C2076" s="181">
        <v>196608.0</v>
      </c>
      <c r="D2076" s="181">
        <v>12.0</v>
      </c>
      <c r="E2076" s="181">
        <v>31.34</v>
      </c>
      <c r="F2076" s="181">
        <v>6.27</v>
      </c>
      <c r="G2076" s="181">
        <v>5.75</v>
      </c>
      <c r="H2076" s="828">
        <v>46096.0</v>
      </c>
      <c r="I2076" s="829">
        <f t="shared" si="1"/>
        <v>0.2002488889</v>
      </c>
      <c r="J2076" s="830">
        <f t="shared" si="2"/>
        <v>0.006389562504</v>
      </c>
      <c r="K2076" s="830"/>
    </row>
    <row r="2077">
      <c r="A2077" s="181" t="s">
        <v>523</v>
      </c>
      <c r="B2077" s="181" t="s">
        <v>563</v>
      </c>
      <c r="C2077" s="181">
        <v>393216.0</v>
      </c>
      <c r="D2077" s="181">
        <v>12.0</v>
      </c>
      <c r="E2077" s="181">
        <v>31.51</v>
      </c>
      <c r="F2077" s="181">
        <v>12.48</v>
      </c>
      <c r="G2077" s="181">
        <v>11.44</v>
      </c>
      <c r="H2077" s="828">
        <v>46096.0</v>
      </c>
      <c r="I2077" s="829">
        <f t="shared" si="1"/>
        <v>0.4004977778</v>
      </c>
      <c r="J2077" s="830">
        <f t="shared" si="2"/>
        <v>0.01271018019</v>
      </c>
      <c r="K2077" s="830"/>
    </row>
    <row r="2078">
      <c r="A2078" s="181" t="s">
        <v>523</v>
      </c>
      <c r="B2078" s="181" t="s">
        <v>563</v>
      </c>
      <c r="C2078" s="181">
        <v>786432.0</v>
      </c>
      <c r="D2078" s="181">
        <v>12.0</v>
      </c>
      <c r="E2078" s="181">
        <v>31.75</v>
      </c>
      <c r="F2078" s="181">
        <v>24.77</v>
      </c>
      <c r="G2078" s="181">
        <v>22.71</v>
      </c>
      <c r="H2078" s="828">
        <v>46096.0</v>
      </c>
      <c r="I2078" s="829">
        <f t="shared" si="1"/>
        <v>0.8009955556</v>
      </c>
      <c r="J2078" s="830">
        <f t="shared" si="2"/>
        <v>0.02522820647</v>
      </c>
      <c r="K2078" s="830"/>
    </row>
    <row r="2079">
      <c r="A2079" s="181" t="s">
        <v>523</v>
      </c>
      <c r="B2079" s="181" t="s">
        <v>563</v>
      </c>
      <c r="C2079" s="181">
        <v>1572864.0</v>
      </c>
      <c r="D2079" s="181">
        <v>12.0</v>
      </c>
      <c r="E2079" s="181">
        <v>32.7</v>
      </c>
      <c r="F2079" s="181">
        <v>48.1</v>
      </c>
      <c r="G2079" s="181">
        <v>44.09</v>
      </c>
      <c r="H2079" s="828">
        <v>46096.0</v>
      </c>
      <c r="I2079" s="829">
        <f t="shared" si="1"/>
        <v>1.601991111</v>
      </c>
      <c r="J2079" s="830">
        <f t="shared" si="2"/>
        <v>0.04899055386</v>
      </c>
      <c r="K2079" s="830"/>
    </row>
    <row r="2080">
      <c r="A2080" s="181" t="s">
        <v>523</v>
      </c>
      <c r="B2080" s="181" t="s">
        <v>563</v>
      </c>
      <c r="C2080" s="181">
        <v>3145728.0</v>
      </c>
      <c r="D2080" s="181">
        <v>12.0</v>
      </c>
      <c r="E2080" s="181">
        <v>40.54</v>
      </c>
      <c r="F2080" s="181">
        <v>77.6</v>
      </c>
      <c r="G2080" s="181">
        <v>71.13</v>
      </c>
      <c r="H2080" s="828">
        <v>46096.0</v>
      </c>
      <c r="I2080" s="829">
        <f t="shared" si="1"/>
        <v>3.203982222</v>
      </c>
      <c r="J2080" s="830">
        <f t="shared" si="2"/>
        <v>0.07903261525</v>
      </c>
      <c r="K2080" s="830"/>
    </row>
    <row r="2081">
      <c r="A2081" s="181" t="s">
        <v>523</v>
      </c>
      <c r="B2081" s="181" t="s">
        <v>563</v>
      </c>
      <c r="C2081" s="181">
        <v>6291456.0</v>
      </c>
      <c r="D2081" s="181">
        <v>12.0</v>
      </c>
      <c r="E2081" s="181">
        <v>59.69</v>
      </c>
      <c r="F2081" s="181">
        <v>105.41</v>
      </c>
      <c r="G2081" s="181">
        <v>96.63</v>
      </c>
      <c r="H2081" s="828">
        <v>46096.0</v>
      </c>
      <c r="I2081" s="829">
        <f t="shared" si="1"/>
        <v>6.407964444</v>
      </c>
      <c r="J2081" s="830">
        <f t="shared" si="2"/>
        <v>0.1073540701</v>
      </c>
      <c r="K2081" s="830"/>
    </row>
    <row r="2082">
      <c r="A2082" s="181" t="s">
        <v>523</v>
      </c>
      <c r="B2082" s="181" t="s">
        <v>563</v>
      </c>
      <c r="C2082" s="181">
        <v>1.2582912E7</v>
      </c>
      <c r="D2082" s="181">
        <v>12.0</v>
      </c>
      <c r="E2082" s="181">
        <v>51.53</v>
      </c>
      <c r="F2082" s="181">
        <v>244.18</v>
      </c>
      <c r="G2082" s="181">
        <v>223.83</v>
      </c>
      <c r="H2082" s="828">
        <v>46096.0</v>
      </c>
      <c r="I2082" s="829">
        <f t="shared" si="1"/>
        <v>12.81592889</v>
      </c>
      <c r="J2082" s="830">
        <f t="shared" si="2"/>
        <v>0.2487081096</v>
      </c>
      <c r="K2082" s="830"/>
    </row>
    <row r="2083">
      <c r="A2083" s="181" t="s">
        <v>523</v>
      </c>
      <c r="B2083" s="181" t="s">
        <v>563</v>
      </c>
      <c r="C2083" s="181">
        <v>2.5165824E7</v>
      </c>
      <c r="D2083" s="181">
        <v>12.0</v>
      </c>
      <c r="E2083" s="181">
        <v>70.35</v>
      </c>
      <c r="F2083" s="181">
        <v>357.72</v>
      </c>
      <c r="G2083" s="181">
        <v>327.91</v>
      </c>
      <c r="H2083" s="828">
        <v>46096.0</v>
      </c>
      <c r="I2083" s="829">
        <f t="shared" si="1"/>
        <v>25.63185778</v>
      </c>
      <c r="J2083" s="830">
        <f t="shared" si="2"/>
        <v>0.3643476585</v>
      </c>
      <c r="K2083" s="830"/>
    </row>
    <row r="2084">
      <c r="A2084" s="181" t="s">
        <v>523</v>
      </c>
      <c r="B2084" s="181" t="s">
        <v>563</v>
      </c>
      <c r="C2084" s="181">
        <v>5.0331648E7</v>
      </c>
      <c r="D2084" s="181">
        <v>12.0</v>
      </c>
      <c r="E2084" s="181">
        <v>110.93</v>
      </c>
      <c r="F2084" s="181">
        <v>453.72</v>
      </c>
      <c r="G2084" s="181">
        <v>415.91</v>
      </c>
      <c r="H2084" s="828">
        <v>46096.0</v>
      </c>
      <c r="I2084" s="829">
        <f t="shared" si="1"/>
        <v>51.26371556</v>
      </c>
      <c r="J2084" s="830">
        <f t="shared" si="2"/>
        <v>0.4621267065</v>
      </c>
      <c r="K2084" s="830"/>
    </row>
    <row r="2085">
      <c r="A2085" s="181" t="s">
        <v>523</v>
      </c>
      <c r="B2085" s="181" t="s">
        <v>563</v>
      </c>
      <c r="C2085" s="181">
        <v>1.00663296E8</v>
      </c>
      <c r="D2085" s="181">
        <v>12.0</v>
      </c>
      <c r="E2085" s="181">
        <v>276.56</v>
      </c>
      <c r="F2085" s="181">
        <v>363.99</v>
      </c>
      <c r="G2085" s="181">
        <v>333.65</v>
      </c>
      <c r="H2085" s="828">
        <v>46096.0</v>
      </c>
      <c r="I2085" s="829">
        <f t="shared" si="1"/>
        <v>102.5274311</v>
      </c>
      <c r="J2085" s="830">
        <f t="shared" si="2"/>
        <v>0.370724006</v>
      </c>
      <c r="K2085" s="830"/>
    </row>
    <row r="2086">
      <c r="A2086" s="181" t="s">
        <v>523</v>
      </c>
      <c r="B2086" s="181" t="s">
        <v>563</v>
      </c>
      <c r="C2086" s="181">
        <v>2.01326592E8</v>
      </c>
      <c r="D2086" s="181">
        <v>12.0</v>
      </c>
      <c r="E2086" s="181">
        <v>318.67</v>
      </c>
      <c r="F2086" s="181">
        <v>631.76</v>
      </c>
      <c r="G2086" s="181">
        <v>579.12</v>
      </c>
      <c r="H2086" s="828">
        <v>46096.0</v>
      </c>
      <c r="I2086" s="829">
        <f t="shared" si="1"/>
        <v>205.0548622</v>
      </c>
      <c r="J2086" s="830">
        <f t="shared" si="2"/>
        <v>0.6434708702</v>
      </c>
      <c r="K2086" s="830"/>
    </row>
    <row r="2087">
      <c r="A2087" s="181" t="s">
        <v>523</v>
      </c>
      <c r="B2087" s="181" t="s">
        <v>563</v>
      </c>
      <c r="C2087" s="181">
        <v>4.02653184E8</v>
      </c>
      <c r="D2087" s="181">
        <v>12.0</v>
      </c>
      <c r="E2087" s="181">
        <v>613.05</v>
      </c>
      <c r="F2087" s="181">
        <v>656.8</v>
      </c>
      <c r="G2087" s="181">
        <v>602.07</v>
      </c>
      <c r="H2087" s="828">
        <v>46096.0</v>
      </c>
      <c r="I2087" s="829">
        <f t="shared" si="1"/>
        <v>410.1097244</v>
      </c>
      <c r="J2087" s="830">
        <f t="shared" si="2"/>
        <v>0.6689661927</v>
      </c>
      <c r="K2087" s="830"/>
    </row>
    <row r="2088">
      <c r="A2088" s="181" t="s">
        <v>523</v>
      </c>
      <c r="B2088" s="181" t="s">
        <v>563</v>
      </c>
      <c r="C2088" s="181">
        <v>8.05306368E8</v>
      </c>
      <c r="D2088" s="181">
        <v>12.0</v>
      </c>
      <c r="E2088" s="181">
        <v>1255.21</v>
      </c>
      <c r="F2088" s="181">
        <v>641.57</v>
      </c>
      <c r="G2088" s="181">
        <v>588.11</v>
      </c>
      <c r="H2088" s="828">
        <v>46096.0</v>
      </c>
      <c r="I2088" s="829">
        <f t="shared" si="1"/>
        <v>820.2194489</v>
      </c>
      <c r="J2088" s="830">
        <f t="shared" si="2"/>
        <v>0.6534519713</v>
      </c>
      <c r="K2088" s="830"/>
    </row>
    <row r="2089">
      <c r="A2089" s="181" t="s">
        <v>523</v>
      </c>
      <c r="B2089" s="181" t="s">
        <v>563</v>
      </c>
      <c r="C2089" s="181">
        <v>1.610612736E9</v>
      </c>
      <c r="D2089" s="181">
        <v>12.0</v>
      </c>
      <c r="E2089" s="181">
        <v>2310.94</v>
      </c>
      <c r="F2089" s="181">
        <v>696.95</v>
      </c>
      <c r="G2089" s="181">
        <v>638.87</v>
      </c>
      <c r="H2089" s="828">
        <v>46096.0</v>
      </c>
      <c r="I2089" s="829">
        <f t="shared" si="1"/>
        <v>1640.438898</v>
      </c>
      <c r="J2089" s="830">
        <f t="shared" si="2"/>
        <v>0.7098578491</v>
      </c>
      <c r="K2089" s="830"/>
    </row>
    <row r="2090">
      <c r="A2090" s="181" t="s">
        <v>523</v>
      </c>
      <c r="B2090" s="181" t="s">
        <v>563</v>
      </c>
      <c r="C2090" s="181">
        <v>3.221225472E9</v>
      </c>
      <c r="D2090" s="181">
        <v>12.0</v>
      </c>
      <c r="E2090" s="181">
        <v>4426.93</v>
      </c>
      <c r="F2090" s="181">
        <v>727.64</v>
      </c>
      <c r="G2090" s="181">
        <v>667.01</v>
      </c>
      <c r="H2090" s="828">
        <v>46096.0</v>
      </c>
      <c r="I2090" s="829">
        <f t="shared" si="1"/>
        <v>3280.877796</v>
      </c>
      <c r="J2090" s="830">
        <f t="shared" si="2"/>
        <v>0.741118065</v>
      </c>
      <c r="K2090" s="830"/>
    </row>
    <row r="2091">
      <c r="A2091" s="181" t="s">
        <v>523</v>
      </c>
      <c r="B2091" s="181" t="s">
        <v>563</v>
      </c>
      <c r="C2091" s="181">
        <v>6.442450944E9</v>
      </c>
      <c r="D2091" s="181">
        <v>12.0</v>
      </c>
      <c r="E2091" s="181">
        <v>8604.52</v>
      </c>
      <c r="F2091" s="181">
        <v>748.73</v>
      </c>
      <c r="G2091" s="181">
        <v>686.33</v>
      </c>
      <c r="H2091" s="828">
        <v>46096.0</v>
      </c>
      <c r="I2091" s="829">
        <f t="shared" si="1"/>
        <v>6561.755591</v>
      </c>
      <c r="J2091" s="830">
        <f t="shared" si="2"/>
        <v>0.7625940309</v>
      </c>
      <c r="K2091" s="830"/>
    </row>
    <row r="2092">
      <c r="A2092" s="181" t="s">
        <v>523</v>
      </c>
      <c r="B2092" s="181" t="s">
        <v>563</v>
      </c>
      <c r="C2092" s="181">
        <v>1.2884901888E10</v>
      </c>
      <c r="D2092" s="181">
        <v>12.0</v>
      </c>
      <c r="E2092" s="181">
        <v>16964.0</v>
      </c>
      <c r="F2092" s="181">
        <v>759.54</v>
      </c>
      <c r="G2092" s="181">
        <v>696.25</v>
      </c>
      <c r="H2092" s="828">
        <v>46096.0</v>
      </c>
      <c r="I2092" s="829">
        <f t="shared" si="1"/>
        <v>13123.51118</v>
      </c>
      <c r="J2092" s="830">
        <f t="shared" si="2"/>
        <v>0.7736094778</v>
      </c>
      <c r="K2092" s="830"/>
    </row>
    <row r="2093">
      <c r="A2093" s="181" t="s">
        <v>523</v>
      </c>
      <c r="B2093" s="181" t="s">
        <v>563</v>
      </c>
      <c r="C2093" s="181">
        <v>896.0</v>
      </c>
      <c r="D2093" s="181">
        <v>14.0</v>
      </c>
      <c r="E2093" s="181">
        <v>28.89</v>
      </c>
      <c r="F2093" s="181">
        <v>0.03</v>
      </c>
      <c r="G2093" s="181">
        <v>0.03</v>
      </c>
      <c r="H2093" s="828">
        <v>46096.0</v>
      </c>
      <c r="I2093" s="829">
        <f t="shared" si="1"/>
        <v>0.0009244444444</v>
      </c>
      <c r="J2093" s="830">
        <f t="shared" si="2"/>
        <v>0.00003199876928</v>
      </c>
      <c r="K2093" s="830"/>
    </row>
    <row r="2094">
      <c r="A2094" s="181" t="s">
        <v>523</v>
      </c>
      <c r="B2094" s="181" t="s">
        <v>563</v>
      </c>
      <c r="C2094" s="181">
        <v>1792.0</v>
      </c>
      <c r="D2094" s="181">
        <v>14.0</v>
      </c>
      <c r="E2094" s="181">
        <v>28.7</v>
      </c>
      <c r="F2094" s="181">
        <v>0.06</v>
      </c>
      <c r="G2094" s="181">
        <v>0.06</v>
      </c>
      <c r="H2094" s="828">
        <v>46096.0</v>
      </c>
      <c r="I2094" s="829">
        <f t="shared" si="1"/>
        <v>0.001848888889</v>
      </c>
      <c r="J2094" s="830">
        <f t="shared" si="2"/>
        <v>0.00006442121564</v>
      </c>
      <c r="K2094" s="830"/>
    </row>
    <row r="2095">
      <c r="A2095" s="181" t="s">
        <v>523</v>
      </c>
      <c r="B2095" s="181" t="s">
        <v>563</v>
      </c>
      <c r="C2095" s="181">
        <v>3584.0</v>
      </c>
      <c r="D2095" s="181">
        <v>14.0</v>
      </c>
      <c r="E2095" s="181">
        <v>28.97</v>
      </c>
      <c r="F2095" s="181">
        <v>0.12</v>
      </c>
      <c r="G2095" s="181">
        <v>0.11</v>
      </c>
      <c r="H2095" s="828">
        <v>46096.0</v>
      </c>
      <c r="I2095" s="829">
        <f t="shared" si="1"/>
        <v>0.003697777778</v>
      </c>
      <c r="J2095" s="830">
        <f t="shared" si="2"/>
        <v>0.0001276416216</v>
      </c>
      <c r="K2095" s="830"/>
    </row>
    <row r="2096">
      <c r="A2096" s="181" t="s">
        <v>523</v>
      </c>
      <c r="B2096" s="181" t="s">
        <v>563</v>
      </c>
      <c r="C2096" s="181">
        <v>7168.0</v>
      </c>
      <c r="D2096" s="181">
        <v>14.0</v>
      </c>
      <c r="E2096" s="181">
        <v>29.85</v>
      </c>
      <c r="F2096" s="181">
        <v>0.24</v>
      </c>
      <c r="G2096" s="181">
        <v>0.22</v>
      </c>
      <c r="H2096" s="828">
        <v>46096.0</v>
      </c>
      <c r="I2096" s="829">
        <f t="shared" si="1"/>
        <v>0.007395555556</v>
      </c>
      <c r="J2096" s="830">
        <f t="shared" si="2"/>
        <v>0.000247757305</v>
      </c>
      <c r="K2096" s="830"/>
    </row>
    <row r="2097">
      <c r="A2097" s="181" t="s">
        <v>523</v>
      </c>
      <c r="B2097" s="181" t="s">
        <v>563</v>
      </c>
      <c r="C2097" s="181">
        <v>14336.0</v>
      </c>
      <c r="D2097" s="181">
        <v>14.0</v>
      </c>
      <c r="E2097" s="181">
        <v>29.97</v>
      </c>
      <c r="F2097" s="181">
        <v>0.48</v>
      </c>
      <c r="G2097" s="181">
        <v>0.44</v>
      </c>
      <c r="H2097" s="828">
        <v>46096.0</v>
      </c>
      <c r="I2097" s="829">
        <f t="shared" si="1"/>
        <v>0.01479111111</v>
      </c>
      <c r="J2097" s="830">
        <f t="shared" si="2"/>
        <v>0.0004935305676</v>
      </c>
      <c r="K2097" s="830"/>
    </row>
    <row r="2098">
      <c r="A2098" s="181" t="s">
        <v>523</v>
      </c>
      <c r="B2098" s="181" t="s">
        <v>563</v>
      </c>
      <c r="C2098" s="181">
        <v>28672.0</v>
      </c>
      <c r="D2098" s="181">
        <v>14.0</v>
      </c>
      <c r="E2098" s="181">
        <v>29.64</v>
      </c>
      <c r="F2098" s="181">
        <v>0.97</v>
      </c>
      <c r="G2098" s="181">
        <v>0.9</v>
      </c>
      <c r="H2098" s="828">
        <v>46096.0</v>
      </c>
      <c r="I2098" s="829">
        <f t="shared" si="1"/>
        <v>0.02958222222</v>
      </c>
      <c r="J2098" s="830">
        <f t="shared" si="2"/>
        <v>0.0009980506823</v>
      </c>
      <c r="K2098" s="830"/>
    </row>
    <row r="2099">
      <c r="A2099" s="181" t="s">
        <v>523</v>
      </c>
      <c r="B2099" s="181" t="s">
        <v>563</v>
      </c>
      <c r="C2099" s="181">
        <v>57344.0</v>
      </c>
      <c r="D2099" s="181">
        <v>14.0</v>
      </c>
      <c r="E2099" s="181">
        <v>30.41</v>
      </c>
      <c r="F2099" s="181">
        <v>1.89</v>
      </c>
      <c r="G2099" s="181">
        <v>1.75</v>
      </c>
      <c r="H2099" s="828">
        <v>46096.0</v>
      </c>
      <c r="I2099" s="829">
        <f t="shared" si="1"/>
        <v>0.05916444444</v>
      </c>
      <c r="J2099" s="830">
        <f t="shared" si="2"/>
        <v>0.001945558844</v>
      </c>
      <c r="K2099" s="830"/>
    </row>
    <row r="2100">
      <c r="A2100" s="181" t="s">
        <v>523</v>
      </c>
      <c r="B2100" s="181" t="s">
        <v>563</v>
      </c>
      <c r="C2100" s="181">
        <v>114688.0</v>
      </c>
      <c r="D2100" s="181">
        <v>14.0</v>
      </c>
      <c r="E2100" s="181">
        <v>33.94</v>
      </c>
      <c r="F2100" s="181">
        <v>3.38</v>
      </c>
      <c r="G2100" s="181">
        <v>3.14</v>
      </c>
      <c r="H2100" s="828">
        <v>46096.0</v>
      </c>
      <c r="I2100" s="829">
        <f t="shared" si="1"/>
        <v>0.1183288889</v>
      </c>
      <c r="J2100" s="830">
        <f t="shared" si="2"/>
        <v>0.003486413933</v>
      </c>
      <c r="K2100" s="830"/>
    </row>
    <row r="2101">
      <c r="A2101" s="181" t="s">
        <v>523</v>
      </c>
      <c r="B2101" s="181" t="s">
        <v>563</v>
      </c>
      <c r="C2101" s="181">
        <v>229376.0</v>
      </c>
      <c r="D2101" s="181">
        <v>14.0</v>
      </c>
      <c r="E2101" s="181">
        <v>33.48</v>
      </c>
      <c r="F2101" s="181">
        <v>6.85</v>
      </c>
      <c r="G2101" s="181">
        <v>6.36</v>
      </c>
      <c r="H2101" s="828">
        <v>46096.0</v>
      </c>
      <c r="I2101" s="829">
        <f t="shared" si="1"/>
        <v>0.2366577778</v>
      </c>
      <c r="J2101" s="830">
        <f t="shared" si="2"/>
        <v>0.007068631355</v>
      </c>
      <c r="K2101" s="830"/>
    </row>
    <row r="2102">
      <c r="A2102" s="181" t="s">
        <v>523</v>
      </c>
      <c r="B2102" s="181" t="s">
        <v>563</v>
      </c>
      <c r="C2102" s="181">
        <v>458752.0</v>
      </c>
      <c r="D2102" s="181">
        <v>14.0</v>
      </c>
      <c r="E2102" s="181">
        <v>33.59</v>
      </c>
      <c r="F2102" s="181">
        <v>13.66</v>
      </c>
      <c r="G2102" s="181">
        <v>12.68</v>
      </c>
      <c r="H2102" s="828">
        <v>46096.0</v>
      </c>
      <c r="I2102" s="829">
        <f t="shared" si="1"/>
        <v>0.4733155556</v>
      </c>
      <c r="J2102" s="830">
        <f t="shared" si="2"/>
        <v>0.01409096623</v>
      </c>
      <c r="K2102" s="830"/>
    </row>
    <row r="2103">
      <c r="A2103" s="181" t="s">
        <v>523</v>
      </c>
      <c r="B2103" s="181" t="s">
        <v>563</v>
      </c>
      <c r="C2103" s="181">
        <v>917504.0</v>
      </c>
      <c r="D2103" s="181">
        <v>14.0</v>
      </c>
      <c r="E2103" s="181">
        <v>33.84</v>
      </c>
      <c r="F2103" s="181">
        <v>27.12</v>
      </c>
      <c r="G2103" s="181">
        <v>25.18</v>
      </c>
      <c r="H2103" s="828">
        <v>46096.0</v>
      </c>
      <c r="I2103" s="829">
        <f t="shared" si="1"/>
        <v>0.9466311111</v>
      </c>
      <c r="J2103" s="830">
        <f t="shared" si="2"/>
        <v>0.0279737326</v>
      </c>
      <c r="K2103" s="830"/>
    </row>
    <row r="2104">
      <c r="A2104" s="181" t="s">
        <v>523</v>
      </c>
      <c r="B2104" s="181" t="s">
        <v>563</v>
      </c>
      <c r="C2104" s="181">
        <v>1835008.0</v>
      </c>
      <c r="D2104" s="181">
        <v>14.0</v>
      </c>
      <c r="E2104" s="181">
        <v>34.37</v>
      </c>
      <c r="F2104" s="181">
        <v>53.38</v>
      </c>
      <c r="G2104" s="181">
        <v>49.57</v>
      </c>
      <c r="H2104" s="828">
        <v>46096.0</v>
      </c>
      <c r="I2104" s="829">
        <f t="shared" si="1"/>
        <v>1.893262222</v>
      </c>
      <c r="J2104" s="830">
        <f t="shared" si="2"/>
        <v>0.05508473152</v>
      </c>
      <c r="K2104" s="830"/>
    </row>
    <row r="2105">
      <c r="A2105" s="181" t="s">
        <v>523</v>
      </c>
      <c r="B2105" s="181" t="s">
        <v>563</v>
      </c>
      <c r="C2105" s="181">
        <v>3670016.0</v>
      </c>
      <c r="D2105" s="181">
        <v>14.0</v>
      </c>
      <c r="E2105" s="181">
        <v>42.52</v>
      </c>
      <c r="F2105" s="181">
        <v>86.31</v>
      </c>
      <c r="G2105" s="181">
        <v>80.15</v>
      </c>
      <c r="H2105" s="828">
        <v>46096.0</v>
      </c>
      <c r="I2105" s="829">
        <f t="shared" si="1"/>
        <v>3.786524444</v>
      </c>
      <c r="J2105" s="830">
        <f t="shared" si="2"/>
        <v>0.08905278562</v>
      </c>
      <c r="K2105" s="830"/>
    </row>
    <row r="2106">
      <c r="A2106" s="181" t="s">
        <v>523</v>
      </c>
      <c r="B2106" s="181" t="s">
        <v>563</v>
      </c>
      <c r="C2106" s="181">
        <v>7340032.0</v>
      </c>
      <c r="D2106" s="181">
        <v>14.0</v>
      </c>
      <c r="E2106" s="181">
        <v>63.19</v>
      </c>
      <c r="F2106" s="181">
        <v>116.16</v>
      </c>
      <c r="G2106" s="181">
        <v>107.86</v>
      </c>
      <c r="H2106" s="828">
        <v>46096.0</v>
      </c>
      <c r="I2106" s="829">
        <f t="shared" si="1"/>
        <v>7.573048889</v>
      </c>
      <c r="J2106" s="830">
        <f t="shared" si="2"/>
        <v>0.1198456859</v>
      </c>
      <c r="K2106" s="830"/>
    </row>
    <row r="2107">
      <c r="A2107" s="181" t="s">
        <v>523</v>
      </c>
      <c r="B2107" s="181" t="s">
        <v>563</v>
      </c>
      <c r="C2107" s="181">
        <v>1.4680064E7</v>
      </c>
      <c r="D2107" s="181">
        <v>14.0</v>
      </c>
      <c r="E2107" s="181">
        <v>55.63</v>
      </c>
      <c r="F2107" s="181">
        <v>263.87</v>
      </c>
      <c r="G2107" s="181">
        <v>245.02</v>
      </c>
      <c r="H2107" s="828">
        <v>46096.0</v>
      </c>
      <c r="I2107" s="829">
        <f t="shared" si="1"/>
        <v>15.14609778</v>
      </c>
      <c r="J2107" s="830">
        <f t="shared" si="2"/>
        <v>0.272264925</v>
      </c>
      <c r="K2107" s="830"/>
    </row>
    <row r="2108">
      <c r="A2108" s="181" t="s">
        <v>523</v>
      </c>
      <c r="B2108" s="181" t="s">
        <v>563</v>
      </c>
      <c r="C2108" s="181">
        <v>2.9360128E7</v>
      </c>
      <c r="D2108" s="181">
        <v>14.0</v>
      </c>
      <c r="E2108" s="181">
        <v>78.24</v>
      </c>
      <c r="F2108" s="181">
        <v>375.24</v>
      </c>
      <c r="G2108" s="181">
        <v>348.44</v>
      </c>
      <c r="H2108" s="828">
        <v>46096.0</v>
      </c>
      <c r="I2108" s="829">
        <f t="shared" si="1"/>
        <v>30.29219556</v>
      </c>
      <c r="J2108" s="830">
        <f t="shared" si="2"/>
        <v>0.3871701886</v>
      </c>
      <c r="K2108" s="830"/>
    </row>
    <row r="2109">
      <c r="A2109" s="181" t="s">
        <v>523</v>
      </c>
      <c r="B2109" s="181" t="s">
        <v>563</v>
      </c>
      <c r="C2109" s="181">
        <v>5.8720256E7</v>
      </c>
      <c r="D2109" s="181">
        <v>14.0</v>
      </c>
      <c r="E2109" s="181">
        <v>125.9</v>
      </c>
      <c r="F2109" s="181">
        <v>466.42</v>
      </c>
      <c r="G2109" s="181">
        <v>433.1</v>
      </c>
      <c r="H2109" s="828">
        <v>46096.0</v>
      </c>
      <c r="I2109" s="829">
        <f t="shared" si="1"/>
        <v>60.58439111</v>
      </c>
      <c r="J2109" s="830">
        <f t="shared" si="2"/>
        <v>0.4812104139</v>
      </c>
      <c r="K2109" s="830"/>
    </row>
    <row r="2110">
      <c r="A2110" s="181" t="s">
        <v>523</v>
      </c>
      <c r="B2110" s="181" t="s">
        <v>563</v>
      </c>
      <c r="C2110" s="181">
        <v>1.17440512E8</v>
      </c>
      <c r="D2110" s="181">
        <v>14.0</v>
      </c>
      <c r="E2110" s="181">
        <v>207.93</v>
      </c>
      <c r="F2110" s="181">
        <v>564.82</v>
      </c>
      <c r="G2110" s="181">
        <v>524.47</v>
      </c>
      <c r="H2110" s="828">
        <v>46096.0</v>
      </c>
      <c r="I2110" s="829">
        <f t="shared" si="1"/>
        <v>121.1687822</v>
      </c>
      <c r="J2110" s="830">
        <f t="shared" si="2"/>
        <v>0.5827383361</v>
      </c>
      <c r="K2110" s="830"/>
    </row>
    <row r="2111">
      <c r="A2111" s="181" t="s">
        <v>523</v>
      </c>
      <c r="B2111" s="181" t="s">
        <v>563</v>
      </c>
      <c r="C2111" s="181">
        <v>2.34881024E8</v>
      </c>
      <c r="D2111" s="181">
        <v>14.0</v>
      </c>
      <c r="E2111" s="181">
        <v>367.93</v>
      </c>
      <c r="F2111" s="181">
        <v>638.38</v>
      </c>
      <c r="G2111" s="181">
        <v>592.78</v>
      </c>
      <c r="H2111" s="828">
        <v>46096.0</v>
      </c>
      <c r="I2111" s="829">
        <f t="shared" si="1"/>
        <v>242.3375644</v>
      </c>
      <c r="J2111" s="830">
        <f t="shared" si="2"/>
        <v>0.6586512773</v>
      </c>
      <c r="K2111" s="830"/>
    </row>
    <row r="2112">
      <c r="A2112" s="181" t="s">
        <v>523</v>
      </c>
      <c r="B2112" s="181" t="s">
        <v>563</v>
      </c>
      <c r="C2112" s="181">
        <v>4.69762048E8</v>
      </c>
      <c r="D2112" s="181">
        <v>14.0</v>
      </c>
      <c r="E2112" s="181">
        <v>699.31</v>
      </c>
      <c r="F2112" s="181">
        <v>671.75</v>
      </c>
      <c r="G2112" s="181">
        <v>623.77</v>
      </c>
      <c r="H2112" s="828">
        <v>46096.0</v>
      </c>
      <c r="I2112" s="829">
        <f t="shared" si="1"/>
        <v>484.6751289</v>
      </c>
      <c r="J2112" s="830">
        <f t="shared" si="2"/>
        <v>0.6930762164</v>
      </c>
      <c r="K2112" s="830"/>
    </row>
    <row r="2113">
      <c r="A2113" s="181" t="s">
        <v>523</v>
      </c>
      <c r="B2113" s="181" t="s">
        <v>563</v>
      </c>
      <c r="C2113" s="181">
        <v>9.39524096E8</v>
      </c>
      <c r="D2113" s="181">
        <v>14.0</v>
      </c>
      <c r="E2113" s="181">
        <v>1454.41</v>
      </c>
      <c r="F2113" s="181">
        <v>645.99</v>
      </c>
      <c r="G2113" s="181">
        <v>599.84</v>
      </c>
      <c r="H2113" s="828">
        <v>46096.0</v>
      </c>
      <c r="I2113" s="829">
        <f t="shared" si="1"/>
        <v>969.3502578</v>
      </c>
      <c r="J2113" s="830">
        <f t="shared" si="2"/>
        <v>0.6664903691</v>
      </c>
      <c r="K2113" s="830"/>
    </row>
    <row r="2114">
      <c r="A2114" s="181" t="s">
        <v>523</v>
      </c>
      <c r="B2114" s="181" t="s">
        <v>563</v>
      </c>
      <c r="C2114" s="181">
        <v>1.879048192E9</v>
      </c>
      <c r="D2114" s="181">
        <v>14.0</v>
      </c>
      <c r="E2114" s="181">
        <v>2703.41</v>
      </c>
      <c r="F2114" s="181">
        <v>695.07</v>
      </c>
      <c r="G2114" s="181">
        <v>645.42</v>
      </c>
      <c r="H2114" s="828">
        <v>46096.0</v>
      </c>
      <c r="I2114" s="829">
        <f t="shared" si="1"/>
        <v>1938.700516</v>
      </c>
      <c r="J2114" s="830">
        <f t="shared" si="2"/>
        <v>0.7171315174</v>
      </c>
      <c r="K2114" s="830"/>
    </row>
    <row r="2115">
      <c r="A2115" s="181" t="s">
        <v>523</v>
      </c>
      <c r="B2115" s="181" t="s">
        <v>563</v>
      </c>
      <c r="C2115" s="181">
        <v>3.758096384E9</v>
      </c>
      <c r="D2115" s="181">
        <v>14.0</v>
      </c>
      <c r="E2115" s="181">
        <v>5173.1</v>
      </c>
      <c r="F2115" s="181">
        <v>726.47</v>
      </c>
      <c r="G2115" s="181">
        <v>674.58</v>
      </c>
      <c r="H2115" s="828">
        <v>46096.0</v>
      </c>
      <c r="I2115" s="829">
        <f t="shared" si="1"/>
        <v>3877.401031</v>
      </c>
      <c r="J2115" s="830">
        <f t="shared" si="2"/>
        <v>0.7495314282</v>
      </c>
      <c r="K2115" s="830"/>
    </row>
    <row r="2116">
      <c r="A2116" s="181" t="s">
        <v>523</v>
      </c>
      <c r="B2116" s="181" t="s">
        <v>563</v>
      </c>
      <c r="C2116" s="181">
        <v>7.516192768E9</v>
      </c>
      <c r="D2116" s="181">
        <v>14.0</v>
      </c>
      <c r="E2116" s="181">
        <v>10131.4</v>
      </c>
      <c r="F2116" s="181">
        <v>741.87</v>
      </c>
      <c r="G2116" s="181">
        <v>688.88</v>
      </c>
      <c r="H2116" s="828">
        <v>46096.0</v>
      </c>
      <c r="I2116" s="829">
        <f t="shared" si="1"/>
        <v>7754.802062</v>
      </c>
      <c r="J2116" s="830">
        <f t="shared" si="2"/>
        <v>0.7654225539</v>
      </c>
      <c r="K2116" s="830"/>
    </row>
    <row r="2117">
      <c r="A2117" s="181" t="s">
        <v>523</v>
      </c>
      <c r="B2117" s="181" t="s">
        <v>563</v>
      </c>
      <c r="C2117" s="181">
        <v>1.5032385536E10</v>
      </c>
      <c r="D2117" s="181">
        <v>14.0</v>
      </c>
      <c r="E2117" s="181">
        <v>19987.3</v>
      </c>
      <c r="F2117" s="181">
        <v>752.1</v>
      </c>
      <c r="G2117" s="181">
        <v>698.37</v>
      </c>
      <c r="H2117" s="828">
        <v>46096.0</v>
      </c>
      <c r="I2117" s="829">
        <f t="shared" si="1"/>
        <v>15509.60412</v>
      </c>
      <c r="J2117" s="830">
        <f t="shared" si="2"/>
        <v>0.775972949</v>
      </c>
      <c r="K2117" s="830"/>
    </row>
    <row r="2118">
      <c r="A2118" s="181" t="s">
        <v>523</v>
      </c>
      <c r="B2118" s="181" t="s">
        <v>563</v>
      </c>
      <c r="C2118" s="181">
        <v>1024.0</v>
      </c>
      <c r="D2118" s="181">
        <v>16.0</v>
      </c>
      <c r="E2118" s="181">
        <v>31.44</v>
      </c>
      <c r="F2118" s="181">
        <v>0.03</v>
      </c>
      <c r="G2118" s="181">
        <v>0.03</v>
      </c>
      <c r="H2118" s="828">
        <v>46096.0</v>
      </c>
      <c r="I2118" s="829">
        <f t="shared" si="1"/>
        <v>0.001066666667</v>
      </c>
      <c r="J2118" s="830">
        <f t="shared" si="2"/>
        <v>0.00003392705683</v>
      </c>
      <c r="K2118" s="830"/>
    </row>
    <row r="2119">
      <c r="A2119" s="181" t="s">
        <v>523</v>
      </c>
      <c r="B2119" s="181" t="s">
        <v>563</v>
      </c>
      <c r="C2119" s="181">
        <v>2048.0</v>
      </c>
      <c r="D2119" s="181">
        <v>16.0</v>
      </c>
      <c r="E2119" s="181">
        <v>31.93</v>
      </c>
      <c r="F2119" s="181">
        <v>0.06</v>
      </c>
      <c r="G2119" s="181">
        <v>0.06</v>
      </c>
      <c r="H2119" s="828">
        <v>46096.0</v>
      </c>
      <c r="I2119" s="829">
        <f t="shared" si="1"/>
        <v>0.002133333333</v>
      </c>
      <c r="J2119" s="830">
        <f t="shared" si="2"/>
        <v>0.00006681281971</v>
      </c>
      <c r="K2119" s="830"/>
    </row>
    <row r="2120">
      <c r="A2120" s="181" t="s">
        <v>523</v>
      </c>
      <c r="B2120" s="181" t="s">
        <v>563</v>
      </c>
      <c r="C2120" s="181">
        <v>4096.0</v>
      </c>
      <c r="D2120" s="181">
        <v>16.0</v>
      </c>
      <c r="E2120" s="181">
        <v>32.25</v>
      </c>
      <c r="F2120" s="181">
        <v>0.13</v>
      </c>
      <c r="G2120" s="181">
        <v>0.12</v>
      </c>
      <c r="H2120" s="828">
        <v>46096.0</v>
      </c>
      <c r="I2120" s="829">
        <f t="shared" si="1"/>
        <v>0.004266666667</v>
      </c>
      <c r="J2120" s="830">
        <f t="shared" si="2"/>
        <v>0.0001322997416</v>
      </c>
      <c r="K2120" s="830"/>
    </row>
    <row r="2121">
      <c r="A2121" s="181" t="s">
        <v>523</v>
      </c>
      <c r="B2121" s="181" t="s">
        <v>563</v>
      </c>
      <c r="C2121" s="181">
        <v>8192.0</v>
      </c>
      <c r="D2121" s="181">
        <v>16.0</v>
      </c>
      <c r="E2121" s="181">
        <v>32.15</v>
      </c>
      <c r="F2121" s="181">
        <v>0.25</v>
      </c>
      <c r="G2121" s="181">
        <v>0.24</v>
      </c>
      <c r="H2121" s="828">
        <v>46096.0</v>
      </c>
      <c r="I2121" s="829">
        <f t="shared" si="1"/>
        <v>0.008533333333</v>
      </c>
      <c r="J2121" s="830">
        <f t="shared" si="2"/>
        <v>0.0002654224987</v>
      </c>
      <c r="K2121" s="830"/>
    </row>
    <row r="2122">
      <c r="A2122" s="181" t="s">
        <v>523</v>
      </c>
      <c r="B2122" s="181" t="s">
        <v>563</v>
      </c>
      <c r="C2122" s="181">
        <v>16384.0</v>
      </c>
      <c r="D2122" s="181">
        <v>16.0</v>
      </c>
      <c r="E2122" s="181">
        <v>32.07</v>
      </c>
      <c r="F2122" s="181">
        <v>0.51</v>
      </c>
      <c r="G2122" s="181">
        <v>0.48</v>
      </c>
      <c r="H2122" s="828">
        <v>46096.0</v>
      </c>
      <c r="I2122" s="829">
        <f t="shared" si="1"/>
        <v>0.01706666667</v>
      </c>
      <c r="J2122" s="830">
        <f t="shared" si="2"/>
        <v>0.0005321692132</v>
      </c>
      <c r="K2122" s="830"/>
    </row>
    <row r="2123">
      <c r="A2123" s="181" t="s">
        <v>523</v>
      </c>
      <c r="B2123" s="181" t="s">
        <v>563</v>
      </c>
      <c r="C2123" s="181">
        <v>32768.0</v>
      </c>
      <c r="D2123" s="181">
        <v>16.0</v>
      </c>
      <c r="E2123" s="181">
        <v>32.31</v>
      </c>
      <c r="F2123" s="181">
        <v>1.01</v>
      </c>
      <c r="G2123" s="181">
        <v>0.95</v>
      </c>
      <c r="H2123" s="828">
        <v>46096.0</v>
      </c>
      <c r="I2123" s="829">
        <f t="shared" si="1"/>
        <v>0.03413333333</v>
      </c>
      <c r="J2123" s="830">
        <f t="shared" si="2"/>
        <v>0.001056432477</v>
      </c>
      <c r="K2123" s="830"/>
    </row>
    <row r="2124">
      <c r="A2124" s="181" t="s">
        <v>523</v>
      </c>
      <c r="B2124" s="181" t="s">
        <v>563</v>
      </c>
      <c r="C2124" s="181">
        <v>65536.0</v>
      </c>
      <c r="D2124" s="181">
        <v>16.0</v>
      </c>
      <c r="E2124" s="181">
        <v>33.31</v>
      </c>
      <c r="F2124" s="181">
        <v>1.97</v>
      </c>
      <c r="G2124" s="181">
        <v>1.84</v>
      </c>
      <c r="H2124" s="828">
        <v>46096.0</v>
      </c>
      <c r="I2124" s="829">
        <f t="shared" si="1"/>
        <v>0.06826666667</v>
      </c>
      <c r="J2124" s="830">
        <f t="shared" si="2"/>
        <v>0.002049434604</v>
      </c>
      <c r="K2124" s="830"/>
    </row>
    <row r="2125">
      <c r="A2125" s="181" t="s">
        <v>523</v>
      </c>
      <c r="B2125" s="181" t="s">
        <v>563</v>
      </c>
      <c r="C2125" s="181">
        <v>131072.0</v>
      </c>
      <c r="D2125" s="181">
        <v>16.0</v>
      </c>
      <c r="E2125" s="181">
        <v>34.83</v>
      </c>
      <c r="F2125" s="181">
        <v>3.76</v>
      </c>
      <c r="G2125" s="181">
        <v>3.53</v>
      </c>
      <c r="H2125" s="828">
        <v>46096.0</v>
      </c>
      <c r="I2125" s="829">
        <f t="shared" si="1"/>
        <v>0.1365333333</v>
      </c>
      <c r="J2125" s="830">
        <f t="shared" si="2"/>
        <v>0.003919992344</v>
      </c>
      <c r="K2125" s="830"/>
    </row>
    <row r="2126">
      <c r="A2126" s="181" t="s">
        <v>523</v>
      </c>
      <c r="B2126" s="181" t="s">
        <v>563</v>
      </c>
      <c r="C2126" s="181">
        <v>262144.0</v>
      </c>
      <c r="D2126" s="181">
        <v>16.0</v>
      </c>
      <c r="E2126" s="181">
        <v>34.31</v>
      </c>
      <c r="F2126" s="181">
        <v>7.64</v>
      </c>
      <c r="G2126" s="181">
        <v>7.16</v>
      </c>
      <c r="H2126" s="828">
        <v>46096.0</v>
      </c>
      <c r="I2126" s="829">
        <f t="shared" si="1"/>
        <v>0.2730666667</v>
      </c>
      <c r="J2126" s="830">
        <f t="shared" si="2"/>
        <v>0.007958806956</v>
      </c>
      <c r="K2126" s="830"/>
    </row>
    <row r="2127">
      <c r="A2127" s="181" t="s">
        <v>523</v>
      </c>
      <c r="B2127" s="181" t="s">
        <v>563</v>
      </c>
      <c r="C2127" s="181">
        <v>524288.0</v>
      </c>
      <c r="D2127" s="181">
        <v>16.0</v>
      </c>
      <c r="E2127" s="181">
        <v>34.95</v>
      </c>
      <c r="F2127" s="181">
        <v>15.0</v>
      </c>
      <c r="G2127" s="181">
        <v>14.06</v>
      </c>
      <c r="H2127" s="828">
        <v>46096.0</v>
      </c>
      <c r="I2127" s="829">
        <f t="shared" si="1"/>
        <v>0.5461333333</v>
      </c>
      <c r="J2127" s="830">
        <f t="shared" si="2"/>
        <v>0.01562613257</v>
      </c>
      <c r="K2127" s="830"/>
    </row>
    <row r="2128">
      <c r="A2128" s="181" t="s">
        <v>523</v>
      </c>
      <c r="B2128" s="181" t="s">
        <v>563</v>
      </c>
      <c r="C2128" s="181">
        <v>1048576.0</v>
      </c>
      <c r="D2128" s="181">
        <v>16.0</v>
      </c>
      <c r="E2128" s="181">
        <v>34.84</v>
      </c>
      <c r="F2128" s="181">
        <v>30.09</v>
      </c>
      <c r="G2128" s="181">
        <v>28.21</v>
      </c>
      <c r="H2128" s="828">
        <v>46096.0</v>
      </c>
      <c r="I2128" s="829">
        <f t="shared" si="1"/>
        <v>1.092266667</v>
      </c>
      <c r="J2128" s="830">
        <f t="shared" si="2"/>
        <v>0.03135093762</v>
      </c>
      <c r="K2128" s="830"/>
    </row>
    <row r="2129">
      <c r="A2129" s="181" t="s">
        <v>523</v>
      </c>
      <c r="B2129" s="181" t="s">
        <v>563</v>
      </c>
      <c r="C2129" s="181">
        <v>2097152.0</v>
      </c>
      <c r="D2129" s="181">
        <v>16.0</v>
      </c>
      <c r="E2129" s="181">
        <v>35.35</v>
      </c>
      <c r="F2129" s="181">
        <v>59.32</v>
      </c>
      <c r="G2129" s="181">
        <v>55.61</v>
      </c>
      <c r="H2129" s="828">
        <v>46096.0</v>
      </c>
      <c r="I2129" s="829">
        <f t="shared" si="1"/>
        <v>2.184533333</v>
      </c>
      <c r="J2129" s="830">
        <f t="shared" si="2"/>
        <v>0.06179726544</v>
      </c>
      <c r="K2129" s="830"/>
    </row>
    <row r="2130">
      <c r="A2130" s="181" t="s">
        <v>523</v>
      </c>
      <c r="B2130" s="181" t="s">
        <v>563</v>
      </c>
      <c r="C2130" s="181">
        <v>4194304.0</v>
      </c>
      <c r="D2130" s="181">
        <v>16.0</v>
      </c>
      <c r="E2130" s="181">
        <v>42.75</v>
      </c>
      <c r="F2130" s="181">
        <v>98.1</v>
      </c>
      <c r="G2130" s="181">
        <v>91.97</v>
      </c>
      <c r="H2130" s="828">
        <v>46096.0</v>
      </c>
      <c r="I2130" s="829">
        <f t="shared" si="1"/>
        <v>4.369066667</v>
      </c>
      <c r="J2130" s="830">
        <f t="shared" si="2"/>
        <v>0.1022003899</v>
      </c>
      <c r="K2130" s="830"/>
    </row>
    <row r="2131">
      <c r="A2131" s="181" t="s">
        <v>523</v>
      </c>
      <c r="B2131" s="181" t="s">
        <v>563</v>
      </c>
      <c r="C2131" s="181">
        <v>8388608.0</v>
      </c>
      <c r="D2131" s="181">
        <v>16.0</v>
      </c>
      <c r="E2131" s="181">
        <v>66.06</v>
      </c>
      <c r="F2131" s="181">
        <v>126.98</v>
      </c>
      <c r="G2131" s="181">
        <v>119.05</v>
      </c>
      <c r="H2131" s="828">
        <v>46096.0</v>
      </c>
      <c r="I2131" s="829">
        <f t="shared" si="1"/>
        <v>8.738133333</v>
      </c>
      <c r="J2131" s="830">
        <f t="shared" si="2"/>
        <v>0.132275709</v>
      </c>
      <c r="K2131" s="830"/>
    </row>
    <row r="2132">
      <c r="A2132" s="181" t="s">
        <v>523</v>
      </c>
      <c r="B2132" s="181" t="s">
        <v>563</v>
      </c>
      <c r="C2132" s="181">
        <v>1.6777216E7</v>
      </c>
      <c r="D2132" s="181">
        <v>16.0</v>
      </c>
      <c r="E2132" s="181">
        <v>96.58</v>
      </c>
      <c r="F2132" s="181">
        <v>173.72</v>
      </c>
      <c r="G2132" s="181">
        <v>162.86</v>
      </c>
      <c r="H2132" s="828">
        <v>46096.0</v>
      </c>
      <c r="I2132" s="829">
        <f t="shared" si="1"/>
        <v>17.47626667</v>
      </c>
      <c r="J2132" s="830">
        <f t="shared" si="2"/>
        <v>0.1809511976</v>
      </c>
      <c r="K2132" s="830"/>
    </row>
    <row r="2133">
      <c r="A2133" s="181" t="s">
        <v>523</v>
      </c>
      <c r="B2133" s="181" t="s">
        <v>563</v>
      </c>
      <c r="C2133" s="181">
        <v>3.3554432E7</v>
      </c>
      <c r="D2133" s="181">
        <v>16.0</v>
      </c>
      <c r="E2133" s="181">
        <v>87.5</v>
      </c>
      <c r="F2133" s="181">
        <v>383.49</v>
      </c>
      <c r="G2133" s="181">
        <v>359.52</v>
      </c>
      <c r="H2133" s="828">
        <v>46096.0</v>
      </c>
      <c r="I2133" s="829">
        <f t="shared" si="1"/>
        <v>34.95253333</v>
      </c>
      <c r="J2133" s="830">
        <f t="shared" si="2"/>
        <v>0.3994575238</v>
      </c>
      <c r="K2133" s="830"/>
    </row>
    <row r="2134">
      <c r="A2134" s="181" t="s">
        <v>523</v>
      </c>
      <c r="B2134" s="181" t="s">
        <v>563</v>
      </c>
      <c r="C2134" s="181">
        <v>6.7108864E7</v>
      </c>
      <c r="D2134" s="181">
        <v>16.0</v>
      </c>
      <c r="E2134" s="181">
        <v>141.27</v>
      </c>
      <c r="F2134" s="181">
        <v>475.05</v>
      </c>
      <c r="G2134" s="181">
        <v>445.36</v>
      </c>
      <c r="H2134" s="828">
        <v>46096.0</v>
      </c>
      <c r="I2134" s="829">
        <f t="shared" si="1"/>
        <v>69.90506667</v>
      </c>
      <c r="J2134" s="830">
        <f t="shared" si="2"/>
        <v>0.494833062</v>
      </c>
      <c r="K2134" s="830"/>
    </row>
    <row r="2135">
      <c r="A2135" s="181" t="s">
        <v>523</v>
      </c>
      <c r="B2135" s="181" t="s">
        <v>563</v>
      </c>
      <c r="C2135" s="181">
        <v>1.34217728E8</v>
      </c>
      <c r="D2135" s="181">
        <v>16.0</v>
      </c>
      <c r="E2135" s="181">
        <v>232.69</v>
      </c>
      <c r="F2135" s="181">
        <v>576.82</v>
      </c>
      <c r="G2135" s="181">
        <v>540.77</v>
      </c>
      <c r="H2135" s="828">
        <v>46096.0</v>
      </c>
      <c r="I2135" s="829">
        <f t="shared" si="1"/>
        <v>139.8101333</v>
      </c>
      <c r="J2135" s="830">
        <f t="shared" si="2"/>
        <v>0.6008428954</v>
      </c>
      <c r="K2135" s="830"/>
    </row>
    <row r="2136">
      <c r="A2136" s="181" t="s">
        <v>523</v>
      </c>
      <c r="B2136" s="181" t="s">
        <v>563</v>
      </c>
      <c r="C2136" s="181">
        <v>2.68435456E8</v>
      </c>
      <c r="D2136" s="181">
        <v>16.0</v>
      </c>
      <c r="E2136" s="181">
        <v>419.46</v>
      </c>
      <c r="F2136" s="181">
        <v>639.96</v>
      </c>
      <c r="G2136" s="181">
        <v>599.96</v>
      </c>
      <c r="H2136" s="828">
        <v>46096.0</v>
      </c>
      <c r="I2136" s="829">
        <f t="shared" si="1"/>
        <v>279.6202667</v>
      </c>
      <c r="J2136" s="830">
        <f t="shared" si="2"/>
        <v>0.6666196221</v>
      </c>
      <c r="K2136" s="830"/>
    </row>
    <row r="2137">
      <c r="A2137" s="181" t="s">
        <v>523</v>
      </c>
      <c r="B2137" s="181" t="s">
        <v>563</v>
      </c>
      <c r="C2137" s="181">
        <v>5.36870912E8</v>
      </c>
      <c r="D2137" s="181">
        <v>16.0</v>
      </c>
      <c r="E2137" s="181">
        <v>803.69</v>
      </c>
      <c r="F2137" s="181">
        <v>668.01</v>
      </c>
      <c r="G2137" s="181">
        <v>626.26</v>
      </c>
      <c r="H2137" s="828">
        <v>46096.0</v>
      </c>
      <c r="I2137" s="829">
        <f t="shared" si="1"/>
        <v>559.2405333</v>
      </c>
      <c r="J2137" s="830">
        <f t="shared" si="2"/>
        <v>0.6958410996</v>
      </c>
      <c r="K2137" s="830"/>
    </row>
    <row r="2138">
      <c r="A2138" s="181" t="s">
        <v>523</v>
      </c>
      <c r="B2138" s="181" t="s">
        <v>563</v>
      </c>
      <c r="C2138" s="181">
        <v>1.073741824E9</v>
      </c>
      <c r="D2138" s="181">
        <v>16.0</v>
      </c>
      <c r="E2138" s="181">
        <v>1605.41</v>
      </c>
      <c r="F2138" s="181">
        <v>668.83</v>
      </c>
      <c r="G2138" s="181">
        <v>627.02</v>
      </c>
      <c r="H2138" s="828">
        <v>46096.0</v>
      </c>
      <c r="I2138" s="829">
        <f t="shared" si="1"/>
        <v>1118.481067</v>
      </c>
      <c r="J2138" s="830">
        <f t="shared" si="2"/>
        <v>0.6966949668</v>
      </c>
      <c r="K2138" s="830"/>
    </row>
    <row r="2139">
      <c r="A2139" s="181" t="s">
        <v>523</v>
      </c>
      <c r="B2139" s="181" t="s">
        <v>563</v>
      </c>
      <c r="C2139" s="181">
        <v>2.147483648E9</v>
      </c>
      <c r="D2139" s="181">
        <v>16.0</v>
      </c>
      <c r="E2139" s="181">
        <v>3078.6</v>
      </c>
      <c r="F2139" s="181">
        <v>697.55</v>
      </c>
      <c r="G2139" s="181">
        <v>653.95</v>
      </c>
      <c r="H2139" s="828">
        <v>46096.0</v>
      </c>
      <c r="I2139" s="829">
        <f t="shared" si="1"/>
        <v>2236.962133</v>
      </c>
      <c r="J2139" s="830">
        <f t="shared" si="2"/>
        <v>0.7266166872</v>
      </c>
      <c r="K2139" s="830"/>
    </row>
    <row r="2140">
      <c r="A2140" s="181" t="s">
        <v>523</v>
      </c>
      <c r="B2140" s="181" t="s">
        <v>563</v>
      </c>
      <c r="C2140" s="181">
        <v>4.294967296E9</v>
      </c>
      <c r="D2140" s="181">
        <v>16.0</v>
      </c>
      <c r="E2140" s="181">
        <v>5926.71</v>
      </c>
      <c r="F2140" s="181">
        <v>724.68</v>
      </c>
      <c r="G2140" s="181">
        <v>679.39</v>
      </c>
      <c r="H2140" s="828">
        <v>46096.0</v>
      </c>
      <c r="I2140" s="829">
        <f t="shared" si="1"/>
        <v>4473.924267</v>
      </c>
      <c r="J2140" s="830">
        <f t="shared" si="2"/>
        <v>0.7548748406</v>
      </c>
      <c r="K2140" s="830"/>
    </row>
    <row r="2141">
      <c r="A2141" s="181" t="s">
        <v>523</v>
      </c>
      <c r="B2141" s="181" t="s">
        <v>563</v>
      </c>
      <c r="C2141" s="181">
        <v>8.589934592E9</v>
      </c>
      <c r="D2141" s="181">
        <v>16.0</v>
      </c>
      <c r="E2141" s="181">
        <v>11651.4</v>
      </c>
      <c r="F2141" s="181">
        <v>737.25</v>
      </c>
      <c r="G2141" s="181">
        <v>691.17</v>
      </c>
      <c r="H2141" s="828">
        <v>46096.0</v>
      </c>
      <c r="I2141" s="829">
        <f t="shared" si="1"/>
        <v>8947.848533</v>
      </c>
      <c r="J2141" s="830">
        <f t="shared" si="2"/>
        <v>0.7679633807</v>
      </c>
      <c r="K2141" s="830"/>
    </row>
    <row r="2142">
      <c r="A2142" s="181" t="s">
        <v>523</v>
      </c>
      <c r="B2142" s="181" t="s">
        <v>563</v>
      </c>
      <c r="C2142" s="181">
        <v>1.7179869184E10</v>
      </c>
      <c r="D2142" s="181">
        <v>16.0</v>
      </c>
      <c r="E2142" s="181">
        <v>23093.4</v>
      </c>
      <c r="F2142" s="181">
        <v>743.93</v>
      </c>
      <c r="G2142" s="181">
        <v>697.43</v>
      </c>
      <c r="H2142" s="828">
        <v>46096.0</v>
      </c>
      <c r="I2142" s="829">
        <f t="shared" si="1"/>
        <v>17895.69707</v>
      </c>
      <c r="J2142" s="830">
        <f t="shared" si="2"/>
        <v>0.7749269084</v>
      </c>
      <c r="K2142" s="830"/>
    </row>
    <row r="2143">
      <c r="A2143" s="181" t="s">
        <v>523</v>
      </c>
      <c r="B2143" s="181" t="s">
        <v>563</v>
      </c>
      <c r="C2143" s="181">
        <v>1152.0</v>
      </c>
      <c r="D2143" s="181">
        <v>18.0</v>
      </c>
      <c r="E2143" s="181">
        <v>35.15</v>
      </c>
      <c r="F2143" s="181">
        <v>0.03</v>
      </c>
      <c r="G2143" s="181">
        <v>0.03</v>
      </c>
      <c r="H2143" s="828">
        <v>46096.0</v>
      </c>
      <c r="I2143" s="829">
        <f t="shared" si="1"/>
        <v>0.001208888889</v>
      </c>
      <c r="J2143" s="830">
        <f t="shared" si="2"/>
        <v>0.00003439228702</v>
      </c>
      <c r="K2143" s="830"/>
    </row>
    <row r="2144">
      <c r="A2144" s="181" t="s">
        <v>523</v>
      </c>
      <c r="B2144" s="181" t="s">
        <v>563</v>
      </c>
      <c r="C2144" s="181">
        <v>2304.0</v>
      </c>
      <c r="D2144" s="181">
        <v>18.0</v>
      </c>
      <c r="E2144" s="181">
        <v>34.6</v>
      </c>
      <c r="F2144" s="181">
        <v>0.07</v>
      </c>
      <c r="G2144" s="181">
        <v>0.06</v>
      </c>
      <c r="H2144" s="828">
        <v>46096.0</v>
      </c>
      <c r="I2144" s="829">
        <f t="shared" si="1"/>
        <v>0.002417777778</v>
      </c>
      <c r="J2144" s="830">
        <f t="shared" si="2"/>
        <v>0.00006987797046</v>
      </c>
      <c r="K2144" s="830"/>
    </row>
    <row r="2145">
      <c r="A2145" s="181" t="s">
        <v>523</v>
      </c>
      <c r="B2145" s="181" t="s">
        <v>563</v>
      </c>
      <c r="C2145" s="181">
        <v>4608.0</v>
      </c>
      <c r="D2145" s="181">
        <v>18.0</v>
      </c>
      <c r="E2145" s="181">
        <v>35.64</v>
      </c>
      <c r="F2145" s="181">
        <v>0.13</v>
      </c>
      <c r="G2145" s="181">
        <v>0.12</v>
      </c>
      <c r="H2145" s="828">
        <v>46096.0</v>
      </c>
      <c r="I2145" s="829">
        <f t="shared" si="1"/>
        <v>0.004835555556</v>
      </c>
      <c r="J2145" s="830">
        <f t="shared" si="2"/>
        <v>0.0001356777653</v>
      </c>
      <c r="K2145" s="830"/>
    </row>
    <row r="2146">
      <c r="A2146" s="181" t="s">
        <v>523</v>
      </c>
      <c r="B2146" s="181" t="s">
        <v>563</v>
      </c>
      <c r="C2146" s="181">
        <v>9216.0</v>
      </c>
      <c r="D2146" s="181">
        <v>18.0</v>
      </c>
      <c r="E2146" s="181">
        <v>36.0</v>
      </c>
      <c r="F2146" s="181">
        <v>0.26</v>
      </c>
      <c r="G2146" s="181">
        <v>0.24</v>
      </c>
      <c r="H2146" s="828">
        <v>46096.0</v>
      </c>
      <c r="I2146" s="829">
        <f t="shared" si="1"/>
        <v>0.009671111111</v>
      </c>
      <c r="J2146" s="830">
        <f t="shared" si="2"/>
        <v>0.0002686419753</v>
      </c>
      <c r="K2146" s="830"/>
    </row>
    <row r="2147">
      <c r="A2147" s="181" t="s">
        <v>523</v>
      </c>
      <c r="B2147" s="181" t="s">
        <v>563</v>
      </c>
      <c r="C2147" s="181">
        <v>18432.0</v>
      </c>
      <c r="D2147" s="181">
        <v>18.0</v>
      </c>
      <c r="E2147" s="181">
        <v>36.44</v>
      </c>
      <c r="F2147" s="181">
        <v>0.51</v>
      </c>
      <c r="G2147" s="181">
        <v>0.48</v>
      </c>
      <c r="H2147" s="828">
        <v>46096.0</v>
      </c>
      <c r="I2147" s="829">
        <f t="shared" si="1"/>
        <v>0.01934222222</v>
      </c>
      <c r="J2147" s="830">
        <f t="shared" si="2"/>
        <v>0.0005307964386</v>
      </c>
      <c r="K2147" s="830"/>
    </row>
    <row r="2148">
      <c r="A2148" s="181" t="s">
        <v>523</v>
      </c>
      <c r="B2148" s="181" t="s">
        <v>563</v>
      </c>
      <c r="C2148" s="181">
        <v>36864.0</v>
      </c>
      <c r="D2148" s="181">
        <v>18.0</v>
      </c>
      <c r="E2148" s="181">
        <v>36.91</v>
      </c>
      <c r="F2148" s="181">
        <v>1.0</v>
      </c>
      <c r="G2148" s="181">
        <v>0.94</v>
      </c>
      <c r="H2148" s="828">
        <v>46096.0</v>
      </c>
      <c r="I2148" s="829">
        <f t="shared" si="1"/>
        <v>0.03868444444</v>
      </c>
      <c r="J2148" s="830">
        <f t="shared" si="2"/>
        <v>0.001048074897</v>
      </c>
      <c r="K2148" s="830"/>
    </row>
    <row r="2149">
      <c r="A2149" s="181" t="s">
        <v>523</v>
      </c>
      <c r="B2149" s="181" t="s">
        <v>563</v>
      </c>
      <c r="C2149" s="181">
        <v>73728.0</v>
      </c>
      <c r="D2149" s="181">
        <v>18.0</v>
      </c>
      <c r="E2149" s="181">
        <v>37.16</v>
      </c>
      <c r="F2149" s="181">
        <v>1.98</v>
      </c>
      <c r="G2149" s="181">
        <v>1.87</v>
      </c>
      <c r="H2149" s="828">
        <v>46096.0</v>
      </c>
      <c r="I2149" s="829">
        <f t="shared" si="1"/>
        <v>0.07736888889</v>
      </c>
      <c r="J2149" s="830">
        <f t="shared" si="2"/>
        <v>0.002082047602</v>
      </c>
      <c r="K2149" s="830"/>
    </row>
    <row r="2150">
      <c r="A2150" s="181" t="s">
        <v>523</v>
      </c>
      <c r="B2150" s="181" t="s">
        <v>563</v>
      </c>
      <c r="C2150" s="181">
        <v>147456.0</v>
      </c>
      <c r="D2150" s="181">
        <v>18.0</v>
      </c>
      <c r="E2150" s="181">
        <v>41.18</v>
      </c>
      <c r="F2150" s="181">
        <v>3.58</v>
      </c>
      <c r="G2150" s="181">
        <v>3.38</v>
      </c>
      <c r="H2150" s="828">
        <v>46096.0</v>
      </c>
      <c r="I2150" s="829">
        <f t="shared" si="1"/>
        <v>0.1547377778</v>
      </c>
      <c r="J2150" s="830">
        <f t="shared" si="2"/>
        <v>0.003757595381</v>
      </c>
      <c r="K2150" s="830"/>
    </row>
    <row r="2151">
      <c r="A2151" s="181" t="s">
        <v>523</v>
      </c>
      <c r="B2151" s="181" t="s">
        <v>563</v>
      </c>
      <c r="C2151" s="181">
        <v>294912.0</v>
      </c>
      <c r="D2151" s="181">
        <v>18.0</v>
      </c>
      <c r="E2151" s="181">
        <v>41.58</v>
      </c>
      <c r="F2151" s="181">
        <v>7.09</v>
      </c>
      <c r="G2151" s="181">
        <v>6.7</v>
      </c>
      <c r="H2151" s="828">
        <v>46096.0</v>
      </c>
      <c r="I2151" s="829">
        <f t="shared" si="1"/>
        <v>0.3094755556</v>
      </c>
      <c r="J2151" s="830">
        <f t="shared" si="2"/>
        <v>0.007442894554</v>
      </c>
      <c r="K2151" s="830"/>
    </row>
    <row r="2152">
      <c r="A2152" s="181" t="s">
        <v>523</v>
      </c>
      <c r="B2152" s="181" t="s">
        <v>563</v>
      </c>
      <c r="C2152" s="181">
        <v>589824.0</v>
      </c>
      <c r="D2152" s="181">
        <v>18.0</v>
      </c>
      <c r="E2152" s="181">
        <v>41.91</v>
      </c>
      <c r="F2152" s="181">
        <v>14.08</v>
      </c>
      <c r="G2152" s="181">
        <v>13.29</v>
      </c>
      <c r="H2152" s="828">
        <v>46096.0</v>
      </c>
      <c r="I2152" s="829">
        <f t="shared" si="1"/>
        <v>0.6189511111</v>
      </c>
      <c r="J2152" s="830">
        <f t="shared" si="2"/>
        <v>0.01476857817</v>
      </c>
      <c r="K2152" s="830"/>
    </row>
    <row r="2153">
      <c r="A2153" s="181" t="s">
        <v>523</v>
      </c>
      <c r="B2153" s="181" t="s">
        <v>563</v>
      </c>
      <c r="C2153" s="181">
        <v>1179648.0</v>
      </c>
      <c r="D2153" s="181">
        <v>18.0</v>
      </c>
      <c r="E2153" s="181">
        <v>42.58</v>
      </c>
      <c r="F2153" s="181">
        <v>27.7</v>
      </c>
      <c r="G2153" s="181">
        <v>26.16</v>
      </c>
      <c r="H2153" s="828">
        <v>46096.0</v>
      </c>
      <c r="I2153" s="829">
        <f t="shared" si="1"/>
        <v>1.237902222</v>
      </c>
      <c r="J2153" s="830">
        <f t="shared" si="2"/>
        <v>0.02907238662</v>
      </c>
      <c r="K2153" s="830"/>
    </row>
    <row r="2154">
      <c r="A2154" s="181" t="s">
        <v>523</v>
      </c>
      <c r="B2154" s="181" t="s">
        <v>563</v>
      </c>
      <c r="C2154" s="181">
        <v>2359296.0</v>
      </c>
      <c r="D2154" s="181">
        <v>18.0</v>
      </c>
      <c r="E2154" s="181">
        <v>43.24</v>
      </c>
      <c r="F2154" s="181">
        <v>54.56</v>
      </c>
      <c r="G2154" s="181">
        <v>51.53</v>
      </c>
      <c r="H2154" s="828">
        <v>46096.0</v>
      </c>
      <c r="I2154" s="829">
        <f t="shared" si="1"/>
        <v>2.475804444</v>
      </c>
      <c r="J2154" s="830">
        <f t="shared" si="2"/>
        <v>0.05725727207</v>
      </c>
      <c r="K2154" s="830"/>
    </row>
    <row r="2155">
      <c r="A2155" s="181" t="s">
        <v>523</v>
      </c>
      <c r="B2155" s="181" t="s">
        <v>563</v>
      </c>
      <c r="C2155" s="181">
        <v>4718592.0</v>
      </c>
      <c r="D2155" s="181">
        <v>18.0</v>
      </c>
      <c r="E2155" s="181">
        <v>57.68</v>
      </c>
      <c r="F2155" s="181">
        <v>81.81</v>
      </c>
      <c r="G2155" s="181">
        <v>77.26</v>
      </c>
      <c r="H2155" s="828">
        <v>46096.0</v>
      </c>
      <c r="I2155" s="829">
        <f t="shared" si="1"/>
        <v>4.951608889</v>
      </c>
      <c r="J2155" s="830">
        <f t="shared" si="2"/>
        <v>0.08584620126</v>
      </c>
      <c r="K2155" s="830"/>
    </row>
    <row r="2156">
      <c r="A2156" s="181" t="s">
        <v>523</v>
      </c>
      <c r="B2156" s="181" t="s">
        <v>563</v>
      </c>
      <c r="C2156" s="181">
        <v>9437184.0</v>
      </c>
      <c r="D2156" s="181">
        <v>18.0</v>
      </c>
      <c r="E2156" s="181">
        <v>84.17</v>
      </c>
      <c r="F2156" s="181">
        <v>112.12</v>
      </c>
      <c r="G2156" s="181">
        <v>105.89</v>
      </c>
      <c r="H2156" s="828">
        <v>46096.0</v>
      </c>
      <c r="I2156" s="829">
        <f t="shared" si="1"/>
        <v>9.903217778</v>
      </c>
      <c r="J2156" s="830">
        <f t="shared" si="2"/>
        <v>0.1176573337</v>
      </c>
      <c r="K2156" s="830"/>
    </row>
    <row r="2157">
      <c r="A2157" s="181" t="s">
        <v>523</v>
      </c>
      <c r="B2157" s="181" t="s">
        <v>563</v>
      </c>
      <c r="C2157" s="181">
        <v>1.8874368E7</v>
      </c>
      <c r="D2157" s="181">
        <v>18.0</v>
      </c>
      <c r="E2157" s="181">
        <v>68.59</v>
      </c>
      <c r="F2157" s="181">
        <v>275.16</v>
      </c>
      <c r="G2157" s="181">
        <v>259.87</v>
      </c>
      <c r="H2157" s="828">
        <v>46096.0</v>
      </c>
      <c r="I2157" s="829">
        <f t="shared" si="1"/>
        <v>19.80643556</v>
      </c>
      <c r="J2157" s="830">
        <f t="shared" si="2"/>
        <v>0.2887656445</v>
      </c>
      <c r="K2157" s="830"/>
    </row>
    <row r="2158">
      <c r="A2158" s="181" t="s">
        <v>523</v>
      </c>
      <c r="B2158" s="181" t="s">
        <v>563</v>
      </c>
      <c r="C2158" s="181">
        <v>3.7748736E7</v>
      </c>
      <c r="D2158" s="181">
        <v>18.0</v>
      </c>
      <c r="E2158" s="181">
        <v>96.86</v>
      </c>
      <c r="F2158" s="181">
        <v>389.71</v>
      </c>
      <c r="G2158" s="181">
        <v>368.06</v>
      </c>
      <c r="H2158" s="828">
        <v>46096.0</v>
      </c>
      <c r="I2158" s="829">
        <f t="shared" si="1"/>
        <v>39.61287111</v>
      </c>
      <c r="J2158" s="830">
        <f t="shared" si="2"/>
        <v>0.4089703811</v>
      </c>
      <c r="K2158" s="830"/>
    </row>
    <row r="2159">
      <c r="A2159" s="181" t="s">
        <v>523</v>
      </c>
      <c r="B2159" s="181" t="s">
        <v>563</v>
      </c>
      <c r="C2159" s="181">
        <v>7.5497472E7</v>
      </c>
      <c r="D2159" s="181">
        <v>18.0</v>
      </c>
      <c r="E2159" s="181">
        <v>156.93</v>
      </c>
      <c r="F2159" s="181">
        <v>481.1</v>
      </c>
      <c r="G2159" s="181">
        <v>454.38</v>
      </c>
      <c r="H2159" s="828">
        <v>46096.0</v>
      </c>
      <c r="I2159" s="829">
        <f t="shared" si="1"/>
        <v>79.22574222</v>
      </c>
      <c r="J2159" s="830">
        <f t="shared" si="2"/>
        <v>0.5048476532</v>
      </c>
      <c r="K2159" s="830"/>
    </row>
    <row r="2160">
      <c r="A2160" s="181" t="s">
        <v>523</v>
      </c>
      <c r="B2160" s="181" t="s">
        <v>563</v>
      </c>
      <c r="C2160" s="181">
        <v>1.50994944E8</v>
      </c>
      <c r="D2160" s="181">
        <v>18.0</v>
      </c>
      <c r="E2160" s="181">
        <v>260.91</v>
      </c>
      <c r="F2160" s="181">
        <v>578.73</v>
      </c>
      <c r="G2160" s="181">
        <v>546.57</v>
      </c>
      <c r="H2160" s="828">
        <v>46096.0</v>
      </c>
      <c r="I2160" s="829">
        <f t="shared" si="1"/>
        <v>158.4514844</v>
      </c>
      <c r="J2160" s="830">
        <f t="shared" si="2"/>
        <v>0.607303225</v>
      </c>
      <c r="K2160" s="830"/>
    </row>
    <row r="2161">
      <c r="A2161" s="181" t="s">
        <v>523</v>
      </c>
      <c r="B2161" s="181" t="s">
        <v>563</v>
      </c>
      <c r="C2161" s="181">
        <v>3.01989888E8</v>
      </c>
      <c r="D2161" s="181">
        <v>18.0</v>
      </c>
      <c r="E2161" s="181">
        <v>479.73</v>
      </c>
      <c r="F2161" s="181">
        <v>629.5</v>
      </c>
      <c r="G2161" s="181">
        <v>594.53</v>
      </c>
      <c r="H2161" s="828">
        <v>46096.0</v>
      </c>
      <c r="I2161" s="829">
        <f t="shared" si="1"/>
        <v>316.9029689</v>
      </c>
      <c r="J2161" s="830">
        <f t="shared" si="2"/>
        <v>0.6605860982</v>
      </c>
      <c r="K2161" s="830"/>
    </row>
    <row r="2162">
      <c r="A2162" s="181" t="s">
        <v>523</v>
      </c>
      <c r="B2162" s="181" t="s">
        <v>563</v>
      </c>
      <c r="C2162" s="181">
        <v>6.03979776E8</v>
      </c>
      <c r="D2162" s="181">
        <v>18.0</v>
      </c>
      <c r="E2162" s="181">
        <v>916.77</v>
      </c>
      <c r="F2162" s="181">
        <v>658.82</v>
      </c>
      <c r="G2162" s="181">
        <v>622.21</v>
      </c>
      <c r="H2162" s="828">
        <v>46096.0</v>
      </c>
      <c r="I2162" s="829">
        <f t="shared" si="1"/>
        <v>633.8059378</v>
      </c>
      <c r="J2162" s="830">
        <f t="shared" si="2"/>
        <v>0.6913467258</v>
      </c>
      <c r="K2162" s="830"/>
    </row>
    <row r="2163">
      <c r="A2163" s="181" t="s">
        <v>523</v>
      </c>
      <c r="B2163" s="181" t="s">
        <v>563</v>
      </c>
      <c r="C2163" s="181">
        <v>1.207959552E9</v>
      </c>
      <c r="D2163" s="181">
        <v>18.0</v>
      </c>
      <c r="E2163" s="181">
        <v>1893.38</v>
      </c>
      <c r="F2163" s="181">
        <v>637.99</v>
      </c>
      <c r="G2163" s="181">
        <v>602.55</v>
      </c>
      <c r="H2163" s="828">
        <v>46096.0</v>
      </c>
      <c r="I2163" s="829">
        <f t="shared" si="1"/>
        <v>1267.611876</v>
      </c>
      <c r="J2163" s="830">
        <f t="shared" si="2"/>
        <v>0.6694968129</v>
      </c>
      <c r="K2163" s="830"/>
    </row>
    <row r="2164">
      <c r="A2164" s="181" t="s">
        <v>523</v>
      </c>
      <c r="B2164" s="181" t="s">
        <v>563</v>
      </c>
      <c r="C2164" s="181">
        <v>2.415919104E9</v>
      </c>
      <c r="D2164" s="181">
        <v>18.0</v>
      </c>
      <c r="E2164" s="181">
        <v>3501.72</v>
      </c>
      <c r="F2164" s="181">
        <v>689.92</v>
      </c>
      <c r="G2164" s="181">
        <v>651.59</v>
      </c>
      <c r="H2164" s="828">
        <v>46096.0</v>
      </c>
      <c r="I2164" s="829">
        <f t="shared" si="1"/>
        <v>2535.223751</v>
      </c>
      <c r="J2164" s="830">
        <f t="shared" si="2"/>
        <v>0.7239938519</v>
      </c>
      <c r="K2164" s="830"/>
    </row>
    <row r="2165">
      <c r="A2165" s="181" t="s">
        <v>523</v>
      </c>
      <c r="B2165" s="181" t="s">
        <v>563</v>
      </c>
      <c r="C2165" s="181">
        <v>4.831838208E9</v>
      </c>
      <c r="D2165" s="181">
        <v>18.0</v>
      </c>
      <c r="E2165" s="181">
        <v>6749.63</v>
      </c>
      <c r="F2165" s="181">
        <v>715.87</v>
      </c>
      <c r="G2165" s="181">
        <v>676.1</v>
      </c>
      <c r="H2165" s="828">
        <v>46096.0</v>
      </c>
      <c r="I2165" s="829">
        <f t="shared" si="1"/>
        <v>5070.447502</v>
      </c>
      <c r="J2165" s="830">
        <f t="shared" si="2"/>
        <v>0.7512185856</v>
      </c>
      <c r="K2165" s="830"/>
    </row>
    <row r="2166">
      <c r="A2166" s="181" t="s">
        <v>523</v>
      </c>
      <c r="B2166" s="181" t="s">
        <v>563</v>
      </c>
      <c r="C2166" s="181">
        <v>9.663676416E9</v>
      </c>
      <c r="D2166" s="181">
        <v>18.0</v>
      </c>
      <c r="E2166" s="181">
        <v>13203.5</v>
      </c>
      <c r="F2166" s="181">
        <v>731.91</v>
      </c>
      <c r="G2166" s="181">
        <v>691.24</v>
      </c>
      <c r="H2166" s="828">
        <v>46096.0</v>
      </c>
      <c r="I2166" s="829">
        <f t="shared" si="1"/>
        <v>10140.895</v>
      </c>
      <c r="J2166" s="830">
        <f t="shared" si="2"/>
        <v>0.768045973</v>
      </c>
      <c r="K2166" s="830"/>
    </row>
    <row r="2167">
      <c r="A2167" s="181" t="s">
        <v>523</v>
      </c>
      <c r="B2167" s="181" t="s">
        <v>563</v>
      </c>
      <c r="C2167" s="181">
        <v>1280.0</v>
      </c>
      <c r="D2167" s="181">
        <v>20.0</v>
      </c>
      <c r="E2167" s="181">
        <v>36.97</v>
      </c>
      <c r="F2167" s="181">
        <v>0.03</v>
      </c>
      <c r="G2167" s="181">
        <v>0.03</v>
      </c>
      <c r="H2167" s="828">
        <v>46096.0</v>
      </c>
      <c r="I2167" s="829">
        <f t="shared" si="1"/>
        <v>0.001351111111</v>
      </c>
      <c r="J2167" s="830">
        <f t="shared" si="2"/>
        <v>0.00003654614853</v>
      </c>
      <c r="K2167" s="830"/>
    </row>
    <row r="2168">
      <c r="A2168" s="181" t="s">
        <v>523</v>
      </c>
      <c r="B2168" s="181" t="s">
        <v>563</v>
      </c>
      <c r="C2168" s="181">
        <v>2560.0</v>
      </c>
      <c r="D2168" s="181">
        <v>20.0</v>
      </c>
      <c r="E2168" s="181">
        <v>37.93</v>
      </c>
      <c r="F2168" s="181">
        <v>0.07</v>
      </c>
      <c r="G2168" s="181">
        <v>0.06</v>
      </c>
      <c r="H2168" s="828">
        <v>46096.0</v>
      </c>
      <c r="I2168" s="829">
        <f t="shared" si="1"/>
        <v>0.002702222222</v>
      </c>
      <c r="J2168" s="830">
        <f t="shared" si="2"/>
        <v>0.00007124234701</v>
      </c>
      <c r="K2168" s="830"/>
    </row>
    <row r="2169">
      <c r="A2169" s="181" t="s">
        <v>523</v>
      </c>
      <c r="B2169" s="181" t="s">
        <v>563</v>
      </c>
      <c r="C2169" s="181">
        <v>5120.0</v>
      </c>
      <c r="D2169" s="181">
        <v>20.0</v>
      </c>
      <c r="E2169" s="181">
        <v>39.07</v>
      </c>
      <c r="F2169" s="181">
        <v>0.13</v>
      </c>
      <c r="G2169" s="181">
        <v>0.12</v>
      </c>
      <c r="H2169" s="828">
        <v>46096.0</v>
      </c>
      <c r="I2169" s="829">
        <f t="shared" si="1"/>
        <v>0.005404444444</v>
      </c>
      <c r="J2169" s="830">
        <f t="shared" si="2"/>
        <v>0.000138327219</v>
      </c>
      <c r="K2169" s="830"/>
    </row>
    <row r="2170">
      <c r="A2170" s="181" t="s">
        <v>523</v>
      </c>
      <c r="B2170" s="181" t="s">
        <v>563</v>
      </c>
      <c r="C2170" s="181">
        <v>10240.0</v>
      </c>
      <c r="D2170" s="181">
        <v>20.0</v>
      </c>
      <c r="E2170" s="181">
        <v>38.65</v>
      </c>
      <c r="F2170" s="181">
        <v>0.26</v>
      </c>
      <c r="G2170" s="181">
        <v>0.25</v>
      </c>
      <c r="H2170" s="828">
        <v>46096.0</v>
      </c>
      <c r="I2170" s="829">
        <f t="shared" si="1"/>
        <v>0.01080888889</v>
      </c>
      <c r="J2170" s="830">
        <f t="shared" si="2"/>
        <v>0.0002796607733</v>
      </c>
      <c r="K2170" s="830"/>
    </row>
    <row r="2171">
      <c r="A2171" s="181" t="s">
        <v>523</v>
      </c>
      <c r="B2171" s="181" t="s">
        <v>563</v>
      </c>
      <c r="C2171" s="181">
        <v>20480.0</v>
      </c>
      <c r="D2171" s="181">
        <v>20.0</v>
      </c>
      <c r="E2171" s="181">
        <v>39.06</v>
      </c>
      <c r="F2171" s="181">
        <v>0.52</v>
      </c>
      <c r="G2171" s="181">
        <v>0.5</v>
      </c>
      <c r="H2171" s="828">
        <v>46096.0</v>
      </c>
      <c r="I2171" s="829">
        <f t="shared" si="1"/>
        <v>0.02161777778</v>
      </c>
      <c r="J2171" s="830">
        <f t="shared" si="2"/>
        <v>0.0005534505319</v>
      </c>
      <c r="K2171" s="830"/>
    </row>
    <row r="2172">
      <c r="A2172" s="181" t="s">
        <v>523</v>
      </c>
      <c r="B2172" s="181" t="s">
        <v>563</v>
      </c>
      <c r="C2172" s="181">
        <v>40960.0</v>
      </c>
      <c r="D2172" s="181">
        <v>20.0</v>
      </c>
      <c r="E2172" s="181">
        <v>39.71</v>
      </c>
      <c r="F2172" s="181">
        <v>1.03</v>
      </c>
      <c r="G2172" s="181">
        <v>0.98</v>
      </c>
      <c r="H2172" s="828">
        <v>46096.0</v>
      </c>
      <c r="I2172" s="829">
        <f t="shared" si="1"/>
        <v>0.04323555556</v>
      </c>
      <c r="J2172" s="830">
        <f t="shared" si="2"/>
        <v>0.001088782562</v>
      </c>
      <c r="K2172" s="830"/>
    </row>
    <row r="2173">
      <c r="A2173" s="181" t="s">
        <v>523</v>
      </c>
      <c r="B2173" s="181" t="s">
        <v>563</v>
      </c>
      <c r="C2173" s="181">
        <v>81920.0</v>
      </c>
      <c r="D2173" s="181">
        <v>20.0</v>
      </c>
      <c r="E2173" s="181">
        <v>40.73</v>
      </c>
      <c r="F2173" s="181">
        <v>2.01</v>
      </c>
      <c r="G2173" s="181">
        <v>1.91</v>
      </c>
      <c r="H2173" s="828">
        <v>46096.0</v>
      </c>
      <c r="I2173" s="829">
        <f t="shared" si="1"/>
        <v>0.08647111111</v>
      </c>
      <c r="J2173" s="830">
        <f t="shared" si="2"/>
        <v>0.002123032436</v>
      </c>
      <c r="K2173" s="830"/>
    </row>
    <row r="2174">
      <c r="A2174" s="181" t="s">
        <v>523</v>
      </c>
      <c r="B2174" s="181" t="s">
        <v>563</v>
      </c>
      <c r="C2174" s="181">
        <v>163840.0</v>
      </c>
      <c r="D2174" s="181">
        <v>20.0</v>
      </c>
      <c r="E2174" s="181">
        <v>42.77</v>
      </c>
      <c r="F2174" s="181">
        <v>3.83</v>
      </c>
      <c r="G2174" s="181">
        <v>3.64</v>
      </c>
      <c r="H2174" s="828">
        <v>46096.0</v>
      </c>
      <c r="I2174" s="829">
        <f t="shared" si="1"/>
        <v>0.1729422222</v>
      </c>
      <c r="J2174" s="830">
        <f t="shared" si="2"/>
        <v>0.004043540384</v>
      </c>
      <c r="K2174" s="830"/>
    </row>
    <row r="2175">
      <c r="A2175" s="181" t="s">
        <v>523</v>
      </c>
      <c r="B2175" s="181" t="s">
        <v>563</v>
      </c>
      <c r="C2175" s="181">
        <v>327680.0</v>
      </c>
      <c r="D2175" s="181">
        <v>20.0</v>
      </c>
      <c r="E2175" s="181">
        <v>43.1</v>
      </c>
      <c r="F2175" s="181">
        <v>7.6</v>
      </c>
      <c r="G2175" s="181">
        <v>7.22</v>
      </c>
      <c r="H2175" s="828">
        <v>46096.0</v>
      </c>
      <c r="I2175" s="829">
        <f t="shared" si="1"/>
        <v>0.3458844444</v>
      </c>
      <c r="J2175" s="830">
        <f t="shared" si="2"/>
        <v>0.008025161124</v>
      </c>
      <c r="K2175" s="830"/>
    </row>
    <row r="2176">
      <c r="A2176" s="181" t="s">
        <v>523</v>
      </c>
      <c r="B2176" s="181" t="s">
        <v>563</v>
      </c>
      <c r="C2176" s="181">
        <v>655360.0</v>
      </c>
      <c r="D2176" s="181">
        <v>20.0</v>
      </c>
      <c r="E2176" s="181">
        <v>43.42</v>
      </c>
      <c r="F2176" s="181">
        <v>15.09</v>
      </c>
      <c r="G2176" s="181">
        <v>14.34</v>
      </c>
      <c r="H2176" s="828">
        <v>46096.0</v>
      </c>
      <c r="I2176" s="829">
        <f t="shared" si="1"/>
        <v>0.6917688889</v>
      </c>
      <c r="J2176" s="830">
        <f t="shared" si="2"/>
        <v>0.01593203337</v>
      </c>
      <c r="K2176" s="830"/>
    </row>
    <row r="2177">
      <c r="A2177" s="181" t="s">
        <v>523</v>
      </c>
      <c r="B2177" s="181" t="s">
        <v>563</v>
      </c>
      <c r="C2177" s="181">
        <v>1310720.0</v>
      </c>
      <c r="D2177" s="181">
        <v>20.0</v>
      </c>
      <c r="E2177" s="181">
        <v>43.45</v>
      </c>
      <c r="F2177" s="181">
        <v>30.17</v>
      </c>
      <c r="G2177" s="181">
        <v>28.66</v>
      </c>
      <c r="H2177" s="828">
        <v>46096.0</v>
      </c>
      <c r="I2177" s="829">
        <f t="shared" si="1"/>
        <v>1.383537778</v>
      </c>
      <c r="J2177" s="830">
        <f t="shared" si="2"/>
        <v>0.03184206623</v>
      </c>
      <c r="K2177" s="830"/>
    </row>
    <row r="2178">
      <c r="A2178" s="181" t="s">
        <v>523</v>
      </c>
      <c r="B2178" s="181" t="s">
        <v>563</v>
      </c>
      <c r="C2178" s="181">
        <v>2621440.0</v>
      </c>
      <c r="D2178" s="181">
        <v>20.0</v>
      </c>
      <c r="E2178" s="181">
        <v>44.15</v>
      </c>
      <c r="F2178" s="181">
        <v>59.38</v>
      </c>
      <c r="G2178" s="181">
        <v>56.41</v>
      </c>
      <c r="H2178" s="828">
        <v>46096.0</v>
      </c>
      <c r="I2178" s="829">
        <f t="shared" si="1"/>
        <v>2.767075556</v>
      </c>
      <c r="J2178" s="830">
        <f t="shared" si="2"/>
        <v>0.06267441802</v>
      </c>
      <c r="K2178" s="830"/>
    </row>
    <row r="2179">
      <c r="A2179" s="181" t="s">
        <v>523</v>
      </c>
      <c r="B2179" s="181" t="s">
        <v>563</v>
      </c>
      <c r="C2179" s="181">
        <v>5242880.0</v>
      </c>
      <c r="D2179" s="181">
        <v>20.0</v>
      </c>
      <c r="E2179" s="181">
        <v>61.79</v>
      </c>
      <c r="F2179" s="181">
        <v>84.85</v>
      </c>
      <c r="G2179" s="181">
        <v>80.61</v>
      </c>
      <c r="H2179" s="828">
        <v>46096.0</v>
      </c>
      <c r="I2179" s="829">
        <f t="shared" si="1"/>
        <v>5.534151111</v>
      </c>
      <c r="J2179" s="830">
        <f t="shared" si="2"/>
        <v>0.08956386326</v>
      </c>
      <c r="K2179" s="830"/>
    </row>
    <row r="2180">
      <c r="A2180" s="181" t="s">
        <v>523</v>
      </c>
      <c r="B2180" s="181" t="s">
        <v>563</v>
      </c>
      <c r="C2180" s="181">
        <v>1.048576E7</v>
      </c>
      <c r="D2180" s="181">
        <v>20.0</v>
      </c>
      <c r="E2180" s="181">
        <v>82.61</v>
      </c>
      <c r="F2180" s="181">
        <v>126.93</v>
      </c>
      <c r="G2180" s="181">
        <v>120.58</v>
      </c>
      <c r="H2180" s="828">
        <v>46096.0</v>
      </c>
      <c r="I2180" s="829">
        <f t="shared" si="1"/>
        <v>11.06830222</v>
      </c>
      <c r="J2180" s="830">
        <f t="shared" si="2"/>
        <v>0.1339825956</v>
      </c>
      <c r="K2180" s="830"/>
    </row>
    <row r="2181">
      <c r="A2181" s="181" t="s">
        <v>523</v>
      </c>
      <c r="B2181" s="181" t="s">
        <v>563</v>
      </c>
      <c r="C2181" s="181">
        <v>2.097152E7</v>
      </c>
      <c r="D2181" s="181">
        <v>20.0</v>
      </c>
      <c r="E2181" s="181">
        <v>113.23</v>
      </c>
      <c r="F2181" s="181">
        <v>185.21</v>
      </c>
      <c r="G2181" s="181">
        <v>175.95</v>
      </c>
      <c r="H2181" s="828">
        <v>46096.0</v>
      </c>
      <c r="I2181" s="829">
        <f t="shared" si="1"/>
        <v>22.13660444</v>
      </c>
      <c r="J2181" s="830">
        <f t="shared" si="2"/>
        <v>0.1955012315</v>
      </c>
      <c r="K2181" s="830"/>
    </row>
    <row r="2182">
      <c r="A2182" s="181" t="s">
        <v>523</v>
      </c>
      <c r="B2182" s="181" t="s">
        <v>563</v>
      </c>
      <c r="C2182" s="181">
        <v>4.194304E7</v>
      </c>
      <c r="D2182" s="181">
        <v>20.0</v>
      </c>
      <c r="E2182" s="181">
        <v>105.0</v>
      </c>
      <c r="F2182" s="181">
        <v>399.47</v>
      </c>
      <c r="G2182" s="181">
        <v>379.49</v>
      </c>
      <c r="H2182" s="828">
        <v>46096.0</v>
      </c>
      <c r="I2182" s="829">
        <f t="shared" si="1"/>
        <v>44.27320889</v>
      </c>
      <c r="J2182" s="830">
        <f t="shared" si="2"/>
        <v>0.4216496085</v>
      </c>
      <c r="K2182" s="830"/>
    </row>
    <row r="2183">
      <c r="A2183" s="181" t="s">
        <v>523</v>
      </c>
      <c r="B2183" s="181" t="s">
        <v>563</v>
      </c>
      <c r="C2183" s="181">
        <v>8.388608E7</v>
      </c>
      <c r="D2183" s="181">
        <v>20.0</v>
      </c>
      <c r="E2183" s="181">
        <v>172.14</v>
      </c>
      <c r="F2183" s="181">
        <v>487.31</v>
      </c>
      <c r="G2183" s="181">
        <v>462.94</v>
      </c>
      <c r="H2183" s="828">
        <v>46096.0</v>
      </c>
      <c r="I2183" s="829">
        <f t="shared" si="1"/>
        <v>88.54641778</v>
      </c>
      <c r="J2183" s="830">
        <f t="shared" si="2"/>
        <v>0.5143860682</v>
      </c>
      <c r="K2183" s="830"/>
    </row>
    <row r="2184">
      <c r="A2184" s="181" t="s">
        <v>523</v>
      </c>
      <c r="B2184" s="181" t="s">
        <v>563</v>
      </c>
      <c r="C2184" s="181">
        <v>1.6777216E8</v>
      </c>
      <c r="D2184" s="181">
        <v>20.0</v>
      </c>
      <c r="E2184" s="181">
        <v>286.27</v>
      </c>
      <c r="F2184" s="181">
        <v>586.06</v>
      </c>
      <c r="G2184" s="181">
        <v>556.76</v>
      </c>
      <c r="H2184" s="828">
        <v>46096.0</v>
      </c>
      <c r="I2184" s="829">
        <f t="shared" si="1"/>
        <v>177.0928356</v>
      </c>
      <c r="J2184" s="830">
        <f t="shared" si="2"/>
        <v>0.6186217052</v>
      </c>
      <c r="K2184" s="830"/>
    </row>
    <row r="2185">
      <c r="A2185" s="181" t="s">
        <v>523</v>
      </c>
      <c r="B2185" s="181" t="s">
        <v>563</v>
      </c>
      <c r="C2185" s="181">
        <v>3.3554432E8</v>
      </c>
      <c r="D2185" s="181">
        <v>20.0</v>
      </c>
      <c r="E2185" s="181">
        <v>530.74</v>
      </c>
      <c r="F2185" s="181">
        <v>632.22</v>
      </c>
      <c r="G2185" s="181">
        <v>600.6</v>
      </c>
      <c r="H2185" s="828">
        <v>46096.0</v>
      </c>
      <c r="I2185" s="829">
        <f t="shared" si="1"/>
        <v>354.1856711</v>
      </c>
      <c r="J2185" s="830">
        <f t="shared" si="2"/>
        <v>0.6673430891</v>
      </c>
      <c r="K2185" s="830"/>
    </row>
    <row r="2186">
      <c r="A2186" s="181" t="s">
        <v>523</v>
      </c>
      <c r="B2186" s="181" t="s">
        <v>563</v>
      </c>
      <c r="C2186" s="181">
        <v>6.7108864E8</v>
      </c>
      <c r="D2186" s="181">
        <v>20.0</v>
      </c>
      <c r="E2186" s="181">
        <v>981.87</v>
      </c>
      <c r="F2186" s="181">
        <v>683.48</v>
      </c>
      <c r="G2186" s="181">
        <v>649.3</v>
      </c>
      <c r="H2186" s="828">
        <v>46096.0</v>
      </c>
      <c r="I2186" s="829">
        <f t="shared" si="1"/>
        <v>708.3713422</v>
      </c>
      <c r="J2186" s="830">
        <f t="shared" si="2"/>
        <v>0.7214512534</v>
      </c>
      <c r="K2186" s="830"/>
    </row>
    <row r="2187">
      <c r="A2187" s="181" t="s">
        <v>523</v>
      </c>
      <c r="B2187" s="181" t="s">
        <v>563</v>
      </c>
      <c r="C2187" s="181">
        <v>1.34217728E9</v>
      </c>
      <c r="D2187" s="181">
        <v>20.0</v>
      </c>
      <c r="E2187" s="181">
        <v>2092.62</v>
      </c>
      <c r="F2187" s="181">
        <v>641.39</v>
      </c>
      <c r="G2187" s="181">
        <v>609.32</v>
      </c>
      <c r="H2187" s="828">
        <v>46096.0</v>
      </c>
      <c r="I2187" s="829">
        <f t="shared" si="1"/>
        <v>1416.742684</v>
      </c>
      <c r="J2187" s="830">
        <f t="shared" si="2"/>
        <v>0.6770186104</v>
      </c>
      <c r="K2187" s="830"/>
    </row>
    <row r="2188">
      <c r="A2188" s="181" t="s">
        <v>523</v>
      </c>
      <c r="B2188" s="181" t="s">
        <v>563</v>
      </c>
      <c r="C2188" s="181">
        <v>2.68435456E9</v>
      </c>
      <c r="D2188" s="181">
        <v>20.0</v>
      </c>
      <c r="E2188" s="181">
        <v>3901.27</v>
      </c>
      <c r="F2188" s="181">
        <v>688.07</v>
      </c>
      <c r="G2188" s="181">
        <v>653.67</v>
      </c>
      <c r="H2188" s="828">
        <v>46096.0</v>
      </c>
      <c r="I2188" s="829">
        <f t="shared" si="1"/>
        <v>2833.485369</v>
      </c>
      <c r="J2188" s="830">
        <f t="shared" si="2"/>
        <v>0.7262981975</v>
      </c>
      <c r="K2188" s="830"/>
    </row>
    <row r="2189">
      <c r="A2189" s="181" t="s">
        <v>523</v>
      </c>
      <c r="B2189" s="181" t="s">
        <v>563</v>
      </c>
      <c r="C2189" s="181">
        <v>5.36870912E9</v>
      </c>
      <c r="D2189" s="181">
        <v>20.0</v>
      </c>
      <c r="E2189" s="181">
        <v>7489.81</v>
      </c>
      <c r="F2189" s="181">
        <v>716.8</v>
      </c>
      <c r="G2189" s="181">
        <v>680.96</v>
      </c>
      <c r="H2189" s="828">
        <v>46096.0</v>
      </c>
      <c r="I2189" s="829">
        <f t="shared" si="1"/>
        <v>5666.970738</v>
      </c>
      <c r="J2189" s="830">
        <f t="shared" si="2"/>
        <v>0.7566240983</v>
      </c>
      <c r="K2189" s="830"/>
    </row>
    <row r="2190">
      <c r="A2190" s="181" t="s">
        <v>523</v>
      </c>
      <c r="B2190" s="181" t="s">
        <v>563</v>
      </c>
      <c r="C2190" s="181">
        <v>1.073741824E10</v>
      </c>
      <c r="D2190" s="181">
        <v>20.0</v>
      </c>
      <c r="E2190" s="181">
        <v>14708.9</v>
      </c>
      <c r="F2190" s="181">
        <v>730.0</v>
      </c>
      <c r="G2190" s="181">
        <v>693.5</v>
      </c>
      <c r="H2190" s="828">
        <v>46096.0</v>
      </c>
      <c r="I2190" s="829">
        <f t="shared" si="1"/>
        <v>11333.94148</v>
      </c>
      <c r="J2190" s="830">
        <f t="shared" si="2"/>
        <v>0.7705499035</v>
      </c>
      <c r="K2190" s="830"/>
    </row>
    <row r="2191">
      <c r="A2191" s="181" t="s">
        <v>523</v>
      </c>
      <c r="B2191" s="181" t="s">
        <v>563</v>
      </c>
      <c r="C2191" s="181">
        <v>1408.0</v>
      </c>
      <c r="D2191" s="181">
        <v>22.0</v>
      </c>
      <c r="E2191" s="181">
        <v>39.99</v>
      </c>
      <c r="F2191" s="181">
        <v>0.04</v>
      </c>
      <c r="G2191" s="181">
        <v>0.03</v>
      </c>
      <c r="H2191" s="828">
        <v>46096.0</v>
      </c>
      <c r="I2191" s="829">
        <f t="shared" si="1"/>
        <v>0.001493333333</v>
      </c>
      <c r="J2191" s="830">
        <f t="shared" si="2"/>
        <v>0.000037342669</v>
      </c>
      <c r="K2191" s="830"/>
    </row>
    <row r="2192">
      <c r="A2192" s="181" t="s">
        <v>523</v>
      </c>
      <c r="B2192" s="181" t="s">
        <v>563</v>
      </c>
      <c r="C2192" s="181">
        <v>2816.0</v>
      </c>
      <c r="D2192" s="181">
        <v>22.0</v>
      </c>
      <c r="E2192" s="181">
        <v>41.13</v>
      </c>
      <c r="F2192" s="181">
        <v>0.07</v>
      </c>
      <c r="G2192" s="181">
        <v>0.07</v>
      </c>
      <c r="H2192" s="828">
        <v>46096.0</v>
      </c>
      <c r="I2192" s="829">
        <f t="shared" si="1"/>
        <v>0.002986666667</v>
      </c>
      <c r="J2192" s="830">
        <f t="shared" si="2"/>
        <v>0.00007261528487</v>
      </c>
      <c r="K2192" s="830"/>
    </row>
    <row r="2193">
      <c r="A2193" s="181" t="s">
        <v>523</v>
      </c>
      <c r="B2193" s="181" t="s">
        <v>563</v>
      </c>
      <c r="C2193" s="181">
        <v>5632.0</v>
      </c>
      <c r="D2193" s="181">
        <v>22.0</v>
      </c>
      <c r="E2193" s="181">
        <v>41.16</v>
      </c>
      <c r="F2193" s="181">
        <v>0.14</v>
      </c>
      <c r="G2193" s="181">
        <v>0.13</v>
      </c>
      <c r="H2193" s="828">
        <v>46096.0</v>
      </c>
      <c r="I2193" s="829">
        <f t="shared" si="1"/>
        <v>0.005973333333</v>
      </c>
      <c r="J2193" s="830">
        <f t="shared" si="2"/>
        <v>0.0001451247166</v>
      </c>
      <c r="K2193" s="830"/>
    </row>
    <row r="2194">
      <c r="A2194" s="181" t="s">
        <v>523</v>
      </c>
      <c r="B2194" s="181" t="s">
        <v>563</v>
      </c>
      <c r="C2194" s="181">
        <v>11264.0</v>
      </c>
      <c r="D2194" s="181">
        <v>22.0</v>
      </c>
      <c r="E2194" s="181">
        <v>41.74</v>
      </c>
      <c r="F2194" s="181">
        <v>0.27</v>
      </c>
      <c r="G2194" s="181">
        <v>0.26</v>
      </c>
      <c r="H2194" s="828">
        <v>46096.0</v>
      </c>
      <c r="I2194" s="829">
        <f t="shared" si="1"/>
        <v>0.01194666667</v>
      </c>
      <c r="J2194" s="830">
        <f t="shared" si="2"/>
        <v>0.0002862162594</v>
      </c>
      <c r="K2194" s="830"/>
    </row>
    <row r="2195">
      <c r="A2195" s="181" t="s">
        <v>523</v>
      </c>
      <c r="B2195" s="181" t="s">
        <v>563</v>
      </c>
      <c r="C2195" s="181">
        <v>22528.0</v>
      </c>
      <c r="D2195" s="181">
        <v>22.0</v>
      </c>
      <c r="E2195" s="181">
        <v>41.79</v>
      </c>
      <c r="F2195" s="181">
        <v>0.54</v>
      </c>
      <c r="G2195" s="181">
        <v>0.51</v>
      </c>
      <c r="H2195" s="828">
        <v>46096.0</v>
      </c>
      <c r="I2195" s="829">
        <f t="shared" si="1"/>
        <v>0.02389333333</v>
      </c>
      <c r="J2195" s="830">
        <f t="shared" si="2"/>
        <v>0.000571747627</v>
      </c>
      <c r="K2195" s="830"/>
    </row>
    <row r="2196">
      <c r="A2196" s="181" t="s">
        <v>523</v>
      </c>
      <c r="B2196" s="181" t="s">
        <v>563</v>
      </c>
      <c r="C2196" s="181">
        <v>45056.0</v>
      </c>
      <c r="D2196" s="181">
        <v>22.0</v>
      </c>
      <c r="E2196" s="181">
        <v>42.35</v>
      </c>
      <c r="F2196" s="181">
        <v>1.06</v>
      </c>
      <c r="G2196" s="181">
        <v>1.02</v>
      </c>
      <c r="H2196" s="828">
        <v>46096.0</v>
      </c>
      <c r="I2196" s="829">
        <f t="shared" si="1"/>
        <v>0.04778666667</v>
      </c>
      <c r="J2196" s="830">
        <f t="shared" si="2"/>
        <v>0.001128374656</v>
      </c>
      <c r="K2196" s="830"/>
    </row>
    <row r="2197">
      <c r="A2197" s="181" t="s">
        <v>523</v>
      </c>
      <c r="B2197" s="181" t="s">
        <v>563</v>
      </c>
      <c r="C2197" s="181">
        <v>90112.0</v>
      </c>
      <c r="D2197" s="181">
        <v>22.0</v>
      </c>
      <c r="E2197" s="181">
        <v>43.69</v>
      </c>
      <c r="F2197" s="181">
        <v>2.06</v>
      </c>
      <c r="G2197" s="181">
        <v>1.97</v>
      </c>
      <c r="H2197" s="828">
        <v>46096.0</v>
      </c>
      <c r="I2197" s="829">
        <f t="shared" si="1"/>
        <v>0.09557333333</v>
      </c>
      <c r="J2197" s="830">
        <f t="shared" si="2"/>
        <v>0.002187533379</v>
      </c>
      <c r="K2197" s="830"/>
    </row>
    <row r="2198">
      <c r="A2198" s="181" t="s">
        <v>523</v>
      </c>
      <c r="B2198" s="181" t="s">
        <v>563</v>
      </c>
      <c r="C2198" s="181">
        <v>180224.0</v>
      </c>
      <c r="D2198" s="181">
        <v>22.0</v>
      </c>
      <c r="E2198" s="181">
        <v>47.87</v>
      </c>
      <c r="F2198" s="181">
        <v>3.76</v>
      </c>
      <c r="G2198" s="181">
        <v>3.59</v>
      </c>
      <c r="H2198" s="828">
        <v>46096.0</v>
      </c>
      <c r="I2198" s="829">
        <f t="shared" si="1"/>
        <v>0.1911466667</v>
      </c>
      <c r="J2198" s="830">
        <f t="shared" si="2"/>
        <v>0.003993036697</v>
      </c>
      <c r="K2198" s="830"/>
    </row>
    <row r="2199">
      <c r="A2199" s="181" t="s">
        <v>523</v>
      </c>
      <c r="B2199" s="181" t="s">
        <v>563</v>
      </c>
      <c r="C2199" s="181">
        <v>360448.0</v>
      </c>
      <c r="D2199" s="181">
        <v>22.0</v>
      </c>
      <c r="E2199" s="181">
        <v>47.84</v>
      </c>
      <c r="F2199" s="181">
        <v>7.53</v>
      </c>
      <c r="G2199" s="181">
        <v>7.19</v>
      </c>
      <c r="H2199" s="828">
        <v>46096.0</v>
      </c>
      <c r="I2199" s="829">
        <f t="shared" si="1"/>
        <v>0.3822933333</v>
      </c>
      <c r="J2199" s="830">
        <f t="shared" si="2"/>
        <v>0.007991081382</v>
      </c>
      <c r="K2199" s="830"/>
    </row>
    <row r="2200">
      <c r="A2200" s="181" t="s">
        <v>523</v>
      </c>
      <c r="B2200" s="181" t="s">
        <v>563</v>
      </c>
      <c r="C2200" s="181">
        <v>720896.0</v>
      </c>
      <c r="D2200" s="181">
        <v>22.0</v>
      </c>
      <c r="E2200" s="181">
        <v>48.14</v>
      </c>
      <c r="F2200" s="181">
        <v>14.97</v>
      </c>
      <c r="G2200" s="181">
        <v>14.29</v>
      </c>
      <c r="H2200" s="828">
        <v>46096.0</v>
      </c>
      <c r="I2200" s="829">
        <f t="shared" si="1"/>
        <v>0.7645866667</v>
      </c>
      <c r="J2200" s="830">
        <f t="shared" si="2"/>
        <v>0.01588256474</v>
      </c>
      <c r="K2200" s="830"/>
    </row>
    <row r="2201">
      <c r="A2201" s="181" t="s">
        <v>523</v>
      </c>
      <c r="B2201" s="181" t="s">
        <v>563</v>
      </c>
      <c r="C2201" s="181">
        <v>1441792.0</v>
      </c>
      <c r="D2201" s="181">
        <v>22.0</v>
      </c>
      <c r="E2201" s="181">
        <v>49.14</v>
      </c>
      <c r="F2201" s="181">
        <v>29.34</v>
      </c>
      <c r="G2201" s="181">
        <v>28.01</v>
      </c>
      <c r="H2201" s="828">
        <v>46096.0</v>
      </c>
      <c r="I2201" s="829">
        <f t="shared" si="1"/>
        <v>1.529173333</v>
      </c>
      <c r="J2201" s="830">
        <f t="shared" si="2"/>
        <v>0.03111870845</v>
      </c>
      <c r="K2201" s="830"/>
    </row>
    <row r="2202">
      <c r="A2202" s="181" t="s">
        <v>523</v>
      </c>
      <c r="B2202" s="181" t="s">
        <v>563</v>
      </c>
      <c r="C2202" s="181">
        <v>2883584.0</v>
      </c>
      <c r="D2202" s="181">
        <v>22.0</v>
      </c>
      <c r="E2202" s="181">
        <v>51.05</v>
      </c>
      <c r="F2202" s="181">
        <v>56.48</v>
      </c>
      <c r="G2202" s="181">
        <v>53.92</v>
      </c>
      <c r="H2202" s="828">
        <v>46096.0</v>
      </c>
      <c r="I2202" s="829">
        <f t="shared" si="1"/>
        <v>3.058346667</v>
      </c>
      <c r="J2202" s="830">
        <f t="shared" si="2"/>
        <v>0.05990884754</v>
      </c>
      <c r="K2202" s="830"/>
    </row>
    <row r="2203">
      <c r="A2203" s="181" t="s">
        <v>523</v>
      </c>
      <c r="B2203" s="181" t="s">
        <v>563</v>
      </c>
      <c r="C2203" s="181">
        <v>5767168.0</v>
      </c>
      <c r="D2203" s="181">
        <v>22.0</v>
      </c>
      <c r="E2203" s="181">
        <v>78.59</v>
      </c>
      <c r="F2203" s="181">
        <v>73.39</v>
      </c>
      <c r="G2203" s="181">
        <v>70.05</v>
      </c>
      <c r="H2203" s="828">
        <v>46096.0</v>
      </c>
      <c r="I2203" s="829">
        <f t="shared" si="1"/>
        <v>6.116693333</v>
      </c>
      <c r="J2203" s="830">
        <f t="shared" si="2"/>
        <v>0.07783042796</v>
      </c>
      <c r="K2203" s="830"/>
    </row>
    <row r="2204">
      <c r="A2204" s="181" t="s">
        <v>523</v>
      </c>
      <c r="B2204" s="181" t="s">
        <v>563</v>
      </c>
      <c r="C2204" s="181">
        <v>1.1534336E7</v>
      </c>
      <c r="D2204" s="181">
        <v>22.0</v>
      </c>
      <c r="E2204" s="181">
        <v>87.43</v>
      </c>
      <c r="F2204" s="181">
        <v>131.92</v>
      </c>
      <c r="G2204" s="181">
        <v>125.93</v>
      </c>
      <c r="H2204" s="828">
        <v>46096.0</v>
      </c>
      <c r="I2204" s="829">
        <f t="shared" si="1"/>
        <v>12.23338667</v>
      </c>
      <c r="J2204" s="830">
        <f t="shared" si="2"/>
        <v>0.139922071</v>
      </c>
      <c r="K2204" s="830"/>
    </row>
    <row r="2205">
      <c r="A2205" s="181" t="s">
        <v>523</v>
      </c>
      <c r="B2205" s="181" t="s">
        <v>563</v>
      </c>
      <c r="C2205" s="181">
        <v>2.3068672E7</v>
      </c>
      <c r="D2205" s="181">
        <v>22.0</v>
      </c>
      <c r="E2205" s="181">
        <v>122.33</v>
      </c>
      <c r="F2205" s="181">
        <v>188.57</v>
      </c>
      <c r="G2205" s="181">
        <v>180.0</v>
      </c>
      <c r="H2205" s="828">
        <v>46096.0</v>
      </c>
      <c r="I2205" s="829">
        <f t="shared" si="1"/>
        <v>24.46677333</v>
      </c>
      <c r="J2205" s="830">
        <f t="shared" si="2"/>
        <v>0.2000063217</v>
      </c>
      <c r="K2205" s="830"/>
    </row>
    <row r="2206">
      <c r="A2206" s="181" t="s">
        <v>523</v>
      </c>
      <c r="B2206" s="181" t="s">
        <v>563</v>
      </c>
      <c r="C2206" s="181">
        <v>4.6137344E7</v>
      </c>
      <c r="D2206" s="181">
        <v>22.0</v>
      </c>
      <c r="E2206" s="181">
        <v>114.13</v>
      </c>
      <c r="F2206" s="181">
        <v>404.24</v>
      </c>
      <c r="G2206" s="181">
        <v>385.87</v>
      </c>
      <c r="H2206" s="828">
        <v>46096.0</v>
      </c>
      <c r="I2206" s="829">
        <f t="shared" si="1"/>
        <v>48.93354667</v>
      </c>
      <c r="J2206" s="830">
        <f t="shared" si="2"/>
        <v>0.4287527089</v>
      </c>
      <c r="K2206" s="830"/>
    </row>
    <row r="2207">
      <c r="A2207" s="181" t="s">
        <v>523</v>
      </c>
      <c r="B2207" s="181" t="s">
        <v>563</v>
      </c>
      <c r="C2207" s="181">
        <v>9.2274688E7</v>
      </c>
      <c r="D2207" s="181">
        <v>22.0</v>
      </c>
      <c r="E2207" s="181">
        <v>187.65</v>
      </c>
      <c r="F2207" s="181">
        <v>491.75</v>
      </c>
      <c r="G2207" s="181">
        <v>469.4</v>
      </c>
      <c r="H2207" s="828">
        <v>46096.0</v>
      </c>
      <c r="I2207" s="829">
        <f t="shared" si="1"/>
        <v>97.86709333</v>
      </c>
      <c r="J2207" s="830">
        <f t="shared" si="2"/>
        <v>0.5215405986</v>
      </c>
      <c r="K2207" s="830"/>
    </row>
    <row r="2208">
      <c r="A2208" s="181" t="s">
        <v>523</v>
      </c>
      <c r="B2208" s="181" t="s">
        <v>563</v>
      </c>
      <c r="C2208" s="181">
        <v>1.84549376E8</v>
      </c>
      <c r="D2208" s="181">
        <v>22.0</v>
      </c>
      <c r="E2208" s="181">
        <v>312.83</v>
      </c>
      <c r="F2208" s="181">
        <v>589.94</v>
      </c>
      <c r="G2208" s="181">
        <v>563.13</v>
      </c>
      <c r="H2208" s="828">
        <v>46096.0</v>
      </c>
      <c r="I2208" s="829">
        <f t="shared" si="1"/>
        <v>195.7341867</v>
      </c>
      <c r="J2208" s="830">
        <f t="shared" si="2"/>
        <v>0.6256886701</v>
      </c>
      <c r="K2208" s="830"/>
    </row>
    <row r="2209">
      <c r="A2209" s="181" t="s">
        <v>523</v>
      </c>
      <c r="B2209" s="181" t="s">
        <v>563</v>
      </c>
      <c r="C2209" s="181">
        <v>3.69098752E8</v>
      </c>
      <c r="D2209" s="181">
        <v>22.0</v>
      </c>
      <c r="E2209" s="181">
        <v>582.22</v>
      </c>
      <c r="F2209" s="181">
        <v>633.95</v>
      </c>
      <c r="G2209" s="181">
        <v>605.14</v>
      </c>
      <c r="H2209" s="828">
        <v>46096.0</v>
      </c>
      <c r="I2209" s="829">
        <f t="shared" si="1"/>
        <v>391.4683733</v>
      </c>
      <c r="J2209" s="830">
        <f t="shared" si="2"/>
        <v>0.6723719098</v>
      </c>
      <c r="K2209" s="830"/>
    </row>
    <row r="2210">
      <c r="A2210" s="181" t="s">
        <v>523</v>
      </c>
      <c r="B2210" s="181" t="s">
        <v>563</v>
      </c>
      <c r="C2210" s="181">
        <v>7.38197504E8</v>
      </c>
      <c r="D2210" s="181">
        <v>22.0</v>
      </c>
      <c r="E2210" s="181">
        <v>1107.04</v>
      </c>
      <c r="F2210" s="181">
        <v>666.82</v>
      </c>
      <c r="G2210" s="181">
        <v>636.51</v>
      </c>
      <c r="H2210" s="828">
        <v>46096.0</v>
      </c>
      <c r="I2210" s="829">
        <f t="shared" si="1"/>
        <v>782.9367467</v>
      </c>
      <c r="J2210" s="830">
        <f t="shared" si="2"/>
        <v>0.7072343788</v>
      </c>
      <c r="K2210" s="830"/>
    </row>
    <row r="2211">
      <c r="A2211" s="181" t="s">
        <v>523</v>
      </c>
      <c r="B2211" s="181" t="s">
        <v>563</v>
      </c>
      <c r="C2211" s="181">
        <v>1.476395008E9</v>
      </c>
      <c r="D2211" s="181">
        <v>22.0</v>
      </c>
      <c r="E2211" s="181">
        <v>2304.0</v>
      </c>
      <c r="F2211" s="181">
        <v>640.8</v>
      </c>
      <c r="G2211" s="181">
        <v>611.67</v>
      </c>
      <c r="H2211" s="828">
        <v>46096.0</v>
      </c>
      <c r="I2211" s="829">
        <f t="shared" si="1"/>
        <v>1565.873493</v>
      </c>
      <c r="J2211" s="830">
        <f t="shared" si="2"/>
        <v>0.6796325926</v>
      </c>
      <c r="K2211" s="830"/>
    </row>
    <row r="2212">
      <c r="A2212" s="181" t="s">
        <v>523</v>
      </c>
      <c r="B2212" s="181" t="s">
        <v>563</v>
      </c>
      <c r="C2212" s="181">
        <v>2.952790016E9</v>
      </c>
      <c r="D2212" s="181">
        <v>22.0</v>
      </c>
      <c r="E2212" s="181">
        <v>4299.82</v>
      </c>
      <c r="F2212" s="181">
        <v>686.72</v>
      </c>
      <c r="G2212" s="181">
        <v>655.51</v>
      </c>
      <c r="H2212" s="828">
        <v>46096.0</v>
      </c>
      <c r="I2212" s="829">
        <f t="shared" si="1"/>
        <v>3131.746987</v>
      </c>
      <c r="J2212" s="830">
        <f t="shared" si="2"/>
        <v>0.7283437415</v>
      </c>
      <c r="K2212" s="830"/>
    </row>
    <row r="2213">
      <c r="A2213" s="181" t="s">
        <v>523</v>
      </c>
      <c r="B2213" s="181" t="s">
        <v>563</v>
      </c>
      <c r="C2213" s="181">
        <v>5.905580032E9</v>
      </c>
      <c r="D2213" s="181">
        <v>22.0</v>
      </c>
      <c r="E2213" s="181">
        <v>8271.68</v>
      </c>
      <c r="F2213" s="181">
        <v>713.95</v>
      </c>
      <c r="G2213" s="181">
        <v>681.5</v>
      </c>
      <c r="H2213" s="828">
        <v>46096.0</v>
      </c>
      <c r="I2213" s="829">
        <f t="shared" si="1"/>
        <v>6263.493973</v>
      </c>
      <c r="J2213" s="830">
        <f t="shared" si="2"/>
        <v>0.7572215044</v>
      </c>
      <c r="K2213" s="830"/>
    </row>
    <row r="2214">
      <c r="A2214" s="181" t="s">
        <v>523</v>
      </c>
      <c r="B2214" s="181" t="s">
        <v>563</v>
      </c>
      <c r="C2214" s="181">
        <v>1.1811160064E10</v>
      </c>
      <c r="D2214" s="181">
        <v>22.0</v>
      </c>
      <c r="E2214" s="181">
        <v>16245.0</v>
      </c>
      <c r="F2214" s="181">
        <v>727.06</v>
      </c>
      <c r="G2214" s="181">
        <v>694.02</v>
      </c>
      <c r="H2214" s="828">
        <v>46096.0</v>
      </c>
      <c r="I2214" s="829">
        <f t="shared" si="1"/>
        <v>12526.98795</v>
      </c>
      <c r="J2214" s="830">
        <f t="shared" si="2"/>
        <v>0.7711288364</v>
      </c>
      <c r="K2214" s="830"/>
    </row>
    <row r="2215">
      <c r="A2215" s="181" t="s">
        <v>523</v>
      </c>
      <c r="B2215" s="181" t="s">
        <v>563</v>
      </c>
      <c r="C2215" s="181">
        <v>1536.0</v>
      </c>
      <c r="D2215" s="181">
        <v>24.0</v>
      </c>
      <c r="E2215" s="181">
        <v>43.53</v>
      </c>
      <c r="F2215" s="181">
        <v>0.04</v>
      </c>
      <c r="G2215" s="181">
        <v>0.03</v>
      </c>
      <c r="H2215" s="828">
        <v>46096.0</v>
      </c>
      <c r="I2215" s="829">
        <f t="shared" si="1"/>
        <v>0.001635555556</v>
      </c>
      <c r="J2215" s="830">
        <f t="shared" si="2"/>
        <v>0.00003757306583</v>
      </c>
      <c r="K2215" s="830"/>
    </row>
    <row r="2216">
      <c r="A2216" s="181" t="s">
        <v>523</v>
      </c>
      <c r="B2216" s="181" t="s">
        <v>563</v>
      </c>
      <c r="C2216" s="181">
        <v>3072.0</v>
      </c>
      <c r="D2216" s="181">
        <v>24.0</v>
      </c>
      <c r="E2216" s="181">
        <v>43.53</v>
      </c>
      <c r="F2216" s="181">
        <v>0.07</v>
      </c>
      <c r="G2216" s="181">
        <v>0.07</v>
      </c>
      <c r="H2216" s="828">
        <v>46096.0</v>
      </c>
      <c r="I2216" s="829">
        <f t="shared" si="1"/>
        <v>0.003271111111</v>
      </c>
      <c r="J2216" s="830">
        <f t="shared" si="2"/>
        <v>0.00007514613166</v>
      </c>
      <c r="K2216" s="830"/>
    </row>
    <row r="2217">
      <c r="A2217" s="181" t="s">
        <v>523</v>
      </c>
      <c r="B2217" s="181" t="s">
        <v>563</v>
      </c>
      <c r="C2217" s="181">
        <v>6144.0</v>
      </c>
      <c r="D2217" s="181">
        <v>24.0</v>
      </c>
      <c r="E2217" s="181">
        <v>43.5</v>
      </c>
      <c r="F2217" s="181">
        <v>0.14</v>
      </c>
      <c r="G2217" s="181">
        <v>0.14</v>
      </c>
      <c r="H2217" s="828">
        <v>46096.0</v>
      </c>
      <c r="I2217" s="829">
        <f t="shared" si="1"/>
        <v>0.006542222222</v>
      </c>
      <c r="J2217" s="830">
        <f t="shared" si="2"/>
        <v>0.0001503959132</v>
      </c>
      <c r="K2217" s="830"/>
    </row>
    <row r="2218">
      <c r="A2218" s="181" t="s">
        <v>523</v>
      </c>
      <c r="B2218" s="181" t="s">
        <v>563</v>
      </c>
      <c r="C2218" s="181">
        <v>12288.0</v>
      </c>
      <c r="D2218" s="181">
        <v>24.0</v>
      </c>
      <c r="E2218" s="181">
        <v>44.01</v>
      </c>
      <c r="F2218" s="181">
        <v>0.28</v>
      </c>
      <c r="G2218" s="181">
        <v>0.27</v>
      </c>
      <c r="H2218" s="828">
        <v>46096.0</v>
      </c>
      <c r="I2218" s="829">
        <f t="shared" si="1"/>
        <v>0.01308444444</v>
      </c>
      <c r="J2218" s="830">
        <f t="shared" si="2"/>
        <v>0.0002973061678</v>
      </c>
      <c r="K2218" s="830"/>
    </row>
    <row r="2219">
      <c r="A2219" s="181" t="s">
        <v>523</v>
      </c>
      <c r="B2219" s="181" t="s">
        <v>563</v>
      </c>
      <c r="C2219" s="181">
        <v>24576.0</v>
      </c>
      <c r="D2219" s="181">
        <v>24.0</v>
      </c>
      <c r="E2219" s="181">
        <v>45.05</v>
      </c>
      <c r="F2219" s="181">
        <v>0.55</v>
      </c>
      <c r="G2219" s="181">
        <v>0.52</v>
      </c>
      <c r="H2219" s="828">
        <v>46096.0</v>
      </c>
      <c r="I2219" s="829">
        <f t="shared" si="1"/>
        <v>0.02616888889</v>
      </c>
      <c r="J2219" s="830">
        <f t="shared" si="2"/>
        <v>0.0005808854359</v>
      </c>
      <c r="K2219" s="830"/>
    </row>
    <row r="2220">
      <c r="A2220" s="181" t="s">
        <v>523</v>
      </c>
      <c r="B2220" s="181" t="s">
        <v>563</v>
      </c>
      <c r="C2220" s="181">
        <v>49152.0</v>
      </c>
      <c r="D2220" s="181">
        <v>24.0</v>
      </c>
      <c r="E2220" s="181">
        <v>45.34</v>
      </c>
      <c r="F2220" s="181">
        <v>1.08</v>
      </c>
      <c r="G2220" s="181">
        <v>1.04</v>
      </c>
      <c r="H2220" s="828">
        <v>46096.0</v>
      </c>
      <c r="I2220" s="829">
        <f t="shared" si="1"/>
        <v>0.05233777778</v>
      </c>
      <c r="J2220" s="830">
        <f t="shared" si="2"/>
        <v>0.001154340048</v>
      </c>
      <c r="K2220" s="830"/>
    </row>
    <row r="2221">
      <c r="A2221" s="181" t="s">
        <v>523</v>
      </c>
      <c r="B2221" s="181" t="s">
        <v>563</v>
      </c>
      <c r="C2221" s="181">
        <v>98304.0</v>
      </c>
      <c r="D2221" s="181">
        <v>24.0</v>
      </c>
      <c r="E2221" s="181">
        <v>45.93</v>
      </c>
      <c r="F2221" s="181">
        <v>2.14</v>
      </c>
      <c r="G2221" s="181">
        <v>2.05</v>
      </c>
      <c r="H2221" s="828">
        <v>46096.0</v>
      </c>
      <c r="I2221" s="829">
        <f t="shared" si="1"/>
        <v>0.1046755556</v>
      </c>
      <c r="J2221" s="830">
        <f t="shared" si="2"/>
        <v>0.002279023635</v>
      </c>
      <c r="K2221" s="830"/>
    </row>
    <row r="2222">
      <c r="A2222" s="181" t="s">
        <v>523</v>
      </c>
      <c r="B2222" s="181" t="s">
        <v>563</v>
      </c>
      <c r="C2222" s="181">
        <v>196608.0</v>
      </c>
      <c r="D2222" s="181">
        <v>24.0</v>
      </c>
      <c r="E2222" s="181">
        <v>51.72</v>
      </c>
      <c r="F2222" s="181">
        <v>3.8</v>
      </c>
      <c r="G2222" s="181">
        <v>3.64</v>
      </c>
      <c r="H2222" s="828">
        <v>46096.0</v>
      </c>
      <c r="I2222" s="829">
        <f t="shared" si="1"/>
        <v>0.2093511111</v>
      </c>
      <c r="J2222" s="830">
        <f t="shared" si="2"/>
        <v>0.004047778637</v>
      </c>
      <c r="K2222" s="830"/>
    </row>
    <row r="2223">
      <c r="A2223" s="181" t="s">
        <v>523</v>
      </c>
      <c r="B2223" s="181" t="s">
        <v>563</v>
      </c>
      <c r="C2223" s="181">
        <v>393216.0</v>
      </c>
      <c r="D2223" s="181">
        <v>24.0</v>
      </c>
      <c r="E2223" s="181">
        <v>50.82</v>
      </c>
      <c r="F2223" s="181">
        <v>7.74</v>
      </c>
      <c r="G2223" s="181">
        <v>7.41</v>
      </c>
      <c r="H2223" s="828">
        <v>46096.0</v>
      </c>
      <c r="I2223" s="829">
        <f t="shared" si="1"/>
        <v>0.4187022222</v>
      </c>
      <c r="J2223" s="830">
        <f t="shared" si="2"/>
        <v>0.008238926057</v>
      </c>
      <c r="K2223" s="830"/>
    </row>
    <row r="2224">
      <c r="A2224" s="181" t="s">
        <v>523</v>
      </c>
      <c r="B2224" s="181" t="s">
        <v>563</v>
      </c>
      <c r="C2224" s="181">
        <v>786432.0</v>
      </c>
      <c r="D2224" s="181">
        <v>24.0</v>
      </c>
      <c r="E2224" s="181">
        <v>51.61</v>
      </c>
      <c r="F2224" s="181">
        <v>15.24</v>
      </c>
      <c r="G2224" s="181">
        <v>14.6</v>
      </c>
      <c r="H2224" s="828">
        <v>46096.0</v>
      </c>
      <c r="I2224" s="829">
        <f t="shared" si="1"/>
        <v>0.8374044444</v>
      </c>
      <c r="J2224" s="830">
        <f t="shared" si="2"/>
        <v>0.0162256238</v>
      </c>
      <c r="K2224" s="830"/>
    </row>
    <row r="2225">
      <c r="A2225" s="181" t="s">
        <v>523</v>
      </c>
      <c r="B2225" s="181" t="s">
        <v>563</v>
      </c>
      <c r="C2225" s="181">
        <v>1572864.0</v>
      </c>
      <c r="D2225" s="181">
        <v>24.0</v>
      </c>
      <c r="E2225" s="181">
        <v>52.65</v>
      </c>
      <c r="F2225" s="181">
        <v>29.88</v>
      </c>
      <c r="G2225" s="181">
        <v>28.63</v>
      </c>
      <c r="H2225" s="828">
        <v>46096.0</v>
      </c>
      <c r="I2225" s="829">
        <f t="shared" si="1"/>
        <v>1.674808889</v>
      </c>
      <c r="J2225" s="830">
        <f t="shared" si="2"/>
        <v>0.03181023531</v>
      </c>
      <c r="K2225" s="830"/>
    </row>
    <row r="2226">
      <c r="A2226" s="181" t="s">
        <v>523</v>
      </c>
      <c r="B2226" s="181" t="s">
        <v>563</v>
      </c>
      <c r="C2226" s="181">
        <v>3145728.0</v>
      </c>
      <c r="D2226" s="181">
        <v>24.0</v>
      </c>
      <c r="E2226" s="181">
        <v>54.62</v>
      </c>
      <c r="F2226" s="181">
        <v>57.59</v>
      </c>
      <c r="G2226" s="181">
        <v>55.19</v>
      </c>
      <c r="H2226" s="828">
        <v>46096.0</v>
      </c>
      <c r="I2226" s="829">
        <f t="shared" si="1"/>
        <v>3.349617778</v>
      </c>
      <c r="J2226" s="830">
        <f t="shared" si="2"/>
        <v>0.06132584727</v>
      </c>
      <c r="K2226" s="830"/>
    </row>
    <row r="2227">
      <c r="A2227" s="181" t="s">
        <v>523</v>
      </c>
      <c r="B2227" s="181" t="s">
        <v>563</v>
      </c>
      <c r="C2227" s="181">
        <v>6291456.0</v>
      </c>
      <c r="D2227" s="181">
        <v>24.0</v>
      </c>
      <c r="E2227" s="181">
        <v>82.42</v>
      </c>
      <c r="F2227" s="181">
        <v>76.33</v>
      </c>
      <c r="G2227" s="181">
        <v>73.15</v>
      </c>
      <c r="H2227" s="828">
        <v>46096.0</v>
      </c>
      <c r="I2227" s="829">
        <f t="shared" si="1"/>
        <v>6.699235556</v>
      </c>
      <c r="J2227" s="830">
        <f t="shared" si="2"/>
        <v>0.08128167381</v>
      </c>
      <c r="K2227" s="830"/>
    </row>
    <row r="2228">
      <c r="A2228" s="181" t="s">
        <v>523</v>
      </c>
      <c r="B2228" s="181" t="s">
        <v>563</v>
      </c>
      <c r="C2228" s="181">
        <v>1.2582912E7</v>
      </c>
      <c r="D2228" s="181">
        <v>24.0</v>
      </c>
      <c r="E2228" s="181">
        <v>90.74</v>
      </c>
      <c r="F2228" s="181">
        <v>138.67</v>
      </c>
      <c r="G2228" s="181">
        <v>132.89</v>
      </c>
      <c r="H2228" s="828">
        <v>46096.0</v>
      </c>
      <c r="I2228" s="829">
        <f t="shared" si="1"/>
        <v>13.39847111</v>
      </c>
      <c r="J2228" s="830">
        <f t="shared" si="2"/>
        <v>0.1476578258</v>
      </c>
      <c r="K2228" s="830"/>
    </row>
    <row r="2229">
      <c r="A2229" s="181" t="s">
        <v>523</v>
      </c>
      <c r="B2229" s="181" t="s">
        <v>563</v>
      </c>
      <c r="C2229" s="181">
        <v>2.5165824E7</v>
      </c>
      <c r="D2229" s="181">
        <v>24.0</v>
      </c>
      <c r="E2229" s="181">
        <v>126.85</v>
      </c>
      <c r="F2229" s="181">
        <v>198.4</v>
      </c>
      <c r="G2229" s="181">
        <v>190.13</v>
      </c>
      <c r="H2229" s="828">
        <v>46096.0</v>
      </c>
      <c r="I2229" s="829">
        <f t="shared" si="1"/>
        <v>26.79694222</v>
      </c>
      <c r="J2229" s="830">
        <f t="shared" si="2"/>
        <v>0.2112490518</v>
      </c>
      <c r="K2229" s="830"/>
    </row>
    <row r="2230">
      <c r="A2230" s="181" t="s">
        <v>523</v>
      </c>
      <c r="B2230" s="181" t="s">
        <v>563</v>
      </c>
      <c r="C2230" s="181">
        <v>5.0331648E7</v>
      </c>
      <c r="D2230" s="181">
        <v>24.0</v>
      </c>
      <c r="E2230" s="181">
        <v>125.33</v>
      </c>
      <c r="F2230" s="181">
        <v>401.58</v>
      </c>
      <c r="G2230" s="181">
        <v>384.85</v>
      </c>
      <c r="H2230" s="828">
        <v>46096.0</v>
      </c>
      <c r="I2230" s="829">
        <f t="shared" si="1"/>
        <v>53.59388444</v>
      </c>
      <c r="J2230" s="830">
        <f t="shared" si="2"/>
        <v>0.4276221531</v>
      </c>
      <c r="K2230" s="830"/>
    </row>
    <row r="2231">
      <c r="A2231" s="181" t="s">
        <v>523</v>
      </c>
      <c r="B2231" s="181" t="s">
        <v>563</v>
      </c>
      <c r="C2231" s="181">
        <v>1.00663296E8</v>
      </c>
      <c r="D2231" s="181">
        <v>24.0</v>
      </c>
      <c r="E2231" s="181">
        <v>203.65</v>
      </c>
      <c r="F2231" s="181">
        <v>494.29</v>
      </c>
      <c r="G2231" s="181">
        <v>473.7</v>
      </c>
      <c r="H2231" s="828">
        <v>46096.0</v>
      </c>
      <c r="I2231" s="829">
        <f t="shared" si="1"/>
        <v>107.1877689</v>
      </c>
      <c r="J2231" s="830">
        <f t="shared" si="2"/>
        <v>0.5263332624</v>
      </c>
      <c r="K2231" s="830"/>
    </row>
    <row r="2232">
      <c r="A2232" s="181" t="s">
        <v>523</v>
      </c>
      <c r="B2232" s="181" t="s">
        <v>563</v>
      </c>
      <c r="C2232" s="181">
        <v>2.01326592E8</v>
      </c>
      <c r="D2232" s="181">
        <v>24.0</v>
      </c>
      <c r="E2232" s="181">
        <v>339.2</v>
      </c>
      <c r="F2232" s="181">
        <v>593.53</v>
      </c>
      <c r="G2232" s="181">
        <v>568.8</v>
      </c>
      <c r="H2232" s="828">
        <v>46096.0</v>
      </c>
      <c r="I2232" s="829">
        <f t="shared" si="1"/>
        <v>214.3755378</v>
      </c>
      <c r="J2232" s="830">
        <f t="shared" si="2"/>
        <v>0.6320033543</v>
      </c>
      <c r="K2232" s="830"/>
    </row>
    <row r="2233">
      <c r="A2233" s="181" t="s">
        <v>523</v>
      </c>
      <c r="B2233" s="181" t="s">
        <v>563</v>
      </c>
      <c r="C2233" s="181">
        <v>4.02653184E8</v>
      </c>
      <c r="D2233" s="181">
        <v>24.0</v>
      </c>
      <c r="E2233" s="181">
        <v>633.0</v>
      </c>
      <c r="F2233" s="181">
        <v>636.1</v>
      </c>
      <c r="G2233" s="181">
        <v>609.59</v>
      </c>
      <c r="H2233" s="828">
        <v>46096.0</v>
      </c>
      <c r="I2233" s="829">
        <f t="shared" si="1"/>
        <v>428.7510756</v>
      </c>
      <c r="J2233" s="830">
        <f t="shared" si="2"/>
        <v>0.6773318729</v>
      </c>
      <c r="K2233" s="830"/>
    </row>
    <row r="2234">
      <c r="A2234" s="181" t="s">
        <v>523</v>
      </c>
      <c r="B2234" s="181" t="s">
        <v>563</v>
      </c>
      <c r="C2234" s="181">
        <v>8.05306368E8</v>
      </c>
      <c r="D2234" s="181">
        <v>24.0</v>
      </c>
      <c r="E2234" s="181">
        <v>1196.49</v>
      </c>
      <c r="F2234" s="181">
        <v>673.05</v>
      </c>
      <c r="G2234" s="181">
        <v>645.01</v>
      </c>
      <c r="H2234" s="828">
        <v>46096.0</v>
      </c>
      <c r="I2234" s="829">
        <f t="shared" si="1"/>
        <v>857.5021511</v>
      </c>
      <c r="J2234" s="830">
        <f t="shared" si="2"/>
        <v>0.7166814191</v>
      </c>
      <c r="K2234" s="830"/>
    </row>
    <row r="2235">
      <c r="A2235" s="181" t="s">
        <v>523</v>
      </c>
      <c r="B2235" s="181" t="s">
        <v>563</v>
      </c>
      <c r="C2235" s="181">
        <v>1.610612736E9</v>
      </c>
      <c r="D2235" s="181">
        <v>24.0</v>
      </c>
      <c r="E2235" s="181">
        <v>2499.96</v>
      </c>
      <c r="F2235" s="181">
        <v>644.25</v>
      </c>
      <c r="G2235" s="181">
        <v>617.41</v>
      </c>
      <c r="H2235" s="828">
        <v>46096.0</v>
      </c>
      <c r="I2235" s="829">
        <f t="shared" si="1"/>
        <v>1715.004302</v>
      </c>
      <c r="J2235" s="830">
        <f t="shared" si="2"/>
        <v>0.6860126971</v>
      </c>
      <c r="K2235" s="830"/>
    </row>
    <row r="2236">
      <c r="A2236" s="181" t="s">
        <v>523</v>
      </c>
      <c r="B2236" s="181" t="s">
        <v>563</v>
      </c>
      <c r="C2236" s="181">
        <v>3.221225472E9</v>
      </c>
      <c r="D2236" s="181">
        <v>24.0</v>
      </c>
      <c r="E2236" s="181">
        <v>4692.78</v>
      </c>
      <c r="F2236" s="181">
        <v>686.42</v>
      </c>
      <c r="G2236" s="181">
        <v>657.82</v>
      </c>
      <c r="H2236" s="828">
        <v>46096.0</v>
      </c>
      <c r="I2236" s="829">
        <f t="shared" si="1"/>
        <v>3430.008604</v>
      </c>
      <c r="J2236" s="830">
        <f t="shared" si="2"/>
        <v>0.7309118698</v>
      </c>
      <c r="K2236" s="830"/>
    </row>
    <row r="2237">
      <c r="A2237" s="181" t="s">
        <v>523</v>
      </c>
      <c r="B2237" s="181" t="s">
        <v>563</v>
      </c>
      <c r="C2237" s="181">
        <v>6.442450944E9</v>
      </c>
      <c r="D2237" s="181">
        <v>24.0</v>
      </c>
      <c r="E2237" s="181">
        <v>9070.84</v>
      </c>
      <c r="F2237" s="181">
        <v>710.24</v>
      </c>
      <c r="G2237" s="181">
        <v>680.64</v>
      </c>
      <c r="H2237" s="828">
        <v>46096.0</v>
      </c>
      <c r="I2237" s="829">
        <f t="shared" si="1"/>
        <v>6860.017209</v>
      </c>
      <c r="J2237" s="830">
        <f t="shared" si="2"/>
        <v>0.7562714378</v>
      </c>
      <c r="K2237" s="830"/>
    </row>
    <row r="2238">
      <c r="A2238" s="181" t="s">
        <v>523</v>
      </c>
      <c r="B2238" s="181" t="s">
        <v>563</v>
      </c>
      <c r="C2238" s="181">
        <v>1.2884901888E10</v>
      </c>
      <c r="D2238" s="181">
        <v>24.0</v>
      </c>
      <c r="E2238" s="181">
        <v>17793.2</v>
      </c>
      <c r="F2238" s="181">
        <v>724.15</v>
      </c>
      <c r="G2238" s="181">
        <v>693.97</v>
      </c>
      <c r="H2238" s="828">
        <v>46096.0</v>
      </c>
      <c r="I2238" s="829">
        <f t="shared" si="1"/>
        <v>13720.03442</v>
      </c>
      <c r="J2238" s="830">
        <f t="shared" si="2"/>
        <v>0.7710830215</v>
      </c>
      <c r="K2238" s="830"/>
    </row>
    <row r="2239">
      <c r="A2239" s="181" t="s">
        <v>523</v>
      </c>
      <c r="B2239" s="181" t="s">
        <v>563</v>
      </c>
      <c r="C2239" s="181">
        <v>1664.0</v>
      </c>
      <c r="D2239" s="181">
        <v>26.0</v>
      </c>
      <c r="E2239" s="181">
        <v>45.23</v>
      </c>
      <c r="F2239" s="181">
        <v>0.04</v>
      </c>
      <c r="G2239" s="181">
        <v>0.04</v>
      </c>
      <c r="H2239" s="828">
        <v>46096.0</v>
      </c>
      <c r="I2239" s="829">
        <f t="shared" si="1"/>
        <v>0.001777777778</v>
      </c>
      <c r="J2239" s="830">
        <f t="shared" si="2"/>
        <v>0.00003930527919</v>
      </c>
      <c r="K2239" s="830"/>
    </row>
    <row r="2240">
      <c r="A2240" s="181" t="s">
        <v>523</v>
      </c>
      <c r="B2240" s="181" t="s">
        <v>563</v>
      </c>
      <c r="C2240" s="181">
        <v>3328.0</v>
      </c>
      <c r="D2240" s="181">
        <v>26.0</v>
      </c>
      <c r="E2240" s="181">
        <v>45.8</v>
      </c>
      <c r="F2240" s="181">
        <v>0.07</v>
      </c>
      <c r="G2240" s="181">
        <v>0.07</v>
      </c>
      <c r="H2240" s="828">
        <v>46096.0</v>
      </c>
      <c r="I2240" s="829">
        <f t="shared" si="1"/>
        <v>0.003555555556</v>
      </c>
      <c r="J2240" s="830">
        <f t="shared" si="2"/>
        <v>0.00007763221737</v>
      </c>
      <c r="K2240" s="830"/>
    </row>
    <row r="2241">
      <c r="A2241" s="181" t="s">
        <v>523</v>
      </c>
      <c r="B2241" s="181" t="s">
        <v>563</v>
      </c>
      <c r="C2241" s="181">
        <v>6656.0</v>
      </c>
      <c r="D2241" s="181">
        <v>26.0</v>
      </c>
      <c r="E2241" s="181">
        <v>46.67</v>
      </c>
      <c r="F2241" s="181">
        <v>0.14</v>
      </c>
      <c r="G2241" s="181">
        <v>0.14</v>
      </c>
      <c r="H2241" s="828">
        <v>46096.0</v>
      </c>
      <c r="I2241" s="829">
        <f t="shared" si="1"/>
        <v>0.007111111111</v>
      </c>
      <c r="J2241" s="830">
        <f t="shared" si="2"/>
        <v>0.0001523700688</v>
      </c>
      <c r="K2241" s="830"/>
    </row>
    <row r="2242">
      <c r="A2242" s="181" t="s">
        <v>523</v>
      </c>
      <c r="B2242" s="181" t="s">
        <v>563</v>
      </c>
      <c r="C2242" s="181">
        <v>13312.0</v>
      </c>
      <c r="D2242" s="181">
        <v>26.0</v>
      </c>
      <c r="E2242" s="181">
        <v>46.48</v>
      </c>
      <c r="F2242" s="181">
        <v>0.29</v>
      </c>
      <c r="G2242" s="181">
        <v>0.28</v>
      </c>
      <c r="H2242" s="828">
        <v>46096.0</v>
      </c>
      <c r="I2242" s="829">
        <f t="shared" si="1"/>
        <v>0.01422222222</v>
      </c>
      <c r="J2242" s="830">
        <f t="shared" si="2"/>
        <v>0.0003059858482</v>
      </c>
      <c r="K2242" s="830"/>
    </row>
    <row r="2243">
      <c r="A2243" s="181" t="s">
        <v>523</v>
      </c>
      <c r="B2243" s="181" t="s">
        <v>563</v>
      </c>
      <c r="C2243" s="181">
        <v>26624.0</v>
      </c>
      <c r="D2243" s="181">
        <v>26.0</v>
      </c>
      <c r="E2243" s="181">
        <v>46.86</v>
      </c>
      <c r="F2243" s="181">
        <v>0.57</v>
      </c>
      <c r="G2243" s="181">
        <v>0.55</v>
      </c>
      <c r="H2243" s="828">
        <v>46096.0</v>
      </c>
      <c r="I2243" s="829">
        <f t="shared" si="1"/>
        <v>0.02844444444</v>
      </c>
      <c r="J2243" s="830">
        <f t="shared" si="2"/>
        <v>0.0006070090577</v>
      </c>
      <c r="K2243" s="830"/>
    </row>
    <row r="2244">
      <c r="A2244" s="181" t="s">
        <v>523</v>
      </c>
      <c r="B2244" s="181" t="s">
        <v>563</v>
      </c>
      <c r="C2244" s="181">
        <v>53248.0</v>
      </c>
      <c r="D2244" s="181">
        <v>26.0</v>
      </c>
      <c r="E2244" s="181">
        <v>48.42</v>
      </c>
      <c r="F2244" s="181">
        <v>1.1</v>
      </c>
      <c r="G2244" s="181">
        <v>1.06</v>
      </c>
      <c r="H2244" s="828">
        <v>46096.0</v>
      </c>
      <c r="I2244" s="829">
        <f t="shared" si="1"/>
        <v>0.05688888889</v>
      </c>
      <c r="J2244" s="830">
        <f t="shared" si="2"/>
        <v>0.001174904768</v>
      </c>
      <c r="K2244" s="830"/>
    </row>
    <row r="2245">
      <c r="A2245" s="181" t="s">
        <v>523</v>
      </c>
      <c r="B2245" s="181" t="s">
        <v>563</v>
      </c>
      <c r="C2245" s="181">
        <v>106496.0</v>
      </c>
      <c r="D2245" s="181">
        <v>26.0</v>
      </c>
      <c r="E2245" s="181">
        <v>48.03</v>
      </c>
      <c r="F2245" s="181">
        <v>2.22</v>
      </c>
      <c r="G2245" s="181">
        <v>2.13</v>
      </c>
      <c r="H2245" s="828">
        <v>46096.0</v>
      </c>
      <c r="I2245" s="829">
        <f t="shared" si="1"/>
        <v>0.1137777778</v>
      </c>
      <c r="J2245" s="830">
        <f t="shared" si="2"/>
        <v>0.002368889814</v>
      </c>
      <c r="K2245" s="830"/>
    </row>
    <row r="2246">
      <c r="A2246" s="181" t="s">
        <v>523</v>
      </c>
      <c r="B2246" s="181" t="s">
        <v>563</v>
      </c>
      <c r="C2246" s="181">
        <v>212992.0</v>
      </c>
      <c r="D2246" s="181">
        <v>26.0</v>
      </c>
      <c r="E2246" s="181">
        <v>52.27</v>
      </c>
      <c r="F2246" s="181">
        <v>4.07</v>
      </c>
      <c r="G2246" s="181">
        <v>3.92</v>
      </c>
      <c r="H2246" s="828">
        <v>46096.0</v>
      </c>
      <c r="I2246" s="829">
        <f t="shared" si="1"/>
        <v>0.2275555556</v>
      </c>
      <c r="J2246" s="830">
        <f t="shared" si="2"/>
        <v>0.004353463852</v>
      </c>
      <c r="K2246" s="830"/>
    </row>
    <row r="2247">
      <c r="A2247" s="181" t="s">
        <v>523</v>
      </c>
      <c r="B2247" s="181" t="s">
        <v>563</v>
      </c>
      <c r="C2247" s="181">
        <v>425984.0</v>
      </c>
      <c r="D2247" s="181">
        <v>26.0</v>
      </c>
      <c r="E2247" s="181">
        <v>52.15</v>
      </c>
      <c r="F2247" s="181">
        <v>8.17</v>
      </c>
      <c r="G2247" s="181">
        <v>7.85</v>
      </c>
      <c r="H2247" s="828">
        <v>46096.0</v>
      </c>
      <c r="I2247" s="829">
        <f t="shared" si="1"/>
        <v>0.4551111111</v>
      </c>
      <c r="J2247" s="830">
        <f t="shared" si="2"/>
        <v>0.008726962821</v>
      </c>
      <c r="K2247" s="830"/>
    </row>
    <row r="2248">
      <c r="A2248" s="181" t="s">
        <v>523</v>
      </c>
      <c r="B2248" s="181" t="s">
        <v>563</v>
      </c>
      <c r="C2248" s="181">
        <v>851968.0</v>
      </c>
      <c r="D2248" s="181">
        <v>26.0</v>
      </c>
      <c r="E2248" s="181">
        <v>53.03</v>
      </c>
      <c r="F2248" s="181">
        <v>16.07</v>
      </c>
      <c r="G2248" s="181">
        <v>15.45</v>
      </c>
      <c r="H2248" s="828">
        <v>46096.0</v>
      </c>
      <c r="I2248" s="829">
        <f t="shared" si="1"/>
        <v>0.9102222222</v>
      </c>
      <c r="J2248" s="830">
        <f t="shared" si="2"/>
        <v>0.01716428856</v>
      </c>
      <c r="K2248" s="830"/>
    </row>
    <row r="2249">
      <c r="A2249" s="181" t="s">
        <v>523</v>
      </c>
      <c r="B2249" s="181" t="s">
        <v>563</v>
      </c>
      <c r="C2249" s="181">
        <v>1703936.0</v>
      </c>
      <c r="D2249" s="181">
        <v>26.0</v>
      </c>
      <c r="E2249" s="181">
        <v>53.49</v>
      </c>
      <c r="F2249" s="181">
        <v>31.85</v>
      </c>
      <c r="G2249" s="181">
        <v>30.63</v>
      </c>
      <c r="H2249" s="828">
        <v>46096.0</v>
      </c>
      <c r="I2249" s="829">
        <f t="shared" si="1"/>
        <v>1.820444444</v>
      </c>
      <c r="J2249" s="830">
        <f t="shared" si="2"/>
        <v>0.03403336034</v>
      </c>
      <c r="K2249" s="830"/>
    </row>
    <row r="2250">
      <c r="A2250" s="181" t="s">
        <v>523</v>
      </c>
      <c r="B2250" s="181" t="s">
        <v>563</v>
      </c>
      <c r="C2250" s="181">
        <v>3407872.0</v>
      </c>
      <c r="D2250" s="181">
        <v>26.0</v>
      </c>
      <c r="E2250" s="181">
        <v>69.72</v>
      </c>
      <c r="F2250" s="181">
        <v>48.88</v>
      </c>
      <c r="G2250" s="181">
        <v>47.0</v>
      </c>
      <c r="H2250" s="828">
        <v>46096.0</v>
      </c>
      <c r="I2250" s="829">
        <f t="shared" si="1"/>
        <v>3.640888889</v>
      </c>
      <c r="J2250" s="830">
        <f t="shared" si="2"/>
        <v>0.05222158475</v>
      </c>
      <c r="K2250" s="830"/>
    </row>
    <row r="2251">
      <c r="A2251" s="181" t="s">
        <v>523</v>
      </c>
      <c r="B2251" s="181" t="s">
        <v>563</v>
      </c>
      <c r="C2251" s="181">
        <v>6815744.0</v>
      </c>
      <c r="D2251" s="181">
        <v>26.0</v>
      </c>
      <c r="E2251" s="181">
        <v>86.36</v>
      </c>
      <c r="F2251" s="181">
        <v>78.93</v>
      </c>
      <c r="G2251" s="181">
        <v>75.89</v>
      </c>
      <c r="H2251" s="828">
        <v>46096.0</v>
      </c>
      <c r="I2251" s="829">
        <f t="shared" si="1"/>
        <v>7.281777778</v>
      </c>
      <c r="J2251" s="830">
        <f t="shared" si="2"/>
        <v>0.08431887191</v>
      </c>
      <c r="K2251" s="830"/>
    </row>
    <row r="2252">
      <c r="A2252" s="181" t="s">
        <v>523</v>
      </c>
      <c r="B2252" s="181" t="s">
        <v>563</v>
      </c>
      <c r="C2252" s="181">
        <v>1.3631488E7</v>
      </c>
      <c r="D2252" s="181">
        <v>26.0</v>
      </c>
      <c r="E2252" s="181">
        <v>96.23</v>
      </c>
      <c r="F2252" s="181">
        <v>141.65</v>
      </c>
      <c r="G2252" s="181">
        <v>136.2</v>
      </c>
      <c r="H2252" s="828">
        <v>46096.0</v>
      </c>
      <c r="I2252" s="829">
        <f t="shared" si="1"/>
        <v>14.56355556</v>
      </c>
      <c r="J2252" s="830">
        <f t="shared" si="2"/>
        <v>0.1513411156</v>
      </c>
      <c r="K2252" s="830"/>
    </row>
    <row r="2253">
      <c r="A2253" s="181" t="s">
        <v>523</v>
      </c>
      <c r="B2253" s="181" t="s">
        <v>563</v>
      </c>
      <c r="C2253" s="181">
        <v>2.7262976E7</v>
      </c>
      <c r="D2253" s="181">
        <v>26.0</v>
      </c>
      <c r="E2253" s="181">
        <v>139.8</v>
      </c>
      <c r="F2253" s="181">
        <v>195.01</v>
      </c>
      <c r="G2253" s="181">
        <v>187.51</v>
      </c>
      <c r="H2253" s="828">
        <v>46096.0</v>
      </c>
      <c r="I2253" s="829">
        <f t="shared" si="1"/>
        <v>29.12711111</v>
      </c>
      <c r="J2253" s="830">
        <f t="shared" si="2"/>
        <v>0.2083484343</v>
      </c>
      <c r="K2253" s="830"/>
    </row>
    <row r="2254">
      <c r="A2254" s="181" t="s">
        <v>523</v>
      </c>
      <c r="B2254" s="181" t="s">
        <v>563</v>
      </c>
      <c r="C2254" s="181">
        <v>5.4525952E7</v>
      </c>
      <c r="D2254" s="181">
        <v>26.0</v>
      </c>
      <c r="E2254" s="181">
        <v>133.35</v>
      </c>
      <c r="F2254" s="181">
        <v>408.9</v>
      </c>
      <c r="G2254" s="181">
        <v>393.18</v>
      </c>
      <c r="H2254" s="828">
        <v>46096.0</v>
      </c>
      <c r="I2254" s="829">
        <f t="shared" si="1"/>
        <v>58.25422222</v>
      </c>
      <c r="J2254" s="830">
        <f t="shared" si="2"/>
        <v>0.4368520602</v>
      </c>
      <c r="K2254" s="830"/>
    </row>
    <row r="2255">
      <c r="A2255" s="181" t="s">
        <v>523</v>
      </c>
      <c r="B2255" s="181" t="s">
        <v>563</v>
      </c>
      <c r="C2255" s="181">
        <v>1.09051904E8</v>
      </c>
      <c r="D2255" s="181">
        <v>26.0</v>
      </c>
      <c r="E2255" s="181">
        <v>218.62</v>
      </c>
      <c r="F2255" s="181">
        <v>498.81</v>
      </c>
      <c r="G2255" s="181">
        <v>479.63</v>
      </c>
      <c r="H2255" s="828">
        <v>46096.0</v>
      </c>
      <c r="I2255" s="829">
        <f t="shared" si="1"/>
        <v>116.5084444</v>
      </c>
      <c r="J2255" s="830">
        <f t="shared" si="2"/>
        <v>0.5329267425</v>
      </c>
      <c r="K2255" s="830"/>
    </row>
    <row r="2256">
      <c r="A2256" s="181" t="s">
        <v>523</v>
      </c>
      <c r="B2256" s="181" t="s">
        <v>563</v>
      </c>
      <c r="C2256" s="181">
        <v>2.18103808E8</v>
      </c>
      <c r="D2256" s="181">
        <v>26.0</v>
      </c>
      <c r="E2256" s="181">
        <v>365.34</v>
      </c>
      <c r="F2256" s="181">
        <v>596.99</v>
      </c>
      <c r="G2256" s="181">
        <v>574.03</v>
      </c>
      <c r="H2256" s="828">
        <v>46096.0</v>
      </c>
      <c r="I2256" s="829">
        <f t="shared" si="1"/>
        <v>233.0168889</v>
      </c>
      <c r="J2256" s="830">
        <f t="shared" si="2"/>
        <v>0.6378083125</v>
      </c>
      <c r="K2256" s="830"/>
    </row>
    <row r="2257">
      <c r="A2257" s="181" t="s">
        <v>523</v>
      </c>
      <c r="B2257" s="181" t="s">
        <v>563</v>
      </c>
      <c r="C2257" s="181">
        <v>4.36207616E8</v>
      </c>
      <c r="D2257" s="181">
        <v>26.0</v>
      </c>
      <c r="E2257" s="181">
        <v>687.8</v>
      </c>
      <c r="F2257" s="181">
        <v>634.2</v>
      </c>
      <c r="G2257" s="181">
        <v>609.81</v>
      </c>
      <c r="H2257" s="828">
        <v>46096.0</v>
      </c>
      <c r="I2257" s="829">
        <f t="shared" si="1"/>
        <v>466.0337778</v>
      </c>
      <c r="J2257" s="830">
        <f t="shared" si="2"/>
        <v>0.6775716455</v>
      </c>
      <c r="K2257" s="830"/>
    </row>
    <row r="2258">
      <c r="A2258" s="181" t="s">
        <v>523</v>
      </c>
      <c r="B2258" s="181" t="s">
        <v>563</v>
      </c>
      <c r="C2258" s="181">
        <v>8.72415232E8</v>
      </c>
      <c r="D2258" s="181">
        <v>26.0</v>
      </c>
      <c r="E2258" s="181">
        <v>1292.29</v>
      </c>
      <c r="F2258" s="181">
        <v>675.09</v>
      </c>
      <c r="G2258" s="181">
        <v>649.13</v>
      </c>
      <c r="H2258" s="828">
        <v>46096.0</v>
      </c>
      <c r="I2258" s="829">
        <f t="shared" si="1"/>
        <v>932.0675556</v>
      </c>
      <c r="J2258" s="830">
        <f t="shared" si="2"/>
        <v>0.7212526256</v>
      </c>
      <c r="K2258" s="830"/>
    </row>
    <row r="2259">
      <c r="A2259" s="181" t="s">
        <v>523</v>
      </c>
      <c r="B2259" s="181" t="s">
        <v>563</v>
      </c>
      <c r="C2259" s="181">
        <v>1.744830464E9</v>
      </c>
      <c r="D2259" s="181">
        <v>26.0</v>
      </c>
      <c r="E2259" s="181">
        <v>2698.28</v>
      </c>
      <c r="F2259" s="181">
        <v>646.64</v>
      </c>
      <c r="G2259" s="181">
        <v>621.77</v>
      </c>
      <c r="H2259" s="828">
        <v>46096.0</v>
      </c>
      <c r="I2259" s="829">
        <f t="shared" si="1"/>
        <v>1864.135111</v>
      </c>
      <c r="J2259" s="830">
        <f t="shared" si="2"/>
        <v>0.6908605153</v>
      </c>
      <c r="K2259" s="830"/>
    </row>
    <row r="2260">
      <c r="A2260" s="181" t="s">
        <v>523</v>
      </c>
      <c r="B2260" s="181" t="s">
        <v>563</v>
      </c>
      <c r="C2260" s="181">
        <v>3.489660928E9</v>
      </c>
      <c r="D2260" s="181">
        <v>26.0</v>
      </c>
      <c r="E2260" s="181">
        <v>5080.48</v>
      </c>
      <c r="F2260" s="181">
        <v>686.88</v>
      </c>
      <c r="G2260" s="181">
        <v>660.46</v>
      </c>
      <c r="H2260" s="828">
        <v>46096.0</v>
      </c>
      <c r="I2260" s="829">
        <f t="shared" si="1"/>
        <v>3728.270222</v>
      </c>
      <c r="J2260" s="830">
        <f t="shared" si="2"/>
        <v>0.7338421217</v>
      </c>
      <c r="K2260" s="830"/>
    </row>
    <row r="2261">
      <c r="A2261" s="181" t="s">
        <v>523</v>
      </c>
      <c r="B2261" s="181" t="s">
        <v>563</v>
      </c>
      <c r="C2261" s="181">
        <v>6.979321856E9</v>
      </c>
      <c r="D2261" s="181">
        <v>26.0</v>
      </c>
      <c r="E2261" s="181">
        <v>9831.32</v>
      </c>
      <c r="F2261" s="181">
        <v>709.91</v>
      </c>
      <c r="G2261" s="181">
        <v>682.6</v>
      </c>
      <c r="H2261" s="828">
        <v>46096.0</v>
      </c>
      <c r="I2261" s="829">
        <f t="shared" si="1"/>
        <v>7456.540444</v>
      </c>
      <c r="J2261" s="830">
        <f t="shared" si="2"/>
        <v>0.7584475375</v>
      </c>
      <c r="K2261" s="830"/>
    </row>
    <row r="2262">
      <c r="A2262" s="181" t="s">
        <v>523</v>
      </c>
      <c r="B2262" s="181" t="s">
        <v>563</v>
      </c>
      <c r="C2262" s="181">
        <v>1.3958643712E10</v>
      </c>
      <c r="D2262" s="181">
        <v>26.0</v>
      </c>
      <c r="E2262" s="181">
        <v>19286.8</v>
      </c>
      <c r="F2262" s="181">
        <v>723.74</v>
      </c>
      <c r="G2262" s="181">
        <v>695.91</v>
      </c>
      <c r="H2262" s="828">
        <v>46096.0</v>
      </c>
      <c r="I2262" s="829">
        <f t="shared" si="1"/>
        <v>14913.08089</v>
      </c>
      <c r="J2262" s="830">
        <f t="shared" si="2"/>
        <v>0.7732273311</v>
      </c>
      <c r="K2262" s="830"/>
    </row>
    <row r="2263">
      <c r="A2263" s="181" t="s">
        <v>523</v>
      </c>
      <c r="B2263" s="181" t="s">
        <v>563</v>
      </c>
      <c r="C2263" s="181">
        <v>1792.0</v>
      </c>
      <c r="D2263" s="181">
        <v>28.0</v>
      </c>
      <c r="E2263" s="181">
        <v>47.32</v>
      </c>
      <c r="F2263" s="181">
        <v>0.04</v>
      </c>
      <c r="G2263" s="181">
        <v>0.04</v>
      </c>
      <c r="H2263" s="828">
        <v>46096.0</v>
      </c>
      <c r="I2263" s="829">
        <f t="shared" si="1"/>
        <v>0.00192</v>
      </c>
      <c r="J2263" s="830">
        <f t="shared" si="2"/>
        <v>0.00004057480981</v>
      </c>
      <c r="K2263" s="830"/>
    </row>
    <row r="2264">
      <c r="A2264" s="181" t="s">
        <v>523</v>
      </c>
      <c r="B2264" s="181" t="s">
        <v>563</v>
      </c>
      <c r="C2264" s="181">
        <v>3584.0</v>
      </c>
      <c r="D2264" s="181">
        <v>28.0</v>
      </c>
      <c r="E2264" s="181">
        <v>47.98</v>
      </c>
      <c r="F2264" s="181">
        <v>0.07</v>
      </c>
      <c r="G2264" s="181">
        <v>0.07</v>
      </c>
      <c r="H2264" s="828">
        <v>46096.0</v>
      </c>
      <c r="I2264" s="829">
        <f t="shared" si="1"/>
        <v>0.00384</v>
      </c>
      <c r="J2264" s="830">
        <f t="shared" si="2"/>
        <v>0.00008003334723</v>
      </c>
      <c r="K2264" s="830"/>
    </row>
    <row r="2265">
      <c r="A2265" s="181" t="s">
        <v>523</v>
      </c>
      <c r="B2265" s="181" t="s">
        <v>563</v>
      </c>
      <c r="C2265" s="181">
        <v>7168.0</v>
      </c>
      <c r="D2265" s="181">
        <v>28.0</v>
      </c>
      <c r="E2265" s="181">
        <v>49.51</v>
      </c>
      <c r="F2265" s="181">
        <v>0.14</v>
      </c>
      <c r="G2265" s="181">
        <v>0.14</v>
      </c>
      <c r="H2265" s="828">
        <v>46096.0</v>
      </c>
      <c r="I2265" s="829">
        <f t="shared" si="1"/>
        <v>0.00768</v>
      </c>
      <c r="J2265" s="830">
        <f t="shared" si="2"/>
        <v>0.0001551201777</v>
      </c>
      <c r="K2265" s="830"/>
    </row>
    <row r="2266">
      <c r="A2266" s="181" t="s">
        <v>523</v>
      </c>
      <c r="B2266" s="181" t="s">
        <v>563</v>
      </c>
      <c r="C2266" s="181">
        <v>14336.0</v>
      </c>
      <c r="D2266" s="181">
        <v>28.0</v>
      </c>
      <c r="E2266" s="181">
        <v>49.41</v>
      </c>
      <c r="F2266" s="181">
        <v>0.29</v>
      </c>
      <c r="G2266" s="181">
        <v>0.28</v>
      </c>
      <c r="H2266" s="828">
        <v>46096.0</v>
      </c>
      <c r="I2266" s="829">
        <f t="shared" si="1"/>
        <v>0.01536</v>
      </c>
      <c r="J2266" s="830">
        <f t="shared" si="2"/>
        <v>0.0003108682453</v>
      </c>
      <c r="K2266" s="830"/>
    </row>
    <row r="2267">
      <c r="A2267" s="181" t="s">
        <v>523</v>
      </c>
      <c r="B2267" s="181" t="s">
        <v>563</v>
      </c>
      <c r="C2267" s="181">
        <v>28672.0</v>
      </c>
      <c r="D2267" s="181">
        <v>28.0</v>
      </c>
      <c r="E2267" s="181">
        <v>50.34</v>
      </c>
      <c r="F2267" s="181">
        <v>0.57</v>
      </c>
      <c r="G2267" s="181">
        <v>0.55</v>
      </c>
      <c r="H2267" s="828">
        <v>46096.0</v>
      </c>
      <c r="I2267" s="829">
        <f t="shared" si="1"/>
        <v>0.03072</v>
      </c>
      <c r="J2267" s="830">
        <f t="shared" si="2"/>
        <v>0.000610250298</v>
      </c>
      <c r="K2267" s="830"/>
    </row>
    <row r="2268">
      <c r="A2268" s="181" t="s">
        <v>523</v>
      </c>
      <c r="B2268" s="181" t="s">
        <v>563</v>
      </c>
      <c r="C2268" s="181">
        <v>57344.0</v>
      </c>
      <c r="D2268" s="181">
        <v>28.0</v>
      </c>
      <c r="E2268" s="181">
        <v>50.84</v>
      </c>
      <c r="F2268" s="181">
        <v>1.13</v>
      </c>
      <c r="G2268" s="181">
        <v>1.09</v>
      </c>
      <c r="H2268" s="828">
        <v>46096.0</v>
      </c>
      <c r="I2268" s="829">
        <f t="shared" si="1"/>
        <v>0.06144</v>
      </c>
      <c r="J2268" s="830">
        <f t="shared" si="2"/>
        <v>0.001208497246</v>
      </c>
      <c r="K2268" s="830"/>
    </row>
    <row r="2269">
      <c r="A2269" s="181" t="s">
        <v>523</v>
      </c>
      <c r="B2269" s="181" t="s">
        <v>563</v>
      </c>
      <c r="C2269" s="181">
        <v>114688.0</v>
      </c>
      <c r="D2269" s="181">
        <v>28.0</v>
      </c>
      <c r="E2269" s="181">
        <v>51.24</v>
      </c>
      <c r="F2269" s="181">
        <v>2.24</v>
      </c>
      <c r="G2269" s="181">
        <v>2.16</v>
      </c>
      <c r="H2269" s="828">
        <v>46096.0</v>
      </c>
      <c r="I2269" s="829">
        <f t="shared" si="1"/>
        <v>0.12288</v>
      </c>
      <c r="J2269" s="830">
        <f t="shared" si="2"/>
        <v>0.002398126464</v>
      </c>
      <c r="K2269" s="830"/>
    </row>
    <row r="2270">
      <c r="A2270" s="181" t="s">
        <v>523</v>
      </c>
      <c r="B2270" s="181" t="s">
        <v>563</v>
      </c>
      <c r="C2270" s="181">
        <v>229376.0</v>
      </c>
      <c r="D2270" s="181">
        <v>28.0</v>
      </c>
      <c r="E2270" s="181">
        <v>55.28</v>
      </c>
      <c r="F2270" s="181">
        <v>4.15</v>
      </c>
      <c r="G2270" s="181">
        <v>4.0</v>
      </c>
      <c r="H2270" s="828">
        <v>46096.0</v>
      </c>
      <c r="I2270" s="829">
        <f t="shared" si="1"/>
        <v>0.24576</v>
      </c>
      <c r="J2270" s="830">
        <f t="shared" si="2"/>
        <v>0.004445730825</v>
      </c>
      <c r="K2270" s="830"/>
    </row>
    <row r="2271">
      <c r="A2271" s="181" t="s">
        <v>523</v>
      </c>
      <c r="B2271" s="181" t="s">
        <v>563</v>
      </c>
      <c r="C2271" s="181">
        <v>458752.0</v>
      </c>
      <c r="D2271" s="181">
        <v>28.0</v>
      </c>
      <c r="E2271" s="181">
        <v>55.21</v>
      </c>
      <c r="F2271" s="181">
        <v>8.31</v>
      </c>
      <c r="G2271" s="181">
        <v>8.01</v>
      </c>
      <c r="H2271" s="828">
        <v>46096.0</v>
      </c>
      <c r="I2271" s="829">
        <f t="shared" si="1"/>
        <v>0.49152</v>
      </c>
      <c r="J2271" s="830">
        <f t="shared" si="2"/>
        <v>0.008902735012</v>
      </c>
      <c r="K2271" s="830"/>
    </row>
    <row r="2272">
      <c r="A2272" s="181" t="s">
        <v>523</v>
      </c>
      <c r="B2272" s="181" t="s">
        <v>563</v>
      </c>
      <c r="C2272" s="181">
        <v>917504.0</v>
      </c>
      <c r="D2272" s="181">
        <v>28.0</v>
      </c>
      <c r="E2272" s="181">
        <v>55.57</v>
      </c>
      <c r="F2272" s="181">
        <v>16.51</v>
      </c>
      <c r="G2272" s="181">
        <v>15.92</v>
      </c>
      <c r="H2272" s="828">
        <v>46096.0</v>
      </c>
      <c r="I2272" s="829">
        <f t="shared" si="1"/>
        <v>0.98304</v>
      </c>
      <c r="J2272" s="830">
        <f t="shared" si="2"/>
        <v>0.01769012057</v>
      </c>
      <c r="K2272" s="830"/>
    </row>
    <row r="2273">
      <c r="A2273" s="181" t="s">
        <v>523</v>
      </c>
      <c r="B2273" s="181" t="s">
        <v>563</v>
      </c>
      <c r="C2273" s="181">
        <v>1835008.0</v>
      </c>
      <c r="D2273" s="181">
        <v>28.0</v>
      </c>
      <c r="E2273" s="181">
        <v>68.32</v>
      </c>
      <c r="F2273" s="181">
        <v>26.86</v>
      </c>
      <c r="G2273" s="181">
        <v>25.9</v>
      </c>
      <c r="H2273" s="828">
        <v>46096.0</v>
      </c>
      <c r="I2273" s="829">
        <f t="shared" si="1"/>
        <v>1.96608</v>
      </c>
      <c r="J2273" s="830">
        <f t="shared" si="2"/>
        <v>0.02877751756</v>
      </c>
      <c r="K2273" s="830"/>
    </row>
    <row r="2274">
      <c r="A2274" s="181" t="s">
        <v>523</v>
      </c>
      <c r="B2274" s="181" t="s">
        <v>563</v>
      </c>
      <c r="C2274" s="181">
        <v>3670016.0</v>
      </c>
      <c r="D2274" s="181">
        <v>28.0</v>
      </c>
      <c r="E2274" s="181">
        <v>72.9</v>
      </c>
      <c r="F2274" s="181">
        <v>50.34</v>
      </c>
      <c r="G2274" s="181">
        <v>48.55</v>
      </c>
      <c r="H2274" s="828">
        <v>46096.0</v>
      </c>
      <c r="I2274" s="829">
        <f t="shared" si="1"/>
        <v>3.93216</v>
      </c>
      <c r="J2274" s="830">
        <f t="shared" si="2"/>
        <v>0.05393909465</v>
      </c>
      <c r="K2274" s="830"/>
    </row>
    <row r="2275">
      <c r="A2275" s="181" t="s">
        <v>523</v>
      </c>
      <c r="B2275" s="181" t="s">
        <v>563</v>
      </c>
      <c r="C2275" s="181">
        <v>7340032.0</v>
      </c>
      <c r="D2275" s="181">
        <v>28.0</v>
      </c>
      <c r="E2275" s="181">
        <v>91.95</v>
      </c>
      <c r="F2275" s="181">
        <v>79.83</v>
      </c>
      <c r="G2275" s="181">
        <v>76.98</v>
      </c>
      <c r="H2275" s="828">
        <v>46096.0</v>
      </c>
      <c r="I2275" s="829">
        <f t="shared" si="1"/>
        <v>7.86432</v>
      </c>
      <c r="J2275" s="830">
        <f t="shared" si="2"/>
        <v>0.08552822186</v>
      </c>
      <c r="K2275" s="830"/>
    </row>
    <row r="2276">
      <c r="A2276" s="181" t="s">
        <v>523</v>
      </c>
      <c r="B2276" s="181" t="s">
        <v>563</v>
      </c>
      <c r="C2276" s="181">
        <v>1.4680064E7</v>
      </c>
      <c r="D2276" s="181">
        <v>28.0</v>
      </c>
      <c r="E2276" s="181">
        <v>100.23</v>
      </c>
      <c r="F2276" s="181">
        <v>146.46</v>
      </c>
      <c r="G2276" s="181">
        <v>141.23</v>
      </c>
      <c r="H2276" s="828">
        <v>46096.0</v>
      </c>
      <c r="I2276" s="829">
        <f t="shared" si="1"/>
        <v>15.72864</v>
      </c>
      <c r="J2276" s="830">
        <f t="shared" si="2"/>
        <v>0.1569254714</v>
      </c>
      <c r="K2276" s="830"/>
    </row>
    <row r="2277">
      <c r="A2277" s="181" t="s">
        <v>523</v>
      </c>
      <c r="B2277" s="181" t="s">
        <v>563</v>
      </c>
      <c r="C2277" s="181">
        <v>2.9360128E7</v>
      </c>
      <c r="D2277" s="181">
        <v>28.0</v>
      </c>
      <c r="E2277" s="181">
        <v>149.1</v>
      </c>
      <c r="F2277" s="181">
        <v>196.91</v>
      </c>
      <c r="G2277" s="181">
        <v>189.88</v>
      </c>
      <c r="H2277" s="828">
        <v>46096.0</v>
      </c>
      <c r="I2277" s="829">
        <f t="shared" si="1"/>
        <v>31.45728</v>
      </c>
      <c r="J2277" s="830">
        <f t="shared" si="2"/>
        <v>0.2109810865</v>
      </c>
      <c r="K2277" s="830"/>
    </row>
    <row r="2278">
      <c r="A2278" s="181" t="s">
        <v>523</v>
      </c>
      <c r="B2278" s="181" t="s">
        <v>563</v>
      </c>
      <c r="C2278" s="181">
        <v>5.8720256E7</v>
      </c>
      <c r="D2278" s="181">
        <v>28.0</v>
      </c>
      <c r="E2278" s="181">
        <v>143.6</v>
      </c>
      <c r="F2278" s="181">
        <v>408.91</v>
      </c>
      <c r="G2278" s="181">
        <v>394.31</v>
      </c>
      <c r="H2278" s="828">
        <v>46096.0</v>
      </c>
      <c r="I2278" s="829">
        <f t="shared" si="1"/>
        <v>62.91456</v>
      </c>
      <c r="J2278" s="830">
        <f t="shared" si="2"/>
        <v>0.4381236769</v>
      </c>
      <c r="K2278" s="830"/>
    </row>
    <row r="2279">
      <c r="A2279" s="181" t="s">
        <v>523</v>
      </c>
      <c r="B2279" s="181" t="s">
        <v>563</v>
      </c>
      <c r="C2279" s="181">
        <v>1.17440512E8</v>
      </c>
      <c r="D2279" s="181">
        <v>28.0</v>
      </c>
      <c r="E2279" s="181">
        <v>234.45</v>
      </c>
      <c r="F2279" s="181">
        <v>500.92</v>
      </c>
      <c r="G2279" s="181">
        <v>483.03</v>
      </c>
      <c r="H2279" s="828">
        <v>46096.0</v>
      </c>
      <c r="I2279" s="829">
        <f t="shared" si="1"/>
        <v>125.82912</v>
      </c>
      <c r="J2279" s="830">
        <f t="shared" si="2"/>
        <v>0.5366991683</v>
      </c>
      <c r="K2279" s="830"/>
    </row>
    <row r="2280">
      <c r="A2280" s="181" t="s">
        <v>523</v>
      </c>
      <c r="B2280" s="181" t="s">
        <v>563</v>
      </c>
      <c r="C2280" s="181">
        <v>2.34881024E8</v>
      </c>
      <c r="D2280" s="181">
        <v>28.0</v>
      </c>
      <c r="E2280" s="181">
        <v>392.97</v>
      </c>
      <c r="F2280" s="181">
        <v>597.71</v>
      </c>
      <c r="G2280" s="181">
        <v>576.36</v>
      </c>
      <c r="H2280" s="828">
        <v>46096.0</v>
      </c>
      <c r="I2280" s="829">
        <f t="shared" si="1"/>
        <v>251.65824</v>
      </c>
      <c r="J2280" s="830">
        <f t="shared" si="2"/>
        <v>0.6404006413</v>
      </c>
      <c r="K2280" s="830"/>
    </row>
    <row r="2281">
      <c r="A2281" s="181" t="s">
        <v>523</v>
      </c>
      <c r="B2281" s="181" t="s">
        <v>563</v>
      </c>
      <c r="C2281" s="181">
        <v>4.69762048E8</v>
      </c>
      <c r="D2281" s="181">
        <v>28.0</v>
      </c>
      <c r="E2281" s="181">
        <v>733.88</v>
      </c>
      <c r="F2281" s="181">
        <v>640.11</v>
      </c>
      <c r="G2281" s="181">
        <v>617.25</v>
      </c>
      <c r="H2281" s="828">
        <v>46096.0</v>
      </c>
      <c r="I2281" s="829">
        <f t="shared" si="1"/>
        <v>503.31648</v>
      </c>
      <c r="J2281" s="830">
        <f t="shared" si="2"/>
        <v>0.6858293999</v>
      </c>
      <c r="K2281" s="830"/>
    </row>
    <row r="2282">
      <c r="A2282" s="181" t="s">
        <v>523</v>
      </c>
      <c r="B2282" s="181" t="s">
        <v>563</v>
      </c>
      <c r="C2282" s="181">
        <v>9.39524096E8</v>
      </c>
      <c r="D2282" s="181">
        <v>28.0</v>
      </c>
      <c r="E2282" s="181">
        <v>1367.51</v>
      </c>
      <c r="F2282" s="181">
        <v>687.03</v>
      </c>
      <c r="G2282" s="181">
        <v>662.49</v>
      </c>
      <c r="H2282" s="828">
        <v>46096.0</v>
      </c>
      <c r="I2282" s="829">
        <f t="shared" si="1"/>
        <v>1006.63296</v>
      </c>
      <c r="J2282" s="830">
        <f t="shared" si="2"/>
        <v>0.7361064709</v>
      </c>
      <c r="K2282" s="830"/>
    </row>
    <row r="2283">
      <c r="A2283" s="181" t="s">
        <v>523</v>
      </c>
      <c r="B2283" s="181" t="s">
        <v>563</v>
      </c>
      <c r="C2283" s="181">
        <v>1.879048192E9</v>
      </c>
      <c r="D2283" s="181">
        <v>28.0</v>
      </c>
      <c r="E2283" s="181">
        <v>2923.74</v>
      </c>
      <c r="F2283" s="181">
        <v>642.69</v>
      </c>
      <c r="G2283" s="181">
        <v>619.73</v>
      </c>
      <c r="H2283" s="828">
        <v>46096.0</v>
      </c>
      <c r="I2283" s="829">
        <f t="shared" si="1"/>
        <v>2013.26592</v>
      </c>
      <c r="J2283" s="830">
        <f t="shared" si="2"/>
        <v>0.6885926656</v>
      </c>
      <c r="K2283" s="830"/>
    </row>
    <row r="2284">
      <c r="A2284" s="181" t="s">
        <v>523</v>
      </c>
      <c r="B2284" s="181" t="s">
        <v>563</v>
      </c>
      <c r="C2284" s="181">
        <v>3.758096384E9</v>
      </c>
      <c r="D2284" s="181">
        <v>28.0</v>
      </c>
      <c r="E2284" s="181">
        <v>5490.71</v>
      </c>
      <c r="F2284" s="181">
        <v>684.45</v>
      </c>
      <c r="G2284" s="181">
        <v>660.0</v>
      </c>
      <c r="H2284" s="828">
        <v>46096.0</v>
      </c>
      <c r="I2284" s="829">
        <f t="shared" si="1"/>
        <v>4026.53184</v>
      </c>
      <c r="J2284" s="830">
        <f t="shared" si="2"/>
        <v>0.7333353683</v>
      </c>
      <c r="K2284" s="830"/>
    </row>
    <row r="2285">
      <c r="A2285" s="181" t="s">
        <v>523</v>
      </c>
      <c r="B2285" s="181" t="s">
        <v>563</v>
      </c>
      <c r="C2285" s="181">
        <v>7.516192768E9</v>
      </c>
      <c r="D2285" s="181">
        <v>28.0</v>
      </c>
      <c r="E2285" s="181">
        <v>10601.5</v>
      </c>
      <c r="F2285" s="181">
        <v>708.97</v>
      </c>
      <c r="G2285" s="181">
        <v>683.65</v>
      </c>
      <c r="H2285" s="828">
        <v>46096.0</v>
      </c>
      <c r="I2285" s="829">
        <f t="shared" si="1"/>
        <v>8053.06368</v>
      </c>
      <c r="J2285" s="830">
        <f t="shared" si="2"/>
        <v>0.7596154959</v>
      </c>
      <c r="K2285" s="830"/>
    </row>
    <row r="2286">
      <c r="A2286" s="181" t="s">
        <v>523</v>
      </c>
      <c r="B2286" s="181" t="s">
        <v>563</v>
      </c>
      <c r="C2286" s="181">
        <v>1.5032385536E10</v>
      </c>
      <c r="D2286" s="181">
        <v>28.0</v>
      </c>
      <c r="E2286" s="181">
        <v>20852.4</v>
      </c>
      <c r="F2286" s="181">
        <v>720.89</v>
      </c>
      <c r="G2286" s="181">
        <v>695.15</v>
      </c>
      <c r="H2286" s="828">
        <v>46096.0</v>
      </c>
      <c r="I2286" s="829">
        <f t="shared" si="1"/>
        <v>16106.12736</v>
      </c>
      <c r="J2286" s="830">
        <f t="shared" si="2"/>
        <v>0.7723872245</v>
      </c>
      <c r="K2286" s="830"/>
    </row>
    <row r="2287">
      <c r="A2287" s="181" t="s">
        <v>523</v>
      </c>
      <c r="B2287" s="181" t="s">
        <v>563</v>
      </c>
      <c r="C2287" s="181">
        <v>1920.0</v>
      </c>
      <c r="D2287" s="181">
        <v>30.0</v>
      </c>
      <c r="E2287" s="181">
        <v>50.01</v>
      </c>
      <c r="F2287" s="181">
        <v>0.04</v>
      </c>
      <c r="G2287" s="181">
        <v>0.04</v>
      </c>
      <c r="H2287" s="828">
        <v>46096.0</v>
      </c>
      <c r="I2287" s="829">
        <f t="shared" si="1"/>
        <v>0.002062222222</v>
      </c>
      <c r="J2287" s="830">
        <f t="shared" si="2"/>
        <v>0.00004123619721</v>
      </c>
      <c r="K2287" s="830"/>
    </row>
    <row r="2288">
      <c r="A2288" s="181" t="s">
        <v>523</v>
      </c>
      <c r="B2288" s="181" t="s">
        <v>563</v>
      </c>
      <c r="C2288" s="181">
        <v>3840.0</v>
      </c>
      <c r="D2288" s="181">
        <v>30.0</v>
      </c>
      <c r="E2288" s="181">
        <v>51.76</v>
      </c>
      <c r="F2288" s="181">
        <v>0.07</v>
      </c>
      <c r="G2288" s="181">
        <v>0.07</v>
      </c>
      <c r="H2288" s="828">
        <v>46096.0</v>
      </c>
      <c r="I2288" s="829">
        <f t="shared" si="1"/>
        <v>0.004124444444</v>
      </c>
      <c r="J2288" s="830">
        <f t="shared" si="2"/>
        <v>0.00007968401168</v>
      </c>
      <c r="K2288" s="830"/>
    </row>
    <row r="2289">
      <c r="A2289" s="181" t="s">
        <v>523</v>
      </c>
      <c r="B2289" s="181" t="s">
        <v>563</v>
      </c>
      <c r="C2289" s="181">
        <v>7680.0</v>
      </c>
      <c r="D2289" s="181">
        <v>30.0</v>
      </c>
      <c r="E2289" s="181">
        <v>52.21</v>
      </c>
      <c r="F2289" s="181">
        <v>0.15</v>
      </c>
      <c r="G2289" s="181">
        <v>0.14</v>
      </c>
      <c r="H2289" s="828">
        <v>46096.0</v>
      </c>
      <c r="I2289" s="829">
        <f t="shared" si="1"/>
        <v>0.008248888889</v>
      </c>
      <c r="J2289" s="830">
        <f t="shared" si="2"/>
        <v>0.0001579944242</v>
      </c>
      <c r="K2289" s="830"/>
    </row>
    <row r="2290">
      <c r="A2290" s="181" t="s">
        <v>523</v>
      </c>
      <c r="B2290" s="181" t="s">
        <v>563</v>
      </c>
      <c r="C2290" s="181">
        <v>15360.0</v>
      </c>
      <c r="D2290" s="181">
        <v>30.0</v>
      </c>
      <c r="E2290" s="181">
        <v>52.18</v>
      </c>
      <c r="F2290" s="181">
        <v>0.29</v>
      </c>
      <c r="G2290" s="181">
        <v>0.28</v>
      </c>
      <c r="H2290" s="828">
        <v>46096.0</v>
      </c>
      <c r="I2290" s="829">
        <f t="shared" si="1"/>
        <v>0.01649777778</v>
      </c>
      <c r="J2290" s="830">
        <f t="shared" si="2"/>
        <v>0.0003161705208</v>
      </c>
      <c r="K2290" s="830"/>
    </row>
    <row r="2291">
      <c r="A2291" s="181" t="s">
        <v>523</v>
      </c>
      <c r="B2291" s="181" t="s">
        <v>563</v>
      </c>
      <c r="C2291" s="181">
        <v>30720.0</v>
      </c>
      <c r="D2291" s="181">
        <v>30.0</v>
      </c>
      <c r="E2291" s="181">
        <v>53.24</v>
      </c>
      <c r="F2291" s="181">
        <v>0.58</v>
      </c>
      <c r="G2291" s="181">
        <v>0.56</v>
      </c>
      <c r="H2291" s="828">
        <v>46096.0</v>
      </c>
      <c r="I2291" s="829">
        <f t="shared" si="1"/>
        <v>0.03299555556</v>
      </c>
      <c r="J2291" s="830">
        <f t="shared" si="2"/>
        <v>0.0006197512313</v>
      </c>
      <c r="K2291" s="830"/>
    </row>
    <row r="2292">
      <c r="A2292" s="181" t="s">
        <v>523</v>
      </c>
      <c r="B2292" s="181" t="s">
        <v>563</v>
      </c>
      <c r="C2292" s="181">
        <v>61440.0</v>
      </c>
      <c r="D2292" s="181">
        <v>30.0</v>
      </c>
      <c r="E2292" s="181">
        <v>54.24</v>
      </c>
      <c r="F2292" s="181">
        <v>1.13</v>
      </c>
      <c r="G2292" s="181">
        <v>1.1</v>
      </c>
      <c r="H2292" s="828">
        <v>46096.0</v>
      </c>
      <c r="I2292" s="829">
        <f t="shared" si="1"/>
        <v>0.06599111111</v>
      </c>
      <c r="J2292" s="830">
        <f t="shared" si="2"/>
        <v>0.001216650279</v>
      </c>
      <c r="K2292" s="830"/>
    </row>
    <row r="2293">
      <c r="A2293" s="181" t="s">
        <v>523</v>
      </c>
      <c r="B2293" s="181" t="s">
        <v>563</v>
      </c>
      <c r="C2293" s="181">
        <v>122880.0</v>
      </c>
      <c r="D2293" s="181">
        <v>30.0</v>
      </c>
      <c r="E2293" s="181">
        <v>55.38</v>
      </c>
      <c r="F2293" s="181">
        <v>2.22</v>
      </c>
      <c r="G2293" s="181">
        <v>2.14</v>
      </c>
      <c r="H2293" s="828">
        <v>46096.0</v>
      </c>
      <c r="I2293" s="829">
        <f t="shared" si="1"/>
        <v>0.1319822222</v>
      </c>
      <c r="J2293" s="830">
        <f t="shared" si="2"/>
        <v>0.002383210947</v>
      </c>
      <c r="K2293" s="830"/>
    </row>
    <row r="2294">
      <c r="A2294" s="181" t="s">
        <v>523</v>
      </c>
      <c r="B2294" s="181" t="s">
        <v>563</v>
      </c>
      <c r="C2294" s="181">
        <v>245760.0</v>
      </c>
      <c r="D2294" s="181">
        <v>30.0</v>
      </c>
      <c r="E2294" s="181">
        <v>58.84</v>
      </c>
      <c r="F2294" s="181">
        <v>4.18</v>
      </c>
      <c r="G2294" s="181">
        <v>4.04</v>
      </c>
      <c r="H2294" s="828">
        <v>46096.0</v>
      </c>
      <c r="I2294" s="829">
        <f t="shared" si="1"/>
        <v>0.2639644444</v>
      </c>
      <c r="J2294" s="830">
        <f t="shared" si="2"/>
        <v>0.004486139437</v>
      </c>
      <c r="K2294" s="830"/>
    </row>
    <row r="2295">
      <c r="A2295" s="181" t="s">
        <v>523</v>
      </c>
      <c r="B2295" s="181" t="s">
        <v>563</v>
      </c>
      <c r="C2295" s="181">
        <v>491520.0</v>
      </c>
      <c r="D2295" s="181">
        <v>30.0</v>
      </c>
      <c r="E2295" s="181">
        <v>58.59</v>
      </c>
      <c r="F2295" s="181">
        <v>8.39</v>
      </c>
      <c r="G2295" s="181">
        <v>8.11</v>
      </c>
      <c r="H2295" s="828">
        <v>46096.0</v>
      </c>
      <c r="I2295" s="829">
        <f t="shared" si="1"/>
        <v>0.5279288889</v>
      </c>
      <c r="J2295" s="830">
        <f t="shared" si="2"/>
        <v>0.009010563046</v>
      </c>
      <c r="K2295" s="830"/>
    </row>
    <row r="2296">
      <c r="A2296" s="181" t="s">
        <v>523</v>
      </c>
      <c r="B2296" s="181" t="s">
        <v>563</v>
      </c>
      <c r="C2296" s="181">
        <v>983040.0</v>
      </c>
      <c r="D2296" s="181">
        <v>30.0</v>
      </c>
      <c r="E2296" s="181">
        <v>70.26</v>
      </c>
      <c r="F2296" s="181">
        <v>13.99</v>
      </c>
      <c r="G2296" s="181">
        <v>13.52</v>
      </c>
      <c r="H2296" s="828">
        <v>46096.0</v>
      </c>
      <c r="I2296" s="829">
        <f t="shared" si="1"/>
        <v>1.055857778</v>
      </c>
      <c r="J2296" s="830">
        <f t="shared" si="2"/>
        <v>0.01502786476</v>
      </c>
      <c r="K2296" s="830"/>
    </row>
    <row r="2297">
      <c r="A2297" s="181" t="s">
        <v>523</v>
      </c>
      <c r="B2297" s="181" t="s">
        <v>563</v>
      </c>
      <c r="C2297" s="181">
        <v>1966080.0</v>
      </c>
      <c r="D2297" s="181">
        <v>30.0</v>
      </c>
      <c r="E2297" s="181">
        <v>71.59</v>
      </c>
      <c r="F2297" s="181">
        <v>27.46</v>
      </c>
      <c r="G2297" s="181">
        <v>26.55</v>
      </c>
      <c r="H2297" s="828">
        <v>46096.0</v>
      </c>
      <c r="I2297" s="829">
        <f t="shared" si="1"/>
        <v>2.111715556</v>
      </c>
      <c r="J2297" s="830">
        <f t="shared" si="2"/>
        <v>0.02949735376</v>
      </c>
      <c r="K2297" s="830"/>
    </row>
    <row r="2298">
      <c r="A2298" s="181" t="s">
        <v>523</v>
      </c>
      <c r="B2298" s="181" t="s">
        <v>563</v>
      </c>
      <c r="C2298" s="181">
        <v>3932160.0</v>
      </c>
      <c r="D2298" s="181">
        <v>30.0</v>
      </c>
      <c r="E2298" s="181">
        <v>74.98</v>
      </c>
      <c r="F2298" s="181">
        <v>52.45</v>
      </c>
      <c r="G2298" s="181">
        <v>50.7</v>
      </c>
      <c r="H2298" s="828">
        <v>46096.0</v>
      </c>
      <c r="I2298" s="829">
        <f t="shared" si="1"/>
        <v>4.223431111</v>
      </c>
      <c r="J2298" s="830">
        <f t="shared" si="2"/>
        <v>0.05632743546</v>
      </c>
      <c r="K2298" s="830"/>
    </row>
    <row r="2299">
      <c r="A2299" s="181" t="s">
        <v>523</v>
      </c>
      <c r="B2299" s="181" t="s">
        <v>563</v>
      </c>
      <c r="C2299" s="181">
        <v>7864320.0</v>
      </c>
      <c r="D2299" s="181">
        <v>30.0</v>
      </c>
      <c r="E2299" s="181">
        <v>96.5</v>
      </c>
      <c r="F2299" s="181">
        <v>81.5</v>
      </c>
      <c r="G2299" s="181">
        <v>78.78</v>
      </c>
      <c r="H2299" s="828">
        <v>46096.0</v>
      </c>
      <c r="I2299" s="829">
        <f t="shared" si="1"/>
        <v>8.446862222</v>
      </c>
      <c r="J2299" s="830">
        <f t="shared" si="2"/>
        <v>0.08753225101</v>
      </c>
      <c r="K2299" s="830"/>
    </row>
    <row r="2300">
      <c r="A2300" s="181" t="s">
        <v>523</v>
      </c>
      <c r="B2300" s="181" t="s">
        <v>563</v>
      </c>
      <c r="C2300" s="181">
        <v>1.572864E7</v>
      </c>
      <c r="D2300" s="181">
        <v>30.0</v>
      </c>
      <c r="E2300" s="181">
        <v>105.71</v>
      </c>
      <c r="F2300" s="181">
        <v>148.8</v>
      </c>
      <c r="G2300" s="181">
        <v>143.84</v>
      </c>
      <c r="H2300" s="828">
        <v>46096.0</v>
      </c>
      <c r="I2300" s="829">
        <f t="shared" si="1"/>
        <v>16.89372444</v>
      </c>
      <c r="J2300" s="830">
        <f t="shared" si="2"/>
        <v>0.1598119804</v>
      </c>
      <c r="K2300" s="830"/>
    </row>
    <row r="2301">
      <c r="A2301" s="181" t="s">
        <v>523</v>
      </c>
      <c r="B2301" s="181" t="s">
        <v>563</v>
      </c>
      <c r="C2301" s="181">
        <v>3.145728E7</v>
      </c>
      <c r="D2301" s="181">
        <v>30.0</v>
      </c>
      <c r="E2301" s="181">
        <v>159.03</v>
      </c>
      <c r="F2301" s="181">
        <v>197.81</v>
      </c>
      <c r="G2301" s="181">
        <v>191.22</v>
      </c>
      <c r="H2301" s="828">
        <v>46096.0</v>
      </c>
      <c r="I2301" s="829">
        <f t="shared" si="1"/>
        <v>33.78744889</v>
      </c>
      <c r="J2301" s="830">
        <f t="shared" si="2"/>
        <v>0.2124595918</v>
      </c>
      <c r="K2301" s="830"/>
    </row>
    <row r="2302">
      <c r="A2302" s="181" t="s">
        <v>523</v>
      </c>
      <c r="B2302" s="181" t="s">
        <v>563</v>
      </c>
      <c r="C2302" s="181">
        <v>6.291456E7</v>
      </c>
      <c r="D2302" s="181">
        <v>30.0</v>
      </c>
      <c r="E2302" s="181">
        <v>155.45</v>
      </c>
      <c r="F2302" s="181">
        <v>404.72</v>
      </c>
      <c r="G2302" s="181">
        <v>391.22</v>
      </c>
      <c r="H2302" s="828">
        <v>46096.0</v>
      </c>
      <c r="I2302" s="829">
        <f t="shared" si="1"/>
        <v>67.57489778</v>
      </c>
      <c r="J2302" s="830">
        <f t="shared" si="2"/>
        <v>0.4347050356</v>
      </c>
      <c r="K2302" s="830"/>
    </row>
    <row r="2303">
      <c r="A2303" s="181" t="s">
        <v>523</v>
      </c>
      <c r="B2303" s="181" t="s">
        <v>563</v>
      </c>
      <c r="C2303" s="181">
        <v>1.2582912E8</v>
      </c>
      <c r="D2303" s="181">
        <v>30.0</v>
      </c>
      <c r="E2303" s="181">
        <v>256.49</v>
      </c>
      <c r="F2303" s="181">
        <v>490.57</v>
      </c>
      <c r="G2303" s="181">
        <v>474.22</v>
      </c>
      <c r="H2303" s="828">
        <v>46096.0</v>
      </c>
      <c r="I2303" s="829">
        <f t="shared" si="1"/>
        <v>135.1497956</v>
      </c>
      <c r="J2303" s="830">
        <f t="shared" si="2"/>
        <v>0.5269203304</v>
      </c>
      <c r="K2303" s="830"/>
    </row>
    <row r="2304">
      <c r="A2304" s="181" t="s">
        <v>523</v>
      </c>
      <c r="B2304" s="181" t="s">
        <v>563</v>
      </c>
      <c r="C2304" s="181">
        <v>2.5165824E8</v>
      </c>
      <c r="D2304" s="181">
        <v>30.0</v>
      </c>
      <c r="E2304" s="181">
        <v>422.72</v>
      </c>
      <c r="F2304" s="181">
        <v>595.33</v>
      </c>
      <c r="G2304" s="181">
        <v>575.49</v>
      </c>
      <c r="H2304" s="828">
        <v>46096.0</v>
      </c>
      <c r="I2304" s="829">
        <f t="shared" si="1"/>
        <v>270.2995911</v>
      </c>
      <c r="J2304" s="830">
        <f t="shared" si="2"/>
        <v>0.6394293885</v>
      </c>
      <c r="K2304" s="830"/>
    </row>
    <row r="2305">
      <c r="A2305" s="181" t="s">
        <v>523</v>
      </c>
      <c r="B2305" s="181" t="s">
        <v>563</v>
      </c>
      <c r="C2305" s="181">
        <v>5.0331648E8</v>
      </c>
      <c r="D2305" s="181">
        <v>30.0</v>
      </c>
      <c r="E2305" s="181">
        <v>786.65</v>
      </c>
      <c r="F2305" s="181">
        <v>639.83</v>
      </c>
      <c r="G2305" s="181">
        <v>618.5</v>
      </c>
      <c r="H2305" s="828">
        <v>46096.0</v>
      </c>
      <c r="I2305" s="829">
        <f t="shared" si="1"/>
        <v>540.5991822</v>
      </c>
      <c r="J2305" s="830">
        <f t="shared" si="2"/>
        <v>0.68721691</v>
      </c>
      <c r="K2305" s="830"/>
    </row>
    <row r="2306">
      <c r="A2306" s="181" t="s">
        <v>523</v>
      </c>
      <c r="B2306" s="181" t="s">
        <v>563</v>
      </c>
      <c r="C2306" s="181">
        <v>1.00663296E9</v>
      </c>
      <c r="D2306" s="181">
        <v>30.0</v>
      </c>
      <c r="E2306" s="181">
        <v>1493.48</v>
      </c>
      <c r="F2306" s="181">
        <v>674.02</v>
      </c>
      <c r="G2306" s="181">
        <v>651.55</v>
      </c>
      <c r="H2306" s="828">
        <v>46096.0</v>
      </c>
      <c r="I2306" s="829">
        <f t="shared" si="1"/>
        <v>1081.198364</v>
      </c>
      <c r="J2306" s="830">
        <f t="shared" si="2"/>
        <v>0.7239456601</v>
      </c>
      <c r="K2306" s="830"/>
    </row>
    <row r="2307">
      <c r="A2307" s="181" t="s">
        <v>523</v>
      </c>
      <c r="B2307" s="181" t="s">
        <v>563</v>
      </c>
      <c r="C2307" s="181">
        <v>2.01326592E9</v>
      </c>
      <c r="D2307" s="181">
        <v>30.0</v>
      </c>
      <c r="E2307" s="181">
        <v>3132.6</v>
      </c>
      <c r="F2307" s="181">
        <v>642.68</v>
      </c>
      <c r="G2307" s="181">
        <v>621.26</v>
      </c>
      <c r="H2307" s="828">
        <v>46096.0</v>
      </c>
      <c r="I2307" s="829">
        <f t="shared" si="1"/>
        <v>2162.396729</v>
      </c>
      <c r="J2307" s="830">
        <f t="shared" si="2"/>
        <v>0.6902881724</v>
      </c>
      <c r="K2307" s="830"/>
    </row>
    <row r="2308">
      <c r="A2308" s="181" t="s">
        <v>523</v>
      </c>
      <c r="B2308" s="181" t="s">
        <v>563</v>
      </c>
      <c r="C2308" s="181">
        <v>4.02653184E9</v>
      </c>
      <c r="D2308" s="181">
        <v>30.0</v>
      </c>
      <c r="E2308" s="181">
        <v>5888.98</v>
      </c>
      <c r="F2308" s="181">
        <v>683.74</v>
      </c>
      <c r="G2308" s="181">
        <v>660.95</v>
      </c>
      <c r="H2308" s="828">
        <v>46096.0</v>
      </c>
      <c r="I2308" s="829">
        <f t="shared" si="1"/>
        <v>4324.793458</v>
      </c>
      <c r="J2308" s="830">
        <f t="shared" si="2"/>
        <v>0.7343875268</v>
      </c>
      <c r="K2308" s="830"/>
    </row>
    <row r="2309">
      <c r="A2309" s="181" t="s">
        <v>523</v>
      </c>
      <c r="B2309" s="181" t="s">
        <v>563</v>
      </c>
      <c r="C2309" s="181">
        <v>8.05306368E9</v>
      </c>
      <c r="D2309" s="181">
        <v>30.0</v>
      </c>
      <c r="E2309" s="181">
        <v>11394.9</v>
      </c>
      <c r="F2309" s="181">
        <v>706.73</v>
      </c>
      <c r="G2309" s="181">
        <v>683.17</v>
      </c>
      <c r="H2309" s="828">
        <v>46096.0</v>
      </c>
      <c r="I2309" s="829">
        <f t="shared" si="1"/>
        <v>8649.586916</v>
      </c>
      <c r="J2309" s="830">
        <f t="shared" si="2"/>
        <v>0.7590752807</v>
      </c>
      <c r="K2309" s="830"/>
    </row>
    <row r="2310">
      <c r="A2310" s="181" t="s">
        <v>523</v>
      </c>
      <c r="B2310" s="181" t="s">
        <v>563</v>
      </c>
      <c r="C2310" s="181">
        <v>1.610612736E10</v>
      </c>
      <c r="D2310" s="181">
        <v>30.0</v>
      </c>
      <c r="E2310" s="181">
        <v>22351.6</v>
      </c>
      <c r="F2310" s="181">
        <v>720.58</v>
      </c>
      <c r="G2310" s="181">
        <v>696.56</v>
      </c>
      <c r="H2310" s="828">
        <v>46096.0</v>
      </c>
      <c r="I2310" s="829">
        <f t="shared" si="1"/>
        <v>17299.17383</v>
      </c>
      <c r="J2310" s="830">
        <f t="shared" si="2"/>
        <v>0.7739568456</v>
      </c>
      <c r="K2310" s="830"/>
    </row>
    <row r="2311">
      <c r="A2311" s="181" t="s">
        <v>523</v>
      </c>
      <c r="B2311" s="181" t="s">
        <v>563</v>
      </c>
      <c r="C2311" s="181">
        <v>2048.0</v>
      </c>
      <c r="D2311" s="181">
        <v>32.0</v>
      </c>
      <c r="E2311" s="181">
        <v>61.46</v>
      </c>
      <c r="F2311" s="181">
        <v>0.03</v>
      </c>
      <c r="G2311" s="181">
        <v>0.03</v>
      </c>
      <c r="H2311" s="828">
        <v>46096.0</v>
      </c>
      <c r="I2311" s="829">
        <f t="shared" si="1"/>
        <v>0.002204444444</v>
      </c>
      <c r="J2311" s="830">
        <f t="shared" si="2"/>
        <v>0.00003586795386</v>
      </c>
      <c r="K2311" s="830"/>
    </row>
    <row r="2312">
      <c r="A2312" s="181" t="s">
        <v>523</v>
      </c>
      <c r="B2312" s="181" t="s">
        <v>563</v>
      </c>
      <c r="C2312" s="181">
        <v>4096.0</v>
      </c>
      <c r="D2312" s="181">
        <v>32.0</v>
      </c>
      <c r="E2312" s="181">
        <v>63.34</v>
      </c>
      <c r="F2312" s="181">
        <v>0.06</v>
      </c>
      <c r="G2312" s="181">
        <v>0.06</v>
      </c>
      <c r="H2312" s="828">
        <v>46096.0</v>
      </c>
      <c r="I2312" s="829">
        <f t="shared" si="1"/>
        <v>0.004408888889</v>
      </c>
      <c r="J2312" s="830">
        <f t="shared" si="2"/>
        <v>0.00006960670807</v>
      </c>
      <c r="K2312" s="830"/>
    </row>
    <row r="2313">
      <c r="A2313" s="181" t="s">
        <v>523</v>
      </c>
      <c r="B2313" s="181" t="s">
        <v>563</v>
      </c>
      <c r="C2313" s="181">
        <v>8192.0</v>
      </c>
      <c r="D2313" s="181">
        <v>32.0</v>
      </c>
      <c r="E2313" s="181">
        <v>62.61</v>
      </c>
      <c r="F2313" s="181">
        <v>0.13</v>
      </c>
      <c r="G2313" s="181">
        <v>0.13</v>
      </c>
      <c r="H2313" s="828">
        <v>46096.0</v>
      </c>
      <c r="I2313" s="829">
        <f t="shared" si="1"/>
        <v>0.008817777778</v>
      </c>
      <c r="J2313" s="830">
        <f t="shared" si="2"/>
        <v>0.0001408365721</v>
      </c>
      <c r="K2313" s="830"/>
    </row>
    <row r="2314">
      <c r="A2314" s="181" t="s">
        <v>523</v>
      </c>
      <c r="B2314" s="181" t="s">
        <v>563</v>
      </c>
      <c r="C2314" s="181">
        <v>16384.0</v>
      </c>
      <c r="D2314" s="181">
        <v>32.0</v>
      </c>
      <c r="E2314" s="181">
        <v>62.81</v>
      </c>
      <c r="F2314" s="181">
        <v>0.26</v>
      </c>
      <c r="G2314" s="181">
        <v>0.25</v>
      </c>
      <c r="H2314" s="828">
        <v>46096.0</v>
      </c>
      <c r="I2314" s="829">
        <f t="shared" si="1"/>
        <v>0.01763555556</v>
      </c>
      <c r="J2314" s="830">
        <f t="shared" si="2"/>
        <v>0.0002807762387</v>
      </c>
      <c r="K2314" s="830"/>
    </row>
    <row r="2315">
      <c r="A2315" s="181" t="s">
        <v>523</v>
      </c>
      <c r="B2315" s="181" t="s">
        <v>563</v>
      </c>
      <c r="C2315" s="181">
        <v>32768.0</v>
      </c>
      <c r="D2315" s="181">
        <v>32.0</v>
      </c>
      <c r="E2315" s="181">
        <v>63.4</v>
      </c>
      <c r="F2315" s="181">
        <v>0.52</v>
      </c>
      <c r="G2315" s="181">
        <v>0.5</v>
      </c>
      <c r="H2315" s="828">
        <v>46096.0</v>
      </c>
      <c r="I2315" s="829">
        <f t="shared" si="1"/>
        <v>0.03527111111</v>
      </c>
      <c r="J2315" s="830">
        <f t="shared" si="2"/>
        <v>0.0005563266737</v>
      </c>
      <c r="K2315" s="830"/>
    </row>
    <row r="2316">
      <c r="A2316" s="181" t="s">
        <v>523</v>
      </c>
      <c r="B2316" s="181" t="s">
        <v>563</v>
      </c>
      <c r="C2316" s="181">
        <v>65536.0</v>
      </c>
      <c r="D2316" s="181">
        <v>32.0</v>
      </c>
      <c r="E2316" s="181">
        <v>64.28</v>
      </c>
      <c r="F2316" s="181">
        <v>1.02</v>
      </c>
      <c r="G2316" s="181">
        <v>0.99</v>
      </c>
      <c r="H2316" s="828">
        <v>46096.0</v>
      </c>
      <c r="I2316" s="829">
        <f t="shared" si="1"/>
        <v>0.07054222222</v>
      </c>
      <c r="J2316" s="830">
        <f t="shared" si="2"/>
        <v>0.001097421005</v>
      </c>
      <c r="K2316" s="830"/>
    </row>
    <row r="2317">
      <c r="A2317" s="181" t="s">
        <v>523</v>
      </c>
      <c r="B2317" s="181" t="s">
        <v>563</v>
      </c>
      <c r="C2317" s="181">
        <v>131072.0</v>
      </c>
      <c r="D2317" s="181">
        <v>32.0</v>
      </c>
      <c r="E2317" s="181">
        <v>69.84</v>
      </c>
      <c r="F2317" s="181">
        <v>1.88</v>
      </c>
      <c r="G2317" s="181">
        <v>1.82</v>
      </c>
      <c r="H2317" s="828">
        <v>46096.0</v>
      </c>
      <c r="I2317" s="829">
        <f t="shared" si="1"/>
        <v>0.1410844444</v>
      </c>
      <c r="J2317" s="830">
        <f t="shared" si="2"/>
        <v>0.002020109457</v>
      </c>
      <c r="K2317" s="830"/>
    </row>
    <row r="2318">
      <c r="A2318" s="181" t="s">
        <v>523</v>
      </c>
      <c r="B2318" s="181" t="s">
        <v>563</v>
      </c>
      <c r="C2318" s="181">
        <v>262144.0</v>
      </c>
      <c r="D2318" s="181">
        <v>32.0</v>
      </c>
      <c r="E2318" s="181">
        <v>70.16</v>
      </c>
      <c r="F2318" s="181">
        <v>3.74</v>
      </c>
      <c r="G2318" s="181">
        <v>3.62</v>
      </c>
      <c r="H2318" s="828">
        <v>46096.0</v>
      </c>
      <c r="I2318" s="829">
        <f t="shared" si="1"/>
        <v>0.2821688889</v>
      </c>
      <c r="J2318" s="830">
        <f t="shared" si="2"/>
        <v>0.004021791461</v>
      </c>
      <c r="K2318" s="830"/>
    </row>
    <row r="2319">
      <c r="A2319" s="181" t="s">
        <v>523</v>
      </c>
      <c r="B2319" s="181" t="s">
        <v>563</v>
      </c>
      <c r="C2319" s="181">
        <v>524288.0</v>
      </c>
      <c r="D2319" s="181">
        <v>32.0</v>
      </c>
      <c r="E2319" s="181">
        <v>69.48</v>
      </c>
      <c r="F2319" s="181">
        <v>7.55</v>
      </c>
      <c r="G2319" s="181">
        <v>7.31</v>
      </c>
      <c r="H2319" s="828">
        <v>46096.0</v>
      </c>
      <c r="I2319" s="829">
        <f t="shared" si="1"/>
        <v>0.5643377778</v>
      </c>
      <c r="J2319" s="830">
        <f t="shared" si="2"/>
        <v>0.00812230538</v>
      </c>
      <c r="K2319" s="830"/>
    </row>
    <row r="2320">
      <c r="A2320" s="181" t="s">
        <v>523</v>
      </c>
      <c r="B2320" s="181" t="s">
        <v>563</v>
      </c>
      <c r="C2320" s="181">
        <v>1048576.0</v>
      </c>
      <c r="D2320" s="181">
        <v>32.0</v>
      </c>
      <c r="E2320" s="181">
        <v>70.56</v>
      </c>
      <c r="F2320" s="181">
        <v>14.86</v>
      </c>
      <c r="G2320" s="181">
        <v>14.4</v>
      </c>
      <c r="H2320" s="828">
        <v>46096.0</v>
      </c>
      <c r="I2320" s="829">
        <f t="shared" si="1"/>
        <v>1.128675556</v>
      </c>
      <c r="J2320" s="830">
        <f t="shared" si="2"/>
        <v>0.01599596876</v>
      </c>
      <c r="K2320" s="830"/>
    </row>
    <row r="2321">
      <c r="A2321" s="181" t="s">
        <v>523</v>
      </c>
      <c r="B2321" s="181" t="s">
        <v>563</v>
      </c>
      <c r="C2321" s="181">
        <v>2097152.0</v>
      </c>
      <c r="D2321" s="181">
        <v>32.0</v>
      </c>
      <c r="E2321" s="181">
        <v>71.11</v>
      </c>
      <c r="F2321" s="181">
        <v>29.49</v>
      </c>
      <c r="G2321" s="181">
        <v>28.57</v>
      </c>
      <c r="H2321" s="828">
        <v>46096.0</v>
      </c>
      <c r="I2321" s="829">
        <f t="shared" si="1"/>
        <v>2.257351111</v>
      </c>
      <c r="J2321" s="830">
        <f t="shared" si="2"/>
        <v>0.03174449601</v>
      </c>
      <c r="K2321" s="830"/>
    </row>
    <row r="2322">
      <c r="A2322" s="181" t="s">
        <v>523</v>
      </c>
      <c r="B2322" s="181" t="s">
        <v>563</v>
      </c>
      <c r="C2322" s="181">
        <v>4194304.0</v>
      </c>
      <c r="D2322" s="181">
        <v>32.0</v>
      </c>
      <c r="E2322" s="181">
        <v>75.8</v>
      </c>
      <c r="F2322" s="181">
        <v>55.34</v>
      </c>
      <c r="G2322" s="181">
        <v>53.61</v>
      </c>
      <c r="H2322" s="828">
        <v>46096.0</v>
      </c>
      <c r="I2322" s="829">
        <f t="shared" si="1"/>
        <v>4.514702222</v>
      </c>
      <c r="J2322" s="830">
        <f t="shared" si="2"/>
        <v>0.05956071533</v>
      </c>
      <c r="K2322" s="830"/>
    </row>
    <row r="2323">
      <c r="A2323" s="181" t="s">
        <v>523</v>
      </c>
      <c r="B2323" s="181" t="s">
        <v>563</v>
      </c>
      <c r="C2323" s="181">
        <v>8388608.0</v>
      </c>
      <c r="D2323" s="181">
        <v>32.0</v>
      </c>
      <c r="E2323" s="181">
        <v>97.21</v>
      </c>
      <c r="F2323" s="181">
        <v>86.29</v>
      </c>
      <c r="G2323" s="181">
        <v>83.6</v>
      </c>
      <c r="H2323" s="828">
        <v>46096.0</v>
      </c>
      <c r="I2323" s="829">
        <f t="shared" si="1"/>
        <v>9.029404444</v>
      </c>
      <c r="J2323" s="830">
        <f t="shared" si="2"/>
        <v>0.09288555133</v>
      </c>
      <c r="K2323" s="830"/>
    </row>
    <row r="2324">
      <c r="A2324" s="181" t="s">
        <v>523</v>
      </c>
      <c r="B2324" s="181" t="s">
        <v>563</v>
      </c>
      <c r="C2324" s="181">
        <v>1.6777216E7</v>
      </c>
      <c r="D2324" s="181">
        <v>32.0</v>
      </c>
      <c r="E2324" s="181">
        <v>108.22</v>
      </c>
      <c r="F2324" s="181">
        <v>155.02</v>
      </c>
      <c r="G2324" s="181">
        <v>150.18</v>
      </c>
      <c r="H2324" s="828">
        <v>46096.0</v>
      </c>
      <c r="I2324" s="829">
        <f t="shared" si="1"/>
        <v>18.05880889</v>
      </c>
      <c r="J2324" s="830">
        <f t="shared" si="2"/>
        <v>0.1668712705</v>
      </c>
      <c r="K2324" s="830"/>
    </row>
    <row r="2325">
      <c r="A2325" s="181" t="s">
        <v>523</v>
      </c>
      <c r="B2325" s="181" t="s">
        <v>563</v>
      </c>
      <c r="C2325" s="181">
        <v>3.3554432E7</v>
      </c>
      <c r="D2325" s="181">
        <v>32.0</v>
      </c>
      <c r="E2325" s="181">
        <v>164.63</v>
      </c>
      <c r="F2325" s="181">
        <v>203.82</v>
      </c>
      <c r="G2325" s="181">
        <v>197.45</v>
      </c>
      <c r="H2325" s="828">
        <v>46096.0</v>
      </c>
      <c r="I2325" s="829">
        <f t="shared" si="1"/>
        <v>36.11761778</v>
      </c>
      <c r="J2325" s="830">
        <f t="shared" si="2"/>
        <v>0.2193866111</v>
      </c>
      <c r="K2325" s="830"/>
    </row>
    <row r="2326">
      <c r="A2326" s="181" t="s">
        <v>523</v>
      </c>
      <c r="B2326" s="181" t="s">
        <v>563</v>
      </c>
      <c r="C2326" s="181">
        <v>6.7108864E7</v>
      </c>
      <c r="D2326" s="181">
        <v>32.0</v>
      </c>
      <c r="E2326" s="181">
        <v>164.71</v>
      </c>
      <c r="F2326" s="181">
        <v>407.45</v>
      </c>
      <c r="G2326" s="181">
        <v>394.71</v>
      </c>
      <c r="H2326" s="828">
        <v>46096.0</v>
      </c>
      <c r="I2326" s="829">
        <f t="shared" si="1"/>
        <v>72.23523556</v>
      </c>
      <c r="J2326" s="830">
        <f t="shared" si="2"/>
        <v>0.438560109</v>
      </c>
      <c r="K2326" s="830"/>
    </row>
    <row r="2327">
      <c r="A2327" s="181" t="s">
        <v>523</v>
      </c>
      <c r="B2327" s="181" t="s">
        <v>563</v>
      </c>
      <c r="C2327" s="181">
        <v>1.34217728E8</v>
      </c>
      <c r="D2327" s="181">
        <v>32.0</v>
      </c>
      <c r="E2327" s="181">
        <v>268.33</v>
      </c>
      <c r="F2327" s="181">
        <v>500.19</v>
      </c>
      <c r="G2327" s="181">
        <v>484.56</v>
      </c>
      <c r="H2327" s="828">
        <v>46096.0</v>
      </c>
      <c r="I2327" s="829">
        <f t="shared" si="1"/>
        <v>144.4704711</v>
      </c>
      <c r="J2327" s="830">
        <f t="shared" si="2"/>
        <v>0.5384059595</v>
      </c>
      <c r="K2327" s="830"/>
    </row>
    <row r="2328">
      <c r="A2328" s="181" t="s">
        <v>523</v>
      </c>
      <c r="B2328" s="181" t="s">
        <v>563</v>
      </c>
      <c r="C2328" s="181">
        <v>2.68435456E8</v>
      </c>
      <c r="D2328" s="181">
        <v>32.0</v>
      </c>
      <c r="E2328" s="181">
        <v>442.96</v>
      </c>
      <c r="F2328" s="181">
        <v>606.0</v>
      </c>
      <c r="G2328" s="181">
        <v>587.06</v>
      </c>
      <c r="H2328" s="828">
        <v>46096.0</v>
      </c>
      <c r="I2328" s="829">
        <f t="shared" si="1"/>
        <v>288.9409422</v>
      </c>
      <c r="J2328" s="830">
        <f t="shared" si="2"/>
        <v>0.6522957879</v>
      </c>
      <c r="K2328" s="830"/>
    </row>
    <row r="2329">
      <c r="A2329" s="181" t="s">
        <v>523</v>
      </c>
      <c r="B2329" s="181" t="s">
        <v>563</v>
      </c>
      <c r="C2329" s="181">
        <v>5.36870912E8</v>
      </c>
      <c r="D2329" s="181">
        <v>32.0</v>
      </c>
      <c r="E2329" s="181">
        <v>841.68</v>
      </c>
      <c r="F2329" s="181">
        <v>637.85</v>
      </c>
      <c r="G2329" s="181">
        <v>617.92</v>
      </c>
      <c r="H2329" s="828">
        <v>46096.0</v>
      </c>
      <c r="I2329" s="829">
        <f t="shared" si="1"/>
        <v>577.8818844</v>
      </c>
      <c r="J2329" s="830">
        <f t="shared" si="2"/>
        <v>0.6865814614</v>
      </c>
      <c r="K2329" s="830"/>
    </row>
    <row r="2330">
      <c r="A2330" s="181" t="s">
        <v>523</v>
      </c>
      <c r="B2330" s="181" t="s">
        <v>563</v>
      </c>
      <c r="C2330" s="181">
        <v>1.073741824E9</v>
      </c>
      <c r="D2330" s="181">
        <v>32.0</v>
      </c>
      <c r="E2330" s="181">
        <v>1562.17</v>
      </c>
      <c r="F2330" s="181">
        <v>687.34</v>
      </c>
      <c r="G2330" s="181">
        <v>665.86</v>
      </c>
      <c r="H2330" s="828">
        <v>46096.0</v>
      </c>
      <c r="I2330" s="829">
        <f t="shared" si="1"/>
        <v>1155.763769</v>
      </c>
      <c r="J2330" s="830">
        <f t="shared" si="2"/>
        <v>0.7398450674</v>
      </c>
      <c r="K2330" s="830"/>
    </row>
    <row r="2331">
      <c r="A2331" s="181" t="s">
        <v>523</v>
      </c>
      <c r="B2331" s="181" t="s">
        <v>563</v>
      </c>
      <c r="C2331" s="181">
        <v>2.147483648E9</v>
      </c>
      <c r="D2331" s="181">
        <v>32.0</v>
      </c>
      <c r="E2331" s="181">
        <v>3137.95</v>
      </c>
      <c r="F2331" s="181">
        <v>684.36</v>
      </c>
      <c r="G2331" s="181">
        <v>662.97</v>
      </c>
      <c r="H2331" s="828">
        <v>46096.0</v>
      </c>
      <c r="I2331" s="829">
        <f t="shared" si="1"/>
        <v>2311.527538</v>
      </c>
      <c r="J2331" s="830">
        <f t="shared" si="2"/>
        <v>0.7366361917</v>
      </c>
      <c r="K2331" s="830"/>
    </row>
    <row r="2332">
      <c r="A2332" s="181" t="s">
        <v>523</v>
      </c>
      <c r="B2332" s="181" t="s">
        <v>563</v>
      </c>
      <c r="C2332" s="181">
        <v>4.294967296E9</v>
      </c>
      <c r="D2332" s="181">
        <v>32.0</v>
      </c>
      <c r="E2332" s="181">
        <v>6110.84</v>
      </c>
      <c r="F2332" s="181">
        <v>702.84</v>
      </c>
      <c r="G2332" s="181">
        <v>680.88</v>
      </c>
      <c r="H2332" s="828">
        <v>46096.0</v>
      </c>
      <c r="I2332" s="829">
        <f t="shared" si="1"/>
        <v>4623.055076</v>
      </c>
      <c r="J2332" s="830">
        <f t="shared" si="2"/>
        <v>0.756533484</v>
      </c>
      <c r="K2332" s="830"/>
    </row>
    <row r="2333">
      <c r="A2333" s="181" t="s">
        <v>523</v>
      </c>
      <c r="B2333" s="181" t="s">
        <v>563</v>
      </c>
      <c r="C2333" s="181">
        <v>8.589934592E9</v>
      </c>
      <c r="D2333" s="181">
        <v>32.0</v>
      </c>
      <c r="E2333" s="181">
        <v>11993.6</v>
      </c>
      <c r="F2333" s="181">
        <v>716.21</v>
      </c>
      <c r="G2333" s="181">
        <v>693.83</v>
      </c>
      <c r="H2333" s="828">
        <v>46096.0</v>
      </c>
      <c r="I2333" s="829">
        <f t="shared" si="1"/>
        <v>9246.110151</v>
      </c>
      <c r="J2333" s="830">
        <f t="shared" si="2"/>
        <v>0.7709203368</v>
      </c>
      <c r="K2333" s="830"/>
    </row>
    <row r="2334">
      <c r="A2334" s="181" t="s">
        <v>523</v>
      </c>
      <c r="B2334" s="181" t="s">
        <v>563</v>
      </c>
      <c r="C2334" s="181">
        <v>1.7179869184E10</v>
      </c>
      <c r="D2334" s="181">
        <v>32.0</v>
      </c>
      <c r="E2334" s="181">
        <v>23795.2</v>
      </c>
      <c r="F2334" s="181">
        <v>721.99</v>
      </c>
      <c r="G2334" s="181">
        <v>699.43</v>
      </c>
      <c r="H2334" s="828">
        <v>46096.0</v>
      </c>
      <c r="I2334" s="829">
        <f t="shared" si="1"/>
        <v>18492.2203</v>
      </c>
      <c r="J2334" s="830">
        <f t="shared" si="2"/>
        <v>0.7771407806</v>
      </c>
      <c r="K2334" s="830"/>
    </row>
    <row r="2335">
      <c r="I2335" s="829"/>
      <c r="J2335" s="831"/>
      <c r="K2335" s="831"/>
    </row>
    <row r="2336">
      <c r="I2336" s="829"/>
      <c r="J2336" s="831"/>
      <c r="K2336" s="831"/>
    </row>
  </sheetData>
  <autoFilter ref="$A$1:$J$2334"/>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9" max="9" width="28.63"/>
  </cols>
  <sheetData>
    <row r="1">
      <c r="A1" s="4"/>
      <c r="B1" s="218"/>
      <c r="C1" s="218"/>
      <c r="D1" s="218"/>
    </row>
    <row r="2">
      <c r="A2" s="4"/>
      <c r="B2" s="218"/>
      <c r="C2" s="218"/>
      <c r="D2" s="218"/>
    </row>
    <row r="3">
      <c r="A3" s="720" t="s">
        <v>564</v>
      </c>
      <c r="B3" s="832" t="s">
        <v>274</v>
      </c>
      <c r="C3" s="326"/>
      <c r="D3" s="327"/>
      <c r="E3" s="720" t="s">
        <v>565</v>
      </c>
      <c r="F3" s="720" t="s">
        <v>566</v>
      </c>
      <c r="G3" s="5"/>
      <c r="H3" s="5"/>
      <c r="I3" s="833"/>
      <c r="J3" s="833"/>
      <c r="M3" s="833"/>
      <c r="N3" s="4"/>
      <c r="O3" s="4"/>
      <c r="P3" s="4"/>
      <c r="Q3" s="4"/>
      <c r="R3" s="4"/>
      <c r="S3" s="4"/>
      <c r="T3" s="4"/>
      <c r="U3" s="4"/>
      <c r="V3" s="4"/>
      <c r="W3" s="4"/>
      <c r="X3" s="4"/>
      <c r="Y3" s="4"/>
      <c r="Z3" s="4"/>
      <c r="AA3" s="4"/>
    </row>
    <row r="4">
      <c r="A4" s="704" t="s">
        <v>567</v>
      </c>
      <c r="B4" s="416" t="s">
        <v>207</v>
      </c>
      <c r="C4" s="416" t="s">
        <v>201</v>
      </c>
      <c r="D4" s="416" t="s">
        <v>178</v>
      </c>
      <c r="E4" s="676"/>
      <c r="F4" s="676"/>
      <c r="G4" s="218"/>
      <c r="H4" s="218"/>
    </row>
    <row r="5">
      <c r="A5" s="834"/>
      <c r="B5" s="835">
        <v>128.0</v>
      </c>
      <c r="C5" s="835">
        <v>128.0</v>
      </c>
      <c r="D5" s="835">
        <v>7168.0</v>
      </c>
      <c r="E5" s="416">
        <v>1.0</v>
      </c>
      <c r="F5" s="676">
        <f>product(B5:E5)/1024/1024</f>
        <v>112</v>
      </c>
      <c r="G5" s="218"/>
      <c r="H5" s="218"/>
    </row>
    <row r="6">
      <c r="A6" s="704" t="s">
        <v>568</v>
      </c>
      <c r="B6" s="416" t="s">
        <v>207</v>
      </c>
      <c r="C6" s="416" t="s">
        <v>201</v>
      </c>
      <c r="D6" s="416" t="s">
        <v>198</v>
      </c>
      <c r="E6" s="676"/>
      <c r="F6" s="676"/>
      <c r="G6" s="218"/>
      <c r="H6" s="218"/>
    </row>
    <row r="7">
      <c r="A7" s="834"/>
      <c r="B7" s="835">
        <v>128.0</v>
      </c>
      <c r="C7" s="835">
        <v>128.0</v>
      </c>
      <c r="D7" s="835">
        <v>512.0</v>
      </c>
      <c r="E7" s="416">
        <v>1.0</v>
      </c>
      <c r="F7" s="676">
        <f>product(B7:E7)/1024/1024</f>
        <v>8</v>
      </c>
      <c r="G7" s="218"/>
      <c r="H7" s="218"/>
    </row>
    <row r="8">
      <c r="A8" s="834"/>
      <c r="B8" s="676"/>
      <c r="C8" s="676"/>
      <c r="D8" s="218"/>
      <c r="E8" s="836" t="s">
        <v>57</v>
      </c>
      <c r="F8" s="837">
        <f>F5+F7</f>
        <v>120</v>
      </c>
      <c r="G8" s="218"/>
      <c r="H8" s="218"/>
    </row>
    <row r="9">
      <c r="A9" s="838"/>
      <c r="B9" s="676"/>
      <c r="C9" s="676"/>
      <c r="D9" s="676"/>
      <c r="E9" s="11"/>
      <c r="F9" s="11"/>
    </row>
    <row r="10">
      <c r="A10" s="704" t="s">
        <v>569</v>
      </c>
      <c r="B10" s="416" t="s">
        <v>207</v>
      </c>
      <c r="C10" s="416" t="s">
        <v>198</v>
      </c>
      <c r="D10" s="416" t="s">
        <v>178</v>
      </c>
      <c r="E10" s="676"/>
      <c r="F10" s="676"/>
    </row>
    <row r="11">
      <c r="A11" s="834"/>
      <c r="B11" s="835">
        <v>128.0</v>
      </c>
      <c r="C11" s="416">
        <v>512.0</v>
      </c>
      <c r="D11" s="835">
        <v>7168.0</v>
      </c>
      <c r="E11" s="416">
        <v>1.0</v>
      </c>
      <c r="F11" s="676">
        <f>product(B11:E11)/1024/1024</f>
        <v>448</v>
      </c>
    </row>
    <row r="12">
      <c r="A12" s="704" t="s">
        <v>570</v>
      </c>
      <c r="B12" s="416" t="s">
        <v>104</v>
      </c>
      <c r="C12" s="416" t="s">
        <v>207</v>
      </c>
      <c r="D12" s="416" t="s">
        <v>201</v>
      </c>
      <c r="E12" s="676"/>
      <c r="F12" s="676"/>
    </row>
    <row r="13">
      <c r="A13" s="834"/>
      <c r="B13" s="416">
        <v>256.0</v>
      </c>
      <c r="C13" s="416">
        <v>128.0</v>
      </c>
      <c r="D13" s="416">
        <v>192.0</v>
      </c>
      <c r="E13" s="416">
        <v>2.0</v>
      </c>
      <c r="F13" s="676">
        <f>product(B13:E13)/1024/1024</f>
        <v>12</v>
      </c>
    </row>
    <row r="14">
      <c r="A14" s="704"/>
      <c r="B14" s="416"/>
      <c r="C14" s="416"/>
      <c r="D14" s="218"/>
      <c r="E14" s="836" t="s">
        <v>57</v>
      </c>
      <c r="F14" s="837">
        <f>F11-F13</f>
        <v>436</v>
      </c>
    </row>
    <row r="15">
      <c r="A15" s="704"/>
      <c r="B15" s="416"/>
      <c r="C15" s="416"/>
      <c r="D15" s="416"/>
      <c r="E15" s="676"/>
      <c r="F15" s="676"/>
      <c r="G15" s="218"/>
      <c r="H15" s="218"/>
    </row>
    <row r="16">
      <c r="A16" s="704" t="s">
        <v>571</v>
      </c>
      <c r="B16" s="416" t="s">
        <v>207</v>
      </c>
      <c r="C16" s="416" t="s">
        <v>201</v>
      </c>
      <c r="D16" s="416" t="s">
        <v>198</v>
      </c>
      <c r="E16" s="676"/>
      <c r="F16" s="676"/>
      <c r="G16" s="218"/>
      <c r="H16" s="218"/>
    </row>
    <row r="17">
      <c r="A17" s="834"/>
      <c r="B17" s="835">
        <v>128.0</v>
      </c>
      <c r="C17" s="835">
        <v>128.0</v>
      </c>
      <c r="D17" s="835">
        <v>512.0</v>
      </c>
      <c r="E17" s="416">
        <v>1.0</v>
      </c>
      <c r="F17" s="676">
        <f>product(B17:E17)/1024/1024</f>
        <v>8</v>
      </c>
      <c r="G17" s="218"/>
      <c r="H17" s="218"/>
    </row>
    <row r="18">
      <c r="A18" s="704" t="s">
        <v>572</v>
      </c>
      <c r="B18" s="416" t="s">
        <v>195</v>
      </c>
      <c r="C18" s="416" t="s">
        <v>207</v>
      </c>
      <c r="D18" s="416" t="s">
        <v>201</v>
      </c>
      <c r="E18" s="676"/>
      <c r="F18" s="676"/>
      <c r="G18" s="218"/>
      <c r="H18" s="218"/>
      <c r="I18" s="218"/>
      <c r="J18" s="218"/>
      <c r="K18" s="218"/>
      <c r="L18" s="218"/>
      <c r="M18" s="218"/>
    </row>
    <row r="19">
      <c r="A19" s="834"/>
      <c r="B19" s="835">
        <v>1536.0</v>
      </c>
      <c r="C19" s="835">
        <v>128.0</v>
      </c>
      <c r="D19" s="416">
        <v>128.0</v>
      </c>
      <c r="E19" s="416">
        <v>1.0</v>
      </c>
      <c r="F19" s="676">
        <f>product(B19:E19)/1024/1024</f>
        <v>24</v>
      </c>
      <c r="G19" s="218"/>
      <c r="H19" s="218"/>
      <c r="I19" s="218"/>
      <c r="J19" s="218"/>
      <c r="K19" s="218"/>
      <c r="L19" s="218"/>
      <c r="M19" s="218"/>
    </row>
    <row r="20">
      <c r="A20" s="834"/>
      <c r="B20" s="676"/>
      <c r="C20" s="676"/>
      <c r="D20" s="218"/>
      <c r="E20" s="836" t="s">
        <v>57</v>
      </c>
      <c r="F20" s="839">
        <f>F17+F19</f>
        <v>32</v>
      </c>
      <c r="G20" s="218"/>
      <c r="H20" s="218"/>
      <c r="I20" s="218"/>
      <c r="J20" s="218"/>
      <c r="K20" s="218"/>
      <c r="L20" s="218"/>
      <c r="M20" s="218"/>
    </row>
    <row r="21">
      <c r="A21" s="704"/>
      <c r="B21" s="416"/>
      <c r="C21" s="416"/>
      <c r="D21" s="416"/>
      <c r="E21" s="676"/>
      <c r="F21" s="676"/>
    </row>
    <row r="22">
      <c r="A22" s="704" t="s">
        <v>573</v>
      </c>
      <c r="B22" s="416" t="s">
        <v>207</v>
      </c>
      <c r="C22" s="416" t="s">
        <v>195</v>
      </c>
      <c r="D22" s="416" t="s">
        <v>198</v>
      </c>
      <c r="E22" s="676"/>
      <c r="F22" s="676"/>
    </row>
    <row r="23">
      <c r="A23" s="834"/>
      <c r="B23" s="835">
        <v>128.0</v>
      </c>
      <c r="C23" s="835">
        <v>1536.0</v>
      </c>
      <c r="D23" s="835">
        <v>512.0</v>
      </c>
      <c r="E23" s="416">
        <v>1.0</v>
      </c>
      <c r="F23" s="676">
        <f>product(B23:E23)/1024/1024</f>
        <v>96</v>
      </c>
    </row>
    <row r="24">
      <c r="A24" s="704" t="s">
        <v>570</v>
      </c>
      <c r="B24" s="416" t="s">
        <v>104</v>
      </c>
      <c r="C24" s="416" t="s">
        <v>207</v>
      </c>
      <c r="D24" s="416" t="s">
        <v>201</v>
      </c>
      <c r="E24" s="11"/>
      <c r="F24" s="11"/>
    </row>
    <row r="25">
      <c r="A25" s="838"/>
      <c r="B25" s="416">
        <v>256.0</v>
      </c>
      <c r="C25" s="416">
        <v>128.0</v>
      </c>
      <c r="D25" s="416">
        <v>128.0</v>
      </c>
      <c r="E25" s="416">
        <v>2.0</v>
      </c>
      <c r="F25" s="676">
        <f>product(B25:E25)/1024/1024</f>
        <v>8</v>
      </c>
    </row>
    <row r="26">
      <c r="A26" s="4"/>
      <c r="B26" s="218"/>
      <c r="C26" s="218"/>
      <c r="D26" s="218"/>
      <c r="E26" s="836" t="s">
        <v>57</v>
      </c>
      <c r="F26" s="840">
        <f>F23-F25</f>
        <v>88</v>
      </c>
    </row>
    <row r="27">
      <c r="A27" s="4"/>
      <c r="B27" s="218"/>
      <c r="C27" s="218"/>
      <c r="D27" s="218"/>
    </row>
    <row r="28">
      <c r="A28" s="4"/>
      <c r="B28" s="218"/>
      <c r="C28" s="218"/>
      <c r="D28" s="218"/>
    </row>
    <row r="29">
      <c r="A29" s="4"/>
      <c r="B29" s="218"/>
      <c r="C29" s="218"/>
      <c r="D29" s="218"/>
    </row>
    <row r="30">
      <c r="A30" s="4"/>
      <c r="B30" s="218"/>
      <c r="C30" s="218"/>
      <c r="D30" s="218"/>
    </row>
    <row r="31">
      <c r="A31" s="4"/>
      <c r="B31" s="218"/>
      <c r="C31" s="218"/>
      <c r="D31" s="218"/>
    </row>
    <row r="32">
      <c r="A32" s="4"/>
      <c r="B32" s="218"/>
      <c r="C32" s="218"/>
      <c r="D32" s="218"/>
    </row>
    <row r="33">
      <c r="A33" s="4"/>
      <c r="B33" s="218"/>
      <c r="C33" s="218"/>
      <c r="D33" s="218"/>
    </row>
    <row r="34">
      <c r="A34" s="4"/>
      <c r="B34" s="218"/>
      <c r="C34" s="218"/>
      <c r="D34" s="218"/>
    </row>
    <row r="35">
      <c r="A35" s="4"/>
      <c r="B35" s="218"/>
      <c r="C35" s="218"/>
      <c r="D35" s="218"/>
    </row>
    <row r="36">
      <c r="A36" s="4"/>
      <c r="B36" s="218"/>
      <c r="C36" s="218"/>
      <c r="D36" s="218"/>
    </row>
    <row r="37">
      <c r="A37" s="4"/>
      <c r="B37" s="218"/>
      <c r="C37" s="218"/>
      <c r="D37" s="218"/>
    </row>
    <row r="38">
      <c r="A38" s="4"/>
      <c r="B38" s="218"/>
      <c r="C38" s="218"/>
      <c r="D38" s="218"/>
    </row>
    <row r="39">
      <c r="A39" s="4"/>
      <c r="B39" s="218"/>
      <c r="C39" s="218"/>
      <c r="D39" s="218"/>
    </row>
    <row r="40">
      <c r="A40" s="4"/>
      <c r="B40" s="218"/>
      <c r="C40" s="218"/>
      <c r="D40" s="218"/>
    </row>
    <row r="41">
      <c r="A41" s="4"/>
      <c r="B41" s="218"/>
      <c r="C41" s="218"/>
      <c r="D41" s="218"/>
    </row>
    <row r="42">
      <c r="A42" s="4"/>
      <c r="B42" s="218"/>
      <c r="C42" s="218"/>
      <c r="D42" s="218"/>
    </row>
    <row r="43">
      <c r="A43" s="4"/>
      <c r="B43" s="218"/>
      <c r="C43" s="218"/>
      <c r="D43" s="218"/>
    </row>
    <row r="44">
      <c r="A44" s="4"/>
      <c r="B44" s="218"/>
      <c r="C44" s="218"/>
      <c r="D44" s="218"/>
    </row>
    <row r="45">
      <c r="A45" s="4"/>
      <c r="B45" s="218"/>
      <c r="C45" s="218"/>
      <c r="D45" s="218"/>
    </row>
    <row r="46">
      <c r="A46" s="4"/>
      <c r="B46" s="218"/>
      <c r="C46" s="218"/>
      <c r="D46" s="218"/>
    </row>
    <row r="47">
      <c r="A47" s="4"/>
      <c r="B47" s="218"/>
      <c r="C47" s="218"/>
      <c r="D47" s="218"/>
    </row>
    <row r="48">
      <c r="A48" s="4"/>
      <c r="B48" s="218"/>
      <c r="C48" s="218"/>
      <c r="D48" s="218"/>
    </row>
    <row r="49">
      <c r="A49" s="4"/>
      <c r="B49" s="218"/>
      <c r="C49" s="218"/>
      <c r="D49" s="218"/>
    </row>
    <row r="50">
      <c r="A50" s="4"/>
      <c r="B50" s="218"/>
      <c r="C50" s="218"/>
      <c r="D50" s="218"/>
    </row>
    <row r="51">
      <c r="A51" s="4"/>
      <c r="B51" s="218"/>
      <c r="C51" s="218"/>
      <c r="D51" s="218"/>
    </row>
    <row r="52">
      <c r="A52" s="4"/>
      <c r="B52" s="218"/>
      <c r="C52" s="218"/>
      <c r="D52" s="218"/>
    </row>
    <row r="53">
      <c r="A53" s="4"/>
      <c r="B53" s="218"/>
      <c r="C53" s="218"/>
      <c r="D53" s="218"/>
    </row>
    <row r="54">
      <c r="A54" s="4"/>
      <c r="B54" s="218"/>
      <c r="C54" s="218"/>
      <c r="D54" s="218"/>
    </row>
    <row r="55">
      <c r="A55" s="4"/>
      <c r="B55" s="218"/>
      <c r="C55" s="218"/>
      <c r="D55" s="218"/>
    </row>
    <row r="56">
      <c r="A56" s="4"/>
      <c r="B56" s="218"/>
      <c r="C56" s="218"/>
      <c r="D56" s="218"/>
    </row>
    <row r="57">
      <c r="A57" s="4"/>
      <c r="B57" s="218"/>
      <c r="C57" s="218"/>
      <c r="D57" s="218"/>
    </row>
    <row r="58">
      <c r="A58" s="4"/>
      <c r="B58" s="218"/>
      <c r="C58" s="218"/>
      <c r="D58" s="218"/>
    </row>
    <row r="59">
      <c r="A59" s="4"/>
      <c r="B59" s="218"/>
      <c r="C59" s="218"/>
      <c r="D59" s="218"/>
    </row>
    <row r="60">
      <c r="A60" s="4"/>
      <c r="B60" s="218"/>
      <c r="C60" s="218"/>
      <c r="D60" s="218"/>
    </row>
    <row r="61">
      <c r="A61" s="4"/>
      <c r="B61" s="218"/>
      <c r="C61" s="218"/>
      <c r="D61" s="218"/>
    </row>
    <row r="62">
      <c r="A62" s="4"/>
      <c r="B62" s="218"/>
      <c r="C62" s="218"/>
      <c r="D62" s="218"/>
    </row>
    <row r="63">
      <c r="A63" s="4"/>
      <c r="B63" s="218"/>
      <c r="C63" s="218"/>
      <c r="D63" s="218"/>
    </row>
    <row r="64">
      <c r="A64" s="4"/>
      <c r="B64" s="218"/>
      <c r="C64" s="218"/>
      <c r="D64" s="218"/>
    </row>
    <row r="65">
      <c r="A65" s="4"/>
      <c r="B65" s="218"/>
      <c r="C65" s="218"/>
      <c r="D65" s="218"/>
    </row>
    <row r="66">
      <c r="A66" s="4"/>
      <c r="B66" s="218"/>
      <c r="C66" s="218"/>
      <c r="D66" s="218"/>
    </row>
    <row r="67">
      <c r="A67" s="4"/>
      <c r="B67" s="218"/>
      <c r="C67" s="218"/>
      <c r="D67" s="218"/>
    </row>
    <row r="68">
      <c r="A68" s="4"/>
      <c r="B68" s="218"/>
      <c r="C68" s="218"/>
      <c r="D68" s="218"/>
    </row>
    <row r="69">
      <c r="A69" s="4"/>
      <c r="B69" s="218"/>
      <c r="C69" s="218"/>
      <c r="D69" s="218"/>
    </row>
    <row r="70">
      <c r="A70" s="4"/>
      <c r="B70" s="218"/>
      <c r="C70" s="218"/>
      <c r="D70" s="218"/>
    </row>
    <row r="71">
      <c r="A71" s="4"/>
      <c r="B71" s="218"/>
      <c r="C71" s="218"/>
      <c r="D71" s="218"/>
    </row>
    <row r="72">
      <c r="A72" s="4"/>
      <c r="B72" s="218"/>
      <c r="C72" s="218"/>
      <c r="D72" s="218"/>
    </row>
    <row r="73">
      <c r="A73" s="4"/>
      <c r="B73" s="218"/>
      <c r="C73" s="218"/>
      <c r="D73" s="218"/>
    </row>
    <row r="74">
      <c r="A74" s="4"/>
      <c r="B74" s="218"/>
      <c r="C74" s="218"/>
      <c r="D74" s="218"/>
    </row>
    <row r="75">
      <c r="A75" s="4"/>
      <c r="B75" s="218"/>
      <c r="C75" s="218"/>
      <c r="D75" s="218"/>
    </row>
    <row r="76">
      <c r="A76" s="4"/>
      <c r="B76" s="218"/>
      <c r="C76" s="218"/>
      <c r="D76" s="218"/>
    </row>
    <row r="77">
      <c r="A77" s="4"/>
      <c r="B77" s="218"/>
      <c r="C77" s="218"/>
      <c r="D77" s="218"/>
    </row>
    <row r="78">
      <c r="A78" s="4"/>
      <c r="B78" s="218"/>
      <c r="C78" s="218"/>
      <c r="D78" s="218"/>
    </row>
    <row r="79">
      <c r="A79" s="4"/>
      <c r="B79" s="218"/>
      <c r="C79" s="218"/>
      <c r="D79" s="218"/>
    </row>
    <row r="80">
      <c r="A80" s="4"/>
      <c r="B80" s="218"/>
      <c r="C80" s="218"/>
      <c r="D80" s="218"/>
    </row>
    <row r="81">
      <c r="A81" s="4"/>
      <c r="B81" s="218"/>
      <c r="C81" s="218"/>
      <c r="D81" s="218"/>
    </row>
    <row r="82">
      <c r="A82" s="4"/>
      <c r="B82" s="218"/>
      <c r="C82" s="218"/>
      <c r="D82" s="218"/>
    </row>
    <row r="83">
      <c r="A83" s="4"/>
      <c r="B83" s="218"/>
      <c r="C83" s="218"/>
      <c r="D83" s="218"/>
    </row>
    <row r="84">
      <c r="A84" s="4"/>
      <c r="B84" s="218"/>
      <c r="C84" s="218"/>
      <c r="D84" s="218"/>
    </row>
    <row r="85">
      <c r="A85" s="4"/>
      <c r="B85" s="218"/>
      <c r="C85" s="218"/>
      <c r="D85" s="218"/>
    </row>
    <row r="86">
      <c r="A86" s="4"/>
      <c r="B86" s="218"/>
      <c r="C86" s="218"/>
      <c r="D86" s="218"/>
    </row>
    <row r="87">
      <c r="A87" s="4"/>
      <c r="B87" s="218"/>
      <c r="C87" s="218"/>
      <c r="D87" s="218"/>
    </row>
    <row r="88">
      <c r="A88" s="4"/>
      <c r="B88" s="218"/>
      <c r="C88" s="218"/>
      <c r="D88" s="218"/>
    </row>
    <row r="89">
      <c r="A89" s="4"/>
      <c r="B89" s="218"/>
      <c r="C89" s="218"/>
      <c r="D89" s="218"/>
    </row>
    <row r="90">
      <c r="A90" s="4"/>
      <c r="B90" s="218"/>
      <c r="C90" s="218"/>
      <c r="D90" s="218"/>
    </row>
    <row r="91">
      <c r="A91" s="4"/>
      <c r="B91" s="218"/>
      <c r="C91" s="218"/>
      <c r="D91" s="218"/>
    </row>
    <row r="92">
      <c r="A92" s="4"/>
      <c r="B92" s="218"/>
      <c r="C92" s="218"/>
      <c r="D92" s="218"/>
    </row>
    <row r="93">
      <c r="A93" s="4"/>
      <c r="B93" s="218"/>
      <c r="C93" s="218"/>
      <c r="D93" s="218"/>
    </row>
    <row r="94">
      <c r="A94" s="4"/>
      <c r="B94" s="218"/>
      <c r="C94" s="218"/>
      <c r="D94" s="218"/>
    </row>
    <row r="95">
      <c r="A95" s="4"/>
      <c r="B95" s="218"/>
      <c r="C95" s="218"/>
      <c r="D95" s="218"/>
    </row>
    <row r="96">
      <c r="A96" s="4"/>
      <c r="B96" s="218"/>
      <c r="C96" s="218"/>
      <c r="D96" s="218"/>
    </row>
    <row r="97">
      <c r="A97" s="4"/>
      <c r="B97" s="218"/>
      <c r="C97" s="218"/>
      <c r="D97" s="218"/>
    </row>
    <row r="98">
      <c r="A98" s="4"/>
      <c r="B98" s="218"/>
      <c r="C98" s="218"/>
      <c r="D98" s="218"/>
    </row>
    <row r="99">
      <c r="A99" s="4"/>
      <c r="B99" s="218"/>
      <c r="C99" s="218"/>
      <c r="D99" s="218"/>
    </row>
    <row r="100">
      <c r="A100" s="4"/>
      <c r="B100" s="218"/>
      <c r="C100" s="218"/>
      <c r="D100" s="218"/>
    </row>
    <row r="101">
      <c r="A101" s="4"/>
      <c r="B101" s="218"/>
      <c r="C101" s="218"/>
      <c r="D101" s="218"/>
    </row>
    <row r="102">
      <c r="A102" s="4"/>
      <c r="B102" s="218"/>
      <c r="C102" s="218"/>
      <c r="D102" s="218"/>
    </row>
    <row r="103">
      <c r="A103" s="4"/>
      <c r="B103" s="218"/>
      <c r="C103" s="218"/>
      <c r="D103" s="218"/>
    </row>
    <row r="104">
      <c r="A104" s="4"/>
      <c r="B104" s="218"/>
      <c r="C104" s="218"/>
      <c r="D104" s="218"/>
    </row>
    <row r="105">
      <c r="A105" s="4"/>
      <c r="B105" s="218"/>
      <c r="C105" s="218"/>
      <c r="D105" s="218"/>
    </row>
    <row r="106">
      <c r="A106" s="4"/>
      <c r="B106" s="218"/>
      <c r="C106" s="218"/>
      <c r="D106" s="218"/>
    </row>
    <row r="107">
      <c r="A107" s="4"/>
      <c r="B107" s="218"/>
      <c r="C107" s="218"/>
      <c r="D107" s="218"/>
    </row>
    <row r="108">
      <c r="A108" s="4"/>
      <c r="B108" s="218"/>
      <c r="C108" s="218"/>
      <c r="D108" s="218"/>
    </row>
    <row r="109">
      <c r="A109" s="4"/>
      <c r="B109" s="218"/>
      <c r="C109" s="218"/>
      <c r="D109" s="218"/>
    </row>
    <row r="110">
      <c r="A110" s="4"/>
      <c r="B110" s="218"/>
      <c r="C110" s="218"/>
      <c r="D110" s="218"/>
    </row>
    <row r="111">
      <c r="A111" s="4"/>
      <c r="B111" s="218"/>
      <c r="C111" s="218"/>
      <c r="D111" s="218"/>
    </row>
    <row r="112">
      <c r="A112" s="4"/>
      <c r="B112" s="218"/>
      <c r="C112" s="218"/>
      <c r="D112" s="218"/>
    </row>
    <row r="113">
      <c r="A113" s="4"/>
      <c r="B113" s="218"/>
      <c r="C113" s="218"/>
      <c r="D113" s="218"/>
    </row>
    <row r="114">
      <c r="A114" s="4"/>
      <c r="B114" s="218"/>
      <c r="C114" s="218"/>
      <c r="D114" s="218"/>
    </row>
    <row r="115">
      <c r="A115" s="4"/>
      <c r="B115" s="218"/>
      <c r="C115" s="218"/>
      <c r="D115" s="218"/>
    </row>
    <row r="116">
      <c r="A116" s="4"/>
      <c r="B116" s="218"/>
      <c r="C116" s="218"/>
      <c r="D116" s="218"/>
    </row>
    <row r="117">
      <c r="A117" s="4"/>
      <c r="B117" s="218"/>
      <c r="C117" s="218"/>
      <c r="D117" s="218"/>
    </row>
    <row r="118">
      <c r="A118" s="4"/>
      <c r="B118" s="218"/>
      <c r="C118" s="218"/>
      <c r="D118" s="218"/>
    </row>
    <row r="119">
      <c r="A119" s="4"/>
      <c r="B119" s="218"/>
      <c r="C119" s="218"/>
      <c r="D119" s="218"/>
    </row>
    <row r="120">
      <c r="A120" s="4"/>
      <c r="B120" s="218"/>
      <c r="C120" s="218"/>
      <c r="D120" s="218"/>
    </row>
    <row r="121">
      <c r="A121" s="4"/>
      <c r="B121" s="218"/>
      <c r="C121" s="218"/>
      <c r="D121" s="218"/>
    </row>
    <row r="122">
      <c r="A122" s="4"/>
      <c r="B122" s="218"/>
      <c r="C122" s="218"/>
      <c r="D122" s="218"/>
    </row>
    <row r="123">
      <c r="A123" s="4"/>
      <c r="B123" s="218"/>
      <c r="C123" s="218"/>
      <c r="D123" s="218"/>
    </row>
    <row r="124">
      <c r="A124" s="4"/>
      <c r="B124" s="218"/>
      <c r="C124" s="218"/>
      <c r="D124" s="218"/>
    </row>
    <row r="125">
      <c r="A125" s="4"/>
      <c r="B125" s="218"/>
      <c r="C125" s="218"/>
      <c r="D125" s="218"/>
    </row>
    <row r="126">
      <c r="A126" s="4"/>
      <c r="B126" s="218"/>
      <c r="C126" s="218"/>
      <c r="D126" s="218"/>
    </row>
    <row r="127">
      <c r="A127" s="4"/>
      <c r="B127" s="218"/>
      <c r="C127" s="218"/>
      <c r="D127" s="218"/>
    </row>
    <row r="128">
      <c r="A128" s="4"/>
      <c r="B128" s="218"/>
      <c r="C128" s="218"/>
      <c r="D128" s="218"/>
    </row>
    <row r="129">
      <c r="A129" s="4"/>
      <c r="B129" s="218"/>
      <c r="C129" s="218"/>
      <c r="D129" s="218"/>
    </row>
    <row r="130">
      <c r="A130" s="4"/>
      <c r="B130" s="218"/>
      <c r="C130" s="218"/>
      <c r="D130" s="218"/>
    </row>
    <row r="131">
      <c r="A131" s="4"/>
      <c r="B131" s="218"/>
      <c r="C131" s="218"/>
      <c r="D131" s="218"/>
    </row>
    <row r="132">
      <c r="A132" s="4"/>
      <c r="B132" s="218"/>
      <c r="C132" s="218"/>
      <c r="D132" s="218"/>
    </row>
    <row r="133">
      <c r="A133" s="4"/>
      <c r="B133" s="218"/>
      <c r="C133" s="218"/>
      <c r="D133" s="218"/>
    </row>
    <row r="134">
      <c r="A134" s="4"/>
      <c r="B134" s="218"/>
      <c r="C134" s="218"/>
      <c r="D134" s="218"/>
    </row>
    <row r="135">
      <c r="A135" s="4"/>
      <c r="B135" s="218"/>
      <c r="C135" s="218"/>
      <c r="D135" s="218"/>
    </row>
    <row r="136">
      <c r="A136" s="4"/>
      <c r="B136" s="218"/>
      <c r="C136" s="218"/>
      <c r="D136" s="218"/>
    </row>
    <row r="137">
      <c r="A137" s="4"/>
      <c r="B137" s="218"/>
      <c r="C137" s="218"/>
      <c r="D137" s="218"/>
    </row>
    <row r="138">
      <c r="A138" s="4"/>
      <c r="B138" s="218"/>
      <c r="C138" s="218"/>
      <c r="D138" s="218"/>
    </row>
    <row r="139">
      <c r="A139" s="4"/>
      <c r="B139" s="218"/>
      <c r="C139" s="218"/>
      <c r="D139" s="218"/>
    </row>
    <row r="140">
      <c r="A140" s="4"/>
      <c r="B140" s="218"/>
      <c r="C140" s="218"/>
      <c r="D140" s="218"/>
    </row>
    <row r="141">
      <c r="A141" s="4"/>
      <c r="B141" s="218"/>
      <c r="C141" s="218"/>
      <c r="D141" s="218"/>
    </row>
    <row r="142">
      <c r="A142" s="4"/>
      <c r="B142" s="218"/>
      <c r="C142" s="218"/>
      <c r="D142" s="218"/>
    </row>
    <row r="143">
      <c r="A143" s="4"/>
      <c r="B143" s="218"/>
      <c r="C143" s="218"/>
      <c r="D143" s="218"/>
    </row>
    <row r="144">
      <c r="A144" s="4"/>
      <c r="B144" s="218"/>
      <c r="C144" s="218"/>
      <c r="D144" s="218"/>
    </row>
    <row r="145">
      <c r="A145" s="4"/>
      <c r="B145" s="218"/>
      <c r="C145" s="218"/>
      <c r="D145" s="218"/>
    </row>
    <row r="146">
      <c r="A146" s="4"/>
      <c r="B146" s="218"/>
      <c r="C146" s="218"/>
      <c r="D146" s="218"/>
    </row>
    <row r="147">
      <c r="A147" s="4"/>
      <c r="B147" s="218"/>
      <c r="C147" s="218"/>
      <c r="D147" s="218"/>
    </row>
    <row r="148">
      <c r="A148" s="4"/>
      <c r="B148" s="218"/>
      <c r="C148" s="218"/>
      <c r="D148" s="218"/>
    </row>
    <row r="149">
      <c r="A149" s="4"/>
      <c r="B149" s="218"/>
      <c r="C149" s="218"/>
      <c r="D149" s="218"/>
    </row>
    <row r="150">
      <c r="A150" s="4"/>
      <c r="B150" s="218"/>
      <c r="C150" s="218"/>
      <c r="D150" s="218"/>
    </row>
    <row r="151">
      <c r="A151" s="4"/>
      <c r="B151" s="218"/>
      <c r="C151" s="218"/>
      <c r="D151" s="218"/>
    </row>
    <row r="152">
      <c r="A152" s="4"/>
      <c r="B152" s="218"/>
      <c r="C152" s="218"/>
      <c r="D152" s="218"/>
    </row>
    <row r="153">
      <c r="A153" s="4"/>
      <c r="B153" s="218"/>
      <c r="C153" s="218"/>
      <c r="D153" s="218"/>
    </row>
    <row r="154">
      <c r="A154" s="4"/>
      <c r="B154" s="218"/>
      <c r="C154" s="218"/>
      <c r="D154" s="218"/>
    </row>
    <row r="155">
      <c r="A155" s="4"/>
      <c r="B155" s="218"/>
      <c r="C155" s="218"/>
      <c r="D155" s="218"/>
    </row>
    <row r="156">
      <c r="A156" s="4"/>
      <c r="B156" s="218"/>
      <c r="C156" s="218"/>
      <c r="D156" s="218"/>
    </row>
    <row r="157">
      <c r="A157" s="4"/>
      <c r="B157" s="218"/>
      <c r="C157" s="218"/>
      <c r="D157" s="218"/>
    </row>
    <row r="158">
      <c r="A158" s="4"/>
      <c r="B158" s="218"/>
      <c r="C158" s="218"/>
      <c r="D158" s="218"/>
    </row>
    <row r="159">
      <c r="A159" s="4"/>
      <c r="B159" s="218"/>
      <c r="C159" s="218"/>
      <c r="D159" s="218"/>
    </row>
    <row r="160">
      <c r="A160" s="4"/>
      <c r="B160" s="218"/>
      <c r="C160" s="218"/>
      <c r="D160" s="218"/>
    </row>
    <row r="161">
      <c r="A161" s="4"/>
      <c r="B161" s="218"/>
      <c r="C161" s="218"/>
      <c r="D161" s="218"/>
    </row>
    <row r="162">
      <c r="A162" s="4"/>
      <c r="B162" s="218"/>
      <c r="C162" s="218"/>
      <c r="D162" s="218"/>
    </row>
    <row r="163">
      <c r="A163" s="4"/>
      <c r="B163" s="218"/>
      <c r="C163" s="218"/>
      <c r="D163" s="218"/>
    </row>
    <row r="164">
      <c r="A164" s="4"/>
      <c r="B164" s="218"/>
      <c r="C164" s="218"/>
      <c r="D164" s="218"/>
    </row>
    <row r="165">
      <c r="A165" s="4"/>
      <c r="B165" s="218"/>
      <c r="C165" s="218"/>
      <c r="D165" s="218"/>
    </row>
    <row r="166">
      <c r="A166" s="4"/>
      <c r="B166" s="218"/>
      <c r="C166" s="218"/>
      <c r="D166" s="218"/>
    </row>
    <row r="167">
      <c r="A167" s="4"/>
      <c r="B167" s="218"/>
      <c r="C167" s="218"/>
      <c r="D167" s="218"/>
    </row>
    <row r="168">
      <c r="A168" s="4"/>
      <c r="B168" s="218"/>
      <c r="C168" s="218"/>
      <c r="D168" s="218"/>
    </row>
    <row r="169">
      <c r="A169" s="4"/>
      <c r="B169" s="218"/>
      <c r="C169" s="218"/>
      <c r="D169" s="218"/>
    </row>
    <row r="170">
      <c r="A170" s="4"/>
      <c r="B170" s="218"/>
      <c r="C170" s="218"/>
      <c r="D170" s="218"/>
    </row>
    <row r="171">
      <c r="A171" s="4"/>
      <c r="B171" s="218"/>
      <c r="C171" s="218"/>
      <c r="D171" s="218"/>
    </row>
    <row r="172">
      <c r="A172" s="4"/>
      <c r="B172" s="218"/>
      <c r="C172" s="218"/>
      <c r="D172" s="218"/>
    </row>
    <row r="173">
      <c r="A173" s="4"/>
      <c r="B173" s="218"/>
      <c r="C173" s="218"/>
      <c r="D173" s="218"/>
    </row>
    <row r="174">
      <c r="A174" s="4"/>
      <c r="B174" s="218"/>
      <c r="C174" s="218"/>
      <c r="D174" s="218"/>
    </row>
    <row r="175">
      <c r="A175" s="4"/>
      <c r="B175" s="218"/>
      <c r="C175" s="218"/>
      <c r="D175" s="218"/>
    </row>
    <row r="176">
      <c r="A176" s="4"/>
      <c r="B176" s="218"/>
      <c r="C176" s="218"/>
      <c r="D176" s="218"/>
    </row>
    <row r="177">
      <c r="A177" s="4"/>
      <c r="B177" s="218"/>
      <c r="C177" s="218"/>
      <c r="D177" s="218"/>
    </row>
    <row r="178">
      <c r="A178" s="4"/>
      <c r="B178" s="218"/>
      <c r="C178" s="218"/>
      <c r="D178" s="218"/>
    </row>
    <row r="179">
      <c r="A179" s="4"/>
      <c r="B179" s="218"/>
      <c r="C179" s="218"/>
      <c r="D179" s="218"/>
    </row>
    <row r="180">
      <c r="A180" s="4"/>
      <c r="B180" s="218"/>
      <c r="C180" s="218"/>
      <c r="D180" s="218"/>
    </row>
    <row r="181">
      <c r="A181" s="4"/>
      <c r="B181" s="218"/>
      <c r="C181" s="218"/>
      <c r="D181" s="218"/>
    </row>
    <row r="182">
      <c r="A182" s="4"/>
      <c r="B182" s="218"/>
      <c r="C182" s="218"/>
      <c r="D182" s="218"/>
    </row>
    <row r="183">
      <c r="A183" s="4"/>
      <c r="B183" s="218"/>
      <c r="C183" s="218"/>
      <c r="D183" s="218"/>
    </row>
    <row r="184">
      <c r="A184" s="4"/>
      <c r="B184" s="218"/>
      <c r="C184" s="218"/>
      <c r="D184" s="218"/>
    </row>
    <row r="185">
      <c r="A185" s="4"/>
      <c r="B185" s="218"/>
      <c r="C185" s="218"/>
      <c r="D185" s="218"/>
    </row>
    <row r="186">
      <c r="A186" s="4"/>
      <c r="B186" s="218"/>
      <c r="C186" s="218"/>
      <c r="D186" s="218"/>
    </row>
    <row r="187">
      <c r="A187" s="4"/>
      <c r="B187" s="218"/>
      <c r="C187" s="218"/>
      <c r="D187" s="218"/>
    </row>
    <row r="188">
      <c r="A188" s="4"/>
      <c r="B188" s="218"/>
      <c r="C188" s="218"/>
      <c r="D188" s="218"/>
    </row>
    <row r="189">
      <c r="A189" s="4"/>
      <c r="B189" s="218"/>
      <c r="C189" s="218"/>
      <c r="D189" s="218"/>
    </row>
    <row r="190">
      <c r="A190" s="4"/>
      <c r="B190" s="218"/>
      <c r="C190" s="218"/>
      <c r="D190" s="218"/>
    </row>
    <row r="191">
      <c r="A191" s="4"/>
      <c r="B191" s="218"/>
      <c r="C191" s="218"/>
      <c r="D191" s="218"/>
    </row>
    <row r="192">
      <c r="A192" s="4"/>
      <c r="B192" s="218"/>
      <c r="C192" s="218"/>
      <c r="D192" s="218"/>
    </row>
    <row r="193">
      <c r="A193" s="4"/>
      <c r="B193" s="218"/>
      <c r="C193" s="218"/>
      <c r="D193" s="218"/>
    </row>
    <row r="194">
      <c r="A194" s="4"/>
      <c r="B194" s="218"/>
      <c r="C194" s="218"/>
      <c r="D194" s="218"/>
    </row>
    <row r="195">
      <c r="A195" s="4"/>
      <c r="B195" s="218"/>
      <c r="C195" s="218"/>
      <c r="D195" s="218"/>
    </row>
    <row r="196">
      <c r="A196" s="4"/>
      <c r="B196" s="218"/>
      <c r="C196" s="218"/>
      <c r="D196" s="218"/>
    </row>
    <row r="197">
      <c r="A197" s="4"/>
      <c r="B197" s="218"/>
      <c r="C197" s="218"/>
      <c r="D197" s="218"/>
    </row>
    <row r="198">
      <c r="A198" s="4"/>
      <c r="B198" s="218"/>
      <c r="C198" s="218"/>
      <c r="D198" s="218"/>
    </row>
    <row r="199">
      <c r="A199" s="4"/>
      <c r="B199" s="218"/>
      <c r="C199" s="218"/>
      <c r="D199" s="218"/>
    </row>
    <row r="200">
      <c r="A200" s="4"/>
      <c r="B200" s="218"/>
      <c r="C200" s="218"/>
      <c r="D200" s="218"/>
    </row>
    <row r="201">
      <c r="A201" s="4"/>
      <c r="B201" s="218"/>
      <c r="C201" s="218"/>
      <c r="D201" s="218"/>
    </row>
    <row r="202">
      <c r="A202" s="4"/>
      <c r="B202" s="218"/>
      <c r="C202" s="218"/>
      <c r="D202" s="218"/>
    </row>
    <row r="203">
      <c r="A203" s="4"/>
      <c r="B203" s="218"/>
      <c r="C203" s="218"/>
      <c r="D203" s="218"/>
    </row>
    <row r="204">
      <c r="A204" s="4"/>
      <c r="B204" s="218"/>
      <c r="C204" s="218"/>
      <c r="D204" s="218"/>
    </row>
    <row r="205">
      <c r="A205" s="4"/>
      <c r="B205" s="218"/>
      <c r="C205" s="218"/>
      <c r="D205" s="218"/>
    </row>
    <row r="206">
      <c r="A206" s="4"/>
      <c r="B206" s="218"/>
      <c r="C206" s="218"/>
      <c r="D206" s="218"/>
    </row>
    <row r="207">
      <c r="A207" s="4"/>
      <c r="B207" s="218"/>
      <c r="C207" s="218"/>
      <c r="D207" s="218"/>
    </row>
    <row r="208">
      <c r="A208" s="4"/>
      <c r="B208" s="218"/>
      <c r="C208" s="218"/>
      <c r="D208" s="218"/>
    </row>
    <row r="209">
      <c r="A209" s="4"/>
      <c r="B209" s="218"/>
      <c r="C209" s="218"/>
      <c r="D209" s="218"/>
    </row>
    <row r="210">
      <c r="A210" s="4"/>
      <c r="B210" s="218"/>
      <c r="C210" s="218"/>
      <c r="D210" s="218"/>
    </row>
    <row r="211">
      <c r="A211" s="4"/>
      <c r="B211" s="218"/>
      <c r="C211" s="218"/>
      <c r="D211" s="218"/>
    </row>
    <row r="212">
      <c r="A212" s="4"/>
      <c r="B212" s="218"/>
      <c r="C212" s="218"/>
      <c r="D212" s="218"/>
    </row>
    <row r="213">
      <c r="A213" s="4"/>
      <c r="B213" s="218"/>
      <c r="C213" s="218"/>
      <c r="D213" s="218"/>
    </row>
    <row r="214">
      <c r="A214" s="4"/>
      <c r="B214" s="218"/>
      <c r="C214" s="218"/>
      <c r="D214" s="218"/>
    </row>
    <row r="215">
      <c r="A215" s="4"/>
      <c r="B215" s="218"/>
      <c r="C215" s="218"/>
      <c r="D215" s="218"/>
    </row>
    <row r="216">
      <c r="A216" s="4"/>
      <c r="B216" s="218"/>
      <c r="C216" s="218"/>
      <c r="D216" s="218"/>
    </row>
    <row r="217">
      <c r="A217" s="4"/>
      <c r="B217" s="218"/>
      <c r="C217" s="218"/>
      <c r="D217" s="218"/>
    </row>
    <row r="218">
      <c r="A218" s="4"/>
      <c r="B218" s="218"/>
      <c r="C218" s="218"/>
      <c r="D218" s="218"/>
    </row>
    <row r="219">
      <c r="A219" s="4"/>
      <c r="B219" s="218"/>
      <c r="C219" s="218"/>
      <c r="D219" s="218"/>
    </row>
    <row r="220">
      <c r="A220" s="4"/>
      <c r="B220" s="218"/>
      <c r="C220" s="218"/>
      <c r="D220" s="218"/>
    </row>
    <row r="221">
      <c r="A221" s="4"/>
      <c r="B221" s="218"/>
      <c r="C221" s="218"/>
      <c r="D221" s="218"/>
    </row>
    <row r="222">
      <c r="A222" s="4"/>
      <c r="B222" s="218"/>
      <c r="C222" s="218"/>
      <c r="D222" s="218"/>
    </row>
    <row r="223">
      <c r="A223" s="4"/>
      <c r="B223" s="218"/>
      <c r="C223" s="218"/>
      <c r="D223" s="218"/>
    </row>
    <row r="224">
      <c r="A224" s="4"/>
      <c r="B224" s="218"/>
      <c r="C224" s="218"/>
      <c r="D224" s="218"/>
    </row>
    <row r="225">
      <c r="A225" s="4"/>
      <c r="B225" s="218"/>
      <c r="C225" s="218"/>
      <c r="D225" s="218"/>
    </row>
    <row r="226">
      <c r="A226" s="4"/>
      <c r="B226" s="218"/>
      <c r="C226" s="218"/>
      <c r="D226" s="218"/>
    </row>
    <row r="227">
      <c r="A227" s="4"/>
      <c r="B227" s="218"/>
      <c r="C227" s="218"/>
      <c r="D227" s="218"/>
    </row>
    <row r="228">
      <c r="A228" s="4"/>
      <c r="B228" s="218"/>
      <c r="C228" s="218"/>
      <c r="D228" s="218"/>
    </row>
    <row r="229">
      <c r="A229" s="4"/>
      <c r="B229" s="218"/>
      <c r="C229" s="218"/>
      <c r="D229" s="218"/>
    </row>
    <row r="230">
      <c r="A230" s="4"/>
      <c r="B230" s="218"/>
      <c r="C230" s="218"/>
      <c r="D230" s="218"/>
    </row>
    <row r="231">
      <c r="A231" s="4"/>
      <c r="B231" s="218"/>
      <c r="C231" s="218"/>
      <c r="D231" s="218"/>
    </row>
    <row r="232">
      <c r="A232" s="4"/>
      <c r="B232" s="218"/>
      <c r="C232" s="218"/>
      <c r="D232" s="218"/>
    </row>
    <row r="233">
      <c r="A233" s="4"/>
      <c r="B233" s="218"/>
      <c r="C233" s="218"/>
      <c r="D233" s="218"/>
    </row>
    <row r="234">
      <c r="A234" s="4"/>
      <c r="B234" s="218"/>
      <c r="C234" s="218"/>
      <c r="D234" s="218"/>
    </row>
    <row r="235">
      <c r="A235" s="4"/>
      <c r="B235" s="218"/>
      <c r="C235" s="218"/>
      <c r="D235" s="218"/>
    </row>
    <row r="236">
      <c r="A236" s="4"/>
      <c r="B236" s="218"/>
      <c r="C236" s="218"/>
      <c r="D236" s="218"/>
    </row>
    <row r="237">
      <c r="A237" s="4"/>
      <c r="B237" s="218"/>
      <c r="C237" s="218"/>
      <c r="D237" s="218"/>
    </row>
    <row r="238">
      <c r="A238" s="4"/>
      <c r="B238" s="218"/>
      <c r="C238" s="218"/>
      <c r="D238" s="218"/>
    </row>
    <row r="239">
      <c r="A239" s="4"/>
      <c r="B239" s="218"/>
      <c r="C239" s="218"/>
      <c r="D239" s="218"/>
    </row>
    <row r="240">
      <c r="A240" s="4"/>
      <c r="B240" s="218"/>
      <c r="C240" s="218"/>
      <c r="D240" s="218"/>
    </row>
    <row r="241">
      <c r="A241" s="4"/>
      <c r="B241" s="218"/>
      <c r="C241" s="218"/>
      <c r="D241" s="218"/>
    </row>
    <row r="242">
      <c r="A242" s="4"/>
      <c r="B242" s="218"/>
      <c r="C242" s="218"/>
      <c r="D242" s="218"/>
    </row>
    <row r="243">
      <c r="A243" s="4"/>
      <c r="B243" s="218"/>
      <c r="C243" s="218"/>
      <c r="D243" s="218"/>
    </row>
    <row r="244">
      <c r="A244" s="4"/>
      <c r="B244" s="218"/>
      <c r="C244" s="218"/>
      <c r="D244" s="218"/>
    </row>
    <row r="245">
      <c r="A245" s="4"/>
      <c r="B245" s="218"/>
      <c r="C245" s="218"/>
      <c r="D245" s="218"/>
    </row>
    <row r="246">
      <c r="A246" s="4"/>
      <c r="B246" s="218"/>
      <c r="C246" s="218"/>
      <c r="D246" s="218"/>
    </row>
    <row r="247">
      <c r="A247" s="4"/>
      <c r="B247" s="218"/>
      <c r="C247" s="218"/>
      <c r="D247" s="218"/>
    </row>
    <row r="248">
      <c r="A248" s="4"/>
      <c r="B248" s="218"/>
      <c r="C248" s="218"/>
      <c r="D248" s="218"/>
    </row>
    <row r="249">
      <c r="A249" s="4"/>
      <c r="B249" s="218"/>
      <c r="C249" s="218"/>
      <c r="D249" s="218"/>
    </row>
    <row r="250">
      <c r="A250" s="4"/>
      <c r="B250" s="218"/>
      <c r="C250" s="218"/>
      <c r="D250" s="218"/>
    </row>
    <row r="251">
      <c r="A251" s="4"/>
      <c r="B251" s="218"/>
      <c r="C251" s="218"/>
      <c r="D251" s="218"/>
    </row>
    <row r="252">
      <c r="A252" s="4"/>
      <c r="B252" s="218"/>
      <c r="C252" s="218"/>
      <c r="D252" s="218"/>
    </row>
    <row r="253">
      <c r="A253" s="4"/>
      <c r="B253" s="218"/>
      <c r="C253" s="218"/>
      <c r="D253" s="218"/>
    </row>
    <row r="254">
      <c r="A254" s="4"/>
      <c r="B254" s="218"/>
      <c r="C254" s="218"/>
      <c r="D254" s="218"/>
    </row>
    <row r="255">
      <c r="A255" s="4"/>
      <c r="B255" s="218"/>
      <c r="C255" s="218"/>
      <c r="D255" s="218"/>
    </row>
    <row r="256">
      <c r="A256" s="4"/>
      <c r="B256" s="218"/>
      <c r="C256" s="218"/>
      <c r="D256" s="218"/>
    </row>
    <row r="257">
      <c r="A257" s="4"/>
      <c r="B257" s="218"/>
      <c r="C257" s="218"/>
      <c r="D257" s="218"/>
    </row>
    <row r="258">
      <c r="A258" s="4"/>
      <c r="B258" s="218"/>
      <c r="C258" s="218"/>
      <c r="D258" s="218"/>
    </row>
    <row r="259">
      <c r="A259" s="4"/>
      <c r="B259" s="218"/>
      <c r="C259" s="218"/>
      <c r="D259" s="218"/>
    </row>
    <row r="260">
      <c r="A260" s="4"/>
      <c r="B260" s="218"/>
      <c r="C260" s="218"/>
      <c r="D260" s="218"/>
    </row>
    <row r="261">
      <c r="A261" s="4"/>
      <c r="B261" s="218"/>
      <c r="C261" s="218"/>
      <c r="D261" s="218"/>
    </row>
    <row r="262">
      <c r="A262" s="4"/>
      <c r="B262" s="218"/>
      <c r="C262" s="218"/>
      <c r="D262" s="218"/>
    </row>
    <row r="263">
      <c r="A263" s="4"/>
      <c r="B263" s="218"/>
      <c r="C263" s="218"/>
      <c r="D263" s="218"/>
    </row>
    <row r="264">
      <c r="A264" s="4"/>
      <c r="B264" s="218"/>
      <c r="C264" s="218"/>
      <c r="D264" s="218"/>
    </row>
    <row r="265">
      <c r="A265" s="4"/>
      <c r="B265" s="218"/>
      <c r="C265" s="218"/>
      <c r="D265" s="218"/>
    </row>
    <row r="266">
      <c r="A266" s="4"/>
      <c r="B266" s="218"/>
      <c r="C266" s="218"/>
      <c r="D266" s="218"/>
    </row>
    <row r="267">
      <c r="A267" s="4"/>
      <c r="B267" s="218"/>
      <c r="C267" s="218"/>
      <c r="D267" s="218"/>
    </row>
    <row r="268">
      <c r="A268" s="4"/>
      <c r="B268" s="218"/>
      <c r="C268" s="218"/>
      <c r="D268" s="218"/>
    </row>
    <row r="269">
      <c r="A269" s="4"/>
      <c r="B269" s="218"/>
      <c r="C269" s="218"/>
      <c r="D269" s="218"/>
    </row>
    <row r="270">
      <c r="A270" s="4"/>
      <c r="B270" s="218"/>
      <c r="C270" s="218"/>
      <c r="D270" s="218"/>
    </row>
    <row r="271">
      <c r="A271" s="4"/>
      <c r="B271" s="218"/>
      <c r="C271" s="218"/>
      <c r="D271" s="218"/>
    </row>
    <row r="272">
      <c r="A272" s="4"/>
      <c r="B272" s="218"/>
      <c r="C272" s="218"/>
      <c r="D272" s="218"/>
    </row>
    <row r="273">
      <c r="A273" s="4"/>
      <c r="B273" s="218"/>
      <c r="C273" s="218"/>
      <c r="D273" s="218"/>
    </row>
    <row r="274">
      <c r="A274" s="4"/>
      <c r="B274" s="218"/>
      <c r="C274" s="218"/>
      <c r="D274" s="218"/>
    </row>
    <row r="275">
      <c r="A275" s="4"/>
      <c r="B275" s="218"/>
      <c r="C275" s="218"/>
      <c r="D275" s="218"/>
    </row>
    <row r="276">
      <c r="A276" s="4"/>
      <c r="B276" s="218"/>
      <c r="C276" s="218"/>
      <c r="D276" s="218"/>
    </row>
    <row r="277">
      <c r="A277" s="4"/>
      <c r="B277" s="218"/>
      <c r="C277" s="218"/>
      <c r="D277" s="218"/>
    </row>
    <row r="278">
      <c r="A278" s="4"/>
      <c r="B278" s="218"/>
      <c r="C278" s="218"/>
      <c r="D278" s="218"/>
    </row>
    <row r="279">
      <c r="A279" s="4"/>
      <c r="B279" s="218"/>
      <c r="C279" s="218"/>
      <c r="D279" s="218"/>
    </row>
    <row r="280">
      <c r="A280" s="4"/>
      <c r="B280" s="218"/>
      <c r="C280" s="218"/>
      <c r="D280" s="218"/>
    </row>
    <row r="281">
      <c r="A281" s="4"/>
      <c r="B281" s="218"/>
      <c r="C281" s="218"/>
      <c r="D281" s="218"/>
    </row>
    <row r="282">
      <c r="A282" s="4"/>
      <c r="B282" s="218"/>
      <c r="C282" s="218"/>
      <c r="D282" s="218"/>
    </row>
    <row r="283">
      <c r="A283" s="4"/>
      <c r="B283" s="218"/>
      <c r="C283" s="218"/>
      <c r="D283" s="218"/>
    </row>
    <row r="284">
      <c r="A284" s="4"/>
      <c r="B284" s="218"/>
      <c r="C284" s="218"/>
      <c r="D284" s="218"/>
    </row>
    <row r="285">
      <c r="A285" s="4"/>
      <c r="B285" s="218"/>
      <c r="C285" s="218"/>
      <c r="D285" s="218"/>
    </row>
    <row r="286">
      <c r="A286" s="4"/>
      <c r="B286" s="218"/>
      <c r="C286" s="218"/>
      <c r="D286" s="218"/>
    </row>
    <row r="287">
      <c r="A287" s="4"/>
      <c r="B287" s="218"/>
      <c r="C287" s="218"/>
      <c r="D287" s="218"/>
    </row>
    <row r="288">
      <c r="A288" s="4"/>
      <c r="B288" s="218"/>
      <c r="C288" s="218"/>
      <c r="D288" s="218"/>
    </row>
    <row r="289">
      <c r="A289" s="4"/>
      <c r="B289" s="218"/>
      <c r="C289" s="218"/>
      <c r="D289" s="218"/>
    </row>
    <row r="290">
      <c r="A290" s="4"/>
      <c r="B290" s="218"/>
      <c r="C290" s="218"/>
      <c r="D290" s="218"/>
    </row>
    <row r="291">
      <c r="A291" s="4"/>
      <c r="B291" s="218"/>
      <c r="C291" s="218"/>
      <c r="D291" s="218"/>
    </row>
    <row r="292">
      <c r="A292" s="4"/>
      <c r="B292" s="218"/>
      <c r="C292" s="218"/>
      <c r="D292" s="218"/>
    </row>
    <row r="293">
      <c r="A293" s="4"/>
      <c r="B293" s="218"/>
      <c r="C293" s="218"/>
      <c r="D293" s="218"/>
    </row>
    <row r="294">
      <c r="A294" s="4"/>
      <c r="B294" s="218"/>
      <c r="C294" s="218"/>
      <c r="D294" s="218"/>
    </row>
    <row r="295">
      <c r="A295" s="4"/>
      <c r="B295" s="218"/>
      <c r="C295" s="218"/>
      <c r="D295" s="218"/>
    </row>
    <row r="296">
      <c r="A296" s="4"/>
      <c r="B296" s="218"/>
      <c r="C296" s="218"/>
      <c r="D296" s="218"/>
    </row>
    <row r="297">
      <c r="A297" s="4"/>
      <c r="B297" s="218"/>
      <c r="C297" s="218"/>
      <c r="D297" s="218"/>
    </row>
    <row r="298">
      <c r="A298" s="4"/>
      <c r="B298" s="218"/>
      <c r="C298" s="218"/>
      <c r="D298" s="218"/>
    </row>
    <row r="299">
      <c r="A299" s="4"/>
      <c r="B299" s="218"/>
      <c r="C299" s="218"/>
      <c r="D299" s="218"/>
    </row>
    <row r="300">
      <c r="A300" s="4"/>
      <c r="B300" s="218"/>
      <c r="C300" s="218"/>
      <c r="D300" s="218"/>
    </row>
    <row r="301">
      <c r="A301" s="4"/>
      <c r="B301" s="218"/>
      <c r="C301" s="218"/>
      <c r="D301" s="218"/>
    </row>
    <row r="302">
      <c r="A302" s="4"/>
      <c r="B302" s="218"/>
      <c r="C302" s="218"/>
      <c r="D302" s="218"/>
    </row>
    <row r="303">
      <c r="A303" s="4"/>
      <c r="B303" s="218"/>
      <c r="C303" s="218"/>
      <c r="D303" s="218"/>
    </row>
    <row r="304">
      <c r="A304" s="4"/>
      <c r="B304" s="218"/>
      <c r="C304" s="218"/>
      <c r="D304" s="218"/>
    </row>
    <row r="305">
      <c r="A305" s="4"/>
      <c r="B305" s="218"/>
      <c r="C305" s="218"/>
      <c r="D305" s="218"/>
    </row>
    <row r="306">
      <c r="A306" s="4"/>
      <c r="B306" s="218"/>
      <c r="C306" s="218"/>
      <c r="D306" s="218"/>
    </row>
    <row r="307">
      <c r="A307" s="4"/>
      <c r="B307" s="218"/>
      <c r="C307" s="218"/>
      <c r="D307" s="218"/>
    </row>
    <row r="308">
      <c r="A308" s="4"/>
      <c r="B308" s="218"/>
      <c r="C308" s="218"/>
      <c r="D308" s="218"/>
    </row>
    <row r="309">
      <c r="A309" s="4"/>
      <c r="B309" s="218"/>
      <c r="C309" s="218"/>
      <c r="D309" s="218"/>
    </row>
    <row r="310">
      <c r="A310" s="4"/>
      <c r="B310" s="218"/>
      <c r="C310" s="218"/>
      <c r="D310" s="218"/>
    </row>
    <row r="311">
      <c r="A311" s="4"/>
      <c r="B311" s="218"/>
      <c r="C311" s="218"/>
      <c r="D311" s="218"/>
    </row>
    <row r="312">
      <c r="A312" s="4"/>
      <c r="B312" s="218"/>
      <c r="C312" s="218"/>
      <c r="D312" s="218"/>
    </row>
    <row r="313">
      <c r="A313" s="4"/>
      <c r="B313" s="218"/>
      <c r="C313" s="218"/>
      <c r="D313" s="218"/>
    </row>
    <row r="314">
      <c r="A314" s="4"/>
      <c r="B314" s="218"/>
      <c r="C314" s="218"/>
      <c r="D314" s="218"/>
    </row>
    <row r="315">
      <c r="A315" s="4"/>
      <c r="B315" s="218"/>
      <c r="C315" s="218"/>
      <c r="D315" s="218"/>
    </row>
    <row r="316">
      <c r="A316" s="4"/>
      <c r="B316" s="218"/>
      <c r="C316" s="218"/>
      <c r="D316" s="218"/>
    </row>
    <row r="317">
      <c r="A317" s="4"/>
      <c r="B317" s="218"/>
      <c r="C317" s="218"/>
      <c r="D317" s="218"/>
    </row>
    <row r="318">
      <c r="A318" s="4"/>
      <c r="B318" s="218"/>
      <c r="C318" s="218"/>
      <c r="D318" s="218"/>
    </row>
    <row r="319">
      <c r="A319" s="4"/>
      <c r="B319" s="218"/>
      <c r="C319" s="218"/>
      <c r="D319" s="218"/>
    </row>
    <row r="320">
      <c r="A320" s="4"/>
      <c r="B320" s="218"/>
      <c r="C320" s="218"/>
      <c r="D320" s="218"/>
    </row>
    <row r="321">
      <c r="A321" s="4"/>
      <c r="B321" s="218"/>
      <c r="C321" s="218"/>
      <c r="D321" s="218"/>
    </row>
    <row r="322">
      <c r="A322" s="4"/>
      <c r="B322" s="218"/>
      <c r="C322" s="218"/>
      <c r="D322" s="218"/>
    </row>
    <row r="323">
      <c r="A323" s="4"/>
      <c r="B323" s="218"/>
      <c r="C323" s="218"/>
      <c r="D323" s="218"/>
    </row>
    <row r="324">
      <c r="A324" s="4"/>
      <c r="B324" s="218"/>
      <c r="C324" s="218"/>
      <c r="D324" s="218"/>
    </row>
    <row r="325">
      <c r="A325" s="4"/>
      <c r="B325" s="218"/>
      <c r="C325" s="218"/>
      <c r="D325" s="218"/>
    </row>
    <row r="326">
      <c r="A326" s="4"/>
      <c r="B326" s="218"/>
      <c r="C326" s="218"/>
      <c r="D326" s="218"/>
    </row>
    <row r="327">
      <c r="A327" s="4"/>
      <c r="B327" s="218"/>
      <c r="C327" s="218"/>
      <c r="D327" s="218"/>
    </row>
    <row r="328">
      <c r="A328" s="4"/>
      <c r="B328" s="218"/>
      <c r="C328" s="218"/>
      <c r="D328" s="218"/>
    </row>
    <row r="329">
      <c r="A329" s="4"/>
      <c r="B329" s="218"/>
      <c r="C329" s="218"/>
      <c r="D329" s="218"/>
    </row>
    <row r="330">
      <c r="A330" s="4"/>
      <c r="B330" s="218"/>
      <c r="C330" s="218"/>
      <c r="D330" s="218"/>
    </row>
    <row r="331">
      <c r="A331" s="4"/>
      <c r="B331" s="218"/>
      <c r="C331" s="218"/>
      <c r="D331" s="218"/>
    </row>
    <row r="332">
      <c r="A332" s="4"/>
      <c r="B332" s="218"/>
      <c r="C332" s="218"/>
      <c r="D332" s="218"/>
    </row>
    <row r="333">
      <c r="A333" s="4"/>
      <c r="B333" s="218"/>
      <c r="C333" s="218"/>
      <c r="D333" s="218"/>
    </row>
    <row r="334">
      <c r="A334" s="4"/>
      <c r="B334" s="218"/>
      <c r="C334" s="218"/>
      <c r="D334" s="218"/>
    </row>
    <row r="335">
      <c r="A335" s="4"/>
      <c r="B335" s="218"/>
      <c r="C335" s="218"/>
      <c r="D335" s="218"/>
    </row>
    <row r="336">
      <c r="A336" s="4"/>
      <c r="B336" s="218"/>
      <c r="C336" s="218"/>
      <c r="D336" s="218"/>
    </row>
    <row r="337">
      <c r="A337" s="4"/>
      <c r="B337" s="218"/>
      <c r="C337" s="218"/>
      <c r="D337" s="218"/>
    </row>
    <row r="338">
      <c r="A338" s="4"/>
      <c r="B338" s="218"/>
      <c r="C338" s="218"/>
      <c r="D338" s="218"/>
    </row>
    <row r="339">
      <c r="A339" s="4"/>
      <c r="B339" s="218"/>
      <c r="C339" s="218"/>
      <c r="D339" s="218"/>
    </row>
    <row r="340">
      <c r="A340" s="4"/>
      <c r="B340" s="218"/>
      <c r="C340" s="218"/>
      <c r="D340" s="218"/>
    </row>
    <row r="341">
      <c r="A341" s="4"/>
      <c r="B341" s="218"/>
      <c r="C341" s="218"/>
      <c r="D341" s="218"/>
    </row>
    <row r="342">
      <c r="A342" s="4"/>
      <c r="B342" s="218"/>
      <c r="C342" s="218"/>
      <c r="D342" s="218"/>
    </row>
    <row r="343">
      <c r="A343" s="4"/>
      <c r="B343" s="218"/>
      <c r="C343" s="218"/>
      <c r="D343" s="218"/>
    </row>
    <row r="344">
      <c r="A344" s="4"/>
      <c r="B344" s="218"/>
      <c r="C344" s="218"/>
      <c r="D344" s="218"/>
    </row>
    <row r="345">
      <c r="A345" s="4"/>
      <c r="B345" s="218"/>
      <c r="C345" s="218"/>
      <c r="D345" s="218"/>
    </row>
    <row r="346">
      <c r="A346" s="4"/>
      <c r="B346" s="218"/>
      <c r="C346" s="218"/>
      <c r="D346" s="218"/>
    </row>
    <row r="347">
      <c r="A347" s="4"/>
      <c r="B347" s="218"/>
      <c r="C347" s="218"/>
      <c r="D347" s="218"/>
    </row>
    <row r="348">
      <c r="A348" s="4"/>
      <c r="B348" s="218"/>
      <c r="C348" s="218"/>
      <c r="D348" s="218"/>
    </row>
    <row r="349">
      <c r="A349" s="4"/>
      <c r="B349" s="218"/>
      <c r="C349" s="218"/>
      <c r="D349" s="218"/>
    </row>
    <row r="350">
      <c r="A350" s="4"/>
      <c r="B350" s="218"/>
      <c r="C350" s="218"/>
      <c r="D350" s="218"/>
    </row>
    <row r="351">
      <c r="A351" s="4"/>
      <c r="B351" s="218"/>
      <c r="C351" s="218"/>
      <c r="D351" s="218"/>
    </row>
    <row r="352">
      <c r="A352" s="4"/>
      <c r="B352" s="218"/>
      <c r="C352" s="218"/>
      <c r="D352" s="218"/>
    </row>
    <row r="353">
      <c r="A353" s="4"/>
      <c r="B353" s="218"/>
      <c r="C353" s="218"/>
      <c r="D353" s="218"/>
    </row>
    <row r="354">
      <c r="A354" s="4"/>
      <c r="B354" s="218"/>
      <c r="C354" s="218"/>
      <c r="D354" s="218"/>
    </row>
    <row r="355">
      <c r="A355" s="4"/>
      <c r="B355" s="218"/>
      <c r="C355" s="218"/>
      <c r="D355" s="218"/>
    </row>
    <row r="356">
      <c r="A356" s="4"/>
      <c r="B356" s="218"/>
      <c r="C356" s="218"/>
      <c r="D356" s="218"/>
    </row>
    <row r="357">
      <c r="A357" s="4"/>
      <c r="B357" s="218"/>
      <c r="C357" s="218"/>
      <c r="D357" s="218"/>
    </row>
    <row r="358">
      <c r="A358" s="4"/>
      <c r="B358" s="218"/>
      <c r="C358" s="218"/>
      <c r="D358" s="218"/>
    </row>
    <row r="359">
      <c r="A359" s="4"/>
      <c r="B359" s="218"/>
      <c r="C359" s="218"/>
      <c r="D359" s="218"/>
    </row>
    <row r="360">
      <c r="A360" s="4"/>
      <c r="B360" s="218"/>
      <c r="C360" s="218"/>
      <c r="D360" s="218"/>
    </row>
    <row r="361">
      <c r="A361" s="4"/>
      <c r="B361" s="218"/>
      <c r="C361" s="218"/>
      <c r="D361" s="218"/>
    </row>
    <row r="362">
      <c r="A362" s="4"/>
      <c r="B362" s="218"/>
      <c r="C362" s="218"/>
      <c r="D362" s="218"/>
    </row>
    <row r="363">
      <c r="A363" s="4"/>
      <c r="B363" s="218"/>
      <c r="C363" s="218"/>
      <c r="D363" s="218"/>
    </row>
    <row r="364">
      <c r="A364" s="4"/>
      <c r="B364" s="218"/>
      <c r="C364" s="218"/>
      <c r="D364" s="218"/>
    </row>
    <row r="365">
      <c r="A365" s="4"/>
      <c r="B365" s="218"/>
      <c r="C365" s="218"/>
      <c r="D365" s="218"/>
    </row>
    <row r="366">
      <c r="A366" s="4"/>
      <c r="B366" s="218"/>
      <c r="C366" s="218"/>
      <c r="D366" s="218"/>
    </row>
    <row r="367">
      <c r="A367" s="4"/>
      <c r="B367" s="218"/>
      <c r="C367" s="218"/>
      <c r="D367" s="218"/>
    </row>
    <row r="368">
      <c r="A368" s="4"/>
      <c r="B368" s="218"/>
      <c r="C368" s="218"/>
      <c r="D368" s="218"/>
    </row>
    <row r="369">
      <c r="A369" s="4"/>
      <c r="B369" s="218"/>
      <c r="C369" s="218"/>
      <c r="D369" s="218"/>
    </row>
    <row r="370">
      <c r="A370" s="4"/>
      <c r="B370" s="218"/>
      <c r="C370" s="218"/>
      <c r="D370" s="218"/>
    </row>
    <row r="371">
      <c r="A371" s="4"/>
      <c r="B371" s="218"/>
      <c r="C371" s="218"/>
      <c r="D371" s="218"/>
    </row>
    <row r="372">
      <c r="A372" s="4"/>
      <c r="B372" s="218"/>
      <c r="C372" s="218"/>
      <c r="D372" s="218"/>
    </row>
    <row r="373">
      <c r="A373" s="4"/>
      <c r="B373" s="218"/>
      <c r="C373" s="218"/>
      <c r="D373" s="218"/>
    </row>
    <row r="374">
      <c r="A374" s="4"/>
      <c r="B374" s="218"/>
      <c r="C374" s="218"/>
      <c r="D374" s="218"/>
    </row>
    <row r="375">
      <c r="A375" s="4"/>
      <c r="B375" s="218"/>
      <c r="C375" s="218"/>
      <c r="D375" s="218"/>
    </row>
    <row r="376">
      <c r="A376" s="4"/>
      <c r="B376" s="218"/>
      <c r="C376" s="218"/>
      <c r="D376" s="218"/>
    </row>
    <row r="377">
      <c r="A377" s="4"/>
      <c r="B377" s="218"/>
      <c r="C377" s="218"/>
      <c r="D377" s="218"/>
    </row>
    <row r="378">
      <c r="A378" s="4"/>
      <c r="B378" s="218"/>
      <c r="C378" s="218"/>
      <c r="D378" s="218"/>
    </row>
    <row r="379">
      <c r="A379" s="4"/>
      <c r="B379" s="218"/>
      <c r="C379" s="218"/>
      <c r="D379" s="218"/>
    </row>
    <row r="380">
      <c r="A380" s="4"/>
      <c r="B380" s="218"/>
      <c r="C380" s="218"/>
      <c r="D380" s="218"/>
    </row>
    <row r="381">
      <c r="A381" s="4"/>
      <c r="B381" s="218"/>
      <c r="C381" s="218"/>
      <c r="D381" s="218"/>
    </row>
    <row r="382">
      <c r="A382" s="4"/>
      <c r="B382" s="218"/>
      <c r="C382" s="218"/>
      <c r="D382" s="218"/>
    </row>
    <row r="383">
      <c r="A383" s="4"/>
      <c r="B383" s="218"/>
      <c r="C383" s="218"/>
      <c r="D383" s="218"/>
    </row>
    <row r="384">
      <c r="A384" s="4"/>
      <c r="B384" s="218"/>
      <c r="C384" s="218"/>
      <c r="D384" s="218"/>
    </row>
    <row r="385">
      <c r="A385" s="4"/>
      <c r="B385" s="218"/>
      <c r="C385" s="218"/>
      <c r="D385" s="218"/>
    </row>
    <row r="386">
      <c r="A386" s="4"/>
      <c r="B386" s="218"/>
      <c r="C386" s="218"/>
      <c r="D386" s="218"/>
    </row>
    <row r="387">
      <c r="A387" s="4"/>
      <c r="B387" s="218"/>
      <c r="C387" s="218"/>
      <c r="D387" s="218"/>
    </row>
    <row r="388">
      <c r="A388" s="4"/>
      <c r="B388" s="218"/>
      <c r="C388" s="218"/>
      <c r="D388" s="218"/>
    </row>
    <row r="389">
      <c r="A389" s="4"/>
      <c r="B389" s="218"/>
      <c r="C389" s="218"/>
      <c r="D389" s="218"/>
    </row>
    <row r="390">
      <c r="A390" s="4"/>
      <c r="B390" s="218"/>
      <c r="C390" s="218"/>
      <c r="D390" s="218"/>
    </row>
    <row r="391">
      <c r="A391" s="4"/>
      <c r="B391" s="218"/>
      <c r="C391" s="218"/>
      <c r="D391" s="218"/>
    </row>
    <row r="392">
      <c r="A392" s="4"/>
      <c r="B392" s="218"/>
      <c r="C392" s="218"/>
      <c r="D392" s="218"/>
    </row>
    <row r="393">
      <c r="A393" s="4"/>
      <c r="B393" s="218"/>
      <c r="C393" s="218"/>
      <c r="D393" s="218"/>
    </row>
    <row r="394">
      <c r="A394" s="4"/>
      <c r="B394" s="218"/>
      <c r="C394" s="218"/>
      <c r="D394" s="218"/>
    </row>
    <row r="395">
      <c r="A395" s="4"/>
      <c r="B395" s="218"/>
      <c r="C395" s="218"/>
      <c r="D395" s="218"/>
    </row>
    <row r="396">
      <c r="A396" s="4"/>
      <c r="B396" s="218"/>
      <c r="C396" s="218"/>
      <c r="D396" s="218"/>
    </row>
    <row r="397">
      <c r="A397" s="4"/>
      <c r="B397" s="218"/>
      <c r="C397" s="218"/>
      <c r="D397" s="218"/>
    </row>
    <row r="398">
      <c r="A398" s="4"/>
      <c r="B398" s="218"/>
      <c r="C398" s="218"/>
      <c r="D398" s="218"/>
    </row>
    <row r="399">
      <c r="A399" s="4"/>
      <c r="B399" s="218"/>
      <c r="C399" s="218"/>
      <c r="D399" s="218"/>
    </row>
    <row r="400">
      <c r="A400" s="4"/>
      <c r="B400" s="218"/>
      <c r="C400" s="218"/>
      <c r="D400" s="218"/>
    </row>
    <row r="401">
      <c r="A401" s="4"/>
      <c r="B401" s="218"/>
      <c r="C401" s="218"/>
      <c r="D401" s="218"/>
    </row>
    <row r="402">
      <c r="A402" s="4"/>
      <c r="B402" s="218"/>
      <c r="C402" s="218"/>
      <c r="D402" s="218"/>
    </row>
    <row r="403">
      <c r="A403" s="4"/>
      <c r="B403" s="218"/>
      <c r="C403" s="218"/>
      <c r="D403" s="218"/>
    </row>
    <row r="404">
      <c r="A404" s="4"/>
      <c r="B404" s="218"/>
      <c r="C404" s="218"/>
      <c r="D404" s="218"/>
    </row>
    <row r="405">
      <c r="A405" s="4"/>
      <c r="B405" s="218"/>
      <c r="C405" s="218"/>
      <c r="D405" s="218"/>
    </row>
    <row r="406">
      <c r="A406" s="4"/>
      <c r="B406" s="218"/>
      <c r="C406" s="218"/>
      <c r="D406" s="218"/>
    </row>
    <row r="407">
      <c r="A407" s="4"/>
      <c r="B407" s="218"/>
      <c r="C407" s="218"/>
      <c r="D407" s="218"/>
    </row>
    <row r="408">
      <c r="A408" s="4"/>
      <c r="B408" s="218"/>
      <c r="C408" s="218"/>
      <c r="D408" s="218"/>
    </row>
    <row r="409">
      <c r="A409" s="4"/>
      <c r="B409" s="218"/>
      <c r="C409" s="218"/>
      <c r="D409" s="218"/>
    </row>
    <row r="410">
      <c r="A410" s="4"/>
      <c r="B410" s="218"/>
      <c r="C410" s="218"/>
      <c r="D410" s="218"/>
    </row>
    <row r="411">
      <c r="A411" s="4"/>
      <c r="B411" s="218"/>
      <c r="C411" s="218"/>
      <c r="D411" s="218"/>
    </row>
    <row r="412">
      <c r="A412" s="4"/>
      <c r="B412" s="218"/>
      <c r="C412" s="218"/>
      <c r="D412" s="218"/>
    </row>
    <row r="413">
      <c r="A413" s="4"/>
      <c r="B413" s="218"/>
      <c r="C413" s="218"/>
      <c r="D413" s="218"/>
    </row>
    <row r="414">
      <c r="A414" s="4"/>
      <c r="B414" s="218"/>
      <c r="C414" s="218"/>
      <c r="D414" s="218"/>
    </row>
    <row r="415">
      <c r="A415" s="4"/>
      <c r="B415" s="218"/>
      <c r="C415" s="218"/>
      <c r="D415" s="218"/>
    </row>
    <row r="416">
      <c r="A416" s="4"/>
      <c r="B416" s="218"/>
      <c r="C416" s="218"/>
      <c r="D416" s="218"/>
    </row>
    <row r="417">
      <c r="A417" s="4"/>
      <c r="B417" s="218"/>
      <c r="C417" s="218"/>
      <c r="D417" s="218"/>
    </row>
    <row r="418">
      <c r="A418" s="4"/>
      <c r="B418" s="218"/>
      <c r="C418" s="218"/>
      <c r="D418" s="218"/>
    </row>
    <row r="419">
      <c r="A419" s="4"/>
      <c r="B419" s="218"/>
      <c r="C419" s="218"/>
      <c r="D419" s="218"/>
    </row>
    <row r="420">
      <c r="A420" s="4"/>
      <c r="B420" s="218"/>
      <c r="C420" s="218"/>
      <c r="D420" s="218"/>
    </row>
    <row r="421">
      <c r="A421" s="4"/>
      <c r="B421" s="218"/>
      <c r="C421" s="218"/>
      <c r="D421" s="218"/>
    </row>
    <row r="422">
      <c r="A422" s="4"/>
      <c r="B422" s="218"/>
      <c r="C422" s="218"/>
      <c r="D422" s="218"/>
    </row>
    <row r="423">
      <c r="A423" s="4"/>
      <c r="B423" s="218"/>
      <c r="C423" s="218"/>
      <c r="D423" s="218"/>
    </row>
    <row r="424">
      <c r="A424" s="4"/>
      <c r="B424" s="218"/>
      <c r="C424" s="218"/>
      <c r="D424" s="218"/>
    </row>
    <row r="425">
      <c r="A425" s="4"/>
      <c r="B425" s="218"/>
      <c r="C425" s="218"/>
      <c r="D425" s="218"/>
    </row>
    <row r="426">
      <c r="A426" s="4"/>
      <c r="B426" s="218"/>
      <c r="C426" s="218"/>
      <c r="D426" s="218"/>
    </row>
    <row r="427">
      <c r="A427" s="4"/>
      <c r="B427" s="218"/>
      <c r="C427" s="218"/>
      <c r="D427" s="218"/>
    </row>
    <row r="428">
      <c r="A428" s="4"/>
      <c r="B428" s="218"/>
      <c r="C428" s="218"/>
      <c r="D428" s="218"/>
    </row>
    <row r="429">
      <c r="A429" s="4"/>
      <c r="B429" s="218"/>
      <c r="C429" s="218"/>
      <c r="D429" s="218"/>
    </row>
    <row r="430">
      <c r="A430" s="4"/>
      <c r="B430" s="218"/>
      <c r="C430" s="218"/>
      <c r="D430" s="218"/>
    </row>
    <row r="431">
      <c r="A431" s="4"/>
      <c r="B431" s="218"/>
      <c r="C431" s="218"/>
      <c r="D431" s="218"/>
    </row>
    <row r="432">
      <c r="A432" s="4"/>
      <c r="B432" s="218"/>
      <c r="C432" s="218"/>
      <c r="D432" s="218"/>
    </row>
    <row r="433">
      <c r="A433" s="4"/>
      <c r="B433" s="218"/>
      <c r="C433" s="218"/>
      <c r="D433" s="218"/>
    </row>
    <row r="434">
      <c r="A434" s="4"/>
      <c r="B434" s="218"/>
      <c r="C434" s="218"/>
      <c r="D434" s="218"/>
    </row>
    <row r="435">
      <c r="A435" s="4"/>
      <c r="B435" s="218"/>
      <c r="C435" s="218"/>
      <c r="D435" s="218"/>
    </row>
    <row r="436">
      <c r="A436" s="4"/>
      <c r="B436" s="218"/>
      <c r="C436" s="218"/>
      <c r="D436" s="218"/>
    </row>
    <row r="437">
      <c r="A437" s="4"/>
      <c r="B437" s="218"/>
      <c r="C437" s="218"/>
      <c r="D437" s="218"/>
    </row>
    <row r="438">
      <c r="A438" s="4"/>
      <c r="B438" s="218"/>
      <c r="C438" s="218"/>
      <c r="D438" s="218"/>
    </row>
    <row r="439">
      <c r="A439" s="4"/>
      <c r="B439" s="218"/>
      <c r="C439" s="218"/>
      <c r="D439" s="218"/>
    </row>
    <row r="440">
      <c r="A440" s="4"/>
      <c r="B440" s="218"/>
      <c r="C440" s="218"/>
      <c r="D440" s="218"/>
    </row>
    <row r="441">
      <c r="A441" s="4"/>
      <c r="B441" s="218"/>
      <c r="C441" s="218"/>
      <c r="D441" s="218"/>
    </row>
    <row r="442">
      <c r="A442" s="4"/>
      <c r="B442" s="218"/>
      <c r="C442" s="218"/>
      <c r="D442" s="218"/>
    </row>
    <row r="443">
      <c r="A443" s="4"/>
      <c r="B443" s="218"/>
      <c r="C443" s="218"/>
      <c r="D443" s="218"/>
    </row>
    <row r="444">
      <c r="A444" s="4"/>
      <c r="B444" s="218"/>
      <c r="C444" s="218"/>
      <c r="D444" s="218"/>
    </row>
    <row r="445">
      <c r="A445" s="4"/>
      <c r="B445" s="218"/>
      <c r="C445" s="218"/>
      <c r="D445" s="218"/>
    </row>
    <row r="446">
      <c r="A446" s="4"/>
      <c r="B446" s="218"/>
      <c r="C446" s="218"/>
      <c r="D446" s="218"/>
    </row>
    <row r="447">
      <c r="A447" s="4"/>
      <c r="B447" s="218"/>
      <c r="C447" s="218"/>
      <c r="D447" s="218"/>
    </row>
    <row r="448">
      <c r="A448" s="4"/>
      <c r="B448" s="218"/>
      <c r="C448" s="218"/>
      <c r="D448" s="218"/>
    </row>
    <row r="449">
      <c r="A449" s="4"/>
      <c r="B449" s="218"/>
      <c r="C449" s="218"/>
      <c r="D449" s="218"/>
    </row>
    <row r="450">
      <c r="A450" s="4"/>
      <c r="B450" s="218"/>
      <c r="C450" s="218"/>
      <c r="D450" s="218"/>
    </row>
    <row r="451">
      <c r="A451" s="4"/>
      <c r="B451" s="218"/>
      <c r="C451" s="218"/>
      <c r="D451" s="218"/>
    </row>
    <row r="452">
      <c r="A452" s="4"/>
      <c r="B452" s="218"/>
      <c r="C452" s="218"/>
      <c r="D452" s="218"/>
    </row>
    <row r="453">
      <c r="A453" s="4"/>
      <c r="B453" s="218"/>
      <c r="C453" s="218"/>
      <c r="D453" s="218"/>
    </row>
    <row r="454">
      <c r="A454" s="4"/>
      <c r="B454" s="218"/>
      <c r="C454" s="218"/>
      <c r="D454" s="218"/>
    </row>
    <row r="455">
      <c r="A455" s="4"/>
      <c r="B455" s="218"/>
      <c r="C455" s="218"/>
      <c r="D455" s="218"/>
    </row>
    <row r="456">
      <c r="A456" s="4"/>
      <c r="B456" s="218"/>
      <c r="C456" s="218"/>
      <c r="D456" s="218"/>
    </row>
    <row r="457">
      <c r="A457" s="4"/>
      <c r="B457" s="218"/>
      <c r="C457" s="218"/>
      <c r="D457" s="218"/>
    </row>
    <row r="458">
      <c r="A458" s="4"/>
      <c r="B458" s="218"/>
      <c r="C458" s="218"/>
      <c r="D458" s="218"/>
    </row>
    <row r="459">
      <c r="A459" s="4"/>
      <c r="B459" s="218"/>
      <c r="C459" s="218"/>
      <c r="D459" s="218"/>
    </row>
    <row r="460">
      <c r="A460" s="4"/>
      <c r="B460" s="218"/>
      <c r="C460" s="218"/>
      <c r="D460" s="218"/>
    </row>
    <row r="461">
      <c r="A461" s="4"/>
      <c r="B461" s="218"/>
      <c r="C461" s="218"/>
      <c r="D461" s="218"/>
    </row>
    <row r="462">
      <c r="A462" s="4"/>
      <c r="B462" s="218"/>
      <c r="C462" s="218"/>
      <c r="D462" s="218"/>
    </row>
    <row r="463">
      <c r="A463" s="4"/>
      <c r="B463" s="218"/>
      <c r="C463" s="218"/>
      <c r="D463" s="218"/>
    </row>
    <row r="464">
      <c r="A464" s="4"/>
      <c r="B464" s="218"/>
      <c r="C464" s="218"/>
      <c r="D464" s="218"/>
    </row>
    <row r="465">
      <c r="A465" s="4"/>
      <c r="B465" s="218"/>
      <c r="C465" s="218"/>
      <c r="D465" s="218"/>
    </row>
    <row r="466">
      <c r="A466" s="4"/>
      <c r="B466" s="218"/>
      <c r="C466" s="218"/>
      <c r="D466" s="218"/>
    </row>
    <row r="467">
      <c r="A467" s="4"/>
      <c r="B467" s="218"/>
      <c r="C467" s="218"/>
      <c r="D467" s="218"/>
    </row>
    <row r="468">
      <c r="A468" s="4"/>
      <c r="B468" s="218"/>
      <c r="C468" s="218"/>
      <c r="D468" s="218"/>
    </row>
    <row r="469">
      <c r="A469" s="4"/>
      <c r="B469" s="218"/>
      <c r="C469" s="218"/>
      <c r="D469" s="218"/>
    </row>
    <row r="470">
      <c r="A470" s="4"/>
      <c r="B470" s="218"/>
      <c r="C470" s="218"/>
      <c r="D470" s="218"/>
    </row>
    <row r="471">
      <c r="A471" s="4"/>
      <c r="B471" s="218"/>
      <c r="C471" s="218"/>
      <c r="D471" s="218"/>
    </row>
    <row r="472">
      <c r="A472" s="4"/>
      <c r="B472" s="218"/>
      <c r="C472" s="218"/>
      <c r="D472" s="218"/>
    </row>
    <row r="473">
      <c r="A473" s="4"/>
      <c r="B473" s="218"/>
      <c r="C473" s="218"/>
      <c r="D473" s="218"/>
    </row>
    <row r="474">
      <c r="A474" s="4"/>
      <c r="B474" s="218"/>
      <c r="C474" s="218"/>
      <c r="D474" s="218"/>
    </row>
    <row r="475">
      <c r="A475" s="4"/>
      <c r="B475" s="218"/>
      <c r="C475" s="218"/>
      <c r="D475" s="218"/>
    </row>
    <row r="476">
      <c r="A476" s="4"/>
      <c r="B476" s="218"/>
      <c r="C476" s="218"/>
      <c r="D476" s="218"/>
    </row>
    <row r="477">
      <c r="A477" s="4"/>
      <c r="B477" s="218"/>
      <c r="C477" s="218"/>
      <c r="D477" s="218"/>
    </row>
    <row r="478">
      <c r="A478" s="4"/>
      <c r="B478" s="218"/>
      <c r="C478" s="218"/>
      <c r="D478" s="218"/>
    </row>
    <row r="479">
      <c r="A479" s="4"/>
      <c r="B479" s="218"/>
      <c r="C479" s="218"/>
      <c r="D479" s="218"/>
    </row>
    <row r="480">
      <c r="A480" s="4"/>
      <c r="B480" s="218"/>
      <c r="C480" s="218"/>
      <c r="D480" s="218"/>
    </row>
    <row r="481">
      <c r="A481" s="4"/>
      <c r="B481" s="218"/>
      <c r="C481" s="218"/>
      <c r="D481" s="218"/>
    </row>
    <row r="482">
      <c r="A482" s="4"/>
      <c r="B482" s="218"/>
      <c r="C482" s="218"/>
      <c r="D482" s="218"/>
    </row>
    <row r="483">
      <c r="A483" s="4"/>
      <c r="B483" s="218"/>
      <c r="C483" s="218"/>
      <c r="D483" s="218"/>
    </row>
    <row r="484">
      <c r="A484" s="4"/>
      <c r="B484" s="218"/>
      <c r="C484" s="218"/>
      <c r="D484" s="218"/>
    </row>
    <row r="485">
      <c r="A485" s="4"/>
      <c r="B485" s="218"/>
      <c r="C485" s="218"/>
      <c r="D485" s="218"/>
    </row>
    <row r="486">
      <c r="A486" s="4"/>
      <c r="B486" s="218"/>
      <c r="C486" s="218"/>
      <c r="D486" s="218"/>
    </row>
    <row r="487">
      <c r="A487" s="4"/>
      <c r="B487" s="218"/>
      <c r="C487" s="218"/>
      <c r="D487" s="218"/>
    </row>
    <row r="488">
      <c r="A488" s="4"/>
      <c r="B488" s="218"/>
      <c r="C488" s="218"/>
      <c r="D488" s="218"/>
    </row>
    <row r="489">
      <c r="A489" s="4"/>
      <c r="B489" s="218"/>
      <c r="C489" s="218"/>
      <c r="D489" s="218"/>
    </row>
    <row r="490">
      <c r="A490" s="4"/>
      <c r="B490" s="218"/>
      <c r="C490" s="218"/>
      <c r="D490" s="218"/>
    </row>
    <row r="491">
      <c r="A491" s="4"/>
      <c r="B491" s="218"/>
      <c r="C491" s="218"/>
      <c r="D491" s="218"/>
    </row>
    <row r="492">
      <c r="A492" s="4"/>
      <c r="B492" s="218"/>
      <c r="C492" s="218"/>
      <c r="D492" s="218"/>
    </row>
    <row r="493">
      <c r="A493" s="4"/>
      <c r="B493" s="218"/>
      <c r="C493" s="218"/>
      <c r="D493" s="218"/>
    </row>
    <row r="494">
      <c r="A494" s="4"/>
      <c r="B494" s="218"/>
      <c r="C494" s="218"/>
      <c r="D494" s="218"/>
    </row>
    <row r="495">
      <c r="A495" s="4"/>
      <c r="B495" s="218"/>
      <c r="C495" s="218"/>
      <c r="D495" s="218"/>
    </row>
    <row r="496">
      <c r="A496" s="4"/>
      <c r="B496" s="218"/>
      <c r="C496" s="218"/>
      <c r="D496" s="218"/>
    </row>
    <row r="497">
      <c r="A497" s="4"/>
      <c r="B497" s="218"/>
      <c r="C497" s="218"/>
      <c r="D497" s="218"/>
    </row>
    <row r="498">
      <c r="A498" s="4"/>
      <c r="B498" s="218"/>
      <c r="C498" s="218"/>
      <c r="D498" s="218"/>
    </row>
    <row r="499">
      <c r="A499" s="4"/>
      <c r="B499" s="218"/>
      <c r="C499" s="218"/>
      <c r="D499" s="218"/>
    </row>
    <row r="500">
      <c r="A500" s="4"/>
      <c r="B500" s="218"/>
      <c r="C500" s="218"/>
      <c r="D500" s="218"/>
    </row>
    <row r="501">
      <c r="A501" s="4"/>
      <c r="B501" s="218"/>
      <c r="C501" s="218"/>
      <c r="D501" s="218"/>
    </row>
    <row r="502">
      <c r="A502" s="4"/>
      <c r="B502" s="218"/>
      <c r="C502" s="218"/>
      <c r="D502" s="218"/>
    </row>
    <row r="503">
      <c r="A503" s="4"/>
      <c r="B503" s="218"/>
      <c r="C503" s="218"/>
      <c r="D503" s="218"/>
    </row>
    <row r="504">
      <c r="A504" s="4"/>
      <c r="B504" s="218"/>
      <c r="C504" s="218"/>
      <c r="D504" s="218"/>
    </row>
    <row r="505">
      <c r="A505" s="4"/>
      <c r="B505" s="218"/>
      <c r="C505" s="218"/>
      <c r="D505" s="218"/>
    </row>
    <row r="506">
      <c r="A506" s="4"/>
      <c r="B506" s="218"/>
      <c r="C506" s="218"/>
      <c r="D506" s="218"/>
    </row>
    <row r="507">
      <c r="A507" s="4"/>
      <c r="B507" s="218"/>
      <c r="C507" s="218"/>
      <c r="D507" s="218"/>
    </row>
    <row r="508">
      <c r="A508" s="4"/>
      <c r="B508" s="218"/>
      <c r="C508" s="218"/>
      <c r="D508" s="218"/>
    </row>
    <row r="509">
      <c r="A509" s="4"/>
      <c r="B509" s="218"/>
      <c r="C509" s="218"/>
      <c r="D509" s="218"/>
    </row>
    <row r="510">
      <c r="A510" s="4"/>
      <c r="B510" s="218"/>
      <c r="C510" s="218"/>
      <c r="D510" s="218"/>
    </row>
    <row r="511">
      <c r="A511" s="4"/>
      <c r="B511" s="218"/>
      <c r="C511" s="218"/>
      <c r="D511" s="218"/>
    </row>
    <row r="512">
      <c r="A512" s="4"/>
      <c r="B512" s="218"/>
      <c r="C512" s="218"/>
      <c r="D512" s="218"/>
    </row>
    <row r="513">
      <c r="A513" s="4"/>
      <c r="B513" s="218"/>
      <c r="C513" s="218"/>
      <c r="D513" s="218"/>
    </row>
    <row r="514">
      <c r="A514" s="4"/>
      <c r="B514" s="218"/>
      <c r="C514" s="218"/>
      <c r="D514" s="218"/>
    </row>
    <row r="515">
      <c r="A515" s="4"/>
      <c r="B515" s="218"/>
      <c r="C515" s="218"/>
      <c r="D515" s="218"/>
    </row>
    <row r="516">
      <c r="A516" s="4"/>
      <c r="B516" s="218"/>
      <c r="C516" s="218"/>
      <c r="D516" s="218"/>
    </row>
    <row r="517">
      <c r="A517" s="4"/>
      <c r="B517" s="218"/>
      <c r="C517" s="218"/>
      <c r="D517" s="218"/>
    </row>
    <row r="518">
      <c r="A518" s="4"/>
      <c r="B518" s="218"/>
      <c r="C518" s="218"/>
      <c r="D518" s="218"/>
    </row>
    <row r="519">
      <c r="A519" s="4"/>
      <c r="B519" s="218"/>
      <c r="C519" s="218"/>
      <c r="D519" s="218"/>
    </row>
    <row r="520">
      <c r="A520" s="4"/>
      <c r="B520" s="218"/>
      <c r="C520" s="218"/>
      <c r="D520" s="218"/>
    </row>
    <row r="521">
      <c r="A521" s="4"/>
      <c r="B521" s="218"/>
      <c r="C521" s="218"/>
      <c r="D521" s="218"/>
    </row>
    <row r="522">
      <c r="A522" s="4"/>
      <c r="B522" s="218"/>
      <c r="C522" s="218"/>
      <c r="D522" s="218"/>
    </row>
    <row r="523">
      <c r="A523" s="4"/>
      <c r="B523" s="218"/>
      <c r="C523" s="218"/>
      <c r="D523" s="218"/>
    </row>
    <row r="524">
      <c r="A524" s="4"/>
      <c r="B524" s="218"/>
      <c r="C524" s="218"/>
      <c r="D524" s="218"/>
    </row>
    <row r="525">
      <c r="A525" s="4"/>
      <c r="B525" s="218"/>
      <c r="C525" s="218"/>
      <c r="D525" s="218"/>
    </row>
    <row r="526">
      <c r="A526" s="4"/>
      <c r="B526" s="218"/>
      <c r="C526" s="218"/>
      <c r="D526" s="218"/>
    </row>
    <row r="527">
      <c r="A527" s="4"/>
      <c r="B527" s="218"/>
      <c r="C527" s="218"/>
      <c r="D527" s="218"/>
    </row>
    <row r="528">
      <c r="A528" s="4"/>
      <c r="B528" s="218"/>
      <c r="C528" s="218"/>
      <c r="D528" s="218"/>
    </row>
    <row r="529">
      <c r="A529" s="4"/>
      <c r="B529" s="218"/>
      <c r="C529" s="218"/>
      <c r="D529" s="218"/>
    </row>
    <row r="530">
      <c r="A530" s="4"/>
      <c r="B530" s="218"/>
      <c r="C530" s="218"/>
      <c r="D530" s="218"/>
    </row>
    <row r="531">
      <c r="A531" s="4"/>
      <c r="B531" s="218"/>
      <c r="C531" s="218"/>
      <c r="D531" s="218"/>
    </row>
    <row r="532">
      <c r="A532" s="4"/>
      <c r="B532" s="218"/>
      <c r="C532" s="218"/>
      <c r="D532" s="218"/>
    </row>
    <row r="533">
      <c r="A533" s="4"/>
      <c r="B533" s="218"/>
      <c r="C533" s="218"/>
      <c r="D533" s="218"/>
    </row>
    <row r="534">
      <c r="A534" s="4"/>
      <c r="B534" s="218"/>
      <c r="C534" s="218"/>
      <c r="D534" s="218"/>
    </row>
    <row r="535">
      <c r="A535" s="4"/>
      <c r="B535" s="218"/>
      <c r="C535" s="218"/>
      <c r="D535" s="218"/>
    </row>
    <row r="536">
      <c r="A536" s="4"/>
      <c r="B536" s="218"/>
      <c r="C536" s="218"/>
      <c r="D536" s="218"/>
    </row>
    <row r="537">
      <c r="A537" s="4"/>
      <c r="B537" s="218"/>
      <c r="C537" s="218"/>
      <c r="D537" s="218"/>
    </row>
    <row r="538">
      <c r="A538" s="4"/>
      <c r="B538" s="218"/>
      <c r="C538" s="218"/>
      <c r="D538" s="218"/>
    </row>
    <row r="539">
      <c r="A539" s="4"/>
      <c r="B539" s="218"/>
      <c r="C539" s="218"/>
      <c r="D539" s="218"/>
    </row>
    <row r="540">
      <c r="A540" s="4"/>
      <c r="B540" s="218"/>
      <c r="C540" s="218"/>
      <c r="D540" s="218"/>
    </row>
    <row r="541">
      <c r="A541" s="4"/>
      <c r="B541" s="218"/>
      <c r="C541" s="218"/>
      <c r="D541" s="218"/>
    </row>
    <row r="542">
      <c r="A542" s="4"/>
      <c r="B542" s="218"/>
      <c r="C542" s="218"/>
      <c r="D542" s="218"/>
    </row>
    <row r="543">
      <c r="A543" s="4"/>
      <c r="B543" s="218"/>
      <c r="C543" s="218"/>
      <c r="D543" s="218"/>
    </row>
    <row r="544">
      <c r="A544" s="4"/>
      <c r="B544" s="218"/>
      <c r="C544" s="218"/>
      <c r="D544" s="218"/>
    </row>
    <row r="545">
      <c r="A545" s="4"/>
      <c r="B545" s="218"/>
      <c r="C545" s="218"/>
      <c r="D545" s="218"/>
    </row>
    <row r="546">
      <c r="A546" s="4"/>
      <c r="B546" s="218"/>
      <c r="C546" s="218"/>
      <c r="D546" s="218"/>
    </row>
    <row r="547">
      <c r="A547" s="4"/>
      <c r="B547" s="218"/>
      <c r="C547" s="218"/>
      <c r="D547" s="218"/>
    </row>
    <row r="548">
      <c r="A548" s="4"/>
      <c r="B548" s="218"/>
      <c r="C548" s="218"/>
      <c r="D548" s="218"/>
    </row>
    <row r="549">
      <c r="A549" s="4"/>
      <c r="B549" s="218"/>
      <c r="C549" s="218"/>
      <c r="D549" s="218"/>
    </row>
    <row r="550">
      <c r="A550" s="4"/>
      <c r="B550" s="218"/>
      <c r="C550" s="218"/>
      <c r="D550" s="218"/>
    </row>
    <row r="551">
      <c r="A551" s="4"/>
      <c r="B551" s="218"/>
      <c r="C551" s="218"/>
      <c r="D551" s="218"/>
    </row>
    <row r="552">
      <c r="A552" s="4"/>
      <c r="B552" s="218"/>
      <c r="C552" s="218"/>
      <c r="D552" s="218"/>
    </row>
    <row r="553">
      <c r="A553" s="4"/>
      <c r="B553" s="218"/>
      <c r="C553" s="218"/>
      <c r="D553" s="218"/>
    </row>
    <row r="554">
      <c r="A554" s="4"/>
      <c r="B554" s="218"/>
      <c r="C554" s="218"/>
      <c r="D554" s="218"/>
    </row>
    <row r="555">
      <c r="A555" s="4"/>
      <c r="B555" s="218"/>
      <c r="C555" s="218"/>
      <c r="D555" s="218"/>
    </row>
    <row r="556">
      <c r="A556" s="4"/>
      <c r="B556" s="218"/>
      <c r="C556" s="218"/>
      <c r="D556" s="218"/>
    </row>
    <row r="557">
      <c r="A557" s="4"/>
      <c r="B557" s="218"/>
      <c r="C557" s="218"/>
      <c r="D557" s="218"/>
    </row>
    <row r="558">
      <c r="A558" s="4"/>
      <c r="B558" s="218"/>
      <c r="C558" s="218"/>
      <c r="D558" s="218"/>
    </row>
    <row r="559">
      <c r="A559" s="4"/>
      <c r="B559" s="218"/>
      <c r="C559" s="218"/>
      <c r="D559" s="218"/>
    </row>
    <row r="560">
      <c r="A560" s="4"/>
      <c r="B560" s="218"/>
      <c r="C560" s="218"/>
      <c r="D560" s="218"/>
    </row>
    <row r="561">
      <c r="A561" s="4"/>
      <c r="B561" s="218"/>
      <c r="C561" s="218"/>
      <c r="D561" s="218"/>
    </row>
    <row r="562">
      <c r="A562" s="4"/>
      <c r="B562" s="218"/>
      <c r="C562" s="218"/>
      <c r="D562" s="218"/>
    </row>
    <row r="563">
      <c r="A563" s="4"/>
      <c r="B563" s="218"/>
      <c r="C563" s="218"/>
      <c r="D563" s="218"/>
    </row>
    <row r="564">
      <c r="A564" s="4"/>
      <c r="B564" s="218"/>
      <c r="C564" s="218"/>
      <c r="D564" s="218"/>
    </row>
    <row r="565">
      <c r="A565" s="4"/>
      <c r="B565" s="218"/>
      <c r="C565" s="218"/>
      <c r="D565" s="218"/>
    </row>
    <row r="566">
      <c r="A566" s="4"/>
      <c r="B566" s="218"/>
      <c r="C566" s="218"/>
      <c r="D566" s="218"/>
    </row>
    <row r="567">
      <c r="A567" s="4"/>
      <c r="B567" s="218"/>
      <c r="C567" s="218"/>
      <c r="D567" s="218"/>
    </row>
    <row r="568">
      <c r="A568" s="4"/>
      <c r="B568" s="218"/>
      <c r="C568" s="218"/>
      <c r="D568" s="218"/>
    </row>
    <row r="569">
      <c r="A569" s="4"/>
      <c r="B569" s="218"/>
      <c r="C569" s="218"/>
      <c r="D569" s="218"/>
    </row>
    <row r="570">
      <c r="A570" s="4"/>
      <c r="B570" s="218"/>
      <c r="C570" s="218"/>
      <c r="D570" s="218"/>
    </row>
    <row r="571">
      <c r="A571" s="4"/>
      <c r="B571" s="218"/>
      <c r="C571" s="218"/>
      <c r="D571" s="218"/>
    </row>
    <row r="572">
      <c r="A572" s="4"/>
      <c r="B572" s="218"/>
      <c r="C572" s="218"/>
      <c r="D572" s="218"/>
    </row>
    <row r="573">
      <c r="A573" s="4"/>
      <c r="B573" s="218"/>
      <c r="C573" s="218"/>
      <c r="D573" s="218"/>
    </row>
    <row r="574">
      <c r="A574" s="4"/>
      <c r="B574" s="218"/>
      <c r="C574" s="218"/>
      <c r="D574" s="218"/>
    </row>
    <row r="575">
      <c r="A575" s="4"/>
      <c r="B575" s="218"/>
      <c r="C575" s="218"/>
      <c r="D575" s="218"/>
    </row>
    <row r="576">
      <c r="A576" s="4"/>
      <c r="B576" s="218"/>
      <c r="C576" s="218"/>
      <c r="D576" s="218"/>
    </row>
    <row r="577">
      <c r="A577" s="4"/>
      <c r="B577" s="218"/>
      <c r="C577" s="218"/>
      <c r="D577" s="218"/>
    </row>
    <row r="578">
      <c r="A578" s="4"/>
      <c r="B578" s="218"/>
      <c r="C578" s="218"/>
      <c r="D578" s="218"/>
    </row>
    <row r="579">
      <c r="A579" s="4"/>
      <c r="B579" s="218"/>
      <c r="C579" s="218"/>
      <c r="D579" s="218"/>
    </row>
    <row r="580">
      <c r="A580" s="4"/>
      <c r="B580" s="218"/>
      <c r="C580" s="218"/>
      <c r="D580" s="218"/>
    </row>
    <row r="581">
      <c r="A581" s="4"/>
      <c r="B581" s="218"/>
      <c r="C581" s="218"/>
      <c r="D581" s="218"/>
    </row>
    <row r="582">
      <c r="A582" s="4"/>
      <c r="B582" s="218"/>
      <c r="C582" s="218"/>
      <c r="D582" s="218"/>
    </row>
    <row r="583">
      <c r="A583" s="4"/>
      <c r="B583" s="218"/>
      <c r="C583" s="218"/>
      <c r="D583" s="218"/>
    </row>
    <row r="584">
      <c r="A584" s="4"/>
      <c r="B584" s="218"/>
      <c r="C584" s="218"/>
      <c r="D584" s="218"/>
    </row>
    <row r="585">
      <c r="A585" s="4"/>
      <c r="B585" s="218"/>
      <c r="C585" s="218"/>
      <c r="D585" s="218"/>
    </row>
    <row r="586">
      <c r="A586" s="4"/>
      <c r="B586" s="218"/>
      <c r="C586" s="218"/>
      <c r="D586" s="218"/>
    </row>
    <row r="587">
      <c r="A587" s="4"/>
      <c r="B587" s="218"/>
      <c r="C587" s="218"/>
      <c r="D587" s="218"/>
    </row>
    <row r="588">
      <c r="A588" s="4"/>
      <c r="B588" s="218"/>
      <c r="C588" s="218"/>
      <c r="D588" s="218"/>
    </row>
    <row r="589">
      <c r="A589" s="4"/>
      <c r="B589" s="218"/>
      <c r="C589" s="218"/>
      <c r="D589" s="218"/>
    </row>
    <row r="590">
      <c r="A590" s="4"/>
      <c r="B590" s="218"/>
      <c r="C590" s="218"/>
      <c r="D590" s="218"/>
    </row>
    <row r="591">
      <c r="A591" s="4"/>
      <c r="B591" s="218"/>
      <c r="C591" s="218"/>
      <c r="D591" s="218"/>
    </row>
    <row r="592">
      <c r="A592" s="4"/>
      <c r="B592" s="218"/>
      <c r="C592" s="218"/>
      <c r="D592" s="218"/>
    </row>
    <row r="593">
      <c r="A593" s="4"/>
      <c r="B593" s="218"/>
      <c r="C593" s="218"/>
      <c r="D593" s="218"/>
    </row>
    <row r="594">
      <c r="A594" s="4"/>
      <c r="B594" s="218"/>
      <c r="C594" s="218"/>
      <c r="D594" s="218"/>
    </row>
    <row r="595">
      <c r="A595" s="4"/>
      <c r="B595" s="218"/>
      <c r="C595" s="218"/>
      <c r="D595" s="218"/>
    </row>
    <row r="596">
      <c r="A596" s="4"/>
      <c r="B596" s="218"/>
      <c r="C596" s="218"/>
      <c r="D596" s="218"/>
    </row>
    <row r="597">
      <c r="A597" s="4"/>
      <c r="B597" s="218"/>
      <c r="C597" s="218"/>
      <c r="D597" s="218"/>
    </row>
    <row r="598">
      <c r="A598" s="4"/>
      <c r="B598" s="218"/>
      <c r="C598" s="218"/>
      <c r="D598" s="218"/>
    </row>
    <row r="599">
      <c r="A599" s="4"/>
      <c r="B599" s="218"/>
      <c r="C599" s="218"/>
      <c r="D599" s="218"/>
    </row>
    <row r="600">
      <c r="A600" s="4"/>
      <c r="B600" s="218"/>
      <c r="C600" s="218"/>
      <c r="D600" s="218"/>
    </row>
    <row r="601">
      <c r="A601" s="4"/>
      <c r="B601" s="218"/>
      <c r="C601" s="218"/>
      <c r="D601" s="218"/>
    </row>
    <row r="602">
      <c r="A602" s="4"/>
      <c r="B602" s="218"/>
      <c r="C602" s="218"/>
      <c r="D602" s="218"/>
    </row>
    <row r="603">
      <c r="A603" s="4"/>
      <c r="B603" s="218"/>
      <c r="C603" s="218"/>
      <c r="D603" s="218"/>
    </row>
    <row r="604">
      <c r="A604" s="4"/>
      <c r="B604" s="218"/>
      <c r="C604" s="218"/>
      <c r="D604" s="218"/>
    </row>
    <row r="605">
      <c r="A605" s="4"/>
      <c r="B605" s="218"/>
      <c r="C605" s="218"/>
      <c r="D605" s="218"/>
    </row>
    <row r="606">
      <c r="A606" s="4"/>
      <c r="B606" s="218"/>
      <c r="C606" s="218"/>
      <c r="D606" s="218"/>
    </row>
    <row r="607">
      <c r="A607" s="4"/>
      <c r="B607" s="218"/>
      <c r="C607" s="218"/>
      <c r="D607" s="218"/>
    </row>
    <row r="608">
      <c r="A608" s="4"/>
      <c r="B608" s="218"/>
      <c r="C608" s="218"/>
      <c r="D608" s="218"/>
    </row>
    <row r="609">
      <c r="A609" s="4"/>
      <c r="B609" s="218"/>
      <c r="C609" s="218"/>
      <c r="D609" s="218"/>
    </row>
    <row r="610">
      <c r="A610" s="4"/>
      <c r="B610" s="218"/>
      <c r="C610" s="218"/>
      <c r="D610" s="218"/>
    </row>
    <row r="611">
      <c r="A611" s="4"/>
      <c r="B611" s="218"/>
      <c r="C611" s="218"/>
      <c r="D611" s="218"/>
    </row>
    <row r="612">
      <c r="A612" s="4"/>
      <c r="B612" s="218"/>
      <c r="C612" s="218"/>
      <c r="D612" s="218"/>
    </row>
    <row r="613">
      <c r="A613" s="4"/>
      <c r="B613" s="218"/>
      <c r="C613" s="218"/>
      <c r="D613" s="218"/>
    </row>
    <row r="614">
      <c r="A614" s="4"/>
      <c r="B614" s="218"/>
      <c r="C614" s="218"/>
      <c r="D614" s="218"/>
    </row>
    <row r="615">
      <c r="A615" s="4"/>
      <c r="B615" s="218"/>
      <c r="C615" s="218"/>
      <c r="D615" s="218"/>
    </row>
    <row r="616">
      <c r="A616" s="4"/>
      <c r="B616" s="218"/>
      <c r="C616" s="218"/>
      <c r="D616" s="218"/>
    </row>
    <row r="617">
      <c r="A617" s="4"/>
      <c r="B617" s="218"/>
      <c r="C617" s="218"/>
      <c r="D617" s="218"/>
    </row>
    <row r="618">
      <c r="A618" s="4"/>
      <c r="B618" s="218"/>
      <c r="C618" s="218"/>
      <c r="D618" s="218"/>
    </row>
    <row r="619">
      <c r="A619" s="4"/>
      <c r="B619" s="218"/>
      <c r="C619" s="218"/>
      <c r="D619" s="218"/>
    </row>
    <row r="620">
      <c r="A620" s="4"/>
      <c r="B620" s="218"/>
      <c r="C620" s="218"/>
      <c r="D620" s="218"/>
    </row>
    <row r="621">
      <c r="A621" s="4"/>
      <c r="B621" s="218"/>
      <c r="C621" s="218"/>
      <c r="D621" s="218"/>
    </row>
    <row r="622">
      <c r="A622" s="4"/>
      <c r="B622" s="218"/>
      <c r="C622" s="218"/>
      <c r="D622" s="218"/>
    </row>
    <row r="623">
      <c r="A623" s="4"/>
      <c r="B623" s="218"/>
      <c r="C623" s="218"/>
      <c r="D623" s="218"/>
    </row>
    <row r="624">
      <c r="A624" s="4"/>
      <c r="B624" s="218"/>
      <c r="C624" s="218"/>
      <c r="D624" s="218"/>
    </row>
    <row r="625">
      <c r="A625" s="4"/>
      <c r="B625" s="218"/>
      <c r="C625" s="218"/>
      <c r="D625" s="218"/>
    </row>
    <row r="626">
      <c r="A626" s="4"/>
      <c r="B626" s="218"/>
      <c r="C626" s="218"/>
      <c r="D626" s="218"/>
    </row>
    <row r="627">
      <c r="A627" s="4"/>
      <c r="B627" s="218"/>
      <c r="C627" s="218"/>
      <c r="D627" s="218"/>
    </row>
    <row r="628">
      <c r="A628" s="4"/>
      <c r="B628" s="218"/>
      <c r="C628" s="218"/>
      <c r="D628" s="218"/>
    </row>
    <row r="629">
      <c r="A629" s="4"/>
      <c r="B629" s="218"/>
      <c r="C629" s="218"/>
      <c r="D629" s="218"/>
    </row>
    <row r="630">
      <c r="A630" s="4"/>
      <c r="B630" s="218"/>
      <c r="C630" s="218"/>
      <c r="D630" s="218"/>
    </row>
    <row r="631">
      <c r="A631" s="4"/>
      <c r="B631" s="218"/>
      <c r="C631" s="218"/>
      <c r="D631" s="218"/>
    </row>
    <row r="632">
      <c r="A632" s="4"/>
      <c r="B632" s="218"/>
      <c r="C632" s="218"/>
      <c r="D632" s="218"/>
    </row>
    <row r="633">
      <c r="A633" s="4"/>
      <c r="B633" s="218"/>
      <c r="C633" s="218"/>
      <c r="D633" s="218"/>
    </row>
    <row r="634">
      <c r="A634" s="4"/>
      <c r="B634" s="218"/>
      <c r="C634" s="218"/>
      <c r="D634" s="218"/>
    </row>
    <row r="635">
      <c r="A635" s="4"/>
      <c r="B635" s="218"/>
      <c r="C635" s="218"/>
      <c r="D635" s="218"/>
    </row>
    <row r="636">
      <c r="A636" s="4"/>
      <c r="B636" s="218"/>
      <c r="C636" s="218"/>
      <c r="D636" s="218"/>
    </row>
    <row r="637">
      <c r="A637" s="4"/>
      <c r="B637" s="218"/>
      <c r="C637" s="218"/>
      <c r="D637" s="218"/>
    </row>
    <row r="638">
      <c r="A638" s="4"/>
      <c r="B638" s="218"/>
      <c r="C638" s="218"/>
      <c r="D638" s="218"/>
    </row>
    <row r="639">
      <c r="A639" s="4"/>
      <c r="B639" s="218"/>
      <c r="C639" s="218"/>
      <c r="D639" s="218"/>
    </row>
    <row r="640">
      <c r="A640" s="4"/>
      <c r="B640" s="218"/>
      <c r="C640" s="218"/>
      <c r="D640" s="218"/>
    </row>
    <row r="641">
      <c r="A641" s="4"/>
      <c r="B641" s="218"/>
      <c r="C641" s="218"/>
      <c r="D641" s="218"/>
    </row>
    <row r="642">
      <c r="A642" s="4"/>
      <c r="B642" s="218"/>
      <c r="C642" s="218"/>
      <c r="D642" s="218"/>
    </row>
    <row r="643">
      <c r="A643" s="4"/>
      <c r="B643" s="218"/>
      <c r="C643" s="218"/>
      <c r="D643" s="218"/>
    </row>
    <row r="644">
      <c r="A644" s="4"/>
      <c r="B644" s="218"/>
      <c r="C644" s="218"/>
      <c r="D644" s="218"/>
    </row>
    <row r="645">
      <c r="A645" s="4"/>
      <c r="B645" s="218"/>
      <c r="C645" s="218"/>
      <c r="D645" s="218"/>
    </row>
    <row r="646">
      <c r="A646" s="4"/>
      <c r="B646" s="218"/>
      <c r="C646" s="218"/>
      <c r="D646" s="218"/>
    </row>
    <row r="647">
      <c r="A647" s="4"/>
      <c r="B647" s="218"/>
      <c r="C647" s="218"/>
      <c r="D647" s="218"/>
    </row>
    <row r="648">
      <c r="A648" s="4"/>
      <c r="B648" s="218"/>
      <c r="C648" s="218"/>
      <c r="D648" s="218"/>
    </row>
    <row r="649">
      <c r="A649" s="4"/>
      <c r="B649" s="218"/>
      <c r="C649" s="218"/>
      <c r="D649" s="218"/>
    </row>
    <row r="650">
      <c r="A650" s="4"/>
      <c r="B650" s="218"/>
      <c r="C650" s="218"/>
      <c r="D650" s="218"/>
    </row>
    <row r="651">
      <c r="A651" s="4"/>
      <c r="B651" s="218"/>
      <c r="C651" s="218"/>
      <c r="D651" s="218"/>
    </row>
    <row r="652">
      <c r="A652" s="4"/>
      <c r="B652" s="218"/>
      <c r="C652" s="218"/>
      <c r="D652" s="218"/>
    </row>
    <row r="653">
      <c r="A653" s="4"/>
      <c r="B653" s="218"/>
      <c r="C653" s="218"/>
      <c r="D653" s="218"/>
    </row>
    <row r="654">
      <c r="A654" s="4"/>
      <c r="B654" s="218"/>
      <c r="C654" s="218"/>
      <c r="D654" s="218"/>
    </row>
    <row r="655">
      <c r="A655" s="4"/>
      <c r="B655" s="218"/>
      <c r="C655" s="218"/>
      <c r="D655" s="218"/>
    </row>
    <row r="656">
      <c r="A656" s="4"/>
      <c r="B656" s="218"/>
      <c r="C656" s="218"/>
      <c r="D656" s="218"/>
    </row>
    <row r="657">
      <c r="A657" s="4"/>
      <c r="B657" s="218"/>
      <c r="C657" s="218"/>
      <c r="D657" s="218"/>
    </row>
    <row r="658">
      <c r="A658" s="4"/>
      <c r="B658" s="218"/>
      <c r="C658" s="218"/>
      <c r="D658" s="218"/>
    </row>
    <row r="659">
      <c r="A659" s="4"/>
      <c r="B659" s="218"/>
      <c r="C659" s="218"/>
      <c r="D659" s="218"/>
    </row>
    <row r="660">
      <c r="A660" s="4"/>
      <c r="B660" s="218"/>
      <c r="C660" s="218"/>
      <c r="D660" s="218"/>
    </row>
    <row r="661">
      <c r="A661" s="4"/>
      <c r="B661" s="218"/>
      <c r="C661" s="218"/>
      <c r="D661" s="218"/>
    </row>
    <row r="662">
      <c r="A662" s="4"/>
      <c r="B662" s="218"/>
      <c r="C662" s="218"/>
      <c r="D662" s="218"/>
    </row>
    <row r="663">
      <c r="A663" s="4"/>
      <c r="B663" s="218"/>
      <c r="C663" s="218"/>
      <c r="D663" s="218"/>
    </row>
    <row r="664">
      <c r="A664" s="4"/>
      <c r="B664" s="218"/>
      <c r="C664" s="218"/>
      <c r="D664" s="218"/>
    </row>
    <row r="665">
      <c r="A665" s="4"/>
      <c r="B665" s="218"/>
      <c r="C665" s="218"/>
      <c r="D665" s="218"/>
    </row>
    <row r="666">
      <c r="A666" s="4"/>
      <c r="B666" s="218"/>
      <c r="C666" s="218"/>
      <c r="D666" s="218"/>
    </row>
    <row r="667">
      <c r="A667" s="4"/>
      <c r="B667" s="218"/>
      <c r="C667" s="218"/>
      <c r="D667" s="218"/>
    </row>
    <row r="668">
      <c r="A668" s="4"/>
      <c r="B668" s="218"/>
      <c r="C668" s="218"/>
      <c r="D668" s="218"/>
    </row>
    <row r="669">
      <c r="A669" s="4"/>
      <c r="B669" s="218"/>
      <c r="C669" s="218"/>
      <c r="D669" s="218"/>
    </row>
    <row r="670">
      <c r="A670" s="4"/>
      <c r="B670" s="218"/>
      <c r="C670" s="218"/>
      <c r="D670" s="218"/>
    </row>
    <row r="671">
      <c r="A671" s="4"/>
      <c r="B671" s="218"/>
      <c r="C671" s="218"/>
      <c r="D671" s="218"/>
    </row>
    <row r="672">
      <c r="A672" s="4"/>
      <c r="B672" s="218"/>
      <c r="C672" s="218"/>
      <c r="D672" s="218"/>
    </row>
    <row r="673">
      <c r="A673" s="4"/>
      <c r="B673" s="218"/>
      <c r="C673" s="218"/>
      <c r="D673" s="218"/>
    </row>
    <row r="674">
      <c r="A674" s="4"/>
      <c r="B674" s="218"/>
      <c r="C674" s="218"/>
      <c r="D674" s="218"/>
    </row>
    <row r="675">
      <c r="A675" s="4"/>
      <c r="B675" s="218"/>
      <c r="C675" s="218"/>
      <c r="D675" s="218"/>
    </row>
    <row r="676">
      <c r="A676" s="4"/>
      <c r="B676" s="218"/>
      <c r="C676" s="218"/>
      <c r="D676" s="218"/>
    </row>
    <row r="677">
      <c r="A677" s="4"/>
      <c r="B677" s="218"/>
      <c r="C677" s="218"/>
      <c r="D677" s="218"/>
    </row>
    <row r="678">
      <c r="A678" s="4"/>
      <c r="B678" s="218"/>
      <c r="C678" s="218"/>
      <c r="D678" s="218"/>
    </row>
    <row r="679">
      <c r="A679" s="4"/>
      <c r="B679" s="218"/>
      <c r="C679" s="218"/>
      <c r="D679" s="218"/>
    </row>
    <row r="680">
      <c r="A680" s="4"/>
      <c r="B680" s="218"/>
      <c r="C680" s="218"/>
      <c r="D680" s="218"/>
    </row>
    <row r="681">
      <c r="A681" s="4"/>
      <c r="B681" s="218"/>
      <c r="C681" s="218"/>
      <c r="D681" s="218"/>
    </row>
    <row r="682">
      <c r="A682" s="4"/>
      <c r="B682" s="218"/>
      <c r="C682" s="218"/>
      <c r="D682" s="218"/>
    </row>
    <row r="683">
      <c r="A683" s="4"/>
      <c r="B683" s="218"/>
      <c r="C683" s="218"/>
      <c r="D683" s="218"/>
    </row>
    <row r="684">
      <c r="A684" s="4"/>
      <c r="B684" s="218"/>
      <c r="C684" s="218"/>
      <c r="D684" s="218"/>
    </row>
    <row r="685">
      <c r="A685" s="4"/>
      <c r="B685" s="218"/>
      <c r="C685" s="218"/>
      <c r="D685" s="218"/>
    </row>
    <row r="686">
      <c r="A686" s="4"/>
      <c r="B686" s="218"/>
      <c r="C686" s="218"/>
      <c r="D686" s="218"/>
    </row>
    <row r="687">
      <c r="A687" s="4"/>
      <c r="B687" s="218"/>
      <c r="C687" s="218"/>
      <c r="D687" s="218"/>
    </row>
    <row r="688">
      <c r="A688" s="4"/>
      <c r="B688" s="218"/>
      <c r="C688" s="218"/>
      <c r="D688" s="218"/>
    </row>
    <row r="689">
      <c r="A689" s="4"/>
      <c r="B689" s="218"/>
      <c r="C689" s="218"/>
      <c r="D689" s="218"/>
    </row>
    <row r="690">
      <c r="A690" s="4"/>
      <c r="B690" s="218"/>
      <c r="C690" s="218"/>
      <c r="D690" s="218"/>
    </row>
    <row r="691">
      <c r="A691" s="4"/>
      <c r="B691" s="218"/>
      <c r="C691" s="218"/>
      <c r="D691" s="218"/>
    </row>
    <row r="692">
      <c r="A692" s="4"/>
      <c r="B692" s="218"/>
      <c r="C692" s="218"/>
      <c r="D692" s="218"/>
    </row>
    <row r="693">
      <c r="A693" s="4"/>
      <c r="B693" s="218"/>
      <c r="C693" s="218"/>
      <c r="D693" s="218"/>
    </row>
    <row r="694">
      <c r="A694" s="4"/>
      <c r="B694" s="218"/>
      <c r="C694" s="218"/>
      <c r="D694" s="218"/>
    </row>
    <row r="695">
      <c r="A695" s="4"/>
      <c r="B695" s="218"/>
      <c r="C695" s="218"/>
      <c r="D695" s="218"/>
    </row>
    <row r="696">
      <c r="A696" s="4"/>
      <c r="B696" s="218"/>
      <c r="C696" s="218"/>
      <c r="D696" s="218"/>
    </row>
    <row r="697">
      <c r="A697" s="4"/>
      <c r="B697" s="218"/>
      <c r="C697" s="218"/>
      <c r="D697" s="218"/>
    </row>
    <row r="698">
      <c r="A698" s="4"/>
      <c r="B698" s="218"/>
      <c r="C698" s="218"/>
      <c r="D698" s="218"/>
    </row>
    <row r="699">
      <c r="A699" s="4"/>
      <c r="B699" s="218"/>
      <c r="C699" s="218"/>
      <c r="D699" s="218"/>
    </row>
    <row r="700">
      <c r="A700" s="4"/>
      <c r="B700" s="218"/>
      <c r="C700" s="218"/>
      <c r="D700" s="218"/>
    </row>
    <row r="701">
      <c r="A701" s="4"/>
      <c r="B701" s="218"/>
      <c r="C701" s="218"/>
      <c r="D701" s="218"/>
    </row>
    <row r="702">
      <c r="A702" s="4"/>
      <c r="B702" s="218"/>
      <c r="C702" s="218"/>
      <c r="D702" s="218"/>
    </row>
    <row r="703">
      <c r="A703" s="4"/>
      <c r="B703" s="218"/>
      <c r="C703" s="218"/>
      <c r="D703" s="218"/>
    </row>
    <row r="704">
      <c r="A704" s="4"/>
      <c r="B704" s="218"/>
      <c r="C704" s="218"/>
      <c r="D704" s="218"/>
    </row>
    <row r="705">
      <c r="A705" s="4"/>
      <c r="B705" s="218"/>
      <c r="C705" s="218"/>
      <c r="D705" s="218"/>
    </row>
    <row r="706">
      <c r="A706" s="4"/>
      <c r="B706" s="218"/>
      <c r="C706" s="218"/>
      <c r="D706" s="218"/>
    </row>
    <row r="707">
      <c r="A707" s="4"/>
      <c r="B707" s="218"/>
      <c r="C707" s="218"/>
      <c r="D707" s="218"/>
    </row>
    <row r="708">
      <c r="A708" s="4"/>
      <c r="B708" s="218"/>
      <c r="C708" s="218"/>
      <c r="D708" s="218"/>
    </row>
    <row r="709">
      <c r="A709" s="4"/>
      <c r="B709" s="218"/>
      <c r="C709" s="218"/>
      <c r="D709" s="218"/>
    </row>
    <row r="710">
      <c r="A710" s="4"/>
      <c r="B710" s="218"/>
      <c r="C710" s="218"/>
      <c r="D710" s="218"/>
    </row>
    <row r="711">
      <c r="A711" s="4"/>
      <c r="B711" s="218"/>
      <c r="C711" s="218"/>
      <c r="D711" s="218"/>
    </row>
    <row r="712">
      <c r="A712" s="4"/>
      <c r="B712" s="218"/>
      <c r="C712" s="218"/>
      <c r="D712" s="218"/>
    </row>
    <row r="713">
      <c r="A713" s="4"/>
      <c r="B713" s="218"/>
      <c r="C713" s="218"/>
      <c r="D713" s="218"/>
    </row>
    <row r="714">
      <c r="A714" s="4"/>
      <c r="B714" s="218"/>
      <c r="C714" s="218"/>
      <c r="D714" s="218"/>
    </row>
    <row r="715">
      <c r="A715" s="4"/>
      <c r="B715" s="218"/>
      <c r="C715" s="218"/>
      <c r="D715" s="218"/>
    </row>
    <row r="716">
      <c r="A716" s="4"/>
      <c r="B716" s="218"/>
      <c r="C716" s="218"/>
      <c r="D716" s="218"/>
    </row>
    <row r="717">
      <c r="A717" s="4"/>
      <c r="B717" s="218"/>
      <c r="C717" s="218"/>
      <c r="D717" s="218"/>
    </row>
    <row r="718">
      <c r="A718" s="4"/>
      <c r="B718" s="218"/>
      <c r="C718" s="218"/>
      <c r="D718" s="218"/>
    </row>
    <row r="719">
      <c r="A719" s="4"/>
      <c r="B719" s="218"/>
      <c r="C719" s="218"/>
      <c r="D719" s="218"/>
    </row>
    <row r="720">
      <c r="A720" s="4"/>
      <c r="B720" s="218"/>
      <c r="C720" s="218"/>
      <c r="D720" s="218"/>
    </row>
    <row r="721">
      <c r="A721" s="4"/>
      <c r="B721" s="218"/>
      <c r="C721" s="218"/>
      <c r="D721" s="218"/>
    </row>
    <row r="722">
      <c r="A722" s="4"/>
      <c r="B722" s="218"/>
      <c r="C722" s="218"/>
      <c r="D722" s="218"/>
    </row>
    <row r="723">
      <c r="A723" s="4"/>
      <c r="B723" s="218"/>
      <c r="C723" s="218"/>
      <c r="D723" s="218"/>
    </row>
    <row r="724">
      <c r="A724" s="4"/>
      <c r="B724" s="218"/>
      <c r="C724" s="218"/>
      <c r="D724" s="218"/>
    </row>
    <row r="725">
      <c r="A725" s="4"/>
      <c r="B725" s="218"/>
      <c r="C725" s="218"/>
      <c r="D725" s="218"/>
    </row>
    <row r="726">
      <c r="A726" s="4"/>
      <c r="B726" s="218"/>
      <c r="C726" s="218"/>
      <c r="D726" s="218"/>
    </row>
    <row r="727">
      <c r="A727" s="4"/>
      <c r="B727" s="218"/>
      <c r="C727" s="218"/>
      <c r="D727" s="218"/>
    </row>
    <row r="728">
      <c r="A728" s="4"/>
      <c r="B728" s="218"/>
      <c r="C728" s="218"/>
      <c r="D728" s="218"/>
    </row>
    <row r="729">
      <c r="A729" s="4"/>
      <c r="B729" s="218"/>
      <c r="C729" s="218"/>
      <c r="D729" s="218"/>
    </row>
    <row r="730">
      <c r="A730" s="4"/>
      <c r="B730" s="218"/>
      <c r="C730" s="218"/>
      <c r="D730" s="218"/>
    </row>
    <row r="731">
      <c r="A731" s="4"/>
      <c r="B731" s="218"/>
      <c r="C731" s="218"/>
      <c r="D731" s="218"/>
    </row>
    <row r="732">
      <c r="A732" s="4"/>
      <c r="B732" s="218"/>
      <c r="C732" s="218"/>
      <c r="D732" s="218"/>
    </row>
    <row r="733">
      <c r="A733" s="4"/>
      <c r="B733" s="218"/>
      <c r="C733" s="218"/>
      <c r="D733" s="218"/>
    </row>
    <row r="734">
      <c r="A734" s="4"/>
      <c r="B734" s="218"/>
      <c r="C734" s="218"/>
      <c r="D734" s="218"/>
    </row>
    <row r="735">
      <c r="A735" s="4"/>
      <c r="B735" s="218"/>
      <c r="C735" s="218"/>
      <c r="D735" s="218"/>
    </row>
    <row r="736">
      <c r="A736" s="4"/>
      <c r="B736" s="218"/>
      <c r="C736" s="218"/>
      <c r="D736" s="218"/>
    </row>
    <row r="737">
      <c r="A737" s="4"/>
      <c r="B737" s="218"/>
      <c r="C737" s="218"/>
      <c r="D737" s="218"/>
    </row>
    <row r="738">
      <c r="A738" s="4"/>
      <c r="B738" s="218"/>
      <c r="C738" s="218"/>
      <c r="D738" s="218"/>
    </row>
    <row r="739">
      <c r="A739" s="4"/>
      <c r="B739" s="218"/>
      <c r="C739" s="218"/>
      <c r="D739" s="218"/>
    </row>
    <row r="740">
      <c r="A740" s="4"/>
      <c r="B740" s="218"/>
      <c r="C740" s="218"/>
      <c r="D740" s="218"/>
    </row>
    <row r="741">
      <c r="A741" s="4"/>
      <c r="B741" s="218"/>
      <c r="C741" s="218"/>
      <c r="D741" s="218"/>
    </row>
    <row r="742">
      <c r="A742" s="4"/>
      <c r="B742" s="218"/>
      <c r="C742" s="218"/>
      <c r="D742" s="218"/>
    </row>
    <row r="743">
      <c r="A743" s="4"/>
      <c r="B743" s="218"/>
      <c r="C743" s="218"/>
      <c r="D743" s="218"/>
    </row>
    <row r="744">
      <c r="A744" s="4"/>
      <c r="B744" s="218"/>
      <c r="C744" s="218"/>
      <c r="D744" s="218"/>
    </row>
    <row r="745">
      <c r="A745" s="4"/>
      <c r="B745" s="218"/>
      <c r="C745" s="218"/>
      <c r="D745" s="218"/>
    </row>
    <row r="746">
      <c r="A746" s="4"/>
      <c r="B746" s="218"/>
      <c r="C746" s="218"/>
      <c r="D746" s="218"/>
    </row>
    <row r="747">
      <c r="A747" s="4"/>
      <c r="B747" s="218"/>
      <c r="C747" s="218"/>
      <c r="D747" s="218"/>
    </row>
    <row r="748">
      <c r="A748" s="4"/>
      <c r="B748" s="218"/>
      <c r="C748" s="218"/>
      <c r="D748" s="218"/>
    </row>
    <row r="749">
      <c r="A749" s="4"/>
      <c r="B749" s="218"/>
      <c r="C749" s="218"/>
      <c r="D749" s="218"/>
    </row>
    <row r="750">
      <c r="A750" s="4"/>
      <c r="B750" s="218"/>
      <c r="C750" s="218"/>
      <c r="D750" s="218"/>
    </row>
    <row r="751">
      <c r="A751" s="4"/>
      <c r="B751" s="218"/>
      <c r="C751" s="218"/>
      <c r="D751" s="218"/>
    </row>
    <row r="752">
      <c r="A752" s="4"/>
      <c r="B752" s="218"/>
      <c r="C752" s="218"/>
      <c r="D752" s="218"/>
    </row>
    <row r="753">
      <c r="A753" s="4"/>
      <c r="B753" s="218"/>
      <c r="C753" s="218"/>
      <c r="D753" s="218"/>
    </row>
    <row r="754">
      <c r="A754" s="4"/>
      <c r="B754" s="218"/>
      <c r="C754" s="218"/>
      <c r="D754" s="218"/>
    </row>
    <row r="755">
      <c r="A755" s="4"/>
      <c r="B755" s="218"/>
      <c r="C755" s="218"/>
      <c r="D755" s="218"/>
    </row>
    <row r="756">
      <c r="A756" s="4"/>
      <c r="B756" s="218"/>
      <c r="C756" s="218"/>
      <c r="D756" s="218"/>
    </row>
    <row r="757">
      <c r="A757" s="4"/>
      <c r="B757" s="218"/>
      <c r="C757" s="218"/>
      <c r="D757" s="218"/>
    </row>
    <row r="758">
      <c r="A758" s="4"/>
      <c r="B758" s="218"/>
      <c r="C758" s="218"/>
      <c r="D758" s="218"/>
    </row>
    <row r="759">
      <c r="A759" s="4"/>
      <c r="B759" s="218"/>
      <c r="C759" s="218"/>
      <c r="D759" s="218"/>
    </row>
    <row r="760">
      <c r="A760" s="4"/>
      <c r="B760" s="218"/>
      <c r="C760" s="218"/>
      <c r="D760" s="218"/>
    </row>
    <row r="761">
      <c r="A761" s="4"/>
      <c r="B761" s="218"/>
      <c r="C761" s="218"/>
      <c r="D761" s="218"/>
    </row>
    <row r="762">
      <c r="A762" s="4"/>
      <c r="B762" s="218"/>
      <c r="C762" s="218"/>
      <c r="D762" s="218"/>
    </row>
    <row r="763">
      <c r="A763" s="4"/>
      <c r="B763" s="218"/>
      <c r="C763" s="218"/>
      <c r="D763" s="218"/>
    </row>
    <row r="764">
      <c r="A764" s="4"/>
      <c r="B764" s="218"/>
      <c r="C764" s="218"/>
      <c r="D764" s="218"/>
    </row>
    <row r="765">
      <c r="A765" s="4"/>
      <c r="B765" s="218"/>
      <c r="C765" s="218"/>
      <c r="D765" s="218"/>
    </row>
    <row r="766">
      <c r="A766" s="4"/>
      <c r="B766" s="218"/>
      <c r="C766" s="218"/>
      <c r="D766" s="218"/>
    </row>
    <row r="767">
      <c r="A767" s="4"/>
      <c r="B767" s="218"/>
      <c r="C767" s="218"/>
      <c r="D767" s="218"/>
    </row>
    <row r="768">
      <c r="A768" s="4"/>
      <c r="B768" s="218"/>
      <c r="C768" s="218"/>
      <c r="D768" s="218"/>
    </row>
    <row r="769">
      <c r="A769" s="4"/>
      <c r="B769" s="218"/>
      <c r="C769" s="218"/>
      <c r="D769" s="218"/>
    </row>
    <row r="770">
      <c r="A770" s="4"/>
      <c r="B770" s="218"/>
      <c r="C770" s="218"/>
      <c r="D770" s="218"/>
    </row>
    <row r="771">
      <c r="A771" s="4"/>
      <c r="B771" s="218"/>
      <c r="C771" s="218"/>
      <c r="D771" s="218"/>
    </row>
    <row r="772">
      <c r="A772" s="4"/>
      <c r="B772" s="218"/>
      <c r="C772" s="218"/>
      <c r="D772" s="218"/>
    </row>
    <row r="773">
      <c r="A773" s="4"/>
      <c r="B773" s="218"/>
      <c r="C773" s="218"/>
      <c r="D773" s="218"/>
    </row>
    <row r="774">
      <c r="A774" s="4"/>
      <c r="B774" s="218"/>
      <c r="C774" s="218"/>
      <c r="D774" s="218"/>
    </row>
    <row r="775">
      <c r="A775" s="4"/>
      <c r="B775" s="218"/>
      <c r="C775" s="218"/>
      <c r="D775" s="218"/>
    </row>
    <row r="776">
      <c r="A776" s="4"/>
      <c r="B776" s="218"/>
      <c r="C776" s="218"/>
      <c r="D776" s="218"/>
    </row>
    <row r="777">
      <c r="A777" s="4"/>
      <c r="B777" s="218"/>
      <c r="C777" s="218"/>
      <c r="D777" s="218"/>
    </row>
    <row r="778">
      <c r="A778" s="4"/>
      <c r="B778" s="218"/>
      <c r="C778" s="218"/>
      <c r="D778" s="218"/>
    </row>
    <row r="779">
      <c r="A779" s="4"/>
      <c r="B779" s="218"/>
      <c r="C779" s="218"/>
      <c r="D779" s="218"/>
    </row>
    <row r="780">
      <c r="A780" s="4"/>
      <c r="B780" s="218"/>
      <c r="C780" s="218"/>
      <c r="D780" s="218"/>
    </row>
    <row r="781">
      <c r="A781" s="4"/>
      <c r="B781" s="218"/>
      <c r="C781" s="218"/>
      <c r="D781" s="218"/>
    </row>
    <row r="782">
      <c r="A782" s="4"/>
      <c r="B782" s="218"/>
      <c r="C782" s="218"/>
      <c r="D782" s="218"/>
    </row>
    <row r="783">
      <c r="A783" s="4"/>
      <c r="B783" s="218"/>
      <c r="C783" s="218"/>
      <c r="D783" s="218"/>
    </row>
    <row r="784">
      <c r="A784" s="4"/>
      <c r="B784" s="218"/>
      <c r="C784" s="218"/>
      <c r="D784" s="218"/>
    </row>
    <row r="785">
      <c r="A785" s="4"/>
      <c r="B785" s="218"/>
      <c r="C785" s="218"/>
      <c r="D785" s="218"/>
    </row>
    <row r="786">
      <c r="A786" s="4"/>
      <c r="B786" s="218"/>
      <c r="C786" s="218"/>
      <c r="D786" s="218"/>
    </row>
    <row r="787">
      <c r="A787" s="4"/>
      <c r="B787" s="218"/>
      <c r="C787" s="218"/>
      <c r="D787" s="218"/>
    </row>
    <row r="788">
      <c r="A788" s="4"/>
      <c r="B788" s="218"/>
      <c r="C788" s="218"/>
      <c r="D788" s="218"/>
    </row>
    <row r="789">
      <c r="A789" s="4"/>
      <c r="B789" s="218"/>
      <c r="C789" s="218"/>
      <c r="D789" s="218"/>
    </row>
    <row r="790">
      <c r="A790" s="4"/>
      <c r="B790" s="218"/>
      <c r="C790" s="218"/>
      <c r="D790" s="218"/>
    </row>
    <row r="791">
      <c r="A791" s="4"/>
      <c r="B791" s="218"/>
      <c r="C791" s="218"/>
      <c r="D791" s="218"/>
    </row>
    <row r="792">
      <c r="A792" s="4"/>
      <c r="B792" s="218"/>
      <c r="C792" s="218"/>
      <c r="D792" s="218"/>
    </row>
    <row r="793">
      <c r="A793" s="4"/>
      <c r="B793" s="218"/>
      <c r="C793" s="218"/>
      <c r="D793" s="218"/>
    </row>
    <row r="794">
      <c r="A794" s="4"/>
      <c r="B794" s="218"/>
      <c r="C794" s="218"/>
      <c r="D794" s="218"/>
    </row>
    <row r="795">
      <c r="A795" s="4"/>
      <c r="B795" s="218"/>
      <c r="C795" s="218"/>
      <c r="D795" s="218"/>
    </row>
    <row r="796">
      <c r="A796" s="4"/>
      <c r="B796" s="218"/>
      <c r="C796" s="218"/>
      <c r="D796" s="218"/>
    </row>
    <row r="797">
      <c r="A797" s="4"/>
      <c r="B797" s="218"/>
      <c r="C797" s="218"/>
      <c r="D797" s="218"/>
    </row>
    <row r="798">
      <c r="A798" s="4"/>
      <c r="B798" s="218"/>
      <c r="C798" s="218"/>
      <c r="D798" s="218"/>
    </row>
    <row r="799">
      <c r="A799" s="4"/>
      <c r="B799" s="218"/>
      <c r="C799" s="218"/>
      <c r="D799" s="218"/>
    </row>
    <row r="800">
      <c r="A800" s="4"/>
      <c r="B800" s="218"/>
      <c r="C800" s="218"/>
      <c r="D800" s="218"/>
    </row>
    <row r="801">
      <c r="A801" s="4"/>
      <c r="B801" s="218"/>
      <c r="C801" s="218"/>
      <c r="D801" s="218"/>
    </row>
    <row r="802">
      <c r="A802" s="4"/>
      <c r="B802" s="218"/>
      <c r="C802" s="218"/>
      <c r="D802" s="218"/>
    </row>
    <row r="803">
      <c r="A803" s="4"/>
      <c r="B803" s="218"/>
      <c r="C803" s="218"/>
      <c r="D803" s="218"/>
    </row>
    <row r="804">
      <c r="A804" s="4"/>
      <c r="B804" s="218"/>
      <c r="C804" s="218"/>
      <c r="D804" s="218"/>
    </row>
    <row r="805">
      <c r="A805" s="4"/>
      <c r="B805" s="218"/>
      <c r="C805" s="218"/>
      <c r="D805" s="218"/>
    </row>
    <row r="806">
      <c r="A806" s="4"/>
      <c r="B806" s="218"/>
      <c r="C806" s="218"/>
      <c r="D806" s="218"/>
    </row>
    <row r="807">
      <c r="A807" s="4"/>
      <c r="B807" s="218"/>
      <c r="C807" s="218"/>
      <c r="D807" s="218"/>
    </row>
    <row r="808">
      <c r="A808" s="4"/>
      <c r="B808" s="218"/>
      <c r="C808" s="218"/>
      <c r="D808" s="218"/>
    </row>
    <row r="809">
      <c r="A809" s="4"/>
      <c r="B809" s="218"/>
      <c r="C809" s="218"/>
      <c r="D809" s="218"/>
    </row>
    <row r="810">
      <c r="A810" s="4"/>
      <c r="B810" s="218"/>
      <c r="C810" s="218"/>
      <c r="D810" s="218"/>
    </row>
    <row r="811">
      <c r="A811" s="4"/>
      <c r="B811" s="218"/>
      <c r="C811" s="218"/>
      <c r="D811" s="218"/>
    </row>
    <row r="812">
      <c r="A812" s="4"/>
      <c r="B812" s="218"/>
      <c r="C812" s="218"/>
      <c r="D812" s="218"/>
    </row>
    <row r="813">
      <c r="A813" s="4"/>
      <c r="B813" s="218"/>
      <c r="C813" s="218"/>
      <c r="D813" s="218"/>
    </row>
    <row r="814">
      <c r="A814" s="4"/>
      <c r="B814" s="218"/>
      <c r="C814" s="218"/>
      <c r="D814" s="218"/>
    </row>
    <row r="815">
      <c r="A815" s="4"/>
      <c r="B815" s="218"/>
      <c r="C815" s="218"/>
      <c r="D815" s="218"/>
    </row>
    <row r="816">
      <c r="A816" s="4"/>
      <c r="B816" s="218"/>
      <c r="C816" s="218"/>
      <c r="D816" s="218"/>
    </row>
    <row r="817">
      <c r="A817" s="4"/>
      <c r="B817" s="218"/>
      <c r="C817" s="218"/>
      <c r="D817" s="218"/>
    </row>
    <row r="818">
      <c r="A818" s="4"/>
      <c r="B818" s="218"/>
      <c r="C818" s="218"/>
      <c r="D818" s="218"/>
    </row>
    <row r="819">
      <c r="A819" s="4"/>
      <c r="B819" s="218"/>
      <c r="C819" s="218"/>
      <c r="D819" s="218"/>
    </row>
    <row r="820">
      <c r="A820" s="4"/>
      <c r="B820" s="218"/>
      <c r="C820" s="218"/>
      <c r="D820" s="218"/>
    </row>
    <row r="821">
      <c r="A821" s="4"/>
      <c r="B821" s="218"/>
      <c r="C821" s="218"/>
      <c r="D821" s="218"/>
    </row>
    <row r="822">
      <c r="A822" s="4"/>
      <c r="B822" s="218"/>
      <c r="C822" s="218"/>
      <c r="D822" s="218"/>
    </row>
    <row r="823">
      <c r="A823" s="4"/>
      <c r="B823" s="218"/>
      <c r="C823" s="218"/>
      <c r="D823" s="218"/>
    </row>
    <row r="824">
      <c r="A824" s="4"/>
      <c r="B824" s="218"/>
      <c r="C824" s="218"/>
      <c r="D824" s="218"/>
    </row>
    <row r="825">
      <c r="A825" s="4"/>
      <c r="B825" s="218"/>
      <c r="C825" s="218"/>
      <c r="D825" s="218"/>
    </row>
    <row r="826">
      <c r="A826" s="4"/>
      <c r="B826" s="218"/>
      <c r="C826" s="218"/>
      <c r="D826" s="218"/>
    </row>
    <row r="827">
      <c r="A827" s="4"/>
      <c r="B827" s="218"/>
      <c r="C827" s="218"/>
      <c r="D827" s="218"/>
    </row>
    <row r="828">
      <c r="A828" s="4"/>
      <c r="B828" s="218"/>
      <c r="C828" s="218"/>
      <c r="D828" s="218"/>
    </row>
    <row r="829">
      <c r="A829" s="4"/>
      <c r="B829" s="218"/>
      <c r="C829" s="218"/>
      <c r="D829" s="218"/>
    </row>
    <row r="830">
      <c r="A830" s="4"/>
      <c r="B830" s="218"/>
      <c r="C830" s="218"/>
      <c r="D830" s="218"/>
    </row>
    <row r="831">
      <c r="A831" s="4"/>
      <c r="B831" s="218"/>
      <c r="C831" s="218"/>
      <c r="D831" s="218"/>
    </row>
    <row r="832">
      <c r="A832" s="4"/>
      <c r="B832" s="218"/>
      <c r="C832" s="218"/>
      <c r="D832" s="218"/>
    </row>
    <row r="833">
      <c r="A833" s="4"/>
      <c r="B833" s="218"/>
      <c r="C833" s="218"/>
      <c r="D833" s="218"/>
    </row>
    <row r="834">
      <c r="A834" s="4"/>
      <c r="B834" s="218"/>
      <c r="C834" s="218"/>
      <c r="D834" s="218"/>
    </row>
    <row r="835">
      <c r="A835" s="4"/>
      <c r="B835" s="218"/>
      <c r="C835" s="218"/>
      <c r="D835" s="218"/>
    </row>
    <row r="836">
      <c r="A836" s="4"/>
      <c r="B836" s="218"/>
      <c r="C836" s="218"/>
      <c r="D836" s="218"/>
    </row>
    <row r="837">
      <c r="A837" s="4"/>
      <c r="B837" s="218"/>
      <c r="C837" s="218"/>
      <c r="D837" s="218"/>
    </row>
    <row r="838">
      <c r="A838" s="4"/>
      <c r="B838" s="218"/>
      <c r="C838" s="218"/>
      <c r="D838" s="218"/>
    </row>
    <row r="839">
      <c r="A839" s="4"/>
      <c r="B839" s="218"/>
      <c r="C839" s="218"/>
      <c r="D839" s="218"/>
    </row>
    <row r="840">
      <c r="A840" s="4"/>
      <c r="B840" s="218"/>
      <c r="C840" s="218"/>
      <c r="D840" s="218"/>
    </row>
    <row r="841">
      <c r="A841" s="4"/>
      <c r="B841" s="218"/>
      <c r="C841" s="218"/>
      <c r="D841" s="218"/>
    </row>
    <row r="842">
      <c r="A842" s="4"/>
      <c r="B842" s="218"/>
      <c r="C842" s="218"/>
      <c r="D842" s="218"/>
    </row>
    <row r="843">
      <c r="A843" s="4"/>
      <c r="B843" s="218"/>
      <c r="C843" s="218"/>
      <c r="D843" s="218"/>
    </row>
    <row r="844">
      <c r="A844" s="4"/>
      <c r="B844" s="218"/>
      <c r="C844" s="218"/>
      <c r="D844" s="218"/>
    </row>
    <row r="845">
      <c r="A845" s="4"/>
      <c r="B845" s="218"/>
      <c r="C845" s="218"/>
      <c r="D845" s="218"/>
    </row>
    <row r="846">
      <c r="A846" s="4"/>
      <c r="B846" s="218"/>
      <c r="C846" s="218"/>
      <c r="D846" s="218"/>
    </row>
    <row r="847">
      <c r="A847" s="4"/>
      <c r="B847" s="218"/>
      <c r="C847" s="218"/>
      <c r="D847" s="218"/>
    </row>
    <row r="848">
      <c r="A848" s="4"/>
      <c r="B848" s="218"/>
      <c r="C848" s="218"/>
      <c r="D848" s="218"/>
    </row>
    <row r="849">
      <c r="A849" s="4"/>
      <c r="B849" s="218"/>
      <c r="C849" s="218"/>
      <c r="D849" s="218"/>
    </row>
    <row r="850">
      <c r="A850" s="4"/>
      <c r="B850" s="218"/>
      <c r="C850" s="218"/>
      <c r="D850" s="218"/>
    </row>
    <row r="851">
      <c r="A851" s="4"/>
      <c r="B851" s="218"/>
      <c r="C851" s="218"/>
      <c r="D851" s="218"/>
    </row>
    <row r="852">
      <c r="A852" s="4"/>
      <c r="B852" s="218"/>
      <c r="C852" s="218"/>
      <c r="D852" s="218"/>
    </row>
    <row r="853">
      <c r="A853" s="4"/>
      <c r="B853" s="218"/>
      <c r="C853" s="218"/>
      <c r="D853" s="218"/>
    </row>
    <row r="854">
      <c r="A854" s="4"/>
      <c r="B854" s="218"/>
      <c r="C854" s="218"/>
      <c r="D854" s="218"/>
    </row>
    <row r="855">
      <c r="A855" s="4"/>
      <c r="B855" s="218"/>
      <c r="C855" s="218"/>
      <c r="D855" s="218"/>
    </row>
    <row r="856">
      <c r="A856" s="4"/>
      <c r="B856" s="218"/>
      <c r="C856" s="218"/>
      <c r="D856" s="218"/>
    </row>
    <row r="857">
      <c r="A857" s="4"/>
      <c r="B857" s="218"/>
      <c r="C857" s="218"/>
      <c r="D857" s="218"/>
    </row>
    <row r="858">
      <c r="A858" s="4"/>
      <c r="B858" s="218"/>
      <c r="C858" s="218"/>
      <c r="D858" s="218"/>
    </row>
    <row r="859">
      <c r="A859" s="4"/>
      <c r="B859" s="218"/>
      <c r="C859" s="218"/>
      <c r="D859" s="218"/>
    </row>
    <row r="860">
      <c r="A860" s="4"/>
      <c r="B860" s="218"/>
      <c r="C860" s="218"/>
      <c r="D860" s="218"/>
    </row>
    <row r="861">
      <c r="A861" s="4"/>
      <c r="B861" s="218"/>
      <c r="C861" s="218"/>
      <c r="D861" s="218"/>
    </row>
    <row r="862">
      <c r="A862" s="4"/>
      <c r="B862" s="218"/>
      <c r="C862" s="218"/>
      <c r="D862" s="218"/>
    </row>
    <row r="863">
      <c r="A863" s="4"/>
      <c r="B863" s="218"/>
      <c r="C863" s="218"/>
      <c r="D863" s="218"/>
    </row>
    <row r="864">
      <c r="A864" s="4"/>
      <c r="B864" s="218"/>
      <c r="C864" s="218"/>
      <c r="D864" s="218"/>
    </row>
    <row r="865">
      <c r="A865" s="4"/>
      <c r="B865" s="218"/>
      <c r="C865" s="218"/>
      <c r="D865" s="218"/>
    </row>
    <row r="866">
      <c r="A866" s="4"/>
      <c r="B866" s="218"/>
      <c r="C866" s="218"/>
      <c r="D866" s="218"/>
    </row>
    <row r="867">
      <c r="A867" s="4"/>
      <c r="B867" s="218"/>
      <c r="C867" s="218"/>
      <c r="D867" s="218"/>
    </row>
    <row r="868">
      <c r="A868" s="4"/>
      <c r="B868" s="218"/>
      <c r="C868" s="218"/>
      <c r="D868" s="218"/>
    </row>
    <row r="869">
      <c r="A869" s="4"/>
      <c r="B869" s="218"/>
      <c r="C869" s="218"/>
      <c r="D869" s="218"/>
    </row>
    <row r="870">
      <c r="A870" s="4"/>
      <c r="B870" s="218"/>
      <c r="C870" s="218"/>
      <c r="D870" s="218"/>
    </row>
    <row r="871">
      <c r="A871" s="4"/>
      <c r="B871" s="218"/>
      <c r="C871" s="218"/>
      <c r="D871" s="218"/>
    </row>
    <row r="872">
      <c r="A872" s="4"/>
      <c r="B872" s="218"/>
      <c r="C872" s="218"/>
      <c r="D872" s="218"/>
    </row>
    <row r="873">
      <c r="A873" s="4"/>
      <c r="B873" s="218"/>
      <c r="C873" s="218"/>
      <c r="D873" s="218"/>
    </row>
    <row r="874">
      <c r="A874" s="4"/>
      <c r="B874" s="218"/>
      <c r="C874" s="218"/>
      <c r="D874" s="218"/>
    </row>
    <row r="875">
      <c r="A875" s="4"/>
      <c r="B875" s="218"/>
      <c r="C875" s="218"/>
      <c r="D875" s="218"/>
    </row>
    <row r="876">
      <c r="A876" s="4"/>
      <c r="B876" s="218"/>
      <c r="C876" s="218"/>
      <c r="D876" s="218"/>
    </row>
    <row r="877">
      <c r="A877" s="4"/>
      <c r="B877" s="218"/>
      <c r="C877" s="218"/>
      <c r="D877" s="218"/>
    </row>
    <row r="878">
      <c r="A878" s="4"/>
      <c r="B878" s="218"/>
      <c r="C878" s="218"/>
      <c r="D878" s="218"/>
    </row>
    <row r="879">
      <c r="A879" s="4"/>
      <c r="B879" s="218"/>
      <c r="C879" s="218"/>
      <c r="D879" s="218"/>
    </row>
    <row r="880">
      <c r="A880" s="4"/>
      <c r="B880" s="218"/>
      <c r="C880" s="218"/>
      <c r="D880" s="218"/>
    </row>
    <row r="881">
      <c r="A881" s="4"/>
      <c r="B881" s="218"/>
      <c r="C881" s="218"/>
      <c r="D881" s="218"/>
    </row>
    <row r="882">
      <c r="A882" s="4"/>
      <c r="B882" s="218"/>
      <c r="C882" s="218"/>
      <c r="D882" s="218"/>
    </row>
    <row r="883">
      <c r="A883" s="4"/>
      <c r="B883" s="218"/>
      <c r="C883" s="218"/>
      <c r="D883" s="218"/>
    </row>
    <row r="884">
      <c r="A884" s="4"/>
      <c r="B884" s="218"/>
      <c r="C884" s="218"/>
      <c r="D884" s="218"/>
    </row>
    <row r="885">
      <c r="A885" s="4"/>
      <c r="B885" s="218"/>
      <c r="C885" s="218"/>
      <c r="D885" s="218"/>
    </row>
    <row r="886">
      <c r="A886" s="4"/>
      <c r="B886" s="218"/>
      <c r="C886" s="218"/>
      <c r="D886" s="218"/>
    </row>
    <row r="887">
      <c r="A887" s="4"/>
      <c r="B887" s="218"/>
      <c r="C887" s="218"/>
      <c r="D887" s="218"/>
    </row>
    <row r="888">
      <c r="A888" s="4"/>
      <c r="B888" s="218"/>
      <c r="C888" s="218"/>
      <c r="D888" s="218"/>
    </row>
    <row r="889">
      <c r="A889" s="4"/>
      <c r="B889" s="218"/>
      <c r="C889" s="218"/>
      <c r="D889" s="218"/>
    </row>
    <row r="890">
      <c r="A890" s="4"/>
      <c r="B890" s="218"/>
      <c r="C890" s="218"/>
      <c r="D890" s="218"/>
    </row>
    <row r="891">
      <c r="A891" s="4"/>
      <c r="B891" s="218"/>
      <c r="C891" s="218"/>
      <c r="D891" s="218"/>
    </row>
    <row r="892">
      <c r="A892" s="4"/>
      <c r="B892" s="218"/>
      <c r="C892" s="218"/>
      <c r="D892" s="218"/>
    </row>
    <row r="893">
      <c r="A893" s="4"/>
      <c r="B893" s="218"/>
      <c r="C893" s="218"/>
      <c r="D893" s="218"/>
    </row>
    <row r="894">
      <c r="A894" s="4"/>
      <c r="B894" s="218"/>
      <c r="C894" s="218"/>
      <c r="D894" s="218"/>
    </row>
    <row r="895">
      <c r="A895" s="4"/>
      <c r="B895" s="218"/>
      <c r="C895" s="218"/>
      <c r="D895" s="218"/>
    </row>
    <row r="896">
      <c r="A896" s="4"/>
      <c r="B896" s="218"/>
      <c r="C896" s="218"/>
      <c r="D896" s="218"/>
    </row>
    <row r="897">
      <c r="A897" s="4"/>
      <c r="B897" s="218"/>
      <c r="C897" s="218"/>
      <c r="D897" s="218"/>
    </row>
    <row r="898">
      <c r="A898" s="4"/>
      <c r="B898" s="218"/>
      <c r="C898" s="218"/>
      <c r="D898" s="218"/>
    </row>
    <row r="899">
      <c r="A899" s="4"/>
      <c r="B899" s="218"/>
      <c r="C899" s="218"/>
      <c r="D899" s="218"/>
    </row>
    <row r="900">
      <c r="A900" s="4"/>
      <c r="B900" s="218"/>
      <c r="C900" s="218"/>
      <c r="D900" s="218"/>
    </row>
    <row r="901">
      <c r="A901" s="4"/>
      <c r="B901" s="218"/>
      <c r="C901" s="218"/>
      <c r="D901" s="218"/>
    </row>
    <row r="902">
      <c r="A902" s="4"/>
      <c r="B902" s="218"/>
      <c r="C902" s="218"/>
      <c r="D902" s="218"/>
    </row>
    <row r="903">
      <c r="A903" s="4"/>
      <c r="B903" s="218"/>
      <c r="C903" s="218"/>
      <c r="D903" s="218"/>
    </row>
    <row r="904">
      <c r="A904" s="4"/>
      <c r="B904" s="218"/>
      <c r="C904" s="218"/>
      <c r="D904" s="218"/>
    </row>
    <row r="905">
      <c r="A905" s="4"/>
      <c r="B905" s="218"/>
      <c r="C905" s="218"/>
      <c r="D905" s="218"/>
    </row>
    <row r="906">
      <c r="A906" s="4"/>
      <c r="B906" s="218"/>
      <c r="C906" s="218"/>
      <c r="D906" s="218"/>
    </row>
    <row r="907">
      <c r="A907" s="4"/>
      <c r="B907" s="218"/>
      <c r="C907" s="218"/>
      <c r="D907" s="218"/>
    </row>
    <row r="908">
      <c r="A908" s="4"/>
      <c r="B908" s="218"/>
      <c r="C908" s="218"/>
      <c r="D908" s="218"/>
    </row>
    <row r="909">
      <c r="A909" s="4"/>
      <c r="B909" s="218"/>
      <c r="C909" s="218"/>
      <c r="D909" s="218"/>
    </row>
    <row r="910">
      <c r="A910" s="4"/>
      <c r="B910" s="218"/>
      <c r="C910" s="218"/>
      <c r="D910" s="218"/>
    </row>
    <row r="911">
      <c r="A911" s="4"/>
      <c r="B911" s="218"/>
      <c r="C911" s="218"/>
      <c r="D911" s="218"/>
    </row>
    <row r="912">
      <c r="A912" s="4"/>
      <c r="B912" s="218"/>
      <c r="C912" s="218"/>
      <c r="D912" s="218"/>
    </row>
    <row r="913">
      <c r="A913" s="4"/>
      <c r="B913" s="218"/>
      <c r="C913" s="218"/>
      <c r="D913" s="218"/>
    </row>
    <row r="914">
      <c r="A914" s="4"/>
      <c r="B914" s="218"/>
      <c r="C914" s="218"/>
      <c r="D914" s="218"/>
    </row>
    <row r="915">
      <c r="A915" s="4"/>
      <c r="B915" s="218"/>
      <c r="C915" s="218"/>
      <c r="D915" s="218"/>
    </row>
    <row r="916">
      <c r="A916" s="4"/>
      <c r="B916" s="218"/>
      <c r="C916" s="218"/>
      <c r="D916" s="218"/>
    </row>
    <row r="917">
      <c r="A917" s="4"/>
      <c r="B917" s="218"/>
      <c r="C917" s="218"/>
      <c r="D917" s="218"/>
    </row>
    <row r="918">
      <c r="A918" s="4"/>
      <c r="B918" s="218"/>
      <c r="C918" s="218"/>
      <c r="D918" s="218"/>
    </row>
    <row r="919">
      <c r="A919" s="4"/>
      <c r="B919" s="218"/>
      <c r="C919" s="218"/>
      <c r="D919" s="218"/>
    </row>
    <row r="920">
      <c r="A920" s="4"/>
      <c r="B920" s="218"/>
      <c r="C920" s="218"/>
      <c r="D920" s="218"/>
    </row>
    <row r="921">
      <c r="A921" s="4"/>
      <c r="B921" s="218"/>
      <c r="C921" s="218"/>
      <c r="D921" s="218"/>
    </row>
    <row r="922">
      <c r="A922" s="4"/>
      <c r="B922" s="218"/>
      <c r="C922" s="218"/>
      <c r="D922" s="218"/>
    </row>
    <row r="923">
      <c r="A923" s="4"/>
      <c r="B923" s="218"/>
      <c r="C923" s="218"/>
      <c r="D923" s="218"/>
    </row>
    <row r="924">
      <c r="A924" s="4"/>
      <c r="B924" s="218"/>
      <c r="C924" s="218"/>
      <c r="D924" s="218"/>
    </row>
    <row r="925">
      <c r="A925" s="4"/>
      <c r="B925" s="218"/>
      <c r="C925" s="218"/>
      <c r="D925" s="218"/>
    </row>
    <row r="926">
      <c r="A926" s="4"/>
      <c r="B926" s="218"/>
      <c r="C926" s="218"/>
      <c r="D926" s="218"/>
    </row>
    <row r="927">
      <c r="A927" s="4"/>
      <c r="B927" s="218"/>
      <c r="C927" s="218"/>
      <c r="D927" s="218"/>
    </row>
    <row r="928">
      <c r="A928" s="4"/>
      <c r="B928" s="218"/>
      <c r="C928" s="218"/>
      <c r="D928" s="218"/>
    </row>
    <row r="929">
      <c r="A929" s="4"/>
      <c r="B929" s="218"/>
      <c r="C929" s="218"/>
      <c r="D929" s="218"/>
    </row>
    <row r="930">
      <c r="A930" s="4"/>
      <c r="B930" s="218"/>
      <c r="C930" s="218"/>
      <c r="D930" s="218"/>
    </row>
    <row r="931">
      <c r="A931" s="4"/>
      <c r="B931" s="218"/>
      <c r="C931" s="218"/>
      <c r="D931" s="218"/>
    </row>
    <row r="932">
      <c r="A932" s="4"/>
      <c r="B932" s="218"/>
      <c r="C932" s="218"/>
      <c r="D932" s="218"/>
    </row>
    <row r="933">
      <c r="A933" s="4"/>
      <c r="B933" s="218"/>
      <c r="C933" s="218"/>
      <c r="D933" s="218"/>
    </row>
    <row r="934">
      <c r="A934" s="4"/>
      <c r="B934" s="218"/>
      <c r="C934" s="218"/>
      <c r="D934" s="218"/>
    </row>
    <row r="935">
      <c r="A935" s="4"/>
      <c r="B935" s="218"/>
      <c r="C935" s="218"/>
      <c r="D935" s="218"/>
    </row>
    <row r="936">
      <c r="A936" s="4"/>
      <c r="B936" s="218"/>
      <c r="C936" s="218"/>
      <c r="D936" s="218"/>
    </row>
    <row r="937">
      <c r="A937" s="4"/>
      <c r="B937" s="218"/>
      <c r="C937" s="218"/>
      <c r="D937" s="218"/>
    </row>
    <row r="938">
      <c r="A938" s="4"/>
      <c r="B938" s="218"/>
      <c r="C938" s="218"/>
      <c r="D938" s="218"/>
    </row>
    <row r="939">
      <c r="A939" s="4"/>
      <c r="B939" s="218"/>
      <c r="C939" s="218"/>
      <c r="D939" s="218"/>
    </row>
    <row r="940">
      <c r="A940" s="4"/>
      <c r="B940" s="218"/>
      <c r="C940" s="218"/>
      <c r="D940" s="218"/>
    </row>
    <row r="941">
      <c r="A941" s="4"/>
      <c r="B941" s="218"/>
      <c r="C941" s="218"/>
      <c r="D941" s="218"/>
    </row>
    <row r="942">
      <c r="A942" s="4"/>
      <c r="B942" s="218"/>
      <c r="C942" s="218"/>
      <c r="D942" s="218"/>
    </row>
    <row r="943">
      <c r="A943" s="4"/>
      <c r="B943" s="218"/>
      <c r="C943" s="218"/>
      <c r="D943" s="218"/>
    </row>
    <row r="944">
      <c r="A944" s="4"/>
      <c r="B944" s="218"/>
      <c r="C944" s="218"/>
      <c r="D944" s="218"/>
    </row>
    <row r="945">
      <c r="A945" s="4"/>
      <c r="B945" s="218"/>
      <c r="C945" s="218"/>
      <c r="D945" s="218"/>
    </row>
    <row r="946">
      <c r="A946" s="4"/>
      <c r="B946" s="218"/>
      <c r="C946" s="218"/>
      <c r="D946" s="218"/>
    </row>
    <row r="947">
      <c r="A947" s="4"/>
      <c r="B947" s="218"/>
      <c r="C947" s="218"/>
      <c r="D947" s="218"/>
    </row>
    <row r="948">
      <c r="A948" s="4"/>
      <c r="B948" s="218"/>
      <c r="C948" s="218"/>
      <c r="D948" s="218"/>
    </row>
    <row r="949">
      <c r="A949" s="4"/>
      <c r="B949" s="218"/>
      <c r="C949" s="218"/>
      <c r="D949" s="218"/>
    </row>
    <row r="950">
      <c r="A950" s="4"/>
      <c r="B950" s="218"/>
      <c r="C950" s="218"/>
      <c r="D950" s="218"/>
    </row>
    <row r="951">
      <c r="A951" s="4"/>
      <c r="B951" s="218"/>
      <c r="C951" s="218"/>
      <c r="D951" s="218"/>
    </row>
    <row r="952">
      <c r="A952" s="4"/>
      <c r="B952" s="218"/>
      <c r="C952" s="218"/>
      <c r="D952" s="218"/>
    </row>
    <row r="953">
      <c r="A953" s="4"/>
      <c r="B953" s="218"/>
      <c r="C953" s="218"/>
      <c r="D953" s="218"/>
    </row>
    <row r="954">
      <c r="A954" s="4"/>
      <c r="B954" s="218"/>
      <c r="C954" s="218"/>
      <c r="D954" s="218"/>
    </row>
    <row r="955">
      <c r="A955" s="4"/>
      <c r="B955" s="218"/>
      <c r="C955" s="218"/>
      <c r="D955" s="218"/>
    </row>
    <row r="956">
      <c r="A956" s="4"/>
      <c r="B956" s="218"/>
      <c r="C956" s="218"/>
      <c r="D956" s="218"/>
    </row>
    <row r="957">
      <c r="A957" s="4"/>
      <c r="B957" s="218"/>
      <c r="C957" s="218"/>
      <c r="D957" s="218"/>
    </row>
    <row r="958">
      <c r="A958" s="4"/>
      <c r="B958" s="218"/>
      <c r="C958" s="218"/>
      <c r="D958" s="218"/>
    </row>
    <row r="959">
      <c r="A959" s="4"/>
      <c r="B959" s="218"/>
      <c r="C959" s="218"/>
      <c r="D959" s="218"/>
    </row>
    <row r="960">
      <c r="A960" s="4"/>
      <c r="B960" s="218"/>
      <c r="C960" s="218"/>
      <c r="D960" s="218"/>
    </row>
    <row r="961">
      <c r="A961" s="4"/>
      <c r="B961" s="218"/>
      <c r="C961" s="218"/>
      <c r="D961" s="218"/>
    </row>
    <row r="962">
      <c r="A962" s="4"/>
      <c r="B962" s="218"/>
      <c r="C962" s="218"/>
      <c r="D962" s="218"/>
    </row>
    <row r="963">
      <c r="A963" s="4"/>
      <c r="B963" s="218"/>
      <c r="C963" s="218"/>
      <c r="D963" s="218"/>
    </row>
    <row r="964">
      <c r="A964" s="4"/>
      <c r="B964" s="218"/>
      <c r="C964" s="218"/>
      <c r="D964" s="218"/>
    </row>
    <row r="965">
      <c r="A965" s="4"/>
      <c r="B965" s="218"/>
      <c r="C965" s="218"/>
      <c r="D965" s="218"/>
    </row>
    <row r="966">
      <c r="A966" s="4"/>
      <c r="B966" s="218"/>
      <c r="C966" s="218"/>
      <c r="D966" s="218"/>
    </row>
    <row r="967">
      <c r="A967" s="4"/>
      <c r="B967" s="218"/>
      <c r="C967" s="218"/>
      <c r="D967" s="218"/>
    </row>
    <row r="968">
      <c r="A968" s="4"/>
      <c r="B968" s="218"/>
      <c r="C968" s="218"/>
      <c r="D968" s="218"/>
    </row>
    <row r="969">
      <c r="A969" s="4"/>
      <c r="B969" s="218"/>
      <c r="C969" s="218"/>
      <c r="D969" s="218"/>
    </row>
    <row r="970">
      <c r="A970" s="4"/>
      <c r="B970" s="218"/>
      <c r="C970" s="218"/>
      <c r="D970" s="218"/>
    </row>
    <row r="971">
      <c r="A971" s="4"/>
      <c r="B971" s="218"/>
      <c r="C971" s="218"/>
      <c r="D971" s="218"/>
    </row>
    <row r="972">
      <c r="A972" s="4"/>
      <c r="B972" s="218"/>
      <c r="C972" s="218"/>
      <c r="D972" s="218"/>
    </row>
    <row r="973">
      <c r="A973" s="4"/>
      <c r="B973" s="218"/>
      <c r="C973" s="218"/>
      <c r="D973" s="218"/>
    </row>
    <row r="974">
      <c r="A974" s="4"/>
      <c r="B974" s="218"/>
      <c r="C974" s="218"/>
      <c r="D974" s="218"/>
    </row>
    <row r="975">
      <c r="A975" s="4"/>
      <c r="B975" s="218"/>
      <c r="C975" s="218"/>
      <c r="D975" s="218"/>
    </row>
    <row r="976">
      <c r="A976" s="4"/>
      <c r="B976" s="218"/>
      <c r="C976" s="218"/>
      <c r="D976" s="218"/>
    </row>
    <row r="977">
      <c r="A977" s="4"/>
      <c r="B977" s="218"/>
      <c r="C977" s="218"/>
      <c r="D977" s="218"/>
    </row>
    <row r="978">
      <c r="A978" s="4"/>
      <c r="B978" s="218"/>
      <c r="C978" s="218"/>
      <c r="D978" s="218"/>
    </row>
    <row r="979">
      <c r="A979" s="4"/>
      <c r="B979" s="218"/>
      <c r="C979" s="218"/>
      <c r="D979" s="218"/>
    </row>
    <row r="980">
      <c r="A980" s="4"/>
      <c r="B980" s="218"/>
      <c r="C980" s="218"/>
      <c r="D980" s="218"/>
    </row>
    <row r="981">
      <c r="A981" s="4"/>
      <c r="B981" s="218"/>
      <c r="C981" s="218"/>
      <c r="D981" s="218"/>
    </row>
    <row r="982">
      <c r="A982" s="4"/>
      <c r="B982" s="218"/>
      <c r="C982" s="218"/>
      <c r="D982" s="218"/>
    </row>
    <row r="983">
      <c r="A983" s="4"/>
      <c r="B983" s="218"/>
      <c r="C983" s="218"/>
      <c r="D983" s="218"/>
    </row>
    <row r="984">
      <c r="A984" s="4"/>
      <c r="B984" s="218"/>
      <c r="C984" s="218"/>
      <c r="D984" s="218"/>
    </row>
    <row r="985">
      <c r="A985" s="4"/>
      <c r="B985" s="218"/>
      <c r="C985" s="218"/>
      <c r="D985" s="218"/>
    </row>
    <row r="986">
      <c r="A986" s="4"/>
      <c r="B986" s="218"/>
      <c r="C986" s="218"/>
      <c r="D986" s="218"/>
    </row>
    <row r="987">
      <c r="A987" s="4"/>
      <c r="B987" s="218"/>
      <c r="C987" s="218"/>
      <c r="D987" s="218"/>
    </row>
    <row r="988">
      <c r="A988" s="4"/>
      <c r="B988" s="218"/>
      <c r="C988" s="218"/>
      <c r="D988" s="218"/>
    </row>
    <row r="989">
      <c r="A989" s="4"/>
      <c r="B989" s="218"/>
      <c r="C989" s="218"/>
      <c r="D989" s="218"/>
    </row>
    <row r="990">
      <c r="A990" s="4"/>
      <c r="B990" s="218"/>
      <c r="C990" s="218"/>
      <c r="D990" s="218"/>
    </row>
    <row r="991">
      <c r="A991" s="4"/>
      <c r="B991" s="218"/>
      <c r="C991" s="218"/>
      <c r="D991" s="218"/>
    </row>
    <row r="992">
      <c r="A992" s="4"/>
      <c r="B992" s="218"/>
      <c r="C992" s="218"/>
      <c r="D992" s="218"/>
    </row>
    <row r="993">
      <c r="A993" s="4"/>
      <c r="B993" s="218"/>
      <c r="C993" s="218"/>
      <c r="D993" s="218"/>
    </row>
    <row r="994">
      <c r="A994" s="4"/>
      <c r="B994" s="218"/>
      <c r="C994" s="218"/>
      <c r="D994" s="218"/>
    </row>
    <row r="995">
      <c r="A995" s="4"/>
      <c r="B995" s="218"/>
      <c r="C995" s="218"/>
      <c r="D995" s="218"/>
    </row>
    <row r="996">
      <c r="A996" s="4"/>
      <c r="B996" s="218"/>
      <c r="C996" s="218"/>
      <c r="D996" s="218"/>
    </row>
  </sheetData>
  <mergeCells count="2">
    <mergeCell ref="B3:D3"/>
    <mergeCell ref="J3:L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63"/>
  </cols>
  <sheetData>
    <row r="1">
      <c r="B1" s="181" t="s">
        <v>574</v>
      </c>
      <c r="C1" s="181" t="s">
        <v>575</v>
      </c>
    </row>
    <row r="2">
      <c r="B2" s="181" t="s">
        <v>576</v>
      </c>
    </row>
    <row r="3">
      <c r="B3" s="181" t="s">
        <v>577</v>
      </c>
      <c r="F3" s="181">
        <v>61.0</v>
      </c>
    </row>
    <row r="4">
      <c r="A4" s="4"/>
      <c r="B4" s="3" t="s">
        <v>578</v>
      </c>
      <c r="C4" s="3" t="s">
        <v>579</v>
      </c>
      <c r="D4" s="3" t="s">
        <v>580</v>
      </c>
      <c r="E4" s="3" t="s">
        <v>581</v>
      </c>
      <c r="F4" s="113" t="s">
        <v>582</v>
      </c>
      <c r="G4" s="113" t="s">
        <v>583</v>
      </c>
      <c r="H4" s="4"/>
      <c r="I4" s="4"/>
      <c r="J4" s="4"/>
      <c r="K4" s="4"/>
      <c r="L4" s="4"/>
      <c r="M4" s="4"/>
      <c r="N4" s="4"/>
      <c r="O4" s="4"/>
      <c r="P4" s="4"/>
      <c r="Q4" s="4"/>
      <c r="R4" s="4"/>
      <c r="S4" s="4"/>
      <c r="T4" s="4"/>
      <c r="U4" s="4"/>
      <c r="V4" s="4"/>
      <c r="W4" s="4"/>
      <c r="X4" s="4"/>
      <c r="Y4" s="4"/>
      <c r="Z4" s="4"/>
    </row>
    <row r="5">
      <c r="B5" s="181">
        <v>1024.0</v>
      </c>
      <c r="C5" s="181">
        <v>0.0241</v>
      </c>
      <c r="D5" s="66">
        <f t="shared" ref="D5:D13" si="1">$C$5 + (($C$13 - $C$5) / ($B$13 - $B$5)) * (B5 - $B$5)</f>
        <v>0.0241</v>
      </c>
      <c r="E5" s="841">
        <f t="shared" ref="E5:E13" si="2">C5/D5-1</f>
        <v>0</v>
      </c>
      <c r="F5" s="181">
        <f>1.039*61/1000</f>
        <v>0.063379</v>
      </c>
      <c r="G5" s="841">
        <f>C5/F5</f>
        <v>0.380252134</v>
      </c>
    </row>
    <row r="6">
      <c r="B6" s="66">
        <f t="shared" ref="B6:B13" si="3">B5+1024</f>
        <v>2048</v>
      </c>
      <c r="C6" s="181">
        <v>0.0254</v>
      </c>
      <c r="D6" s="66">
        <f t="shared" si="1"/>
        <v>0.0255375</v>
      </c>
      <c r="E6" s="841">
        <f t="shared" si="2"/>
        <v>-0.005384238864</v>
      </c>
    </row>
    <row r="7">
      <c r="B7" s="66">
        <f t="shared" si="3"/>
        <v>3072</v>
      </c>
      <c r="C7" s="181">
        <v>0.0268</v>
      </c>
      <c r="D7" s="66">
        <f t="shared" si="1"/>
        <v>0.026975</v>
      </c>
      <c r="E7" s="841">
        <f t="shared" si="2"/>
        <v>-0.006487488415</v>
      </c>
    </row>
    <row r="8">
      <c r="B8" s="66">
        <f t="shared" si="3"/>
        <v>4096</v>
      </c>
      <c r="C8" s="181">
        <v>0.0283</v>
      </c>
      <c r="D8" s="66">
        <f t="shared" si="1"/>
        <v>0.0284125</v>
      </c>
      <c r="E8" s="841">
        <f t="shared" si="2"/>
        <v>-0.003959524857</v>
      </c>
      <c r="F8" s="181">
        <f>1.2*$F$3/1000</f>
        <v>0.0732</v>
      </c>
      <c r="G8" s="841">
        <f>C8/F8</f>
        <v>0.3866120219</v>
      </c>
    </row>
    <row r="9">
      <c r="B9" s="66">
        <f t="shared" si="3"/>
        <v>5120</v>
      </c>
      <c r="C9" s="181">
        <v>0.0297</v>
      </c>
      <c r="D9" s="66">
        <f t="shared" si="1"/>
        <v>0.02985</v>
      </c>
      <c r="E9" s="841">
        <f t="shared" si="2"/>
        <v>-0.005025125628</v>
      </c>
    </row>
    <row r="10">
      <c r="B10" s="66">
        <f t="shared" si="3"/>
        <v>6144</v>
      </c>
      <c r="C10" s="181">
        <v>0.0312</v>
      </c>
      <c r="D10" s="66">
        <f t="shared" si="1"/>
        <v>0.0312875</v>
      </c>
      <c r="E10" s="841">
        <f t="shared" si="2"/>
        <v>-0.002796644027</v>
      </c>
    </row>
    <row r="11">
      <c r="B11" s="66">
        <f t="shared" si="3"/>
        <v>7168</v>
      </c>
      <c r="C11" s="181">
        <v>0.0327</v>
      </c>
      <c r="D11" s="66">
        <f t="shared" si="1"/>
        <v>0.032725</v>
      </c>
      <c r="E11" s="841">
        <f t="shared" si="2"/>
        <v>-0.0007639419404</v>
      </c>
    </row>
    <row r="12">
      <c r="B12" s="66">
        <f t="shared" si="3"/>
        <v>8192</v>
      </c>
      <c r="C12" s="181">
        <v>0.0341</v>
      </c>
      <c r="D12" s="66">
        <f t="shared" si="1"/>
        <v>0.0341625</v>
      </c>
      <c r="E12" s="841">
        <f t="shared" si="2"/>
        <v>-0.001829491401</v>
      </c>
    </row>
    <row r="13">
      <c r="B13" s="66">
        <f t="shared" si="3"/>
        <v>9216</v>
      </c>
      <c r="C13" s="181">
        <v>0.0356</v>
      </c>
      <c r="D13" s="66">
        <f t="shared" si="1"/>
        <v>0.0356</v>
      </c>
      <c r="E13" s="841">
        <f t="shared" si="2"/>
        <v>0</v>
      </c>
      <c r="F13" s="181">
        <f>1.488*F3/1000</f>
        <v>0.090768</v>
      </c>
      <c r="G13" s="841">
        <f>C13/F13</f>
        <v>0.3922087079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16" t="s">
        <v>169</v>
      </c>
      <c r="B1" s="216" t="s">
        <v>170</v>
      </c>
      <c r="C1" s="216" t="s">
        <v>171</v>
      </c>
      <c r="D1" s="842"/>
      <c r="E1" s="218"/>
      <c r="F1" s="219" t="s">
        <v>172</v>
      </c>
      <c r="G1" s="219" t="s">
        <v>173</v>
      </c>
      <c r="H1" s="220" t="s">
        <v>174</v>
      </c>
      <c r="I1" s="218"/>
      <c r="J1" s="218"/>
      <c r="K1" s="218"/>
      <c r="L1" s="218"/>
      <c r="M1" s="218"/>
      <c r="N1" s="218"/>
      <c r="O1" s="218"/>
      <c r="P1" s="221"/>
      <c r="Q1" s="222" t="s">
        <v>175</v>
      </c>
      <c r="R1" s="218"/>
      <c r="S1" s="218"/>
      <c r="T1" s="222" t="s">
        <v>176</v>
      </c>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row>
    <row r="2">
      <c r="A2" s="223" t="s">
        <v>177</v>
      </c>
      <c r="B2" s="223" t="s">
        <v>178</v>
      </c>
      <c r="C2" s="223">
        <v>7168.0</v>
      </c>
      <c r="D2" s="843"/>
      <c r="F2" s="219" t="s">
        <v>179</v>
      </c>
      <c r="G2" s="225"/>
      <c r="H2" s="226"/>
      <c r="P2" s="227"/>
      <c r="Q2" s="181" t="s">
        <v>180</v>
      </c>
      <c r="R2" s="181">
        <v>0.5</v>
      </c>
      <c r="T2" s="66" t="str">
        <f t="shared" ref="T2:T6" si="1">U2&amp;","&amp;V2</f>
        <v>fp4,fp4</v>
      </c>
      <c r="U2" s="181" t="s">
        <v>180</v>
      </c>
      <c r="V2" s="181" t="s">
        <v>180</v>
      </c>
      <c r="W2" s="181" t="s">
        <v>180</v>
      </c>
      <c r="AR2" s="228"/>
      <c r="AS2" s="228"/>
      <c r="AT2" s="228"/>
    </row>
    <row r="3">
      <c r="A3" s="223" t="s">
        <v>181</v>
      </c>
      <c r="B3" s="223" t="s">
        <v>182</v>
      </c>
      <c r="C3" s="223">
        <v>2048.0</v>
      </c>
      <c r="D3" s="843"/>
      <c r="F3" s="230" t="s">
        <v>96</v>
      </c>
      <c r="G3" s="225">
        <v>2.0</v>
      </c>
      <c r="H3" s="226"/>
      <c r="P3" s="227"/>
      <c r="Q3" s="181" t="s">
        <v>125</v>
      </c>
      <c r="R3" s="181">
        <v>1.0</v>
      </c>
      <c r="T3" s="66" t="str">
        <f t="shared" si="1"/>
        <v>fp4,fp8</v>
      </c>
      <c r="U3" s="181" t="s">
        <v>180</v>
      </c>
      <c r="V3" s="181" t="s">
        <v>125</v>
      </c>
      <c r="W3" s="181" t="s">
        <v>125</v>
      </c>
    </row>
    <row r="4">
      <c r="A4" s="223" t="s">
        <v>183</v>
      </c>
      <c r="B4" s="223" t="s">
        <v>184</v>
      </c>
      <c r="C4" s="223">
        <v>256.0</v>
      </c>
      <c r="D4" s="843"/>
      <c r="F4" s="230" t="s">
        <v>97</v>
      </c>
      <c r="G4" s="225">
        <v>8.0</v>
      </c>
      <c r="H4" s="226" t="s">
        <v>185</v>
      </c>
      <c r="P4" s="227"/>
      <c r="Q4" s="181" t="s">
        <v>133</v>
      </c>
      <c r="R4" s="181">
        <v>2.0</v>
      </c>
      <c r="T4" s="66" t="str">
        <f t="shared" si="1"/>
        <v>fp4,bf16</v>
      </c>
      <c r="U4" s="181" t="s">
        <v>180</v>
      </c>
      <c r="V4" s="181" t="s">
        <v>133</v>
      </c>
      <c r="W4" s="181" t="s">
        <v>133</v>
      </c>
      <c r="AR4" s="228"/>
      <c r="AS4" s="228"/>
      <c r="AT4" s="228"/>
    </row>
    <row r="5">
      <c r="A5" s="223" t="s">
        <v>186</v>
      </c>
      <c r="B5" s="223" t="s">
        <v>187</v>
      </c>
      <c r="C5" s="223">
        <v>61.0</v>
      </c>
      <c r="D5" s="843"/>
      <c r="F5" s="230" t="s">
        <v>98</v>
      </c>
      <c r="G5" s="225">
        <v>1.0</v>
      </c>
      <c r="H5" s="226"/>
      <c r="P5" s="227"/>
      <c r="T5" s="66" t="str">
        <f t="shared" si="1"/>
        <v>fp8,fp4</v>
      </c>
      <c r="U5" s="181" t="s">
        <v>125</v>
      </c>
      <c r="V5" s="181" t="s">
        <v>180</v>
      </c>
      <c r="W5" s="181" t="s">
        <v>125</v>
      </c>
    </row>
    <row r="6">
      <c r="A6" s="231" t="s">
        <v>188</v>
      </c>
      <c r="B6" s="231" t="s">
        <v>189</v>
      </c>
      <c r="C6" s="231">
        <v>3.0</v>
      </c>
      <c r="D6" s="843"/>
      <c r="F6" s="230" t="s">
        <v>99</v>
      </c>
      <c r="G6" s="225">
        <v>1.0</v>
      </c>
      <c r="H6" s="226" t="s">
        <v>190</v>
      </c>
      <c r="P6" s="227"/>
      <c r="T6" s="66" t="str">
        <f t="shared" si="1"/>
        <v>fp8,fp8</v>
      </c>
      <c r="U6" s="181" t="s">
        <v>125</v>
      </c>
      <c r="V6" s="181" t="s">
        <v>125</v>
      </c>
      <c r="W6" s="181" t="s">
        <v>125</v>
      </c>
      <c r="AR6" s="161"/>
      <c r="AS6" s="161"/>
      <c r="AT6" s="161"/>
    </row>
    <row r="7">
      <c r="A7" s="223" t="s">
        <v>191</v>
      </c>
      <c r="B7" s="223" t="s">
        <v>192</v>
      </c>
      <c r="C7" s="223">
        <v>8.0</v>
      </c>
      <c r="D7" s="843"/>
      <c r="F7" s="219" t="s">
        <v>193</v>
      </c>
      <c r="P7" s="227"/>
      <c r="U7" s="181"/>
      <c r="V7" s="181"/>
      <c r="W7" s="181"/>
      <c r="AB7" s="181"/>
      <c r="AC7" s="181"/>
      <c r="AD7" s="181"/>
      <c r="AE7" s="181"/>
    </row>
    <row r="8">
      <c r="A8" s="232" t="s">
        <v>194</v>
      </c>
      <c r="B8" s="233" t="s">
        <v>195</v>
      </c>
      <c r="C8" s="223">
        <v>1536.0</v>
      </c>
      <c r="D8" s="843"/>
      <c r="F8" s="234" t="s">
        <v>196</v>
      </c>
      <c r="G8" s="235">
        <f>G4*G3</f>
        <v>16</v>
      </c>
      <c r="H8" s="236"/>
      <c r="P8" s="227"/>
      <c r="T8" s="66" t="str">
        <f t="shared" ref="T8:T10" si="2">U8&amp;","&amp;V8</f>
        <v>fp8,bf16</v>
      </c>
      <c r="U8" s="181" t="s">
        <v>125</v>
      </c>
      <c r="V8" s="181" t="s">
        <v>133</v>
      </c>
      <c r="W8" s="181" t="s">
        <v>133</v>
      </c>
      <c r="AB8" s="181"/>
      <c r="AC8" s="181"/>
      <c r="AD8" s="181"/>
      <c r="AE8" s="181"/>
    </row>
    <row r="9">
      <c r="A9" s="232" t="s">
        <v>197</v>
      </c>
      <c r="B9" s="233" t="s">
        <v>198</v>
      </c>
      <c r="C9" s="223">
        <v>512.0</v>
      </c>
      <c r="D9" s="843"/>
      <c r="F9" s="237" t="s">
        <v>199</v>
      </c>
      <c r="G9" s="238">
        <f>PRODUCT(G2:G5)</f>
        <v>16</v>
      </c>
      <c r="H9" s="239"/>
      <c r="P9" s="227"/>
      <c r="T9" s="66" t="str">
        <f t="shared" si="2"/>
        <v>bf16,fp4</v>
      </c>
      <c r="U9" s="181" t="s">
        <v>133</v>
      </c>
      <c r="V9" s="181" t="s">
        <v>180</v>
      </c>
      <c r="W9" s="181" t="s">
        <v>133</v>
      </c>
      <c r="AP9" s="218"/>
      <c r="AQ9" s="218"/>
      <c r="AT9" s="228"/>
    </row>
    <row r="10">
      <c r="A10" s="232" t="s">
        <v>200</v>
      </c>
      <c r="B10" s="233" t="s">
        <v>201</v>
      </c>
      <c r="C10" s="223">
        <v>128.0</v>
      </c>
      <c r="D10" s="843"/>
      <c r="F10" s="237" t="s">
        <v>202</v>
      </c>
      <c r="G10" s="238" t="str">
        <f>$G$9/$H$17</f>
        <v>#N/A</v>
      </c>
      <c r="H10" s="239"/>
      <c r="P10" s="227"/>
      <c r="T10" s="66" t="str">
        <f t="shared" si="2"/>
        <v>bf16,fp8</v>
      </c>
      <c r="U10" s="181" t="s">
        <v>133</v>
      </c>
      <c r="V10" s="181" t="s">
        <v>125</v>
      </c>
      <c r="W10" s="181" t="s">
        <v>133</v>
      </c>
      <c r="AP10" s="222"/>
    </row>
    <row r="11">
      <c r="A11" s="232" t="s">
        <v>203</v>
      </c>
      <c r="B11" s="233" t="s">
        <v>204</v>
      </c>
      <c r="C11" s="223">
        <v>64.0</v>
      </c>
      <c r="D11" s="843"/>
      <c r="L11" s="844" t="s">
        <v>584</v>
      </c>
      <c r="P11" s="227"/>
      <c r="T11" s="66" t="s">
        <v>205</v>
      </c>
      <c r="U11" s="181" t="s">
        <v>133</v>
      </c>
      <c r="V11" s="181" t="s">
        <v>133</v>
      </c>
      <c r="W11" s="181" t="s">
        <v>133</v>
      </c>
      <c r="AP11" s="218"/>
      <c r="AQ11" s="218"/>
      <c r="AT11" s="228"/>
    </row>
    <row r="12">
      <c r="A12" s="223" t="s">
        <v>206</v>
      </c>
      <c r="B12" s="233" t="s">
        <v>207</v>
      </c>
      <c r="C12" s="223">
        <v>128.0</v>
      </c>
      <c r="D12" s="843"/>
    </row>
    <row r="13">
      <c r="A13" s="241" t="s">
        <v>208</v>
      </c>
      <c r="B13" s="242"/>
      <c r="C13" s="242"/>
      <c r="D13" s="845"/>
      <c r="AG13" s="207"/>
      <c r="AH13" s="207"/>
      <c r="AI13" s="161"/>
      <c r="AJ13" s="2"/>
      <c r="AK13" s="2"/>
      <c r="AL13" s="2"/>
      <c r="AM13" s="2"/>
      <c r="AN13" s="161"/>
      <c r="AO13" s="2"/>
      <c r="AP13" s="207"/>
      <c r="AQ13" s="2"/>
      <c r="AR13" s="2"/>
      <c r="AS13" s="161"/>
      <c r="AT13" s="161"/>
    </row>
    <row r="14">
      <c r="A14" s="244" t="s">
        <v>209</v>
      </c>
      <c r="B14" s="244" t="s">
        <v>209</v>
      </c>
      <c r="C14" s="245">
        <f>$C$10+$C$11</f>
        <v>192</v>
      </c>
      <c r="D14" s="846"/>
      <c r="AG14" s="2"/>
      <c r="AH14" s="2"/>
      <c r="AI14" s="161"/>
      <c r="AJ14" s="2"/>
      <c r="AK14" s="2"/>
      <c r="AL14" s="2"/>
      <c r="AM14" s="2"/>
      <c r="AN14" s="161"/>
      <c r="AO14" s="2"/>
      <c r="AP14" s="247"/>
      <c r="AQ14" s="247"/>
      <c r="AR14" s="2"/>
      <c r="AS14" s="161"/>
      <c r="AT14" s="248"/>
    </row>
    <row r="15">
      <c r="A15" s="244" t="s">
        <v>210</v>
      </c>
      <c r="B15" s="244" t="s">
        <v>210</v>
      </c>
      <c r="C15" s="249">
        <f>$C$9+$C$11</f>
        <v>576</v>
      </c>
      <c r="D15" s="843"/>
      <c r="AG15" s="2"/>
      <c r="AH15" s="2"/>
      <c r="AI15" s="161"/>
      <c r="AJ15" s="2"/>
      <c r="AK15" s="2"/>
      <c r="AL15" s="2"/>
      <c r="AM15" s="2"/>
      <c r="AN15" s="161"/>
      <c r="AO15" s="2"/>
      <c r="AP15" s="247"/>
      <c r="AQ15" s="247"/>
      <c r="AR15" s="2"/>
      <c r="AS15" s="161"/>
      <c r="AT15" s="248"/>
    </row>
    <row r="16">
      <c r="A16" s="249" t="s">
        <v>211</v>
      </c>
      <c r="B16" s="249" t="s">
        <v>212</v>
      </c>
      <c r="C16" s="245">
        <f>C7*$C$24</f>
        <v>8</v>
      </c>
      <c r="D16" s="846"/>
      <c r="F16" s="250" t="s">
        <v>213</v>
      </c>
      <c r="G16" s="251" t="s">
        <v>585</v>
      </c>
      <c r="H16" s="251" t="s">
        <v>586</v>
      </c>
      <c r="AG16" s="2"/>
      <c r="AH16" s="2"/>
      <c r="AI16" s="161"/>
      <c r="AJ16" s="2"/>
      <c r="AK16" s="2"/>
      <c r="AL16" s="2"/>
      <c r="AM16" s="2"/>
      <c r="AN16" s="161"/>
      <c r="AO16" s="2"/>
      <c r="AP16" s="247"/>
      <c r="AQ16" s="247"/>
      <c r="AR16" s="2"/>
      <c r="AS16" s="161"/>
      <c r="AT16" s="248"/>
    </row>
    <row r="17">
      <c r="A17" s="252" t="s">
        <v>173</v>
      </c>
      <c r="B17" s="252" t="s">
        <v>214</v>
      </c>
      <c r="C17" s="253">
        <f>$G$9</f>
        <v>16</v>
      </c>
      <c r="D17" s="846"/>
      <c r="F17" s="185" t="str">
        <f t="array" ref="F17:F29">DB!A2:A14</f>
        <v># of TensorCore per Chip</v>
      </c>
      <c r="G17" s="847">
        <v>1.0</v>
      </c>
      <c r="H17" s="254" t="str">
        <f t="array" ref="H17:H29">xlookup($H$16,DB!1:1,DB!2:14) * G17:G29</f>
        <v>#N/A</v>
      </c>
      <c r="AG17" s="2"/>
      <c r="AH17" s="2"/>
      <c r="AI17" s="161"/>
      <c r="AJ17" s="2"/>
      <c r="AK17" s="2"/>
      <c r="AL17" s="2"/>
      <c r="AM17" s="2"/>
      <c r="AN17" s="161"/>
      <c r="AO17" s="2"/>
      <c r="AP17" s="247"/>
      <c r="AQ17" s="2"/>
      <c r="AR17" s="2"/>
      <c r="AS17" s="161"/>
      <c r="AT17" s="161"/>
    </row>
    <row r="18">
      <c r="A18" s="252" t="s">
        <v>215</v>
      </c>
      <c r="B18" s="252" t="s">
        <v>216</v>
      </c>
      <c r="C18" s="253" t="str">
        <f>$G$10</f>
        <v>#N/A</v>
      </c>
      <c r="D18" s="846"/>
      <c r="F18" s="185" t="s">
        <v>217</v>
      </c>
      <c r="G18" s="847">
        <v>1.0</v>
      </c>
      <c r="H18" s="254" t="e">
        <v>#N/A</v>
      </c>
      <c r="AG18" s="2"/>
      <c r="AH18" s="2"/>
      <c r="AI18" s="161"/>
      <c r="AJ18" s="2"/>
      <c r="AK18" s="2"/>
      <c r="AL18" s="2"/>
      <c r="AM18" s="2"/>
      <c r="AN18" s="161"/>
      <c r="AO18" s="2"/>
      <c r="AP18" s="247"/>
      <c r="AQ18" s="2"/>
      <c r="AR18" s="2"/>
      <c r="AS18" s="161"/>
      <c r="AT18" s="161"/>
    </row>
    <row r="19">
      <c r="A19" s="256" t="s">
        <v>587</v>
      </c>
      <c r="B19" s="256" t="s">
        <v>219</v>
      </c>
      <c r="C19" s="257" t="str">
        <f>IFS(C18=8,"2x2x2",C18=4,"2x2",TRUE,NA)</f>
        <v>#N/A</v>
      </c>
      <c r="D19" s="848"/>
      <c r="F19" s="185" t="s">
        <v>220</v>
      </c>
      <c r="G19" s="847">
        <v>1.0</v>
      </c>
      <c r="H19" s="254" t="e">
        <v>#N/A</v>
      </c>
      <c r="AG19" s="2"/>
      <c r="AH19" s="2"/>
      <c r="AI19" s="161"/>
      <c r="AJ19" s="2"/>
      <c r="AK19" s="2"/>
      <c r="AL19" s="2"/>
      <c r="AM19" s="2"/>
      <c r="AN19" s="161"/>
      <c r="AO19" s="2"/>
      <c r="AP19" s="247"/>
      <c r="AQ19" s="2"/>
      <c r="AR19" s="2"/>
      <c r="AS19" s="161"/>
      <c r="AT19" s="161"/>
    </row>
    <row r="20">
      <c r="A20" s="260" t="s">
        <v>588</v>
      </c>
      <c r="B20" s="260" t="s">
        <v>222</v>
      </c>
      <c r="C20" s="849" t="str">
        <f>IFS(C19="2x2x2",12,C19="2x2",4,TRUE,NA())</f>
        <v>#N/A</v>
      </c>
      <c r="D20" s="850"/>
      <c r="F20" s="185" t="s">
        <v>223</v>
      </c>
      <c r="G20" s="847">
        <v>1.0</v>
      </c>
      <c r="H20" s="254" t="e">
        <v>#N/A</v>
      </c>
      <c r="AG20" s="2"/>
      <c r="AH20" s="2"/>
      <c r="AI20" s="161"/>
      <c r="AJ20" s="2"/>
      <c r="AK20" s="2"/>
      <c r="AL20" s="2"/>
      <c r="AM20" s="2"/>
      <c r="AN20" s="161"/>
      <c r="AO20" s="2"/>
      <c r="AP20" s="247"/>
      <c r="AQ20" s="2"/>
      <c r="AR20" s="2"/>
      <c r="AS20" s="161"/>
      <c r="AT20" s="161"/>
    </row>
    <row r="21">
      <c r="A21" s="253"/>
      <c r="B21" s="253"/>
      <c r="C21" s="253"/>
      <c r="D21" s="846"/>
      <c r="F21" s="185" t="s">
        <v>224</v>
      </c>
      <c r="G21" s="847">
        <v>1.0</v>
      </c>
      <c r="H21" s="254" t="e">
        <v>#N/A</v>
      </c>
      <c r="AG21" s="2"/>
      <c r="AH21" s="2"/>
      <c r="AI21" s="161"/>
      <c r="AJ21" s="2"/>
      <c r="AK21" s="2"/>
      <c r="AL21" s="2"/>
      <c r="AM21" s="2"/>
      <c r="AN21" s="161"/>
      <c r="AO21" s="2"/>
      <c r="AP21" s="247"/>
      <c r="AQ21" s="247"/>
      <c r="AR21" s="2"/>
      <c r="AS21" s="161"/>
      <c r="AT21" s="248"/>
    </row>
    <row r="22">
      <c r="A22" s="262" t="s">
        <v>225</v>
      </c>
      <c r="B22" s="263"/>
      <c r="C22" s="264"/>
      <c r="D22" s="851"/>
      <c r="F22" s="185" t="s">
        <v>226</v>
      </c>
      <c r="G22" s="847">
        <v>0.987</v>
      </c>
      <c r="H22" s="266" t="e">
        <v>#N/A</v>
      </c>
      <c r="AG22" s="2"/>
      <c r="AH22" s="2"/>
      <c r="AI22" s="161"/>
      <c r="AJ22" s="2"/>
      <c r="AK22" s="2"/>
      <c r="AL22" s="2"/>
      <c r="AM22" s="2"/>
      <c r="AN22" s="161"/>
      <c r="AO22" s="2"/>
      <c r="AP22" s="247"/>
      <c r="AQ22" s="247"/>
      <c r="AR22" s="2"/>
      <c r="AS22" s="161"/>
      <c r="AT22" s="248"/>
    </row>
    <row r="23">
      <c r="A23" s="249" t="s">
        <v>227</v>
      </c>
      <c r="B23" s="249" t="s">
        <v>228</v>
      </c>
      <c r="C23" s="249" t="s">
        <v>18</v>
      </c>
      <c r="D23" s="843"/>
      <c r="F23" s="185" t="s">
        <v>229</v>
      </c>
      <c r="G23" s="847">
        <v>0.8</v>
      </c>
      <c r="H23" s="266" t="e">
        <v>#N/A</v>
      </c>
      <c r="AG23" s="2"/>
      <c r="AH23" s="2"/>
      <c r="AI23" s="161"/>
      <c r="AJ23" s="2"/>
      <c r="AK23" s="2"/>
      <c r="AL23" s="2"/>
      <c r="AM23" s="2"/>
      <c r="AN23" s="161"/>
      <c r="AO23" s="2"/>
      <c r="AP23" s="247"/>
      <c r="AQ23" s="247"/>
      <c r="AR23" s="2"/>
      <c r="AS23" s="161"/>
      <c r="AT23" s="248"/>
    </row>
    <row r="24">
      <c r="A24" s="852" t="s">
        <v>101</v>
      </c>
      <c r="B24" s="852" t="s">
        <v>102</v>
      </c>
      <c r="C24" s="852">
        <f>IF(C23="Decode", 1, 2048)</f>
        <v>1</v>
      </c>
      <c r="D24" s="843"/>
      <c r="F24" s="185" t="s">
        <v>230</v>
      </c>
      <c r="G24" s="847">
        <v>1.0</v>
      </c>
      <c r="H24" s="254" t="e">
        <v>#N/A</v>
      </c>
      <c r="AG24" s="2"/>
      <c r="AH24" s="2"/>
      <c r="AI24" s="161"/>
      <c r="AJ24" s="248"/>
      <c r="AK24" s="2"/>
      <c r="AL24" s="2"/>
      <c r="AM24" s="2"/>
    </row>
    <row r="25">
      <c r="A25" s="223" t="s">
        <v>103</v>
      </c>
      <c r="B25" s="223" t="s">
        <v>104</v>
      </c>
      <c r="C25" s="223">
        <v>4096.0</v>
      </c>
      <c r="D25" s="853"/>
      <c r="F25" s="185" t="s">
        <v>231</v>
      </c>
      <c r="G25" s="847">
        <v>1.0</v>
      </c>
      <c r="H25" s="254" t="e">
        <v>#N/A</v>
      </c>
      <c r="AG25" s="207"/>
      <c r="AH25" s="207"/>
      <c r="AI25" s="207"/>
      <c r="AK25" s="2"/>
      <c r="AL25" s="2"/>
      <c r="AM25" s="2"/>
      <c r="AN25" s="161"/>
      <c r="AO25" s="2"/>
      <c r="AP25" s="2"/>
      <c r="AQ25" s="2"/>
      <c r="AR25" s="2"/>
      <c r="AS25" s="161"/>
      <c r="AT25" s="161"/>
    </row>
    <row r="26">
      <c r="A26" s="854" t="s">
        <v>105</v>
      </c>
      <c r="B26" s="855" t="s">
        <v>106</v>
      </c>
      <c r="C26" s="855">
        <f>1024+4096</f>
        <v>5120</v>
      </c>
      <c r="D26" s="843"/>
      <c r="F26" s="185" t="s">
        <v>233</v>
      </c>
      <c r="G26" s="847">
        <v>1.0</v>
      </c>
      <c r="H26" s="254" t="e">
        <v>#N/A</v>
      </c>
      <c r="AG26" s="207"/>
      <c r="AH26" s="207"/>
      <c r="AI26" s="207"/>
      <c r="AK26" s="2"/>
      <c r="AL26" s="2"/>
      <c r="AM26" s="2"/>
      <c r="AN26" s="161"/>
      <c r="AO26" s="2"/>
      <c r="AP26" s="2"/>
      <c r="AQ26" s="2"/>
      <c r="AR26" s="2"/>
      <c r="AS26" s="161"/>
      <c r="AT26" s="161"/>
    </row>
    <row r="27">
      <c r="A27" s="249" t="s">
        <v>110</v>
      </c>
      <c r="B27" s="253"/>
      <c r="C27" s="252">
        <v>0.15</v>
      </c>
      <c r="D27" s="843"/>
      <c r="F27" s="185" t="s">
        <v>234</v>
      </c>
      <c r="G27" s="847">
        <v>0.987</v>
      </c>
      <c r="H27" s="271" t="e">
        <v>#N/A</v>
      </c>
      <c r="AG27" s="207"/>
      <c r="AH27" s="207"/>
      <c r="AI27" s="207"/>
      <c r="AL27" s="2"/>
      <c r="AM27" s="2"/>
      <c r="AN27" s="161"/>
      <c r="AO27" s="2"/>
      <c r="AP27" s="2"/>
      <c r="AQ27" s="2"/>
      <c r="AR27" s="2"/>
      <c r="AS27" s="161"/>
      <c r="AT27" s="161"/>
    </row>
    <row r="28">
      <c r="A28" s="249" t="s">
        <v>111</v>
      </c>
      <c r="B28" s="253"/>
      <c r="C28" s="252">
        <v>1.0</v>
      </c>
      <c r="D28" s="843"/>
      <c r="F28" s="185" t="s">
        <v>235</v>
      </c>
      <c r="G28" s="847">
        <v>0.375</v>
      </c>
      <c r="H28" s="254" t="e">
        <v>#N/A</v>
      </c>
      <c r="AB28" s="181"/>
      <c r="AC28" s="181"/>
      <c r="AD28" s="181"/>
      <c r="AE28" s="181"/>
      <c r="AM28" s="222"/>
      <c r="AN28" s="218"/>
      <c r="AO28" s="222"/>
      <c r="AP28" s="222"/>
      <c r="AQ28" s="272"/>
      <c r="AR28" s="222"/>
      <c r="AS28" s="66"/>
    </row>
    <row r="29">
      <c r="A29" s="852" t="s">
        <v>123</v>
      </c>
      <c r="B29" s="856" t="s">
        <v>589</v>
      </c>
      <c r="C29" s="273" t="s">
        <v>133</v>
      </c>
      <c r="D29" s="857"/>
      <c r="F29" s="11" t="s">
        <v>236</v>
      </c>
      <c r="G29" s="858">
        <v>0.8</v>
      </c>
      <c r="H29" s="275" t="e">
        <v>#N/A</v>
      </c>
      <c r="AB29" s="181"/>
      <c r="AC29" s="181"/>
      <c r="AD29" s="181"/>
      <c r="AE29" s="181"/>
      <c r="AM29" s="222"/>
      <c r="AN29" s="218"/>
      <c r="AO29" s="222"/>
      <c r="AP29" s="222"/>
      <c r="AQ29" s="272"/>
      <c r="AR29" s="222"/>
      <c r="AS29" s="66"/>
    </row>
    <row r="30">
      <c r="A30" s="223" t="s">
        <v>112</v>
      </c>
      <c r="B30" s="859" t="s">
        <v>113</v>
      </c>
      <c r="C30" s="860" t="b">
        <v>1</v>
      </c>
      <c r="D30" s="846"/>
      <c r="AM30" s="222"/>
      <c r="AN30" s="218"/>
      <c r="AO30" s="218"/>
      <c r="AP30" s="218"/>
      <c r="AQ30" s="218"/>
      <c r="AR30" s="222"/>
      <c r="AT30" s="228"/>
    </row>
    <row r="31">
      <c r="A31" s="181"/>
      <c r="B31" s="278"/>
      <c r="C31" s="278"/>
      <c r="D31" s="278"/>
      <c r="AM31" s="222"/>
      <c r="AN31" s="218"/>
      <c r="AO31" s="218"/>
      <c r="AP31" s="222"/>
      <c r="AQ31" s="222"/>
      <c r="AR31" s="222"/>
    </row>
    <row r="32" ht="27.0" customHeight="1">
      <c r="A32" s="281" t="s">
        <v>241</v>
      </c>
      <c r="F32" s="861" t="s">
        <v>590</v>
      </c>
      <c r="G32" s="862"/>
      <c r="AG32" s="2"/>
      <c r="AH32" s="2"/>
      <c r="AI32" s="2"/>
      <c r="AJ32" s="2"/>
      <c r="AK32" s="2"/>
      <c r="AL32" s="2"/>
      <c r="AM32" s="247"/>
      <c r="AN32" s="247"/>
      <c r="AO32" s="279"/>
      <c r="AP32" s="222"/>
      <c r="AQ32" s="247"/>
      <c r="AR32" s="247"/>
      <c r="AT32" s="280"/>
    </row>
    <row r="33" ht="30.0" customHeight="1">
      <c r="A33" s="250" t="s">
        <v>242</v>
      </c>
      <c r="B33" s="250" t="str">
        <f> "Value (" &amp; H16 &amp; ")"</f>
        <v>Value (GhostFish)</v>
      </c>
      <c r="C33" s="282" t="s">
        <v>591</v>
      </c>
      <c r="F33" s="436" t="s">
        <v>592</v>
      </c>
      <c r="G33" s="863" t="s">
        <v>125</v>
      </c>
      <c r="P33" s="227"/>
      <c r="AG33" s="2"/>
      <c r="AH33" s="2"/>
      <c r="AI33" s="2"/>
      <c r="AJ33" s="2"/>
      <c r="AK33" s="2"/>
      <c r="AL33" s="2"/>
      <c r="AM33" s="247"/>
      <c r="AN33" s="247"/>
      <c r="AO33" s="279"/>
      <c r="AP33" s="222"/>
      <c r="AQ33" s="247"/>
      <c r="AR33" s="247"/>
      <c r="AT33" s="280"/>
    </row>
    <row r="34" ht="15.0" customHeight="1">
      <c r="A34" s="185" t="s">
        <v>76</v>
      </c>
      <c r="B34" s="271">
        <f>$C25*$C24</f>
        <v>4096</v>
      </c>
      <c r="C34" s="182">
        <f>492*8</f>
        <v>3936</v>
      </c>
      <c r="F34" s="864" t="s">
        <v>593</v>
      </c>
      <c r="G34" s="863" t="str">
        <f>C29</f>
        <v>bf16</v>
      </c>
      <c r="P34" s="227"/>
      <c r="AG34" s="2"/>
      <c r="AH34" s="2"/>
      <c r="AI34" s="2"/>
      <c r="AJ34" s="2"/>
      <c r="AK34" s="2"/>
      <c r="AL34" s="2"/>
      <c r="AM34" s="247"/>
      <c r="AN34" s="247"/>
      <c r="AO34" s="279"/>
      <c r="AP34" s="222"/>
      <c r="AQ34" s="247"/>
      <c r="AR34" s="247"/>
      <c r="AT34" s="280"/>
    </row>
    <row r="35" ht="15.0" customHeight="1">
      <c r="A35" s="185" t="s">
        <v>243</v>
      </c>
      <c r="B35" s="288">
        <f>G9</f>
        <v>16</v>
      </c>
      <c r="C35" s="9">
        <v>8.0</v>
      </c>
      <c r="F35" s="865" t="s">
        <v>594</v>
      </c>
      <c r="G35" s="866" t="s">
        <v>595</v>
      </c>
      <c r="P35" s="227"/>
      <c r="AG35" s="2"/>
      <c r="AH35" s="2"/>
      <c r="AI35" s="2"/>
      <c r="AJ35" s="2"/>
      <c r="AK35" s="2"/>
      <c r="AL35" s="2"/>
      <c r="AM35" s="247"/>
      <c r="AN35" s="247"/>
      <c r="AO35" s="279"/>
      <c r="AP35" s="222"/>
      <c r="AQ35" s="247"/>
      <c r="AR35" s="247"/>
      <c r="AT35" s="280"/>
    </row>
    <row r="36" ht="15.0" customHeight="1">
      <c r="A36" s="185" t="s">
        <v>146</v>
      </c>
      <c r="B36" s="289" t="str">
        <f>$G$78/1000 * $C$5</f>
        <v>#N/A</v>
      </c>
      <c r="C36" s="11">
        <f>0.0734</f>
        <v>0.0734</v>
      </c>
      <c r="F36" s="867" t="s">
        <v>596</v>
      </c>
      <c r="G36" s="868">
        <f>671*1000000000</f>
        <v>671000000000</v>
      </c>
      <c r="P36" s="227"/>
      <c r="AG36" s="2"/>
      <c r="AH36" s="2"/>
      <c r="AI36" s="2"/>
      <c r="AJ36" s="2"/>
      <c r="AK36" s="2"/>
      <c r="AL36" s="2"/>
      <c r="AM36" s="247"/>
      <c r="AN36" s="247"/>
      <c r="AO36" s="279"/>
      <c r="AP36" s="222"/>
      <c r="AQ36" s="247"/>
      <c r="AR36" s="247"/>
      <c r="AT36" s="280"/>
    </row>
    <row r="37" ht="15.0" customHeight="1">
      <c r="A37" s="185" t="s">
        <v>147</v>
      </c>
      <c r="B37" s="271" t="str">
        <f>$B$34/$B$36</f>
        <v>#N/A</v>
      </c>
      <c r="C37" s="193">
        <f>492/0.0733 * C35</f>
        <v>53697.13506</v>
      </c>
      <c r="F37" s="436" t="s">
        <v>597</v>
      </c>
      <c r="G37" s="869">
        <f>SUM(PRODUCT(L92:M92), PRODUCT(K138:M138), PRODUCT(K157:M157), PRODUCT(L176:M176), PRODUCT(K252:M252), PRODUCT(K271:M271)) * PARAMS("L")</f>
        <v>11413422080</v>
      </c>
      <c r="P37" s="227"/>
      <c r="AG37" s="2"/>
      <c r="AH37" s="2"/>
      <c r="AI37" s="2"/>
      <c r="AJ37" s="2"/>
      <c r="AK37" s="2"/>
      <c r="AL37" s="2"/>
      <c r="AM37" s="247"/>
      <c r="AN37" s="247"/>
      <c r="AO37" s="279"/>
      <c r="AP37" s="222"/>
      <c r="AQ37" s="247"/>
      <c r="AR37" s="247"/>
      <c r="AT37" s="280"/>
    </row>
    <row r="38" ht="15.0" customHeight="1">
      <c r="A38" s="185" t="s">
        <v>148</v>
      </c>
      <c r="B38" s="193" t="str">
        <f>B34/(B36*(1+C27))*C28</f>
        <v>#N/A</v>
      </c>
      <c r="C38" s="193"/>
      <c r="F38" s="867"/>
      <c r="G38" s="870"/>
      <c r="P38" s="227"/>
      <c r="AG38" s="2"/>
      <c r="AH38" s="2"/>
      <c r="AI38" s="2"/>
      <c r="AJ38" s="2"/>
      <c r="AK38" s="2"/>
      <c r="AL38" s="2"/>
      <c r="AM38" s="247"/>
      <c r="AN38" s="247"/>
      <c r="AO38" s="279"/>
      <c r="AP38" s="222"/>
      <c r="AQ38" s="247"/>
      <c r="AR38" s="247"/>
      <c r="AT38" s="280"/>
    </row>
    <row r="39" ht="15.0" customHeight="1">
      <c r="A39" s="185" t="s">
        <v>149</v>
      </c>
      <c r="B39" s="193" t="str">
        <f>B38/$G$10</f>
        <v>#N/A</v>
      </c>
      <c r="C39" s="193">
        <f>C37/C35</f>
        <v>6712.141883</v>
      </c>
      <c r="F39" s="867" t="s">
        <v>598</v>
      </c>
      <c r="G39" s="870">
        <f>G36-G37</f>
        <v>659586577920</v>
      </c>
      <c r="P39" s="227"/>
      <c r="AG39" s="2"/>
      <c r="AH39" s="2"/>
      <c r="AI39" s="2"/>
      <c r="AJ39" s="2"/>
      <c r="AK39" s="2"/>
      <c r="AL39" s="2"/>
      <c r="AM39" s="247"/>
      <c r="AN39" s="247"/>
      <c r="AO39" s="279"/>
      <c r="AP39" s="222"/>
      <c r="AQ39" s="247"/>
      <c r="AR39" s="247"/>
      <c r="AT39" s="280"/>
    </row>
    <row r="40" ht="15.0" customHeight="1">
      <c r="F40" s="436" t="s">
        <v>599</v>
      </c>
      <c r="G40" s="869">
        <f>SUM(P92, P138, P157, P176, P252, P271) * PARAMS(B5) / 1024</f>
        <v>10.62957764</v>
      </c>
      <c r="P40" s="227"/>
      <c r="AG40" s="2"/>
      <c r="AH40" s="2"/>
      <c r="AI40" s="2"/>
      <c r="AJ40" s="2"/>
      <c r="AK40" s="2"/>
      <c r="AL40" s="2"/>
      <c r="AM40" s="247"/>
      <c r="AN40" s="247"/>
      <c r="AO40" s="279"/>
      <c r="AP40" s="222"/>
      <c r="AQ40" s="247"/>
      <c r="AR40" s="247"/>
      <c r="AT40" s="280"/>
    </row>
    <row r="41" ht="15.0" customHeight="1">
      <c r="F41" s="867" t="s">
        <v>600</v>
      </c>
      <c r="G41" s="870">
        <f>(G39*  SWITCH(G33, "fp32", 4, "bf16", 2, "fp8", 1, "fp4", 0.5)/1024^3 + G40*G9) + (G9-1) * SUM(P453, P472) * (C5-3)/1024</f>
        <v>802.202909</v>
      </c>
      <c r="P41" s="227"/>
      <c r="AG41" s="2"/>
      <c r="AH41" s="2"/>
      <c r="AI41" s="2"/>
      <c r="AJ41" s="2"/>
      <c r="AK41" s="2"/>
      <c r="AL41" s="2"/>
      <c r="AM41" s="247"/>
      <c r="AN41" s="247"/>
      <c r="AO41" s="279"/>
      <c r="AP41" s="222"/>
      <c r="AQ41" s="247"/>
      <c r="AR41" s="247"/>
      <c r="AT41" s="280"/>
    </row>
    <row r="42" ht="15.0" customHeight="1">
      <c r="F42" s="436" t="s">
        <v>601</v>
      </c>
      <c r="G42" s="869">
        <f>G41/G9</f>
        <v>50.13768181</v>
      </c>
      <c r="P42" s="227"/>
      <c r="AG42" s="2"/>
      <c r="AH42" s="2"/>
      <c r="AI42" s="2"/>
      <c r="AJ42" s="2"/>
      <c r="AK42" s="2"/>
      <c r="AL42" s="2"/>
      <c r="AM42" s="247"/>
      <c r="AN42" s="247"/>
      <c r="AO42" s="279"/>
      <c r="AP42" s="222"/>
      <c r="AQ42" s="247"/>
      <c r="AR42" s="247"/>
      <c r="AT42" s="280"/>
    </row>
    <row r="43" ht="29.25" customHeight="1">
      <c r="A43" s="323" t="s">
        <v>269</v>
      </c>
      <c r="F43" s="867" t="s">
        <v>602</v>
      </c>
      <c r="G43" s="871">
        <v>0.9</v>
      </c>
      <c r="P43" s="227"/>
      <c r="AG43" s="2"/>
      <c r="AH43" s="2"/>
      <c r="AI43" s="2"/>
      <c r="AJ43" s="2"/>
      <c r="AK43" s="2"/>
      <c r="AL43" s="2"/>
      <c r="AM43" s="247"/>
      <c r="AN43" s="247"/>
      <c r="AO43" s="279"/>
      <c r="AP43" s="222"/>
      <c r="AQ43" s="247"/>
      <c r="AR43" s="247"/>
      <c r="AT43" s="280"/>
    </row>
    <row r="44" ht="15.0" customHeight="1">
      <c r="A44" s="183" t="s">
        <v>271</v>
      </c>
      <c r="B44" s="183" t="s">
        <v>171</v>
      </c>
      <c r="C44" s="183" t="s">
        <v>174</v>
      </c>
      <c r="F44" s="436" t="s">
        <v>603</v>
      </c>
      <c r="G44" s="869" t="str">
        <f>(((H27 * G43 - G42)*1024^3) * G8) / (PARAMS(B26) * PAD_128(C9+C11) * SWITCH(PARAMS("kvcache_dtype"), "fp32", 4, "bf16", 2, "fp8", 1, "fp4", 0.5)*PARAMS(B5))</f>
        <v>#N/A</v>
      </c>
      <c r="P44" s="227"/>
      <c r="AG44" s="2"/>
      <c r="AH44" s="2"/>
      <c r="AI44" s="2"/>
      <c r="AJ44" s="2"/>
      <c r="AK44" s="2"/>
      <c r="AL44" s="2"/>
      <c r="AM44" s="247"/>
      <c r="AN44" s="247"/>
      <c r="AO44" s="279"/>
      <c r="AP44" s="222"/>
      <c r="AQ44" s="247"/>
      <c r="AR44" s="247"/>
      <c r="AT44" s="280"/>
    </row>
    <row r="45" ht="15.0" customHeight="1">
      <c r="A45" s="185" t="s">
        <v>278</v>
      </c>
      <c r="B45" s="331">
        <f>SUM(P92,P138,P157,P176,P252,P271) * PARAMS("L") / 1024</f>
        <v>10.62957764</v>
      </c>
      <c r="C45" s="332"/>
      <c r="F45" s="872"/>
      <c r="G45" s="873"/>
      <c r="J45" s="873">
        <f>SUM(G43+G45+G47)</f>
        <v>0.9</v>
      </c>
      <c r="P45" s="227"/>
      <c r="AG45" s="2"/>
      <c r="AH45" s="2"/>
      <c r="AI45" s="2"/>
      <c r="AJ45" s="2"/>
      <c r="AK45" s="2"/>
      <c r="AL45" s="2"/>
      <c r="AM45" s="247"/>
      <c r="AN45" s="247"/>
      <c r="AO45" s="279"/>
      <c r="AP45" s="222"/>
      <c r="AQ45" s="247"/>
      <c r="AR45" s="247"/>
      <c r="AT45" s="280"/>
    </row>
    <row r="46" ht="15.0" customHeight="1">
      <c r="A46" s="185" t="s">
        <v>284</v>
      </c>
      <c r="B46" s="340">
        <f>SUM($P$292,$P$381) * PARAMS("L") / 1024</f>
        <v>120.09375</v>
      </c>
      <c r="C46" s="11"/>
      <c r="F46" s="872"/>
      <c r="G46" s="873"/>
      <c r="M46" s="874">
        <f>(2*129280*7168 + 3*2048*7168)</f>
        <v>1897398272</v>
      </c>
      <c r="P46" s="227"/>
      <c r="AG46" s="2"/>
      <c r="AH46" s="2"/>
      <c r="AI46" s="2"/>
      <c r="AJ46" s="2"/>
      <c r="AK46" s="2"/>
      <c r="AL46" s="2"/>
      <c r="AM46" s="247"/>
      <c r="AN46" s="247"/>
      <c r="AO46" s="279"/>
      <c r="AP46" s="222"/>
      <c r="AQ46" s="247"/>
      <c r="AR46" s="247"/>
      <c r="AT46" s="280"/>
    </row>
    <row r="47" ht="15.0" customHeight="1">
      <c r="A47" s="9" t="s">
        <v>286</v>
      </c>
      <c r="B47" s="11"/>
      <c r="C47" s="11"/>
      <c r="F47" s="872"/>
      <c r="G47" s="873"/>
      <c r="P47" s="227"/>
      <c r="AG47" s="2"/>
      <c r="AH47" s="2"/>
      <c r="AI47" s="2"/>
      <c r="AJ47" s="2"/>
      <c r="AK47" s="2"/>
      <c r="AL47" s="2"/>
      <c r="AM47" s="247"/>
      <c r="AN47" s="247"/>
      <c r="AO47" s="279"/>
      <c r="AP47" s="222"/>
      <c r="AQ47" s="247"/>
      <c r="AR47" s="247"/>
      <c r="AT47" s="280"/>
    </row>
    <row r="48" ht="15.0" customHeight="1">
      <c r="A48" s="185" t="s">
        <v>288</v>
      </c>
      <c r="B48" s="340">
        <f>SIZEOF_IN_MIB(PARAMS("B")*PARAMS("S")*PARAMS("L")*(PARAMS("c_kv")+PARAMS("h_rope")), PARAMS("kvcache_dtype"))/1024</f>
        <v>1372.5</v>
      </c>
      <c r="C48" s="11"/>
      <c r="F48" s="872"/>
      <c r="G48" s="873"/>
      <c r="P48" s="227"/>
      <c r="AG48" s="2"/>
      <c r="AH48" s="2"/>
      <c r="AI48" s="2"/>
      <c r="AJ48" s="2"/>
      <c r="AK48" s="2"/>
      <c r="AL48" s="2"/>
      <c r="AM48" s="247"/>
      <c r="AN48" s="247"/>
      <c r="AO48" s="279"/>
      <c r="AP48" s="222"/>
      <c r="AQ48" s="247"/>
      <c r="AR48" s="247"/>
      <c r="AT48" s="280"/>
    </row>
    <row r="49" ht="15.0" customHeight="1">
      <c r="A49" s="9" t="s">
        <v>290</v>
      </c>
      <c r="B49" s="356">
        <f>MAX(P92,P111,P130,P149,P168,P187,P206,P225,P244,P260,P298,P345,P411,P430)/1024</f>
        <v>0.01025390625</v>
      </c>
      <c r="C49" s="9"/>
      <c r="F49" s="872"/>
      <c r="G49" s="873"/>
      <c r="P49" s="227"/>
      <c r="AG49" s="2"/>
      <c r="AH49" s="2"/>
      <c r="AI49" s="2"/>
      <c r="AJ49" s="2"/>
      <c r="AK49" s="2"/>
      <c r="AL49" s="2"/>
      <c r="AM49" s="247"/>
      <c r="AN49" s="247"/>
      <c r="AO49" s="279"/>
      <c r="AP49" s="222"/>
      <c r="AQ49" s="247"/>
      <c r="AR49" s="247"/>
      <c r="AT49" s="280"/>
    </row>
    <row r="50" ht="15.0" customHeight="1">
      <c r="A50" s="8" t="s">
        <v>293</v>
      </c>
      <c r="B50" s="359">
        <f>SUM(B45:B48)</f>
        <v>1503.223328</v>
      </c>
      <c r="C50" s="8" t="str">
        <f>"&lt;=" &amp; ($H$27 * PARAMS("num_devices")) &amp; " (Capacity)?"</f>
        <v>#N/A</v>
      </c>
      <c r="F50" s="872"/>
      <c r="G50" s="873"/>
      <c r="P50" s="227"/>
      <c r="AG50" s="2"/>
      <c r="AH50" s="2"/>
      <c r="AI50" s="2"/>
      <c r="AJ50" s="2"/>
      <c r="AK50" s="2"/>
      <c r="AL50" s="2"/>
      <c r="AM50" s="247"/>
      <c r="AN50" s="247"/>
      <c r="AO50" s="279"/>
      <c r="AP50" s="222"/>
      <c r="AQ50" s="247"/>
      <c r="AR50" s="247"/>
      <c r="AT50" s="280"/>
    </row>
    <row r="51">
      <c r="A51" s="11"/>
      <c r="B51" s="11"/>
      <c r="C51" s="11"/>
      <c r="D51" s="181"/>
      <c r="E51" s="181"/>
      <c r="F51" s="872"/>
      <c r="G51" s="873"/>
      <c r="AM51" s="222"/>
      <c r="AN51" s="218"/>
      <c r="AO51" s="218"/>
      <c r="AP51" s="218"/>
      <c r="AQ51" s="218"/>
      <c r="AR51" s="222"/>
      <c r="AT51" s="280"/>
    </row>
    <row r="52">
      <c r="A52" s="185" t="s">
        <v>294</v>
      </c>
      <c r="B52" s="331">
        <f>SUM(P94,P140,P159,P178,P254,P273) * PARAMS("L") / 1024</f>
        <v>10.62957764</v>
      </c>
      <c r="C52" s="332"/>
      <c r="D52" s="181"/>
      <c r="E52" s="181"/>
      <c r="F52" s="872"/>
      <c r="G52" s="873"/>
      <c r="AM52" s="222"/>
      <c r="AN52" s="218"/>
      <c r="AO52" s="218"/>
      <c r="AP52" s="218"/>
      <c r="AQ52" s="218"/>
      <c r="AR52" s="222"/>
      <c r="AT52" s="280"/>
    </row>
    <row r="53">
      <c r="A53" s="185" t="s">
        <v>295</v>
      </c>
      <c r="B53" s="340">
        <f>SUM(P340,P383) * PARAMS("L") / 1024</f>
        <v>20.015625</v>
      </c>
      <c r="C53" s="332"/>
      <c r="D53" s="181"/>
      <c r="F53" s="872"/>
      <c r="G53" s="873"/>
      <c r="AM53" s="222"/>
      <c r="AN53" s="218"/>
      <c r="AO53" s="218"/>
      <c r="AP53" s="218"/>
      <c r="AQ53" s="218"/>
      <c r="AR53" s="222"/>
      <c r="AT53" s="280"/>
    </row>
    <row r="54">
      <c r="A54" s="9" t="s">
        <v>286</v>
      </c>
      <c r="B54" s="11"/>
      <c r="C54" s="332"/>
      <c r="D54" s="181"/>
      <c r="E54" s="181"/>
      <c r="F54" s="872"/>
      <c r="G54" s="873"/>
      <c r="AM54" s="222"/>
      <c r="AN54" s="218"/>
      <c r="AO54" s="218"/>
      <c r="AP54" s="218"/>
      <c r="AQ54" s="218"/>
      <c r="AR54" s="222"/>
      <c r="AT54" s="280"/>
    </row>
    <row r="55">
      <c r="A55" s="185" t="s">
        <v>297</v>
      </c>
      <c r="B55" s="340">
        <f>B48/PARAMS("num_devices")</f>
        <v>85.78125</v>
      </c>
      <c r="C55" s="332"/>
      <c r="D55" s="181"/>
      <c r="E55" s="181"/>
      <c r="F55" s="181"/>
      <c r="G55" s="181"/>
      <c r="AM55" s="222"/>
      <c r="AN55" s="218"/>
      <c r="AO55" s="218"/>
      <c r="AP55" s="218"/>
      <c r="AQ55" s="218"/>
      <c r="AR55" s="222"/>
      <c r="AT55" s="280"/>
    </row>
    <row r="56">
      <c r="A56" s="185" t="s">
        <v>298</v>
      </c>
      <c r="B56" s="340">
        <f>MAX(P94,P113,P132,P151,P170,P189,P208,P227,P246,P262,P300,P347,P413,P432)/1024</f>
        <v>0.01025390625</v>
      </c>
      <c r="C56" s="332"/>
      <c r="D56" s="181"/>
      <c r="E56" s="181"/>
      <c r="F56" s="181"/>
      <c r="G56" s="181"/>
      <c r="AM56" s="222"/>
      <c r="AN56" s="218"/>
      <c r="AO56" s="218"/>
      <c r="AP56" s="218"/>
      <c r="AQ56" s="218"/>
      <c r="AR56" s="222"/>
      <c r="AT56" s="280"/>
    </row>
    <row r="57">
      <c r="A57" s="199" t="s">
        <v>299</v>
      </c>
      <c r="B57" s="361">
        <f>SUM(B52:B55)</f>
        <v>116.4264526</v>
      </c>
      <c r="C57" s="362" t="str">
        <f>"&lt;=" &amp; ($H$27) &amp; " (Capacity)?"</f>
        <v>#N/A</v>
      </c>
      <c r="D57" s="181"/>
      <c r="E57" s="181"/>
      <c r="F57" s="181"/>
      <c r="G57" s="181"/>
      <c r="AM57" s="222"/>
      <c r="AN57" s="218"/>
      <c r="AO57" s="218"/>
      <c r="AP57" s="218"/>
      <c r="AQ57" s="218"/>
      <c r="AR57" s="222"/>
      <c r="AT57" s="280"/>
    </row>
    <row r="58">
      <c r="A58" s="281"/>
      <c r="B58" s="281"/>
      <c r="D58" s="181"/>
      <c r="E58" s="181"/>
      <c r="F58" s="181"/>
      <c r="G58" s="181"/>
      <c r="AM58" s="222"/>
      <c r="AN58" s="218"/>
      <c r="AO58" s="218"/>
      <c r="AP58" s="218"/>
      <c r="AQ58" s="218"/>
      <c r="AR58" s="222"/>
      <c r="AT58" s="280"/>
    </row>
    <row r="59">
      <c r="A59" s="281" t="s">
        <v>244</v>
      </c>
      <c r="B59" s="281"/>
      <c r="D59" s="181"/>
      <c r="E59" s="181"/>
      <c r="F59" s="181"/>
      <c r="G59" s="181"/>
      <c r="AM59" s="222"/>
      <c r="AN59" s="218"/>
      <c r="AO59" s="218"/>
      <c r="AP59" s="218"/>
      <c r="AQ59" s="218"/>
      <c r="AR59" s="222"/>
      <c r="AT59" s="280"/>
    </row>
    <row r="60">
      <c r="A60" s="290" t="s">
        <v>245</v>
      </c>
      <c r="B60" s="290" t="s">
        <v>246</v>
      </c>
      <c r="C60" s="290" t="s">
        <v>247</v>
      </c>
      <c r="D60" s="290" t="s">
        <v>248</v>
      </c>
      <c r="E60" s="290" t="s">
        <v>249</v>
      </c>
      <c r="F60" s="290" t="s">
        <v>250</v>
      </c>
      <c r="G60" s="290" t="s">
        <v>251</v>
      </c>
      <c r="H60" s="290" t="s">
        <v>252</v>
      </c>
      <c r="I60" s="875"/>
      <c r="J60" s="290" t="s">
        <v>604</v>
      </c>
      <c r="AG60" s="207"/>
      <c r="AH60" s="207"/>
      <c r="AI60" s="2"/>
      <c r="AJ60" s="2"/>
      <c r="AK60" s="2"/>
      <c r="AL60" s="2"/>
      <c r="AM60" s="247"/>
      <c r="AN60" s="279"/>
      <c r="AO60" s="279"/>
      <c r="AP60" s="292"/>
      <c r="AQ60" s="279"/>
      <c r="AR60" s="247"/>
      <c r="AS60" s="66"/>
      <c r="AT60" s="280"/>
    </row>
    <row r="61">
      <c r="A61" s="293" t="s">
        <v>29</v>
      </c>
      <c r="B61" s="294" t="s">
        <v>255</v>
      </c>
      <c r="C61" s="295" t="str">
        <f>$H$132</f>
        <v>#N/A</v>
      </c>
      <c r="D61" s="295" t="str">
        <f>$H$130</f>
        <v>#N/A</v>
      </c>
      <c r="E61" s="297"/>
      <c r="F61" s="295" t="str">
        <f>H127</f>
        <v>#N/A</v>
      </c>
      <c r="G61" s="295" t="str">
        <f t="shared" ref="G61:G64" si="3">max(C61:F61)</f>
        <v>#N/A</v>
      </c>
      <c r="H61" s="297" t="str">
        <f t="shared" ref="H61:H64" si="4">IFS(C61=G61, "HBM", D61=G61, "Compute", E61=G61, "ICI Lt", F61=G61, "ICI BW")</f>
        <v>#N/A</v>
      </c>
      <c r="I61" s="808"/>
      <c r="J61" s="876" t="str">
        <f t="shared" ref="J61:J66" si="5">G61/$G$76</f>
        <v>#N/A</v>
      </c>
      <c r="P61" s="877"/>
      <c r="AG61" s="2"/>
      <c r="AH61" s="2"/>
      <c r="AI61" s="207"/>
      <c r="AJ61" s="2"/>
      <c r="AK61" s="2"/>
      <c r="AL61" s="2"/>
      <c r="AM61" s="247"/>
      <c r="AN61" s="218"/>
      <c r="AO61" s="218"/>
      <c r="AP61" s="218"/>
      <c r="AQ61" s="218"/>
      <c r="AR61" s="247"/>
      <c r="AT61" s="280"/>
    </row>
    <row r="62">
      <c r="A62" s="293" t="s">
        <v>29</v>
      </c>
      <c r="B62" s="294" t="s">
        <v>32</v>
      </c>
      <c r="C62" s="295" t="str">
        <f>$H$151</f>
        <v>#N/A</v>
      </c>
      <c r="D62" s="295" t="str">
        <f>$H$149</f>
        <v>#N/A</v>
      </c>
      <c r="E62" s="297"/>
      <c r="F62" s="295"/>
      <c r="G62" s="295" t="str">
        <f t="shared" si="3"/>
        <v>#N/A</v>
      </c>
      <c r="H62" s="297" t="str">
        <f t="shared" si="4"/>
        <v>#N/A</v>
      </c>
      <c r="I62" s="808"/>
      <c r="J62" s="876" t="str">
        <f t="shared" si="5"/>
        <v>#N/A</v>
      </c>
      <c r="P62" s="878"/>
      <c r="AG62" s="2"/>
      <c r="AH62" s="2"/>
      <c r="AI62" s="2"/>
      <c r="AJ62" s="2"/>
      <c r="AK62" s="2"/>
      <c r="AL62" s="2"/>
      <c r="AM62" s="247"/>
      <c r="AN62" s="247"/>
      <c r="AO62" s="279"/>
      <c r="AP62" s="222"/>
      <c r="AQ62" s="247"/>
      <c r="AR62" s="247"/>
      <c r="AT62" s="280"/>
    </row>
    <row r="63">
      <c r="A63" s="293" t="s">
        <v>29</v>
      </c>
      <c r="B63" s="294" t="s">
        <v>34</v>
      </c>
      <c r="C63" s="295" t="str">
        <f>$H$170</f>
        <v>#N/A</v>
      </c>
      <c r="D63" s="295" t="str">
        <f>$H$168</f>
        <v>#N/A</v>
      </c>
      <c r="E63" s="297"/>
      <c r="F63" s="295"/>
      <c r="G63" s="295" t="str">
        <f t="shared" si="3"/>
        <v>#N/A</v>
      </c>
      <c r="H63" s="297" t="str">
        <f t="shared" si="4"/>
        <v>#N/A</v>
      </c>
      <c r="I63" s="808"/>
      <c r="J63" s="876" t="str">
        <f t="shared" si="5"/>
        <v>#N/A</v>
      </c>
      <c r="P63" s="878"/>
      <c r="AG63" s="2"/>
      <c r="AH63" s="2"/>
      <c r="AI63" s="2"/>
      <c r="AJ63" s="2"/>
      <c r="AK63" s="2"/>
      <c r="AL63" s="2"/>
      <c r="AM63" s="247"/>
      <c r="AN63" s="218"/>
      <c r="AO63" s="218"/>
      <c r="AP63" s="218"/>
      <c r="AQ63" s="218"/>
      <c r="AR63" s="247"/>
      <c r="AT63" s="280"/>
    </row>
    <row r="64">
      <c r="A64" s="293" t="s">
        <v>29</v>
      </c>
      <c r="B64" s="294" t="s">
        <v>256</v>
      </c>
      <c r="C64" s="295" t="str">
        <f>$H$189</f>
        <v>#N/A</v>
      </c>
      <c r="D64" s="295" t="str">
        <f>$H$187</f>
        <v>#N/A</v>
      </c>
      <c r="E64" s="297"/>
      <c r="F64" s="295"/>
      <c r="G64" s="295" t="str">
        <f t="shared" si="3"/>
        <v>#N/A</v>
      </c>
      <c r="H64" s="297" t="str">
        <f t="shared" si="4"/>
        <v>#N/A</v>
      </c>
      <c r="I64" s="808"/>
      <c r="J64" s="876" t="str">
        <f t="shared" si="5"/>
        <v>#N/A</v>
      </c>
      <c r="P64" s="878"/>
      <c r="AM64" s="222"/>
      <c r="AO64" s="222"/>
      <c r="AP64" s="222"/>
      <c r="AQ64" s="222"/>
      <c r="AR64" s="247"/>
      <c r="AS64" s="66"/>
      <c r="AT64" s="280"/>
    </row>
    <row r="65">
      <c r="A65" s="293" t="s">
        <v>29</v>
      </c>
      <c r="B65" s="302" t="s">
        <v>258</v>
      </c>
      <c r="C65" s="295" t="str">
        <f t="shared" ref="C65:D65" si="6">SUM(C67:C69)</f>
        <v>#N/A</v>
      </c>
      <c r="D65" s="295" t="str">
        <f t="shared" si="6"/>
        <v>#N/A</v>
      </c>
      <c r="E65" s="297"/>
      <c r="F65" s="295"/>
      <c r="G65" s="295" t="str">
        <f>IF(PARAMS("flash_attn"),MAX(C65:F65),0)</f>
        <v>#N/A</v>
      </c>
      <c r="H65" s="297" t="str">
        <f>IFS(G65=0,"",C65=G65, "HBM", D65=G65, "Compute", E65=G65, "ICI Lt", F65=G65, "ICI BW")</f>
        <v>#N/A</v>
      </c>
      <c r="I65" s="808"/>
      <c r="J65" s="876" t="str">
        <f t="shared" si="5"/>
        <v>#N/A</v>
      </c>
      <c r="P65" s="878"/>
      <c r="R65" s="203"/>
      <c r="S65" s="203"/>
      <c r="T65" s="203"/>
      <c r="U65" s="203"/>
      <c r="V65" s="203"/>
      <c r="W65" s="2"/>
      <c r="AM65" s="222"/>
      <c r="AO65" s="218"/>
      <c r="AP65" s="218"/>
      <c r="AQ65" s="218"/>
      <c r="AR65" s="247"/>
      <c r="AT65" s="280"/>
    </row>
    <row r="66">
      <c r="A66" s="293" t="s">
        <v>29</v>
      </c>
      <c r="B66" s="302" t="s">
        <v>259</v>
      </c>
      <c r="C66" s="295"/>
      <c r="D66" s="295"/>
      <c r="E66" s="297"/>
      <c r="F66" s="295"/>
      <c r="G66" s="295">
        <f>IF(PARAMS("flash_attn"),0,SUM(G67:G69))</f>
        <v>0</v>
      </c>
      <c r="H66" s="297"/>
      <c r="I66" s="808"/>
      <c r="J66" s="876" t="str">
        <f t="shared" si="5"/>
        <v>#N/A</v>
      </c>
      <c r="P66" s="878"/>
      <c r="R66" s="203"/>
      <c r="S66" s="203"/>
      <c r="T66" s="203"/>
      <c r="U66" s="203"/>
      <c r="V66" s="203"/>
      <c r="W66" s="2"/>
      <c r="AM66" s="222"/>
      <c r="AO66" s="218"/>
      <c r="AP66" s="218"/>
      <c r="AQ66" s="218"/>
      <c r="AR66" s="247"/>
      <c r="AT66" s="280"/>
    </row>
    <row r="67">
      <c r="A67" s="293" t="s">
        <v>29</v>
      </c>
      <c r="B67" s="294" t="s">
        <v>605</v>
      </c>
      <c r="C67" s="295" t="str">
        <f>$H$208</f>
        <v>#N/A</v>
      </c>
      <c r="D67" s="295" t="str">
        <f>$H$206</f>
        <v>#N/A</v>
      </c>
      <c r="E67" s="297"/>
      <c r="F67" s="295"/>
      <c r="G67" s="295" t="str">
        <f t="shared" ref="G67:G75" si="7">max(C67:F67)</f>
        <v>#N/A</v>
      </c>
      <c r="H67" s="297" t="str">
        <f t="shared" ref="H67:H75" si="8">IFS(C67=G67, "HBM", D67=G67, "Compute", E67=G67, "ICI Lt", F67=G67, "ICI BW")</f>
        <v>#N/A</v>
      </c>
      <c r="I67" s="808"/>
      <c r="J67" s="876"/>
      <c r="P67" s="878"/>
      <c r="R67" s="203"/>
      <c r="S67" s="203"/>
      <c r="T67" s="203"/>
      <c r="U67" s="203"/>
      <c r="V67" s="203"/>
      <c r="W67" s="2"/>
      <c r="AM67" s="222"/>
      <c r="AO67" s="218"/>
      <c r="AP67" s="218"/>
      <c r="AQ67" s="218"/>
      <c r="AR67" s="247"/>
      <c r="AT67" s="280"/>
    </row>
    <row r="68">
      <c r="A68" s="293" t="s">
        <v>29</v>
      </c>
      <c r="B68" s="294" t="s">
        <v>606</v>
      </c>
      <c r="C68" s="295" t="str">
        <f>$H$227</f>
        <v>#N/A</v>
      </c>
      <c r="D68" s="295" t="str">
        <f>$H$225</f>
        <v>#N/A</v>
      </c>
      <c r="E68" s="297"/>
      <c r="F68" s="295"/>
      <c r="G68" s="295" t="str">
        <f t="shared" si="7"/>
        <v>#N/A</v>
      </c>
      <c r="H68" s="297" t="str">
        <f t="shared" si="8"/>
        <v>#N/A</v>
      </c>
      <c r="I68" s="808"/>
      <c r="J68" s="876"/>
      <c r="P68" s="878"/>
      <c r="R68" s="303"/>
      <c r="S68" s="303"/>
      <c r="T68" s="303"/>
      <c r="U68" s="303"/>
      <c r="V68" s="303"/>
      <c r="W68" s="2"/>
      <c r="AM68" s="222"/>
      <c r="AN68" s="218"/>
      <c r="AO68" s="222"/>
      <c r="AP68" s="222"/>
      <c r="AQ68" s="218"/>
      <c r="AR68" s="247"/>
      <c r="AT68" s="280"/>
    </row>
    <row r="69">
      <c r="A69" s="293" t="s">
        <v>29</v>
      </c>
      <c r="B69" s="294" t="s">
        <v>607</v>
      </c>
      <c r="C69" s="295" t="str">
        <f>$H$246</f>
        <v>#N/A</v>
      </c>
      <c r="D69" s="295" t="str">
        <f>$H$244</f>
        <v>#N/A</v>
      </c>
      <c r="E69" s="297"/>
      <c r="F69" s="295"/>
      <c r="G69" s="295" t="str">
        <f t="shared" si="7"/>
        <v>#N/A</v>
      </c>
      <c r="H69" s="297" t="str">
        <f t="shared" si="8"/>
        <v>#N/A</v>
      </c>
      <c r="I69" s="808"/>
      <c r="J69" s="876"/>
      <c r="P69" s="878"/>
      <c r="R69" s="303"/>
      <c r="S69" s="303"/>
      <c r="T69" s="303"/>
      <c r="U69" s="303"/>
      <c r="V69" s="303"/>
      <c r="W69" s="2"/>
      <c r="AM69" s="222"/>
      <c r="AN69" s="218"/>
      <c r="AO69" s="218"/>
      <c r="AP69" s="218"/>
      <c r="AQ69" s="218"/>
      <c r="AR69" s="247"/>
      <c r="AT69" s="280"/>
    </row>
    <row r="70">
      <c r="A70" s="293" t="s">
        <v>29</v>
      </c>
      <c r="B70" s="294" t="s">
        <v>38</v>
      </c>
      <c r="C70" s="295" t="str">
        <f>H265</f>
        <v>#N/A</v>
      </c>
      <c r="D70" s="295" t="str">
        <f>H263</f>
        <v>#N/A</v>
      </c>
      <c r="E70" s="297"/>
      <c r="F70" s="295"/>
      <c r="G70" s="295" t="str">
        <f t="shared" si="7"/>
        <v>#N/A</v>
      </c>
      <c r="H70" s="297" t="str">
        <f t="shared" si="8"/>
        <v>#N/A</v>
      </c>
      <c r="I70" s="808"/>
      <c r="J70" s="876" t="str">
        <f t="shared" ref="J70:J76" si="9">G70/$G$76</f>
        <v>#N/A</v>
      </c>
      <c r="P70" s="878"/>
      <c r="R70" s="303"/>
      <c r="S70" s="303"/>
      <c r="T70" s="303"/>
      <c r="U70" s="303"/>
      <c r="V70" s="303"/>
      <c r="W70" s="304"/>
      <c r="AK70" s="280"/>
      <c r="AM70" s="222"/>
      <c r="AN70" s="218"/>
      <c r="AO70" s="218"/>
      <c r="AP70" s="218"/>
      <c r="AQ70" s="218"/>
      <c r="AR70" s="247"/>
      <c r="AT70" s="280"/>
    </row>
    <row r="71">
      <c r="A71" s="293" t="s">
        <v>29</v>
      </c>
      <c r="B71" s="294" t="s">
        <v>40</v>
      </c>
      <c r="C71" s="295" t="str">
        <f>H284</f>
        <v>#N/A</v>
      </c>
      <c r="D71" s="295" t="str">
        <f>H282</f>
        <v>#N/A</v>
      </c>
      <c r="E71" s="297"/>
      <c r="F71" s="295"/>
      <c r="G71" s="295" t="str">
        <f t="shared" si="7"/>
        <v>#N/A</v>
      </c>
      <c r="H71" s="297" t="str">
        <f t="shared" si="8"/>
        <v>#N/A</v>
      </c>
      <c r="I71" s="808"/>
      <c r="J71" s="876" t="str">
        <f t="shared" si="9"/>
        <v>#N/A</v>
      </c>
      <c r="P71" s="878"/>
      <c r="R71" s="303"/>
      <c r="S71" s="303"/>
      <c r="T71" s="303"/>
      <c r="U71" s="305"/>
      <c r="V71" s="305"/>
      <c r="W71" s="2"/>
      <c r="AK71" s="306"/>
      <c r="AL71" s="307"/>
      <c r="AM71" s="247"/>
      <c r="AN71" s="218"/>
      <c r="AO71" s="218"/>
      <c r="AP71" s="218"/>
      <c r="AQ71" s="218"/>
      <c r="AR71" s="247"/>
      <c r="AT71" s="280"/>
    </row>
    <row r="72">
      <c r="A72" s="293" t="s">
        <v>264</v>
      </c>
      <c r="B72" s="308" t="s">
        <v>44</v>
      </c>
      <c r="C72" s="295"/>
      <c r="D72" s="295"/>
      <c r="E72" s="297"/>
      <c r="F72" s="295" t="str">
        <f>$H$332</f>
        <v>#N/A</v>
      </c>
      <c r="G72" s="295" t="str">
        <f t="shared" si="7"/>
        <v>#N/A</v>
      </c>
      <c r="H72" s="297" t="str">
        <f t="shared" si="8"/>
        <v>#N/A</v>
      </c>
      <c r="I72" s="808"/>
      <c r="J72" s="876" t="str">
        <f t="shared" si="9"/>
        <v>#N/A</v>
      </c>
      <c r="P72" s="878"/>
      <c r="R72" s="2"/>
      <c r="S72" s="2"/>
      <c r="T72" s="2"/>
      <c r="U72" s="2"/>
      <c r="V72" s="2"/>
      <c r="W72" s="2"/>
      <c r="AM72" s="222"/>
      <c r="AN72" s="218"/>
      <c r="AO72" s="222"/>
      <c r="AP72" s="222"/>
      <c r="AQ72" s="272"/>
      <c r="AR72" s="222"/>
    </row>
    <row r="73">
      <c r="A73" s="293" t="s">
        <v>264</v>
      </c>
      <c r="B73" s="308" t="s">
        <v>46</v>
      </c>
      <c r="C73" s="295" t="str">
        <f>$H$375</f>
        <v>#N/A</v>
      </c>
      <c r="D73" s="295" t="str">
        <f>$H$373</f>
        <v>#N/A</v>
      </c>
      <c r="E73" s="297"/>
      <c r="F73" s="295" t="str">
        <f>$H$370</f>
        <v>#N/A</v>
      </c>
      <c r="G73" s="295" t="str">
        <f t="shared" si="7"/>
        <v>#N/A</v>
      </c>
      <c r="H73" s="297" t="str">
        <f t="shared" si="8"/>
        <v>#N/A</v>
      </c>
      <c r="I73" s="808"/>
      <c r="J73" s="876" t="str">
        <f t="shared" si="9"/>
        <v>#N/A</v>
      </c>
      <c r="P73" s="878"/>
      <c r="R73" s="2"/>
      <c r="S73" s="2"/>
      <c r="T73" s="2"/>
      <c r="U73" s="2"/>
      <c r="V73" s="2"/>
      <c r="W73" s="309"/>
      <c r="AM73" s="222"/>
      <c r="AN73" s="218"/>
      <c r="AO73" s="218"/>
      <c r="AP73" s="218"/>
      <c r="AQ73" s="218"/>
      <c r="AR73" s="222"/>
      <c r="AT73" s="228"/>
    </row>
    <row r="74">
      <c r="A74" s="293" t="s">
        <v>264</v>
      </c>
      <c r="B74" s="308" t="s">
        <v>48</v>
      </c>
      <c r="C74" s="295" t="str">
        <f>$H$405</f>
        <v>#N/A</v>
      </c>
      <c r="D74" s="295" t="str">
        <f>$H$403</f>
        <v>#N/A</v>
      </c>
      <c r="E74" s="297"/>
      <c r="F74" s="295">
        <f>$H$400</f>
        <v>0</v>
      </c>
      <c r="G74" s="295" t="str">
        <f t="shared" si="7"/>
        <v>#N/A</v>
      </c>
      <c r="H74" s="297" t="str">
        <f t="shared" si="8"/>
        <v>#N/A</v>
      </c>
      <c r="I74" s="808"/>
      <c r="J74" s="876" t="str">
        <f t="shared" si="9"/>
        <v>#N/A</v>
      </c>
      <c r="P74" s="878"/>
      <c r="R74" s="2"/>
      <c r="S74" s="2"/>
      <c r="T74" s="2"/>
      <c r="U74" s="2"/>
      <c r="V74" s="2"/>
      <c r="W74" s="309"/>
      <c r="AM74" s="222"/>
      <c r="AN74" s="218"/>
      <c r="AO74" s="218"/>
      <c r="AP74" s="222"/>
      <c r="AQ74" s="222"/>
      <c r="AR74" s="222"/>
    </row>
    <row r="75">
      <c r="A75" s="293" t="s">
        <v>264</v>
      </c>
      <c r="B75" s="308" t="s">
        <v>52</v>
      </c>
      <c r="C75" s="295"/>
      <c r="D75" s="295"/>
      <c r="E75" s="297"/>
      <c r="F75" s="295" t="str">
        <f>$H$442</f>
        <v>#N/A</v>
      </c>
      <c r="G75" s="295" t="str">
        <f t="shared" si="7"/>
        <v>#N/A</v>
      </c>
      <c r="H75" s="297" t="str">
        <f t="shared" si="8"/>
        <v>#N/A</v>
      </c>
      <c r="I75" s="808"/>
      <c r="J75" s="876" t="str">
        <f t="shared" si="9"/>
        <v>#N/A</v>
      </c>
      <c r="P75" s="878"/>
      <c r="AM75" s="222"/>
      <c r="AN75" s="218"/>
      <c r="AO75" s="218"/>
      <c r="AP75" s="218"/>
      <c r="AQ75" s="218"/>
      <c r="AR75" s="222"/>
      <c r="AT75" s="280"/>
    </row>
    <row r="76">
      <c r="A76" s="310"/>
      <c r="B76" s="311"/>
      <c r="C76" s="311"/>
      <c r="D76" s="311"/>
      <c r="E76" s="310" t="s">
        <v>265</v>
      </c>
      <c r="F76" s="312" t="s">
        <v>121</v>
      </c>
      <c r="G76" s="311" t="str">
        <f>SUM(G61:G66,G70:G75)</f>
        <v>#N/A</v>
      </c>
      <c r="H76" s="311"/>
      <c r="I76" s="314"/>
      <c r="J76" s="315" t="str">
        <f t="shared" si="9"/>
        <v>#N/A</v>
      </c>
      <c r="P76" s="878"/>
      <c r="AG76" s="207"/>
      <c r="AH76" s="207"/>
      <c r="AI76" s="2"/>
      <c r="AJ76" s="2"/>
      <c r="AK76" s="2"/>
      <c r="AL76" s="2"/>
      <c r="AM76" s="247"/>
      <c r="AN76" s="279"/>
      <c r="AO76" s="279"/>
      <c r="AP76" s="292"/>
      <c r="AQ76" s="279"/>
      <c r="AR76" s="247"/>
      <c r="AT76" s="280"/>
    </row>
    <row r="77">
      <c r="A77" s="316"/>
      <c r="B77" s="311"/>
      <c r="C77" s="311"/>
      <c r="D77" s="311"/>
      <c r="E77" s="316"/>
      <c r="F77" s="312" t="s">
        <v>266</v>
      </c>
      <c r="G77" s="879" t="str">
        <f>SUM(G61:G66,G70:G71)+MAX(G72:G73)+MAX(G74:G75)</f>
        <v>#N/A</v>
      </c>
      <c r="H77" s="311"/>
      <c r="I77" s="314"/>
      <c r="J77" s="315"/>
      <c r="P77" s="878"/>
      <c r="AG77" s="207"/>
      <c r="AH77" s="207"/>
      <c r="AI77" s="2"/>
      <c r="AJ77" s="2"/>
      <c r="AK77" s="2"/>
      <c r="AL77" s="2"/>
      <c r="AM77" s="247"/>
      <c r="AN77" s="279"/>
      <c r="AO77" s="279"/>
      <c r="AP77" s="292"/>
      <c r="AQ77" s="279"/>
      <c r="AR77" s="247"/>
      <c r="AT77" s="280"/>
    </row>
    <row r="78">
      <c r="A78" s="318" t="s">
        <v>267</v>
      </c>
      <c r="B78" s="319"/>
      <c r="C78" s="319"/>
      <c r="D78" s="319"/>
      <c r="E78" s="318" t="s">
        <v>268</v>
      </c>
      <c r="F78" s="320" t="s">
        <v>121</v>
      </c>
      <c r="G78" s="880" t="str">
        <f>IF(F78=F76,G76,G77)</f>
        <v>#N/A</v>
      </c>
      <c r="H78" s="319"/>
      <c r="I78" s="322"/>
      <c r="J78" s="322"/>
      <c r="P78" s="881"/>
      <c r="AG78" s="2"/>
      <c r="AH78" s="2"/>
      <c r="AI78" s="2"/>
      <c r="AJ78" s="2"/>
      <c r="AK78" s="2"/>
      <c r="AL78" s="2"/>
      <c r="AM78" s="247"/>
      <c r="AN78" s="247"/>
      <c r="AO78" s="279"/>
      <c r="AP78" s="222"/>
      <c r="AQ78" s="247"/>
      <c r="AR78" s="247"/>
      <c r="AT78" s="280"/>
    </row>
    <row r="79" ht="15.0" customHeight="1">
      <c r="P79" s="227"/>
      <c r="AG79" s="2"/>
      <c r="AH79" s="2"/>
      <c r="AI79" s="2"/>
      <c r="AJ79" s="2"/>
      <c r="AK79" s="2"/>
      <c r="AL79" s="2"/>
      <c r="AM79" s="247"/>
      <c r="AN79" s="247"/>
      <c r="AO79" s="279"/>
      <c r="AP79" s="222"/>
      <c r="AQ79" s="247"/>
      <c r="AR79" s="247"/>
      <c r="AT79" s="280"/>
    </row>
    <row r="80">
      <c r="P80" s="227"/>
      <c r="AG80" s="2"/>
      <c r="AH80" s="2"/>
      <c r="AI80" s="2"/>
      <c r="AJ80" s="2"/>
      <c r="AK80" s="2"/>
      <c r="AL80" s="2"/>
      <c r="AM80" s="247"/>
      <c r="AN80" s="247"/>
      <c r="AO80" s="279"/>
      <c r="AP80" s="222"/>
      <c r="AQ80" s="247"/>
      <c r="AR80" s="247"/>
      <c r="AT80" s="280"/>
    </row>
    <row r="81">
      <c r="E81" s="281" t="s">
        <v>270</v>
      </c>
      <c r="P81" s="227"/>
      <c r="AG81" s="2"/>
      <c r="AH81" s="2"/>
      <c r="AI81" s="2"/>
      <c r="AJ81" s="2"/>
      <c r="AK81" s="2"/>
      <c r="AL81" s="2"/>
      <c r="AM81" s="247"/>
      <c r="AN81" s="218"/>
      <c r="AO81" s="218"/>
      <c r="AP81" s="218"/>
      <c r="AQ81" s="218"/>
      <c r="AR81" s="247"/>
      <c r="AT81" s="280"/>
    </row>
    <row r="82">
      <c r="A82" s="207"/>
      <c r="B82" s="2"/>
      <c r="C82" s="2"/>
      <c r="E82" s="324" t="s">
        <v>272</v>
      </c>
      <c r="F82" s="325" t="s">
        <v>273</v>
      </c>
      <c r="G82" s="326"/>
      <c r="H82" s="327"/>
      <c r="I82" s="325" t="s">
        <v>274</v>
      </c>
      <c r="J82" s="326"/>
      <c r="K82" s="326"/>
      <c r="L82" s="326"/>
      <c r="M82" s="326"/>
      <c r="N82" s="327"/>
      <c r="O82" s="328" t="s">
        <v>275</v>
      </c>
      <c r="P82" s="329" t="s">
        <v>276</v>
      </c>
      <c r="Q82" s="330" t="s">
        <v>277</v>
      </c>
      <c r="AM82" s="222"/>
      <c r="AO82" s="222"/>
      <c r="AP82" s="222"/>
      <c r="AQ82" s="222"/>
      <c r="AR82" s="247"/>
      <c r="AT82" s="280"/>
    </row>
    <row r="83">
      <c r="A83" s="207"/>
      <c r="B83" s="2"/>
      <c r="C83" s="2"/>
      <c r="D83" s="2"/>
      <c r="E83" s="333" t="s">
        <v>279</v>
      </c>
      <c r="F83" s="334" t="s">
        <v>280</v>
      </c>
      <c r="G83" s="335"/>
      <c r="H83" s="336" t="s">
        <v>281</v>
      </c>
      <c r="I83" s="336" t="s">
        <v>282</v>
      </c>
      <c r="J83" s="336"/>
      <c r="K83" s="337" t="s">
        <v>104</v>
      </c>
      <c r="L83" s="337" t="s">
        <v>102</v>
      </c>
      <c r="M83" s="336" t="s">
        <v>178</v>
      </c>
      <c r="N83" s="336" t="s">
        <v>283</v>
      </c>
      <c r="O83" s="338" t="s">
        <v>125</v>
      </c>
      <c r="P83" s="339"/>
      <c r="Q83" s="337" t="b">
        <v>0</v>
      </c>
      <c r="AM83" s="222"/>
      <c r="AO83" s="218"/>
      <c r="AP83" s="218"/>
      <c r="AQ83" s="218"/>
      <c r="AR83" s="247"/>
      <c r="AT83" s="280"/>
    </row>
    <row r="84">
      <c r="A84" s="207"/>
      <c r="B84" s="2"/>
      <c r="C84" s="2"/>
      <c r="D84" s="2"/>
      <c r="E84" s="341"/>
      <c r="F84" s="342"/>
      <c r="G84" s="343"/>
      <c r="H84" s="344" t="s">
        <v>285</v>
      </c>
      <c r="I84" s="345" t="s">
        <v>282</v>
      </c>
      <c r="J84" s="346"/>
      <c r="K84" s="345">
        <f t="shared" ref="K84:M84" si="10">PARAMS(K83)</f>
        <v>4096</v>
      </c>
      <c r="L84" s="345">
        <f t="shared" si="10"/>
        <v>1</v>
      </c>
      <c r="M84" s="345">
        <f t="shared" si="10"/>
        <v>7168</v>
      </c>
      <c r="N84" s="345" t="s">
        <v>283</v>
      </c>
      <c r="O84" s="347"/>
      <c r="P84" s="348">
        <f>SIZEOF_IN_MIB(J84:M84, $O83)</f>
        <v>28</v>
      </c>
      <c r="Q84" s="344" t="b">
        <v>0</v>
      </c>
      <c r="AM84" s="222"/>
      <c r="AN84" s="218"/>
      <c r="AO84" s="222"/>
      <c r="AP84" s="222"/>
      <c r="AQ84" s="218"/>
      <c r="AR84" s="247"/>
      <c r="AT84" s="280"/>
    </row>
    <row r="85">
      <c r="A85" s="207"/>
      <c r="B85" s="2"/>
      <c r="C85" s="2"/>
      <c r="D85" s="2"/>
      <c r="E85" s="341"/>
      <c r="F85" s="342"/>
      <c r="G85" s="343"/>
      <c r="H85" s="349" t="s">
        <v>287</v>
      </c>
      <c r="I85" s="349" t="s">
        <v>282</v>
      </c>
      <c r="J85" s="336"/>
      <c r="K85" s="337" t="s">
        <v>96</v>
      </c>
      <c r="L85" s="337"/>
      <c r="M85" s="337" t="s">
        <v>97</v>
      </c>
      <c r="N85" s="349" t="s">
        <v>283</v>
      </c>
      <c r="O85" s="350"/>
      <c r="P85" s="351"/>
      <c r="Q85" s="337" t="b">
        <v>0</v>
      </c>
      <c r="AM85" s="222"/>
      <c r="AN85" s="218"/>
      <c r="AO85" s="218"/>
      <c r="AP85" s="218"/>
      <c r="AQ85" s="218"/>
      <c r="AR85" s="247"/>
      <c r="AT85" s="280"/>
    </row>
    <row r="86">
      <c r="A86" s="207"/>
      <c r="B86" s="2"/>
      <c r="C86" s="2"/>
      <c r="D86" s="2"/>
      <c r="E86" s="352"/>
      <c r="F86" s="353"/>
      <c r="G86" s="354"/>
      <c r="H86" s="344" t="s">
        <v>289</v>
      </c>
      <c r="I86" s="346" t="s">
        <v>282</v>
      </c>
      <c r="J86" s="345"/>
      <c r="K86" s="346">
        <f t="shared" ref="K86:M86" si="11">K84/SHARDING(K85)</f>
        <v>2048</v>
      </c>
      <c r="L86" s="346">
        <f t="shared" si="11"/>
        <v>1</v>
      </c>
      <c r="M86" s="346">
        <f t="shared" si="11"/>
        <v>896</v>
      </c>
      <c r="N86" s="346" t="s">
        <v>283</v>
      </c>
      <c r="O86" s="355"/>
      <c r="P86" s="348">
        <f>SIZEOF_IN_MIB(J86:M86, $O83)</f>
        <v>1.75</v>
      </c>
      <c r="Q86" s="344" t="b">
        <v>0</v>
      </c>
      <c r="AG86" s="181"/>
      <c r="AK86" s="280"/>
      <c r="AM86" s="222"/>
      <c r="AN86" s="218"/>
      <c r="AO86" s="218"/>
      <c r="AP86" s="218"/>
      <c r="AQ86" s="218"/>
      <c r="AR86" s="247"/>
      <c r="AT86" s="280"/>
    </row>
    <row r="87">
      <c r="A87" s="207"/>
      <c r="B87" s="2"/>
      <c r="C87" s="2"/>
      <c r="D87" s="2"/>
      <c r="E87" s="333" t="s">
        <v>291</v>
      </c>
      <c r="F87" s="357" t="s">
        <v>292</v>
      </c>
      <c r="G87" s="335"/>
      <c r="H87" s="336" t="s">
        <v>281</v>
      </c>
      <c r="I87" s="336" t="s">
        <v>282</v>
      </c>
      <c r="J87" s="336"/>
      <c r="K87" s="337" t="s">
        <v>104</v>
      </c>
      <c r="L87" s="337" t="s">
        <v>102</v>
      </c>
      <c r="M87" s="358" t="s">
        <v>178</v>
      </c>
      <c r="N87" s="336" t="s">
        <v>283</v>
      </c>
      <c r="O87" s="338" t="s">
        <v>125</v>
      </c>
      <c r="P87" s="339"/>
      <c r="Q87" s="338" t="b">
        <v>0</v>
      </c>
      <c r="AG87" s="181"/>
      <c r="AK87" s="306"/>
      <c r="AL87" s="307"/>
      <c r="AM87" s="247"/>
      <c r="AN87" s="218"/>
      <c r="AO87" s="218"/>
      <c r="AP87" s="218"/>
      <c r="AQ87" s="218"/>
      <c r="AR87" s="247"/>
      <c r="AT87" s="280"/>
    </row>
    <row r="88">
      <c r="A88" s="2"/>
      <c r="B88" s="2"/>
      <c r="C88" s="2"/>
      <c r="D88" s="2"/>
      <c r="E88" s="341"/>
      <c r="F88" s="342"/>
      <c r="G88" s="343"/>
      <c r="H88" s="344" t="s">
        <v>285</v>
      </c>
      <c r="I88" s="345" t="s">
        <v>282</v>
      </c>
      <c r="J88" s="346"/>
      <c r="K88" s="345">
        <f t="shared" ref="K88:M88" si="12">PARAMS(K87)</f>
        <v>4096</v>
      </c>
      <c r="L88" s="345">
        <f t="shared" si="12"/>
        <v>1</v>
      </c>
      <c r="M88" s="345">
        <f t="shared" si="12"/>
        <v>7168</v>
      </c>
      <c r="N88" s="345" t="s">
        <v>283</v>
      </c>
      <c r="O88" s="347"/>
      <c r="P88" s="348">
        <f>SIZEOF_IN_MIB(J88:M88, $O87)</f>
        <v>28</v>
      </c>
      <c r="Q88" s="347"/>
      <c r="AG88" s="181"/>
      <c r="AM88" s="2"/>
      <c r="AR88" s="2"/>
    </row>
    <row r="89">
      <c r="A89" s="161"/>
      <c r="B89" s="161"/>
      <c r="C89" s="161"/>
      <c r="D89" s="161"/>
      <c r="E89" s="341"/>
      <c r="F89" s="342"/>
      <c r="G89" s="343"/>
      <c r="H89" s="349" t="s">
        <v>287</v>
      </c>
      <c r="I89" s="349" t="s">
        <v>282</v>
      </c>
      <c r="J89" s="336"/>
      <c r="K89" s="337" t="s">
        <v>196</v>
      </c>
      <c r="L89" s="337"/>
      <c r="M89" s="349"/>
      <c r="N89" s="349" t="s">
        <v>283</v>
      </c>
      <c r="O89" s="350"/>
      <c r="P89" s="351"/>
      <c r="Q89" s="350"/>
    </row>
    <row r="90">
      <c r="A90" s="161"/>
      <c r="B90" s="161"/>
      <c r="C90" s="161"/>
      <c r="D90" s="161"/>
      <c r="E90" s="341"/>
      <c r="F90" s="353"/>
      <c r="G90" s="354"/>
      <c r="H90" s="344" t="s">
        <v>289</v>
      </c>
      <c r="I90" s="346" t="s">
        <v>282</v>
      </c>
      <c r="J90" s="345"/>
      <c r="K90" s="346">
        <f t="shared" ref="K90:M90" si="13">K88/SHARDING(K89)</f>
        <v>256</v>
      </c>
      <c r="L90" s="346">
        <f t="shared" si="13"/>
        <v>1</v>
      </c>
      <c r="M90" s="346">
        <f t="shared" si="13"/>
        <v>7168</v>
      </c>
      <c r="N90" s="346" t="s">
        <v>283</v>
      </c>
      <c r="O90" s="355"/>
      <c r="P90" s="348">
        <f>SIZEOF_IN_MIB(J90:M90, $O87)</f>
        <v>1.75</v>
      </c>
      <c r="Q90" s="355"/>
      <c r="AG90" s="181"/>
    </row>
    <row r="91">
      <c r="A91" s="161"/>
      <c r="B91" s="161"/>
      <c r="C91" s="161"/>
      <c r="D91" s="161"/>
      <c r="E91" s="341"/>
      <c r="F91" s="334" t="s">
        <v>296</v>
      </c>
      <c r="G91" s="335"/>
      <c r="H91" s="349" t="s">
        <v>281</v>
      </c>
      <c r="I91" s="349" t="s">
        <v>282</v>
      </c>
      <c r="J91" s="336"/>
      <c r="K91" s="336"/>
      <c r="L91" s="360" t="s">
        <v>178</v>
      </c>
      <c r="M91" s="337" t="s">
        <v>195</v>
      </c>
      <c r="N91" s="349" t="s">
        <v>283</v>
      </c>
      <c r="O91" s="338" t="s">
        <v>125</v>
      </c>
      <c r="P91" s="351"/>
      <c r="Q91" s="338" t="b">
        <v>0</v>
      </c>
      <c r="AP91" s="218"/>
      <c r="AQ91" s="218"/>
      <c r="AT91" s="228"/>
    </row>
    <row r="92">
      <c r="A92" s="161"/>
      <c r="B92" s="161"/>
      <c r="C92" s="161"/>
      <c r="D92" s="161"/>
      <c r="E92" s="341"/>
      <c r="F92" s="342"/>
      <c r="G92" s="343"/>
      <c r="H92" s="344" t="s">
        <v>285</v>
      </c>
      <c r="I92" s="346" t="s">
        <v>282</v>
      </c>
      <c r="J92" s="345"/>
      <c r="K92" s="345"/>
      <c r="L92" s="346">
        <f t="shared" ref="L92:M92" si="14">PARAMS(L91)</f>
        <v>7168</v>
      </c>
      <c r="M92" s="346">
        <f t="shared" si="14"/>
        <v>1536</v>
      </c>
      <c r="N92" s="346" t="s">
        <v>283</v>
      </c>
      <c r="O92" s="347"/>
      <c r="P92" s="348">
        <f>SIZEOF_IN_MIB(J92:M92, $O91)</f>
        <v>10.5</v>
      </c>
      <c r="Q92" s="347"/>
      <c r="AP92" s="222"/>
    </row>
    <row r="93">
      <c r="A93" s="161"/>
      <c r="B93" s="161"/>
      <c r="C93" s="161"/>
      <c r="D93" s="161"/>
      <c r="E93" s="341"/>
      <c r="F93" s="342"/>
      <c r="G93" s="343"/>
      <c r="H93" s="349" t="s">
        <v>287</v>
      </c>
      <c r="I93" s="349" t="s">
        <v>282</v>
      </c>
      <c r="J93" s="336"/>
      <c r="K93" s="336"/>
      <c r="L93" s="349"/>
      <c r="M93" s="349"/>
      <c r="N93" s="349" t="s">
        <v>283</v>
      </c>
      <c r="O93" s="350"/>
      <c r="P93" s="351"/>
      <c r="Q93" s="350"/>
      <c r="AP93" s="218"/>
      <c r="AQ93" s="218"/>
      <c r="AT93" s="228"/>
    </row>
    <row r="94">
      <c r="A94" s="161"/>
      <c r="B94" s="161"/>
      <c r="C94" s="161"/>
      <c r="D94" s="161"/>
      <c r="E94" s="341"/>
      <c r="F94" s="353"/>
      <c r="G94" s="354"/>
      <c r="H94" s="346" t="s">
        <v>289</v>
      </c>
      <c r="I94" s="346" t="s">
        <v>282</v>
      </c>
      <c r="J94" s="345"/>
      <c r="K94" s="345"/>
      <c r="L94" s="346">
        <f t="shared" ref="L94:M94" si="15">L92/SHARDING(L93)</f>
        <v>7168</v>
      </c>
      <c r="M94" s="346">
        <f t="shared" si="15"/>
        <v>1536</v>
      </c>
      <c r="N94" s="346" t="s">
        <v>283</v>
      </c>
      <c r="O94" s="355"/>
      <c r="P94" s="348">
        <f>SIZEOF_IN_MIB(J94:M94, $O91)</f>
        <v>10.5</v>
      </c>
      <c r="Q94" s="355"/>
    </row>
    <row r="95">
      <c r="A95" s="161"/>
      <c r="B95" s="161"/>
      <c r="C95" s="161"/>
      <c r="D95" s="161"/>
      <c r="E95" s="341"/>
      <c r="F95" s="334" t="s">
        <v>56</v>
      </c>
      <c r="G95" s="335"/>
      <c r="H95" s="363" t="s">
        <v>281</v>
      </c>
      <c r="I95" s="363" t="s">
        <v>282</v>
      </c>
      <c r="J95" s="364"/>
      <c r="K95" s="273" t="s">
        <v>104</v>
      </c>
      <c r="L95" s="273" t="s">
        <v>102</v>
      </c>
      <c r="M95" s="273" t="s">
        <v>195</v>
      </c>
      <c r="N95" s="363" t="s">
        <v>283</v>
      </c>
      <c r="O95" s="365" t="s">
        <v>133</v>
      </c>
      <c r="P95" s="366"/>
      <c r="Q95" s="365" t="b">
        <v>0</v>
      </c>
    </row>
    <row r="96">
      <c r="A96" s="161"/>
      <c r="B96" s="161"/>
      <c r="C96" s="161"/>
      <c r="D96" s="161"/>
      <c r="E96" s="341"/>
      <c r="F96" s="342"/>
      <c r="G96" s="343"/>
      <c r="H96" s="273" t="s">
        <v>285</v>
      </c>
      <c r="I96" s="363" t="s">
        <v>282</v>
      </c>
      <c r="J96" s="364"/>
      <c r="K96" s="363">
        <f t="shared" ref="K96:M96" si="16">PARAMS(K95)</f>
        <v>4096</v>
      </c>
      <c r="L96" s="364">
        <f t="shared" si="16"/>
        <v>1</v>
      </c>
      <c r="M96" s="363">
        <f t="shared" si="16"/>
        <v>1536</v>
      </c>
      <c r="N96" s="363" t="s">
        <v>283</v>
      </c>
      <c r="O96" s="341"/>
      <c r="P96" s="366">
        <f>SIZEOF_IN_MIB(K96:M96, $O95)</f>
        <v>12</v>
      </c>
      <c r="Q96" s="341"/>
    </row>
    <row r="97">
      <c r="A97" s="161"/>
      <c r="B97" s="161"/>
      <c r="C97" s="161"/>
      <c r="D97" s="161"/>
      <c r="E97" s="341"/>
      <c r="F97" s="342"/>
      <c r="G97" s="343"/>
      <c r="H97" s="363" t="s">
        <v>287</v>
      </c>
      <c r="I97" s="363" t="s">
        <v>282</v>
      </c>
      <c r="J97" s="364"/>
      <c r="K97" s="273" t="s">
        <v>196</v>
      </c>
      <c r="L97" s="273"/>
      <c r="M97" s="363"/>
      <c r="N97" s="363" t="s">
        <v>283</v>
      </c>
      <c r="O97" s="341"/>
      <c r="P97" s="366"/>
      <c r="Q97" s="341"/>
    </row>
    <row r="98">
      <c r="A98" s="161"/>
      <c r="B98" s="161"/>
      <c r="C98" s="161"/>
      <c r="D98" s="161"/>
      <c r="E98" s="341"/>
      <c r="F98" s="353"/>
      <c r="G98" s="354"/>
      <c r="H98" s="363" t="s">
        <v>289</v>
      </c>
      <c r="I98" s="363" t="s">
        <v>282</v>
      </c>
      <c r="J98" s="364"/>
      <c r="K98" s="363">
        <f t="shared" ref="K98:M98" si="17">K96/SHARDING(K97)</f>
        <v>256</v>
      </c>
      <c r="L98" s="363">
        <f t="shared" si="17"/>
        <v>1</v>
      </c>
      <c r="M98" s="363">
        <f t="shared" si="17"/>
        <v>1536</v>
      </c>
      <c r="N98" s="363" t="s">
        <v>283</v>
      </c>
      <c r="O98" s="352"/>
      <c r="P98" s="366">
        <f>SIZEOF_IN_MIB(K98:M98, $O95)</f>
        <v>0.75</v>
      </c>
      <c r="Q98" s="352"/>
    </row>
    <row r="99">
      <c r="A99" s="161"/>
      <c r="B99" s="161"/>
      <c r="C99" s="161"/>
      <c r="E99" s="341"/>
      <c r="F99" s="370" t="s">
        <v>300</v>
      </c>
      <c r="G99" s="370" t="s">
        <v>301</v>
      </c>
      <c r="H99" s="372" t="s">
        <v>281</v>
      </c>
      <c r="I99" s="364" t="s">
        <v>282</v>
      </c>
      <c r="J99" s="364" t="str">
        <f t="array" ref="J99:M102">J83:M86</f>
        <v/>
      </c>
      <c r="K99" s="273" t="s">
        <v>104</v>
      </c>
      <c r="L99" s="273" t="s">
        <v>102</v>
      </c>
      <c r="M99" s="373" t="s">
        <v>178</v>
      </c>
      <c r="N99" s="364" t="s">
        <v>283</v>
      </c>
      <c r="O99" s="365" t="s">
        <v>125</v>
      </c>
      <c r="P99" s="364"/>
      <c r="Q99" s="365"/>
    </row>
    <row r="100">
      <c r="A100" s="161"/>
      <c r="B100" s="161"/>
      <c r="C100" s="161"/>
      <c r="E100" s="341"/>
      <c r="F100" s="341"/>
      <c r="G100" s="341"/>
      <c r="H100" s="374" t="s">
        <v>285</v>
      </c>
      <c r="I100" s="364" t="s">
        <v>282</v>
      </c>
      <c r="J100" s="363"/>
      <c r="K100" s="364">
        <v>4096.0</v>
      </c>
      <c r="L100" s="364">
        <v>1.0</v>
      </c>
      <c r="M100" s="364">
        <v>7168.0</v>
      </c>
      <c r="N100" s="364" t="s">
        <v>283</v>
      </c>
      <c r="O100" s="341"/>
      <c r="P100" s="375">
        <f>SIZEOF_IN_MIB(J100:M100, O99)</f>
        <v>28</v>
      </c>
      <c r="Q100" s="341"/>
    </row>
    <row r="101">
      <c r="A101" s="161"/>
      <c r="B101" s="161"/>
      <c r="C101" s="161"/>
      <c r="E101" s="341"/>
      <c r="F101" s="341"/>
      <c r="G101" s="341"/>
      <c r="H101" s="374" t="s">
        <v>302</v>
      </c>
      <c r="I101" s="363" t="s">
        <v>282</v>
      </c>
      <c r="J101" s="364"/>
      <c r="K101" s="273" t="s">
        <v>96</v>
      </c>
      <c r="L101" s="273"/>
      <c r="M101" s="273" t="s">
        <v>97</v>
      </c>
      <c r="N101" s="363" t="s">
        <v>283</v>
      </c>
      <c r="O101" s="341"/>
      <c r="P101" s="375"/>
      <c r="Q101" s="341"/>
    </row>
    <row r="102">
      <c r="A102" s="161"/>
      <c r="B102" s="161"/>
      <c r="C102" s="161"/>
      <c r="E102" s="341"/>
      <c r="F102" s="341"/>
      <c r="G102" s="341"/>
      <c r="H102" s="376" t="s">
        <v>303</v>
      </c>
      <c r="I102" s="349" t="s">
        <v>282</v>
      </c>
      <c r="J102" s="336"/>
      <c r="K102" s="349">
        <v>2048.0</v>
      </c>
      <c r="L102" s="349">
        <v>1.0</v>
      </c>
      <c r="M102" s="349">
        <v>896.0</v>
      </c>
      <c r="N102" s="337" t="s">
        <v>283</v>
      </c>
      <c r="O102" s="350"/>
      <c r="P102" s="377">
        <f>SIZEOF_IN_MIB(J102:M102, O99)</f>
        <v>1.75</v>
      </c>
      <c r="Q102" s="350"/>
    </row>
    <row r="103">
      <c r="A103" s="161"/>
      <c r="B103" s="161"/>
      <c r="C103" s="161"/>
      <c r="E103" s="341"/>
      <c r="F103" s="341"/>
      <c r="G103" s="352"/>
      <c r="H103" s="378" t="s">
        <v>304</v>
      </c>
      <c r="I103" s="346" t="s">
        <v>282</v>
      </c>
      <c r="J103" s="345"/>
      <c r="K103" s="344"/>
      <c r="L103" s="344"/>
      <c r="M103" s="344"/>
      <c r="N103" s="346" t="s">
        <v>283</v>
      </c>
      <c r="O103" s="355"/>
      <c r="P103" s="379"/>
      <c r="Q103" s="355"/>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0" t="s">
        <v>305</v>
      </c>
      <c r="H104" s="381"/>
      <c r="I104" s="382"/>
      <c r="J104" s="382"/>
      <c r="K104" s="382"/>
      <c r="L104" s="383"/>
      <c r="M104" s="383"/>
      <c r="N104" s="383"/>
      <c r="O104" s="382"/>
      <c r="P104" s="384"/>
      <c r="Q104" s="382"/>
      <c r="R104" s="2"/>
      <c r="S104" s="2"/>
      <c r="AG104" s="2"/>
      <c r="AH104" s="2"/>
      <c r="AI104" s="2"/>
      <c r="AJ104" s="2"/>
      <c r="AK104" s="2"/>
      <c r="AL104" s="2"/>
      <c r="AM104" s="2"/>
      <c r="AN104" s="2"/>
      <c r="AO104" s="2"/>
      <c r="AP104" s="2"/>
      <c r="AQ104" s="2"/>
      <c r="AR104" s="2"/>
      <c r="AS104" s="2"/>
      <c r="AT104" s="2"/>
    </row>
    <row r="105">
      <c r="A105" s="161"/>
      <c r="B105" s="161"/>
      <c r="C105" s="161"/>
      <c r="E105" s="341"/>
      <c r="F105" s="341"/>
      <c r="G105" s="385" t="s">
        <v>306</v>
      </c>
      <c r="H105" s="386">
        <f>SHARDING(K101)*SHARDING(L101)*SHARDING(M101)</f>
        <v>16</v>
      </c>
      <c r="I105" s="387"/>
      <c r="J105" s="387"/>
      <c r="K105" s="387"/>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85" t="s">
        <v>307</v>
      </c>
      <c r="H106" s="390">
        <f>P102 * (H105-1)</f>
        <v>26.25</v>
      </c>
      <c r="I106" s="298"/>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394" t="s">
        <v>308</v>
      </c>
      <c r="H107" s="395">
        <f>H106*H105</f>
        <v>420</v>
      </c>
      <c r="I107" s="387"/>
      <c r="J107" s="379"/>
      <c r="K107" s="379"/>
      <c r="L107" s="388"/>
      <c r="M107" s="388"/>
      <c r="N107" s="388"/>
      <c r="O107" s="387"/>
      <c r="P107" s="389"/>
      <c r="Q107" s="387"/>
      <c r="R107" s="2"/>
      <c r="S107" s="2"/>
      <c r="AG107" s="2"/>
      <c r="AH107" s="2"/>
      <c r="AI107" s="2"/>
      <c r="AJ107" s="2"/>
      <c r="AK107" s="2"/>
      <c r="AL107" s="2"/>
      <c r="AM107" s="2"/>
      <c r="AN107" s="2"/>
      <c r="AO107" s="2"/>
      <c r="AP107" s="2"/>
      <c r="AQ107" s="2"/>
      <c r="AR107" s="2"/>
      <c r="AS107" s="2"/>
      <c r="AT107" s="2"/>
    </row>
    <row r="108">
      <c r="A108" s="161"/>
      <c r="B108" s="161"/>
      <c r="C108" s="161"/>
      <c r="E108" s="341"/>
      <c r="F108" s="341"/>
      <c r="G108" s="396" t="s">
        <v>309</v>
      </c>
      <c r="H108" s="397" t="str">
        <f>IFS(H105=8,12,
H105=4,4,
H105=2,1,
H105=1,0,
TRUE,NA())</f>
        <v>#N/A</v>
      </c>
      <c r="I108" s="391"/>
      <c r="J108" s="391"/>
      <c r="K108" s="391"/>
      <c r="L108" s="392"/>
      <c r="M108" s="392"/>
      <c r="N108" s="392"/>
      <c r="O108" s="391"/>
      <c r="P108" s="393"/>
      <c r="Q108" s="391"/>
      <c r="R108" s="2"/>
      <c r="S108" s="2"/>
      <c r="AG108" s="2"/>
      <c r="AH108" s="2"/>
      <c r="AI108" s="2"/>
      <c r="AJ108" s="2"/>
      <c r="AK108" s="2"/>
      <c r="AL108" s="2"/>
      <c r="AM108" s="2"/>
      <c r="AN108" s="2"/>
      <c r="AO108" s="2"/>
      <c r="AP108" s="2"/>
      <c r="AQ108" s="2"/>
      <c r="AR108" s="2"/>
      <c r="AS108" s="2"/>
      <c r="AT108" s="2"/>
    </row>
    <row r="109">
      <c r="A109" s="161"/>
      <c r="B109" s="161"/>
      <c r="C109" s="161"/>
      <c r="E109" s="341"/>
      <c r="F109" s="341"/>
      <c r="G109" s="9" t="s">
        <v>310</v>
      </c>
      <c r="H109" s="398">
        <v>1.0</v>
      </c>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402" t="s">
        <v>311</v>
      </c>
      <c r="H110" s="403" t="str">
        <f>ALL_GATHER_CHIP2CHIP_TIME_MS2(H107 * H109, H108)</f>
        <v>#N/A</v>
      </c>
      <c r="I110" s="404"/>
      <c r="J110" s="404"/>
      <c r="K110" s="404"/>
      <c r="L110" s="405"/>
      <c r="M110" s="405"/>
      <c r="N110" s="405"/>
      <c r="O110" s="404"/>
      <c r="P110" s="406"/>
      <c r="Q110" s="404"/>
      <c r="R110" s="2"/>
      <c r="S110" s="2"/>
      <c r="AG110" s="2"/>
      <c r="AH110" s="2"/>
      <c r="AI110" s="2"/>
      <c r="AJ110" s="2"/>
      <c r="AK110" s="2"/>
      <c r="AL110" s="2"/>
      <c r="AM110" s="2"/>
      <c r="AN110" s="2"/>
      <c r="AO110" s="2"/>
      <c r="AP110" s="2"/>
      <c r="AQ110" s="2"/>
      <c r="AR110" s="2"/>
      <c r="AS110" s="2"/>
      <c r="AT110" s="2"/>
    </row>
    <row r="111">
      <c r="A111" s="161"/>
      <c r="B111" s="161"/>
      <c r="C111" s="161"/>
      <c r="E111" s="341"/>
      <c r="F111" s="341"/>
      <c r="G111" s="394"/>
      <c r="H111" s="407"/>
      <c r="I111" s="399"/>
      <c r="J111" s="399"/>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80" t="s">
        <v>312</v>
      </c>
      <c r="H112" s="381"/>
      <c r="I112" s="382"/>
      <c r="J112" s="382"/>
      <c r="K112" s="382"/>
      <c r="L112" s="383"/>
      <c r="M112" s="383"/>
      <c r="N112" s="383"/>
      <c r="O112" s="382"/>
      <c r="P112" s="384"/>
      <c r="Q112" s="382"/>
      <c r="R112" s="2"/>
      <c r="S112" s="2"/>
      <c r="AG112" s="2"/>
      <c r="AH112" s="2"/>
      <c r="AI112" s="2"/>
      <c r="AJ112" s="2"/>
      <c r="AK112" s="2"/>
      <c r="AL112" s="2"/>
      <c r="AM112" s="2"/>
      <c r="AN112" s="2"/>
      <c r="AO112" s="2"/>
      <c r="AP112" s="2"/>
      <c r="AQ112" s="2"/>
      <c r="AR112" s="2"/>
      <c r="AS112" s="2"/>
      <c r="AT112" s="2"/>
    </row>
    <row r="113">
      <c r="A113" s="161"/>
      <c r="B113" s="161"/>
      <c r="C113" s="161"/>
      <c r="E113" s="341"/>
      <c r="F113" s="341"/>
      <c r="G113" s="408" t="s">
        <v>313</v>
      </c>
      <c r="H113" s="409" t="s">
        <v>306</v>
      </c>
      <c r="I113" s="379"/>
      <c r="J113" s="410" t="str">
        <f>SHARDING(K101)*SHARDING(L101)*SHARDING(M101)/HW_SPEC("# of TensorCore per Chip")</f>
        <v>#N/A</v>
      </c>
      <c r="K113" s="399"/>
      <c r="L113" s="400"/>
      <c r="M113" s="400"/>
      <c r="N113" s="400"/>
      <c r="O113" s="399"/>
      <c r="P113" s="401"/>
      <c r="Q113" s="399"/>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85" t="s">
        <v>307</v>
      </c>
      <c r="I114" s="11"/>
      <c r="J114" s="411" t="str">
        <f>P102 * HW_SPEC("# of TensorCore per Chip") * (J113-1)</f>
        <v>#N/A</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4" t="s">
        <v>308</v>
      </c>
      <c r="I115" s="11"/>
      <c r="J115" s="411" t="str">
        <f>J114*J113</f>
        <v>#N/A</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309</v>
      </c>
      <c r="I116" s="11"/>
      <c r="J116" s="415" t="str">
        <f>IFS(J113=8,12,
J113=4,4,
J113=2,1,
J113=1,0,
TRUE,NA())</f>
        <v>#N/A</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341"/>
      <c r="H117" s="9" t="s">
        <v>310</v>
      </c>
      <c r="I117" s="11"/>
      <c r="J117" s="416">
        <v>2.0</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52"/>
      <c r="H118" s="385" t="s">
        <v>311</v>
      </c>
      <c r="I118" s="11"/>
      <c r="J118" s="417" t="str">
        <f>ALL_GATHER_CHIP2CHIP_TIME_MS2(J115 * J117, J116)</f>
        <v>#N/A</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408" t="s">
        <v>314</v>
      </c>
      <c r="H119" s="396" t="s">
        <v>306</v>
      </c>
      <c r="I119" s="418"/>
      <c r="J119" s="419" t="str">
        <f>HW_SPEC("# of TensorCore per Chip")</f>
        <v>#N/A</v>
      </c>
      <c r="K119" s="412"/>
      <c r="L119" s="413"/>
      <c r="M119" s="413"/>
      <c r="N119" s="413"/>
      <c r="O119" s="412"/>
      <c r="P119" s="414"/>
      <c r="Q119" s="412"/>
      <c r="R119" s="2"/>
      <c r="S119" s="2"/>
      <c r="AG119" s="2"/>
      <c r="AH119" s="2"/>
      <c r="AI119" s="2"/>
      <c r="AJ119" s="2"/>
      <c r="AK119" s="2"/>
      <c r="AL119" s="2"/>
      <c r="AM119" s="2"/>
      <c r="AN119" s="2"/>
      <c r="AO119" s="2"/>
      <c r="AP119" s="2"/>
      <c r="AQ119" s="2"/>
      <c r="AR119" s="2"/>
      <c r="AS119" s="2"/>
      <c r="AT119" s="2"/>
    </row>
    <row r="120">
      <c r="A120" s="161"/>
      <c r="B120" s="161"/>
      <c r="C120" s="161"/>
      <c r="E120" s="341"/>
      <c r="F120" s="341"/>
      <c r="G120" s="341"/>
      <c r="H120" s="396" t="s">
        <v>307</v>
      </c>
      <c r="I120" s="418"/>
      <c r="J120" s="411" t="str">
        <f>P86 / J119 * (J119-1)</f>
        <v>#N/A</v>
      </c>
      <c r="K120" s="412"/>
      <c r="L120" s="413"/>
      <c r="M120" s="413"/>
      <c r="N120" s="413"/>
      <c r="O120" s="412"/>
      <c r="P120" s="414"/>
      <c r="Q120" s="412"/>
      <c r="R120" s="2"/>
      <c r="S120" s="2"/>
      <c r="AG120" s="2"/>
      <c r="AH120" s="2"/>
      <c r="AI120" s="2"/>
      <c r="AJ120" s="2"/>
      <c r="AK120" s="2"/>
      <c r="AL120" s="2"/>
      <c r="AM120" s="2"/>
      <c r="AN120" s="2"/>
      <c r="AO120" s="2"/>
      <c r="AP120" s="2"/>
      <c r="AQ120" s="2"/>
      <c r="AR120" s="2"/>
      <c r="AS120" s="2"/>
      <c r="AT120" s="2"/>
    </row>
    <row r="121">
      <c r="A121" s="161"/>
      <c r="B121" s="161"/>
      <c r="C121" s="161"/>
      <c r="E121" s="341"/>
      <c r="F121" s="341"/>
      <c r="G121" s="341"/>
      <c r="H121" s="396" t="s">
        <v>308</v>
      </c>
      <c r="I121" s="418"/>
      <c r="J121" s="411" t="str">
        <f>J120*J119</f>
        <v>#N/A</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341"/>
      <c r="H122" s="396" t="s">
        <v>311</v>
      </c>
      <c r="I122" s="418"/>
      <c r="J122" s="421" t="str">
        <f>ALL_GATHER_CORE2CORE_TIME_MS(J121)</f>
        <v>#N/A</v>
      </c>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52"/>
      <c r="H123" s="394" t="s">
        <v>315</v>
      </c>
      <c r="I123" s="11"/>
      <c r="J123" s="421" t="str">
        <f>J122/J113</f>
        <v>#N/A</v>
      </c>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02" t="s">
        <v>316</v>
      </c>
      <c r="H124" s="422" t="str">
        <f>J118+J123</f>
        <v>#N/A</v>
      </c>
      <c r="I124" s="11"/>
      <c r="J124" s="417"/>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94"/>
      <c r="H125" s="422"/>
      <c r="I125" s="11"/>
      <c r="J125" s="417"/>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43" t="s">
        <v>322</v>
      </c>
      <c r="H126" s="882" t="s">
        <v>312</v>
      </c>
      <c r="I126" s="445"/>
      <c r="J126" s="445"/>
      <c r="K126" s="382"/>
      <c r="L126" s="383"/>
      <c r="M126" s="383"/>
      <c r="N126" s="383"/>
      <c r="O126" s="382"/>
      <c r="P126" s="384"/>
      <c r="Q126" s="382"/>
      <c r="R126" s="420"/>
      <c r="S126" s="420"/>
      <c r="AG126" s="2"/>
      <c r="AH126" s="2"/>
      <c r="AI126" s="2"/>
      <c r="AJ126" s="2"/>
      <c r="AK126" s="2"/>
      <c r="AL126" s="2"/>
      <c r="AM126" s="2"/>
      <c r="AN126" s="2"/>
      <c r="AO126" s="2"/>
      <c r="AP126" s="2"/>
      <c r="AQ126" s="2"/>
      <c r="AR126" s="2"/>
      <c r="AS126" s="2"/>
      <c r="AT126" s="2"/>
    </row>
    <row r="127">
      <c r="A127" s="161"/>
      <c r="B127" s="161"/>
      <c r="C127" s="161"/>
      <c r="E127" s="341"/>
      <c r="F127" s="352"/>
      <c r="G127" s="446" t="s">
        <v>340</v>
      </c>
      <c r="H127" s="447" t="str">
        <f>IFS(H126=G104,H110,
H126=G112,H124 ,
TRUE,0)</f>
        <v>#N/A</v>
      </c>
      <c r="I127" s="448"/>
      <c r="J127" s="448"/>
      <c r="K127" s="448"/>
      <c r="L127" s="449"/>
      <c r="M127" s="449"/>
      <c r="N127" s="449"/>
      <c r="O127" s="450"/>
      <c r="P127" s="451"/>
      <c r="Q127" s="450"/>
      <c r="AG127" s="2"/>
      <c r="AH127" s="2"/>
      <c r="AI127" s="2"/>
      <c r="AJ127" s="2"/>
      <c r="AK127" s="2"/>
      <c r="AL127" s="2"/>
      <c r="AM127" s="2"/>
      <c r="AN127" s="2"/>
      <c r="AO127" s="2"/>
      <c r="AP127" s="2"/>
      <c r="AQ127" s="2"/>
      <c r="AR127" s="2"/>
      <c r="AS127" s="2"/>
      <c r="AT127" s="2"/>
    </row>
    <row r="128">
      <c r="A128" s="161"/>
      <c r="B128" s="161"/>
      <c r="C128" s="161"/>
      <c r="E128" s="341"/>
      <c r="F128" s="458" t="s">
        <v>327</v>
      </c>
      <c r="G128" s="459" t="s">
        <v>328</v>
      </c>
      <c r="H128" s="455" t="str">
        <f>VLOOKUP(O87&amp;","&amp;O91,$T$2:$W$11,4, FALSE)</f>
        <v>fp8</v>
      </c>
      <c r="I128" s="460"/>
      <c r="J128" s="454"/>
      <c r="K128" s="454"/>
      <c r="L128" s="455"/>
      <c r="M128" s="455"/>
      <c r="N128" s="455"/>
      <c r="O128" s="454"/>
      <c r="P128" s="457"/>
      <c r="Q128" s="11"/>
      <c r="AG128" s="2"/>
      <c r="AH128" s="2"/>
      <c r="AI128" s="2"/>
      <c r="AJ128" s="2"/>
      <c r="AK128" s="2"/>
      <c r="AL128" s="2"/>
      <c r="AM128" s="2"/>
      <c r="AN128" s="2"/>
      <c r="AO128" s="2"/>
      <c r="AP128" s="2"/>
      <c r="AQ128" s="2"/>
      <c r="AR128" s="2"/>
      <c r="AS128" s="2"/>
      <c r="AT128" s="2"/>
    </row>
    <row r="129">
      <c r="A129" s="161"/>
      <c r="B129" s="161"/>
      <c r="C129" s="161"/>
      <c r="E129" s="341"/>
      <c r="F129" s="341"/>
      <c r="G129" s="459" t="s">
        <v>329</v>
      </c>
      <c r="H129" s="461" t="str">
        <f>CALCULATE_FLOPS(J90:M90,J94:M94,L94,1,H128)</f>
        <v>#N/A</v>
      </c>
      <c r="I129" s="460"/>
      <c r="J129" s="454"/>
      <c r="K129" s="454"/>
      <c r="L129" s="455"/>
      <c r="M129" s="455"/>
      <c r="N129" s="455"/>
      <c r="O129" s="454"/>
      <c r="P129" s="457"/>
      <c r="Q129" s="11"/>
      <c r="AG129" s="2"/>
      <c r="AH129" s="2"/>
      <c r="AI129" s="2"/>
      <c r="AJ129" s="2"/>
      <c r="AK129" s="2"/>
      <c r="AL129" s="2"/>
      <c r="AM129" s="2"/>
      <c r="AN129" s="2"/>
      <c r="AO129" s="2"/>
      <c r="AP129" s="2"/>
      <c r="AQ129" s="2"/>
      <c r="AR129" s="2"/>
      <c r="AS129" s="2"/>
      <c r="AT129" s="2"/>
    </row>
    <row r="130">
      <c r="A130" s="161"/>
      <c r="B130" s="161"/>
      <c r="C130" s="161"/>
      <c r="E130" s="341"/>
      <c r="F130" s="352"/>
      <c r="G130" s="462" t="s">
        <v>330</v>
      </c>
      <c r="H130" s="463" t="str">
        <f>COMPUTE_TIME_MS(H129, H128)</f>
        <v>#N/A</v>
      </c>
      <c r="I130" s="464"/>
      <c r="J130" s="465"/>
      <c r="K130" s="465"/>
      <c r="L130" s="466"/>
      <c r="M130" s="466"/>
      <c r="N130" s="466"/>
      <c r="O130" s="465"/>
      <c r="P130" s="467"/>
      <c r="Q130" s="11"/>
      <c r="AG130" s="2"/>
      <c r="AH130" s="2"/>
      <c r="AI130" s="2"/>
      <c r="AJ130" s="2"/>
      <c r="AK130" s="2"/>
      <c r="AL130" s="2"/>
      <c r="AM130" s="2"/>
      <c r="AN130" s="2"/>
      <c r="AO130" s="2"/>
      <c r="AP130" s="2"/>
      <c r="AQ130" s="2"/>
      <c r="AR130" s="2"/>
      <c r="AS130" s="2"/>
      <c r="AT130" s="2"/>
    </row>
    <row r="131">
      <c r="A131" s="161"/>
      <c r="B131" s="161"/>
      <c r="C131" s="161"/>
      <c r="E131" s="341"/>
      <c r="F131" s="458" t="s">
        <v>331</v>
      </c>
      <c r="G131" s="455" t="s">
        <v>332</v>
      </c>
      <c r="H131" s="468">
        <f>IF(Q87,0,P90)+IF(Q91,0,P94)+IF(Q95,0,P98)</f>
        <v>13</v>
      </c>
      <c r="I131" s="454"/>
      <c r="J131" s="454"/>
      <c r="K131" s="454"/>
      <c r="L131" s="455"/>
      <c r="M131" s="455"/>
      <c r="N131" s="455"/>
      <c r="O131" s="454"/>
      <c r="P131" s="457"/>
      <c r="Q131" s="11"/>
      <c r="AG131" s="2"/>
      <c r="AH131" s="2"/>
      <c r="AI131" s="2"/>
      <c r="AJ131" s="2"/>
      <c r="AK131" s="2"/>
      <c r="AL131" s="2"/>
      <c r="AM131" s="2"/>
      <c r="AN131" s="2"/>
      <c r="AO131" s="2"/>
      <c r="AP131" s="2"/>
      <c r="AQ131" s="2"/>
      <c r="AR131" s="2"/>
      <c r="AS131" s="2"/>
      <c r="AT131" s="2"/>
    </row>
    <row r="132">
      <c r="A132" s="161"/>
      <c r="B132" s="161"/>
      <c r="C132" s="161"/>
      <c r="E132" s="352"/>
      <c r="F132" s="352"/>
      <c r="G132" s="469" t="s">
        <v>333</v>
      </c>
      <c r="H132" s="470" t="str">
        <f>HBM_TIME_MS(H131)</f>
        <v>#N/A</v>
      </c>
      <c r="I132" s="465"/>
      <c r="J132" s="465"/>
      <c r="K132" s="465"/>
      <c r="L132" s="466"/>
      <c r="M132" s="466"/>
      <c r="N132" s="466"/>
      <c r="O132" s="465"/>
      <c r="P132" s="467"/>
      <c r="Q132" s="11"/>
      <c r="AH132" s="471"/>
      <c r="AI132" s="471"/>
      <c r="AJ132" s="471"/>
      <c r="AK132" s="2"/>
      <c r="AL132" s="2"/>
      <c r="AM132" s="2"/>
      <c r="AN132" s="2"/>
      <c r="AO132" s="2"/>
      <c r="AP132" s="2"/>
      <c r="AQ132" s="2"/>
      <c r="AR132" s="2"/>
      <c r="AS132" s="2"/>
      <c r="AT132" s="2"/>
    </row>
    <row r="133">
      <c r="E133" s="333" t="s">
        <v>334</v>
      </c>
      <c r="F133" s="357" t="s">
        <v>292</v>
      </c>
      <c r="G133" s="335"/>
      <c r="H133" s="364" t="s">
        <v>281</v>
      </c>
      <c r="I133" s="364" t="s">
        <v>282</v>
      </c>
      <c r="J133" s="364"/>
      <c r="K133" s="273" t="s">
        <v>104</v>
      </c>
      <c r="L133" s="273" t="s">
        <v>102</v>
      </c>
      <c r="M133" s="472" t="s">
        <v>195</v>
      </c>
      <c r="N133" s="364" t="s">
        <v>283</v>
      </c>
      <c r="O133" s="365" t="s">
        <v>125</v>
      </c>
      <c r="P133" s="366"/>
      <c r="Q133" s="365" t="b">
        <v>0</v>
      </c>
      <c r="R133" s="2"/>
      <c r="S133" s="2"/>
      <c r="AH133" s="471"/>
      <c r="AI133" s="471"/>
      <c r="AJ133" s="471"/>
      <c r="AK133" s="2"/>
      <c r="AL133" s="2"/>
      <c r="AM133" s="2"/>
      <c r="AN133" s="2"/>
      <c r="AO133" s="2"/>
      <c r="AP133" s="2"/>
      <c r="AQ133" s="2"/>
      <c r="AR133" s="2"/>
      <c r="AS133" s="2"/>
      <c r="AT133" s="2"/>
    </row>
    <row r="134">
      <c r="E134" s="341"/>
      <c r="F134" s="342"/>
      <c r="G134" s="343"/>
      <c r="H134" s="273" t="s">
        <v>285</v>
      </c>
      <c r="I134" s="364" t="s">
        <v>282</v>
      </c>
      <c r="J134" s="363"/>
      <c r="K134" s="363">
        <f t="shared" ref="K134:M134" si="18">PARAMS(K133)</f>
        <v>4096</v>
      </c>
      <c r="L134" s="364">
        <f t="shared" si="18"/>
        <v>1</v>
      </c>
      <c r="M134" s="364">
        <f t="shared" si="18"/>
        <v>1536</v>
      </c>
      <c r="N134" s="364" t="s">
        <v>283</v>
      </c>
      <c r="O134" s="341"/>
      <c r="P134" s="366">
        <f>SIZEOF_IN_MIB(J134:M134, $O133)</f>
        <v>6</v>
      </c>
      <c r="Q134" s="341"/>
      <c r="R134" s="2"/>
      <c r="S134" s="2"/>
      <c r="AH134" s="471"/>
      <c r="AI134" s="471"/>
      <c r="AJ134" s="471"/>
      <c r="AK134" s="2"/>
      <c r="AL134" s="2"/>
      <c r="AM134" s="2"/>
      <c r="AN134" s="2"/>
      <c r="AO134" s="2"/>
      <c r="AP134" s="2"/>
      <c r="AQ134" s="2"/>
      <c r="AR134" s="2"/>
      <c r="AS134" s="2"/>
      <c r="AT134" s="2"/>
    </row>
    <row r="135">
      <c r="E135" s="341"/>
      <c r="F135" s="342"/>
      <c r="G135" s="343"/>
      <c r="H135" s="363" t="s">
        <v>287</v>
      </c>
      <c r="I135" s="363" t="s">
        <v>282</v>
      </c>
      <c r="J135" s="364"/>
      <c r="K135" s="273" t="s">
        <v>196</v>
      </c>
      <c r="L135" s="273"/>
      <c r="M135" s="363"/>
      <c r="N135" s="363" t="s">
        <v>283</v>
      </c>
      <c r="O135" s="341"/>
      <c r="P135" s="366"/>
      <c r="Q135" s="341"/>
      <c r="R135" s="2"/>
      <c r="S135" s="2"/>
      <c r="AH135" s="471"/>
      <c r="AI135" s="471"/>
      <c r="AJ135" s="471"/>
      <c r="AK135" s="2"/>
      <c r="AL135" s="2"/>
      <c r="AM135" s="2"/>
      <c r="AN135" s="2"/>
      <c r="AO135" s="2"/>
      <c r="AP135" s="2"/>
      <c r="AQ135" s="2"/>
      <c r="AR135" s="2"/>
      <c r="AS135" s="2"/>
      <c r="AT135" s="2"/>
    </row>
    <row r="136">
      <c r="E136" s="341"/>
      <c r="F136" s="353"/>
      <c r="G136" s="354"/>
      <c r="H136" s="273" t="s">
        <v>289</v>
      </c>
      <c r="I136" s="363" t="s">
        <v>282</v>
      </c>
      <c r="J136" s="364"/>
      <c r="K136" s="363">
        <f t="shared" ref="K136:M136" si="19">K134/SHARDING(K135)</f>
        <v>256</v>
      </c>
      <c r="L136" s="363">
        <f t="shared" si="19"/>
        <v>1</v>
      </c>
      <c r="M136" s="363">
        <f t="shared" si="19"/>
        <v>1536</v>
      </c>
      <c r="N136" s="363" t="s">
        <v>283</v>
      </c>
      <c r="O136" s="352"/>
      <c r="P136" s="366">
        <f>SIZEOF_IN_MIB(J136:M136, $O133)</f>
        <v>0.375</v>
      </c>
      <c r="Q136" s="352"/>
      <c r="R136" s="2"/>
      <c r="S136" s="2"/>
      <c r="AK136" s="2"/>
      <c r="AL136" s="2"/>
      <c r="AM136" s="2"/>
      <c r="AN136" s="2"/>
      <c r="AO136" s="2"/>
      <c r="AP136" s="2"/>
      <c r="AQ136" s="2"/>
      <c r="AR136" s="2"/>
      <c r="AS136" s="2"/>
      <c r="AT136" s="2"/>
    </row>
    <row r="137">
      <c r="E137" s="341"/>
      <c r="F137" s="334" t="s">
        <v>296</v>
      </c>
      <c r="G137" s="335"/>
      <c r="H137" s="363" t="s">
        <v>281</v>
      </c>
      <c r="I137" s="363" t="s">
        <v>282</v>
      </c>
      <c r="J137" s="364"/>
      <c r="K137" s="472" t="s">
        <v>195</v>
      </c>
      <c r="L137" s="273" t="s">
        <v>207</v>
      </c>
      <c r="M137" s="273" t="s">
        <v>209</v>
      </c>
      <c r="N137" s="363" t="s">
        <v>283</v>
      </c>
      <c r="O137" s="365" t="s">
        <v>125</v>
      </c>
      <c r="P137" s="366"/>
      <c r="Q137" s="365" t="b">
        <v>0</v>
      </c>
      <c r="R137" s="2"/>
      <c r="S137" s="2"/>
      <c r="AK137" s="2"/>
      <c r="AL137" s="2"/>
      <c r="AM137" s="2"/>
      <c r="AN137" s="2"/>
      <c r="AO137" s="2"/>
      <c r="AP137" s="2"/>
      <c r="AQ137" s="2"/>
      <c r="AR137" s="2"/>
      <c r="AS137" s="2"/>
      <c r="AT137" s="2"/>
    </row>
    <row r="138">
      <c r="E138" s="341"/>
      <c r="F138" s="342"/>
      <c r="G138" s="343"/>
      <c r="H138" s="273" t="s">
        <v>285</v>
      </c>
      <c r="I138" s="363" t="s">
        <v>282</v>
      </c>
      <c r="J138" s="364"/>
      <c r="K138" s="363">
        <f t="shared" ref="K138:M138" si="20">PARAMS(K137)</f>
        <v>1536</v>
      </c>
      <c r="L138" s="363">
        <f t="shared" si="20"/>
        <v>128</v>
      </c>
      <c r="M138" s="363">
        <f t="shared" si="20"/>
        <v>192</v>
      </c>
      <c r="N138" s="363" t="s">
        <v>283</v>
      </c>
      <c r="O138" s="341"/>
      <c r="P138" s="366">
        <f>SIZEOF_IN_MIB(J138:M138, $O137)</f>
        <v>36</v>
      </c>
      <c r="Q138" s="341"/>
      <c r="R138" s="2"/>
      <c r="S138" s="2"/>
      <c r="AK138" s="2"/>
      <c r="AL138" s="2"/>
      <c r="AM138" s="2"/>
      <c r="AN138" s="2"/>
      <c r="AO138" s="2"/>
      <c r="AP138" s="2"/>
      <c r="AQ138" s="2"/>
      <c r="AR138" s="2"/>
      <c r="AS138" s="2"/>
      <c r="AT138" s="2"/>
    </row>
    <row r="139">
      <c r="E139" s="341"/>
      <c r="F139" s="342"/>
      <c r="G139" s="343"/>
      <c r="H139" s="363" t="s">
        <v>287</v>
      </c>
      <c r="I139" s="363" t="s">
        <v>282</v>
      </c>
      <c r="J139" s="364"/>
      <c r="K139" s="364"/>
      <c r="L139" s="363"/>
      <c r="M139" s="363"/>
      <c r="N139" s="363" t="s">
        <v>283</v>
      </c>
      <c r="O139" s="341"/>
      <c r="P139" s="366"/>
      <c r="Q139" s="341"/>
      <c r="R139" s="2"/>
      <c r="S139" s="2"/>
      <c r="AK139" s="2"/>
      <c r="AL139" s="2"/>
      <c r="AM139" s="2"/>
      <c r="AN139" s="2"/>
      <c r="AO139" s="2"/>
      <c r="AP139" s="2"/>
      <c r="AQ139" s="2"/>
      <c r="AR139" s="2"/>
      <c r="AS139" s="2"/>
      <c r="AT139" s="2"/>
    </row>
    <row r="140">
      <c r="E140" s="341"/>
      <c r="F140" s="353"/>
      <c r="G140" s="354"/>
      <c r="H140" s="349" t="s">
        <v>289</v>
      </c>
      <c r="I140" s="349" t="s">
        <v>282</v>
      </c>
      <c r="J140" s="336"/>
      <c r="K140" s="349">
        <f t="shared" ref="K140:M140" si="21">K138/SHARDING(K139)</f>
        <v>1536</v>
      </c>
      <c r="L140" s="349">
        <f t="shared" si="21"/>
        <v>128</v>
      </c>
      <c r="M140" s="349">
        <f t="shared" si="21"/>
        <v>192</v>
      </c>
      <c r="N140" s="349" t="s">
        <v>283</v>
      </c>
      <c r="O140" s="316"/>
      <c r="P140" s="351">
        <f>SIZEOF_IN_MIB(J140:M140, $O137)</f>
        <v>36</v>
      </c>
      <c r="Q140" s="316"/>
      <c r="R140" s="2"/>
      <c r="S140" s="2"/>
      <c r="AK140" s="2"/>
      <c r="AL140" s="2"/>
      <c r="AM140" s="2"/>
      <c r="AN140" s="2"/>
      <c r="AO140" s="2"/>
      <c r="AP140" s="2"/>
      <c r="AQ140" s="2"/>
      <c r="AR140" s="2"/>
      <c r="AS140" s="2"/>
      <c r="AT140" s="2"/>
    </row>
    <row r="141">
      <c r="E141" s="341"/>
      <c r="F141" s="334" t="s">
        <v>56</v>
      </c>
      <c r="G141" s="335"/>
      <c r="H141" s="346" t="s">
        <v>281</v>
      </c>
      <c r="I141" s="346" t="s">
        <v>282</v>
      </c>
      <c r="J141" s="344" t="s">
        <v>104</v>
      </c>
      <c r="K141" s="344" t="s">
        <v>102</v>
      </c>
      <c r="L141" s="344" t="s">
        <v>207</v>
      </c>
      <c r="M141" s="344" t="s">
        <v>209</v>
      </c>
      <c r="N141" s="346" t="s">
        <v>283</v>
      </c>
      <c r="O141" s="473" t="s">
        <v>133</v>
      </c>
      <c r="P141" s="348"/>
      <c r="Q141" s="473" t="b">
        <v>0</v>
      </c>
      <c r="R141" s="2"/>
      <c r="S141" s="2"/>
      <c r="AK141" s="2"/>
      <c r="AL141" s="2"/>
      <c r="AM141" s="2"/>
      <c r="AN141" s="2"/>
      <c r="AO141" s="2"/>
      <c r="AP141" s="2"/>
      <c r="AQ141" s="2"/>
      <c r="AR141" s="2"/>
      <c r="AS141" s="2"/>
      <c r="AT141" s="2"/>
    </row>
    <row r="142">
      <c r="E142" s="341"/>
      <c r="F142" s="342"/>
      <c r="G142" s="343"/>
      <c r="H142" s="337" t="s">
        <v>285</v>
      </c>
      <c r="I142" s="349" t="s">
        <v>282</v>
      </c>
      <c r="J142" s="349">
        <f t="shared" ref="J142:M142" si="22">PARAMS(J141)</f>
        <v>4096</v>
      </c>
      <c r="K142" s="349">
        <f t="shared" si="22"/>
        <v>1</v>
      </c>
      <c r="L142" s="349">
        <f t="shared" si="22"/>
        <v>128</v>
      </c>
      <c r="M142" s="349">
        <f t="shared" si="22"/>
        <v>192</v>
      </c>
      <c r="N142" s="349" t="s">
        <v>283</v>
      </c>
      <c r="O142" s="350"/>
      <c r="P142" s="351">
        <f>SIZEOF_IN_MIB(J142:M142, $O141)</f>
        <v>192</v>
      </c>
      <c r="Q142" s="350"/>
      <c r="R142" s="2"/>
      <c r="S142" s="2"/>
      <c r="AK142" s="2"/>
      <c r="AL142" s="2"/>
      <c r="AM142" s="2"/>
      <c r="AN142" s="2"/>
      <c r="AO142" s="2"/>
      <c r="AP142" s="2"/>
      <c r="AQ142" s="2"/>
      <c r="AR142" s="2"/>
      <c r="AS142" s="2"/>
      <c r="AT142" s="2"/>
    </row>
    <row r="143">
      <c r="E143" s="341"/>
      <c r="F143" s="342"/>
      <c r="G143" s="343"/>
      <c r="H143" s="346" t="s">
        <v>287</v>
      </c>
      <c r="I143" s="346" t="s">
        <v>282</v>
      </c>
      <c r="J143" s="344" t="s">
        <v>196</v>
      </c>
      <c r="K143" s="344"/>
      <c r="L143" s="344"/>
      <c r="M143" s="346"/>
      <c r="N143" s="346" t="s">
        <v>283</v>
      </c>
      <c r="O143" s="347"/>
      <c r="P143" s="348"/>
      <c r="Q143" s="347"/>
      <c r="R143" s="2"/>
      <c r="S143" s="2"/>
      <c r="AK143" s="2"/>
      <c r="AL143" s="2"/>
      <c r="AM143" s="2"/>
      <c r="AN143" s="2"/>
      <c r="AO143" s="2"/>
      <c r="AP143" s="2"/>
      <c r="AQ143" s="2"/>
      <c r="AR143" s="2"/>
      <c r="AS143" s="2"/>
      <c r="AT143" s="2"/>
    </row>
    <row r="144">
      <c r="E144" s="341"/>
      <c r="F144" s="353"/>
      <c r="G144" s="354"/>
      <c r="H144" s="349" t="s">
        <v>289</v>
      </c>
      <c r="I144" s="349" t="s">
        <v>282</v>
      </c>
      <c r="J144" s="349">
        <f t="shared" ref="J144:M144" si="23">J142/SHARDING(J143)</f>
        <v>256</v>
      </c>
      <c r="K144" s="349">
        <f t="shared" si="23"/>
        <v>1</v>
      </c>
      <c r="L144" s="349">
        <f t="shared" si="23"/>
        <v>128</v>
      </c>
      <c r="M144" s="349">
        <f t="shared" si="23"/>
        <v>192</v>
      </c>
      <c r="N144" s="349" t="s">
        <v>283</v>
      </c>
      <c r="O144" s="316"/>
      <c r="P144" s="351">
        <f>SIZEOF_IN_MIB(J144:M144, $O141)</f>
        <v>12</v>
      </c>
      <c r="Q144" s="316"/>
      <c r="R144" s="2"/>
      <c r="S144" s="2"/>
      <c r="AK144" s="2"/>
      <c r="AL144" s="2"/>
      <c r="AM144" s="2"/>
      <c r="AN144" s="2"/>
      <c r="AO144" s="2"/>
      <c r="AP144" s="2"/>
      <c r="AQ144" s="2"/>
      <c r="AR144" s="2"/>
      <c r="AS144" s="2"/>
      <c r="AT144" s="2"/>
    </row>
    <row r="145">
      <c r="E145" s="341"/>
      <c r="F145" s="474" t="s">
        <v>335</v>
      </c>
      <c r="G145" s="459" t="s">
        <v>109</v>
      </c>
      <c r="H145" s="497"/>
      <c r="I145" s="498"/>
      <c r="J145" s="345"/>
      <c r="K145" s="345"/>
      <c r="L145" s="346"/>
      <c r="M145" s="346"/>
      <c r="N145" s="346"/>
      <c r="O145" s="345"/>
      <c r="P145" s="348"/>
      <c r="Q145" s="379"/>
      <c r="R145" s="2"/>
      <c r="S145" s="2"/>
      <c r="AK145" s="2"/>
      <c r="AL145" s="2"/>
      <c r="AM145" s="2"/>
      <c r="AN145" s="2"/>
      <c r="AO145" s="2"/>
      <c r="AP145" s="2"/>
      <c r="AQ145" s="2"/>
      <c r="AR145" s="2"/>
      <c r="AS145" s="2"/>
      <c r="AT145" s="2"/>
    </row>
    <row r="146">
      <c r="E146" s="341"/>
      <c r="F146" s="352"/>
      <c r="G146" s="459"/>
      <c r="H146" s="349"/>
      <c r="I146" s="492"/>
      <c r="J146" s="336"/>
      <c r="K146" s="336"/>
      <c r="L146" s="349"/>
      <c r="M146" s="349"/>
      <c r="N146" s="349"/>
      <c r="O146" s="336"/>
      <c r="P146" s="351"/>
      <c r="Q146" s="298"/>
      <c r="R146" s="2"/>
      <c r="S146" s="2"/>
      <c r="AK146" s="2"/>
      <c r="AL146" s="2"/>
      <c r="AM146" s="2"/>
      <c r="AN146" s="2"/>
      <c r="AO146" s="2"/>
      <c r="AP146" s="2"/>
      <c r="AQ146" s="2"/>
      <c r="AR146" s="2"/>
      <c r="AS146" s="2"/>
      <c r="AT146" s="2"/>
    </row>
    <row r="147">
      <c r="E147" s="341"/>
      <c r="F147" s="458" t="s">
        <v>327</v>
      </c>
      <c r="G147" s="459" t="s">
        <v>328</v>
      </c>
      <c r="H147" s="346" t="str">
        <f>VLOOKUP(O133&amp;","&amp;O137,$T$2:$W$11,4, FALSE)</f>
        <v>fp8</v>
      </c>
      <c r="I147" s="493"/>
      <c r="J147" s="345"/>
      <c r="K147" s="345"/>
      <c r="L147" s="346"/>
      <c r="M147" s="346"/>
      <c r="N147" s="346"/>
      <c r="O147" s="345"/>
      <c r="P147" s="348"/>
      <c r="Q147" s="379"/>
      <c r="R147" s="2"/>
      <c r="S147" s="2"/>
      <c r="AK147" s="2"/>
      <c r="AL147" s="2"/>
      <c r="AM147" s="2"/>
      <c r="AN147" s="2"/>
      <c r="AO147" s="2"/>
      <c r="AP147" s="2"/>
      <c r="AQ147" s="2"/>
      <c r="AR147" s="2"/>
      <c r="AS147" s="2"/>
      <c r="AT147" s="2"/>
    </row>
    <row r="148">
      <c r="E148" s="341"/>
      <c r="F148" s="341"/>
      <c r="G148" s="455" t="s">
        <v>341</v>
      </c>
      <c r="H148" s="494" t="str">
        <f>CALCULATE_FLOPS(K136:M136,K140:M140,K140,1,H147)</f>
        <v>#N/A</v>
      </c>
      <c r="I148" s="492"/>
      <c r="J148" s="336"/>
      <c r="K148" s="336"/>
      <c r="L148" s="349"/>
      <c r="M148" s="349"/>
      <c r="N148" s="349"/>
      <c r="O148" s="336"/>
      <c r="P148" s="351"/>
      <c r="Q148" s="298"/>
      <c r="R148" s="2"/>
      <c r="S148" s="2"/>
      <c r="AK148" s="2"/>
      <c r="AL148" s="2"/>
      <c r="AM148" s="2"/>
      <c r="AN148" s="2"/>
      <c r="AO148" s="2"/>
      <c r="AP148" s="2"/>
      <c r="AQ148" s="2"/>
      <c r="AR148" s="2"/>
      <c r="AS148" s="2"/>
      <c r="AT148" s="2"/>
    </row>
    <row r="149">
      <c r="A149" s="207"/>
      <c r="B149" s="2"/>
      <c r="C149" s="2"/>
      <c r="D149" s="2"/>
      <c r="E149" s="341"/>
      <c r="F149" s="352"/>
      <c r="G149" s="462" t="s">
        <v>330</v>
      </c>
      <c r="H149" s="495" t="str">
        <f>COMPUTE_TIME_MS(H148, H147)</f>
        <v>#N/A</v>
      </c>
      <c r="I149" s="464"/>
      <c r="J149" s="465"/>
      <c r="K149" s="465"/>
      <c r="L149" s="466"/>
      <c r="M149" s="466"/>
      <c r="N149" s="466"/>
      <c r="O149" s="465"/>
      <c r="P149" s="467"/>
      <c r="Q149" s="379"/>
      <c r="R149" s="2"/>
      <c r="S149" s="2"/>
      <c r="AK149" s="2"/>
      <c r="AL149" s="2"/>
      <c r="AM149" s="2"/>
      <c r="AN149" s="2"/>
      <c r="AO149" s="2"/>
      <c r="AP149" s="2"/>
      <c r="AQ149" s="2"/>
      <c r="AR149" s="2"/>
      <c r="AS149" s="2"/>
      <c r="AT149" s="2"/>
    </row>
    <row r="150">
      <c r="A150" s="207"/>
      <c r="B150" s="2"/>
      <c r="C150" s="2"/>
      <c r="D150" s="2"/>
      <c r="E150" s="341"/>
      <c r="F150" s="458" t="s">
        <v>331</v>
      </c>
      <c r="G150" s="455" t="s">
        <v>332</v>
      </c>
      <c r="H150" s="377">
        <f>IF(Q133,0,P136)+IF(Q137,0,P140)+IF(Q141,0,P144)</f>
        <v>48.375</v>
      </c>
      <c r="I150" s="336"/>
      <c r="J150" s="336"/>
      <c r="K150" s="336"/>
      <c r="L150" s="349"/>
      <c r="M150" s="349"/>
      <c r="N150" s="349"/>
      <c r="O150" s="336"/>
      <c r="P150" s="351"/>
      <c r="Q150" s="298"/>
      <c r="R150" s="2"/>
      <c r="S150" s="2"/>
      <c r="AK150" s="2"/>
      <c r="AL150" s="2"/>
      <c r="AM150" s="2"/>
      <c r="AN150" s="2"/>
      <c r="AO150" s="2"/>
      <c r="AP150" s="2"/>
      <c r="AQ150" s="2"/>
      <c r="AR150" s="2"/>
      <c r="AS150" s="2"/>
      <c r="AT150" s="2"/>
    </row>
    <row r="151">
      <c r="A151" s="2"/>
      <c r="B151" s="2"/>
      <c r="C151" s="2"/>
      <c r="D151" s="2"/>
      <c r="E151" s="352"/>
      <c r="F151" s="352"/>
      <c r="G151" s="469" t="s">
        <v>333</v>
      </c>
      <c r="H151" s="496" t="str">
        <f>HBM_TIME_MS(H150)</f>
        <v>#N/A</v>
      </c>
      <c r="I151" s="465"/>
      <c r="J151" s="465"/>
      <c r="K151" s="465"/>
      <c r="L151" s="466"/>
      <c r="M151" s="466"/>
      <c r="N151" s="466"/>
      <c r="O151" s="465"/>
      <c r="P151" s="467"/>
      <c r="Q151" s="379"/>
      <c r="R151" s="2"/>
      <c r="S151" s="2"/>
      <c r="AK151" s="2"/>
      <c r="AL151" s="2"/>
      <c r="AM151" s="2"/>
      <c r="AN151" s="2"/>
      <c r="AO151" s="2"/>
      <c r="AP151" s="2"/>
      <c r="AQ151" s="2"/>
      <c r="AR151" s="2"/>
      <c r="AS151" s="2"/>
      <c r="AT151" s="2"/>
    </row>
    <row r="152">
      <c r="A152" s="161"/>
      <c r="B152" s="161"/>
      <c r="C152" s="161"/>
      <c r="D152" s="161"/>
      <c r="E152" s="333" t="s">
        <v>342</v>
      </c>
      <c r="F152" s="357" t="s">
        <v>292</v>
      </c>
      <c r="G152" s="335"/>
      <c r="H152" s="364" t="s">
        <v>281</v>
      </c>
      <c r="I152" s="364" t="s">
        <v>282</v>
      </c>
      <c r="J152" s="273" t="s">
        <v>104</v>
      </c>
      <c r="K152" s="273" t="s">
        <v>102</v>
      </c>
      <c r="L152" s="273" t="s">
        <v>207</v>
      </c>
      <c r="M152" s="472" t="s">
        <v>201</v>
      </c>
      <c r="N152" s="364" t="s">
        <v>283</v>
      </c>
      <c r="O152" s="365" t="s">
        <v>125</v>
      </c>
      <c r="P152" s="366"/>
      <c r="Q152" s="365" t="b">
        <v>0</v>
      </c>
      <c r="R152" s="2"/>
      <c r="S152" s="2"/>
      <c r="AK152" s="2"/>
      <c r="AL152" s="2"/>
      <c r="AM152" s="2"/>
      <c r="AN152" s="2"/>
      <c r="AO152" s="2"/>
      <c r="AP152" s="2"/>
      <c r="AQ152" s="2"/>
      <c r="AR152" s="2"/>
      <c r="AS152" s="2"/>
      <c r="AT152" s="2"/>
    </row>
    <row r="153">
      <c r="A153" s="161"/>
      <c r="B153" s="161"/>
      <c r="C153" s="161"/>
      <c r="D153" s="161"/>
      <c r="E153" s="341"/>
      <c r="F153" s="342"/>
      <c r="G153" s="343"/>
      <c r="H153" s="273" t="s">
        <v>285</v>
      </c>
      <c r="I153" s="364" t="s">
        <v>282</v>
      </c>
      <c r="J153" s="363">
        <f t="shared" ref="J153:M153" si="24">PARAMS(J152)</f>
        <v>4096</v>
      </c>
      <c r="K153" s="364">
        <f t="shared" si="24"/>
        <v>1</v>
      </c>
      <c r="L153" s="364">
        <f t="shared" si="24"/>
        <v>128</v>
      </c>
      <c r="M153" s="364">
        <f t="shared" si="24"/>
        <v>128</v>
      </c>
      <c r="N153" s="364" t="s">
        <v>283</v>
      </c>
      <c r="O153" s="341"/>
      <c r="P153" s="366">
        <f>SIZEOF_IN_MIB(J153:M153, $O152)</f>
        <v>64</v>
      </c>
      <c r="Q153" s="341"/>
      <c r="R153" s="2"/>
      <c r="S153" s="2"/>
      <c r="AK153" s="2"/>
      <c r="AL153" s="2"/>
      <c r="AM153" s="2"/>
      <c r="AN153" s="2"/>
      <c r="AO153" s="2"/>
      <c r="AP153" s="2"/>
      <c r="AQ153" s="2"/>
      <c r="AR153" s="2"/>
      <c r="AS153" s="2"/>
      <c r="AT153" s="2"/>
    </row>
    <row r="154">
      <c r="A154" s="161"/>
      <c r="B154" s="161"/>
      <c r="C154" s="161"/>
      <c r="D154" s="161"/>
      <c r="E154" s="341"/>
      <c r="F154" s="342"/>
      <c r="G154" s="343"/>
      <c r="H154" s="363" t="s">
        <v>287</v>
      </c>
      <c r="I154" s="363" t="s">
        <v>282</v>
      </c>
      <c r="J154" s="273" t="s">
        <v>196</v>
      </c>
      <c r="K154" s="273"/>
      <c r="L154" s="273"/>
      <c r="M154" s="363"/>
      <c r="N154" s="363" t="s">
        <v>283</v>
      </c>
      <c r="O154" s="341"/>
      <c r="P154" s="366"/>
      <c r="Q154" s="341"/>
      <c r="R154" s="2"/>
      <c r="S154" s="2"/>
      <c r="AG154" s="2"/>
      <c r="AH154" s="2"/>
      <c r="AI154" s="2"/>
      <c r="AJ154" s="2"/>
      <c r="AK154" s="2"/>
      <c r="AL154" s="2"/>
      <c r="AM154" s="2"/>
      <c r="AN154" s="2"/>
      <c r="AO154" s="2"/>
      <c r="AP154" s="2"/>
      <c r="AQ154" s="2"/>
      <c r="AR154" s="2"/>
      <c r="AS154" s="2"/>
      <c r="AT154" s="2"/>
    </row>
    <row r="155">
      <c r="A155" s="161"/>
      <c r="B155" s="161"/>
      <c r="C155" s="161"/>
      <c r="D155" s="161"/>
      <c r="E155" s="341"/>
      <c r="F155" s="353"/>
      <c r="G155" s="354"/>
      <c r="H155" s="273" t="s">
        <v>289</v>
      </c>
      <c r="I155" s="363" t="s">
        <v>282</v>
      </c>
      <c r="J155" s="363">
        <f t="shared" ref="J155:M155" si="25">J153/SHARDING(J154)</f>
        <v>256</v>
      </c>
      <c r="K155" s="363">
        <f t="shared" si="25"/>
        <v>1</v>
      </c>
      <c r="L155" s="363">
        <f t="shared" si="25"/>
        <v>128</v>
      </c>
      <c r="M155" s="363">
        <f t="shared" si="25"/>
        <v>128</v>
      </c>
      <c r="N155" s="363" t="s">
        <v>283</v>
      </c>
      <c r="O155" s="352"/>
      <c r="P155" s="366">
        <f>SIZEOF_IN_MIB(J155:M155, $O152)</f>
        <v>4</v>
      </c>
      <c r="Q155" s="352"/>
      <c r="R155" s="2"/>
      <c r="S155" s="2"/>
      <c r="AG155" s="2"/>
      <c r="AH155" s="2"/>
      <c r="AI155" s="2"/>
      <c r="AJ155" s="2"/>
      <c r="AK155" s="2"/>
      <c r="AL155" s="2"/>
      <c r="AM155" s="2"/>
      <c r="AN155" s="2"/>
      <c r="AO155" s="2"/>
      <c r="AP155" s="2"/>
      <c r="AQ155" s="2"/>
      <c r="AR155" s="2"/>
      <c r="AS155" s="2"/>
      <c r="AT155" s="2"/>
    </row>
    <row r="156">
      <c r="A156" s="161"/>
      <c r="B156" s="161"/>
      <c r="C156" s="161"/>
      <c r="D156" s="161"/>
      <c r="E156" s="341"/>
      <c r="F156" s="334" t="s">
        <v>296</v>
      </c>
      <c r="G156" s="335"/>
      <c r="H156" s="363" t="s">
        <v>281</v>
      </c>
      <c r="I156" s="363" t="s">
        <v>282</v>
      </c>
      <c r="J156" s="364"/>
      <c r="K156" s="273" t="s">
        <v>207</v>
      </c>
      <c r="L156" s="472" t="s">
        <v>201</v>
      </c>
      <c r="M156" s="273" t="s">
        <v>198</v>
      </c>
      <c r="N156" s="363" t="s">
        <v>283</v>
      </c>
      <c r="O156" s="365" t="s">
        <v>125</v>
      </c>
      <c r="P156" s="366"/>
      <c r="Q156" s="365" t="b">
        <v>0</v>
      </c>
      <c r="R156" s="2"/>
      <c r="S156" s="2"/>
      <c r="AG156" s="2"/>
      <c r="AH156" s="2"/>
      <c r="AI156" s="2"/>
      <c r="AJ156" s="2"/>
      <c r="AK156" s="2"/>
      <c r="AL156" s="2"/>
      <c r="AM156" s="2"/>
      <c r="AN156" s="2"/>
      <c r="AO156" s="2"/>
      <c r="AP156" s="2"/>
      <c r="AQ156" s="2"/>
      <c r="AR156" s="2"/>
      <c r="AS156" s="2"/>
      <c r="AT156" s="2"/>
    </row>
    <row r="157">
      <c r="A157" s="161"/>
      <c r="B157" s="161"/>
      <c r="C157" s="161"/>
      <c r="D157" s="161"/>
      <c r="E157" s="341"/>
      <c r="F157" s="342"/>
      <c r="G157" s="343"/>
      <c r="H157" s="273" t="s">
        <v>285</v>
      </c>
      <c r="I157" s="363" t="s">
        <v>282</v>
      </c>
      <c r="J157" s="364"/>
      <c r="K157" s="363">
        <f t="shared" ref="K157:M157" si="26">PARAMS(K156)</f>
        <v>128</v>
      </c>
      <c r="L157" s="363">
        <f t="shared" si="26"/>
        <v>128</v>
      </c>
      <c r="M157" s="363">
        <f t="shared" si="26"/>
        <v>512</v>
      </c>
      <c r="N157" s="363" t="s">
        <v>283</v>
      </c>
      <c r="O157" s="341"/>
      <c r="P157" s="366">
        <f>SIZEOF_IN_MIB(J157:M157, $O156)</f>
        <v>8</v>
      </c>
      <c r="Q157" s="341"/>
      <c r="R157" s="2"/>
      <c r="S157" s="2"/>
      <c r="AG157" s="2"/>
      <c r="AH157" s="2"/>
      <c r="AI157" s="2"/>
      <c r="AJ157" s="2"/>
      <c r="AK157" s="2"/>
      <c r="AL157" s="2"/>
      <c r="AM157" s="2"/>
      <c r="AN157" s="2"/>
      <c r="AO157" s="2"/>
      <c r="AP157" s="2"/>
      <c r="AQ157" s="2"/>
      <c r="AR157" s="2"/>
      <c r="AS157" s="2"/>
      <c r="AT157" s="2"/>
    </row>
    <row r="158">
      <c r="A158" s="161"/>
      <c r="B158" s="161"/>
      <c r="C158" s="161"/>
      <c r="D158" s="161"/>
      <c r="E158" s="341"/>
      <c r="F158" s="342"/>
      <c r="G158" s="343"/>
      <c r="H158" s="363" t="s">
        <v>287</v>
      </c>
      <c r="I158" s="363" t="s">
        <v>282</v>
      </c>
      <c r="J158" s="364"/>
      <c r="K158" s="364"/>
      <c r="L158" s="363"/>
      <c r="M158" s="363"/>
      <c r="N158" s="363" t="s">
        <v>283</v>
      </c>
      <c r="O158" s="341"/>
      <c r="P158" s="366"/>
      <c r="Q158" s="341"/>
      <c r="R158" s="2"/>
      <c r="S158" s="2"/>
      <c r="AG158" s="2"/>
      <c r="AH158" s="2"/>
      <c r="AI158" s="2"/>
      <c r="AJ158" s="2"/>
      <c r="AK158" s="2"/>
      <c r="AL158" s="2"/>
      <c r="AM158" s="2"/>
      <c r="AN158" s="2"/>
      <c r="AO158" s="2"/>
      <c r="AP158" s="2"/>
      <c r="AQ158" s="2"/>
      <c r="AR158" s="2"/>
      <c r="AS158" s="2"/>
      <c r="AT158" s="2"/>
    </row>
    <row r="159">
      <c r="A159" s="161"/>
      <c r="B159" s="161"/>
      <c r="C159" s="161"/>
      <c r="D159" s="161"/>
      <c r="E159" s="341"/>
      <c r="F159" s="353"/>
      <c r="G159" s="354"/>
      <c r="H159" s="349" t="s">
        <v>289</v>
      </c>
      <c r="I159" s="349" t="s">
        <v>282</v>
      </c>
      <c r="J159" s="336"/>
      <c r="K159" s="349">
        <f t="shared" ref="K159:M159" si="27">K157/SHARDING(K158)</f>
        <v>128</v>
      </c>
      <c r="L159" s="349">
        <f t="shared" si="27"/>
        <v>128</v>
      </c>
      <c r="M159" s="349">
        <f t="shared" si="27"/>
        <v>512</v>
      </c>
      <c r="N159" s="349" t="s">
        <v>283</v>
      </c>
      <c r="O159" s="316"/>
      <c r="P159" s="351">
        <f>SIZEOF_IN_MIB(J159:M159, $O156)</f>
        <v>8</v>
      </c>
      <c r="Q159" s="316"/>
      <c r="R159" s="2"/>
      <c r="S159" s="2"/>
      <c r="T159" s="284"/>
      <c r="U159" s="284"/>
      <c r="V159" s="284"/>
      <c r="W159" s="284"/>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61"/>
      <c r="B160" s="161"/>
      <c r="C160" s="161"/>
      <c r="D160" s="161"/>
      <c r="E160" s="341"/>
      <c r="F160" s="334" t="s">
        <v>56</v>
      </c>
      <c r="G160" s="335"/>
      <c r="H160" s="346" t="s">
        <v>281</v>
      </c>
      <c r="I160" s="346" t="s">
        <v>282</v>
      </c>
      <c r="J160" s="344" t="s">
        <v>104</v>
      </c>
      <c r="K160" s="344" t="s">
        <v>102</v>
      </c>
      <c r="L160" s="344" t="s">
        <v>207</v>
      </c>
      <c r="M160" s="344" t="s">
        <v>198</v>
      </c>
      <c r="N160" s="346" t="s">
        <v>283</v>
      </c>
      <c r="O160" s="473" t="s">
        <v>133</v>
      </c>
      <c r="P160" s="348"/>
      <c r="Q160" s="473" t="b">
        <v>0</v>
      </c>
      <c r="R160" s="2"/>
      <c r="S160" s="2"/>
      <c r="T160" s="284"/>
      <c r="U160" s="284"/>
      <c r="V160" s="284"/>
      <c r="W160" s="284"/>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61"/>
      <c r="B161" s="161"/>
      <c r="C161" s="161"/>
      <c r="D161" s="161"/>
      <c r="E161" s="341"/>
      <c r="F161" s="342"/>
      <c r="G161" s="343"/>
      <c r="H161" s="337" t="s">
        <v>285</v>
      </c>
      <c r="I161" s="349" t="s">
        <v>282</v>
      </c>
      <c r="J161" s="349">
        <f t="shared" ref="J161:M161" si="28">PARAMS(J160)</f>
        <v>4096</v>
      </c>
      <c r="K161" s="349">
        <f t="shared" si="28"/>
        <v>1</v>
      </c>
      <c r="L161" s="349">
        <f t="shared" si="28"/>
        <v>128</v>
      </c>
      <c r="M161" s="349">
        <f t="shared" si="28"/>
        <v>512</v>
      </c>
      <c r="N161" s="349" t="s">
        <v>283</v>
      </c>
      <c r="O161" s="350"/>
      <c r="P161" s="351">
        <f>SIZEOF_IN_MIB(J161:M161, $O160)</f>
        <v>512</v>
      </c>
      <c r="Q161" s="350"/>
      <c r="R161" s="2"/>
      <c r="S161" s="2"/>
      <c r="T161" s="284"/>
      <c r="U161" s="284"/>
      <c r="V161" s="284"/>
      <c r="W161" s="284"/>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161"/>
      <c r="B162" s="161"/>
      <c r="C162" s="161"/>
      <c r="D162" s="161"/>
      <c r="E162" s="341"/>
      <c r="F162" s="342"/>
      <c r="G162" s="343"/>
      <c r="H162" s="346" t="s">
        <v>287</v>
      </c>
      <c r="I162" s="346" t="s">
        <v>282</v>
      </c>
      <c r="J162" s="344" t="s">
        <v>196</v>
      </c>
      <c r="K162" s="344"/>
      <c r="L162" s="344"/>
      <c r="M162" s="346"/>
      <c r="N162" s="346" t="s">
        <v>283</v>
      </c>
      <c r="O162" s="347"/>
      <c r="P162" s="348"/>
      <c r="Q162" s="347"/>
      <c r="R162" s="2"/>
      <c r="S162" s="2"/>
      <c r="T162" s="284"/>
      <c r="U162" s="284"/>
      <c r="V162" s="284"/>
      <c r="W162" s="284"/>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161"/>
      <c r="B163" s="161"/>
      <c r="C163" s="161"/>
      <c r="D163" s="161"/>
      <c r="E163" s="341"/>
      <c r="F163" s="353"/>
      <c r="G163" s="354"/>
      <c r="H163" s="349" t="s">
        <v>289</v>
      </c>
      <c r="I163" s="349" t="s">
        <v>282</v>
      </c>
      <c r="J163" s="349">
        <f t="shared" ref="J163:M163" si="29">J161/SHARDING(J162)</f>
        <v>256</v>
      </c>
      <c r="K163" s="349">
        <f t="shared" si="29"/>
        <v>1</v>
      </c>
      <c r="L163" s="349">
        <f t="shared" si="29"/>
        <v>128</v>
      </c>
      <c r="M163" s="349">
        <f t="shared" si="29"/>
        <v>512</v>
      </c>
      <c r="N163" s="349" t="s">
        <v>283</v>
      </c>
      <c r="O163" s="316"/>
      <c r="P163" s="351">
        <f>SIZEOF_IN_MIB(J163:M163, $O160)</f>
        <v>32</v>
      </c>
      <c r="Q163" s="316"/>
      <c r="R163" s="2"/>
      <c r="S163" s="2"/>
      <c r="T163" s="284"/>
      <c r="U163" s="284"/>
      <c r="V163" s="284"/>
      <c r="W163" s="284"/>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161"/>
      <c r="B164" s="161"/>
      <c r="C164" s="161"/>
      <c r="D164" s="161"/>
      <c r="E164" s="341"/>
      <c r="F164" s="474" t="s">
        <v>335</v>
      </c>
      <c r="G164" s="459" t="s">
        <v>109</v>
      </c>
      <c r="H164" s="497"/>
      <c r="I164" s="498"/>
      <c r="J164" s="345"/>
      <c r="K164" s="345"/>
      <c r="L164" s="346"/>
      <c r="M164" s="346"/>
      <c r="N164" s="346"/>
      <c r="O164" s="345"/>
      <c r="P164" s="348"/>
      <c r="Q164" s="379"/>
      <c r="T164" s="4"/>
      <c r="U164" s="4"/>
      <c r="V164" s="4"/>
      <c r="W164" s="4"/>
    </row>
    <row r="165">
      <c r="A165" s="161"/>
      <c r="B165" s="2"/>
      <c r="C165" s="2"/>
      <c r="D165" s="2"/>
      <c r="E165" s="341"/>
      <c r="F165" s="352"/>
      <c r="G165" s="459"/>
      <c r="H165" s="349"/>
      <c r="I165" s="492"/>
      <c r="J165" s="336"/>
      <c r="K165" s="336"/>
      <c r="L165" s="349"/>
      <c r="M165" s="349"/>
      <c r="N165" s="349"/>
      <c r="O165" s="336"/>
      <c r="P165" s="351"/>
      <c r="Q165" s="298"/>
      <c r="T165" s="4"/>
      <c r="U165" s="4"/>
      <c r="V165" s="4"/>
      <c r="W165" s="4"/>
    </row>
    <row r="166">
      <c r="A166" s="2"/>
      <c r="B166" s="2"/>
      <c r="C166" s="2"/>
      <c r="D166" s="2"/>
      <c r="E166" s="341"/>
      <c r="F166" s="458" t="s">
        <v>327</v>
      </c>
      <c r="G166" s="459" t="s">
        <v>328</v>
      </c>
      <c r="H166" s="346" t="str">
        <f>VLOOKUP(O152&amp;","&amp;O156,$T$2:$W$11,4, FALSE)</f>
        <v>fp8</v>
      </c>
      <c r="I166" s="493"/>
      <c r="J166" s="345"/>
      <c r="K166" s="345"/>
      <c r="L166" s="346"/>
      <c r="M166" s="346"/>
      <c r="N166" s="346"/>
      <c r="O166" s="345"/>
      <c r="P166" s="348"/>
      <c r="Q166" s="379"/>
      <c r="T166" s="4"/>
      <c r="U166" s="4"/>
      <c r="V166" s="4"/>
      <c r="W166" s="4"/>
    </row>
    <row r="167">
      <c r="A167" s="161"/>
      <c r="B167" s="161"/>
      <c r="C167" s="161"/>
      <c r="D167" s="161"/>
      <c r="E167" s="341"/>
      <c r="F167" s="341"/>
      <c r="G167" s="455" t="s">
        <v>341</v>
      </c>
      <c r="H167" s="494" t="str">
        <f>CALCULATE_FLOPS(J155:M155,J159:M159,L159,K159,H166)</f>
        <v>#N/A</v>
      </c>
      <c r="I167" s="492"/>
      <c r="J167" s="336"/>
      <c r="K167" s="336"/>
      <c r="L167" s="349"/>
      <c r="M167" s="349"/>
      <c r="N167" s="349"/>
      <c r="O167" s="336"/>
      <c r="P167" s="351"/>
      <c r="Q167" s="298"/>
      <c r="T167" s="4"/>
      <c r="U167" s="4"/>
      <c r="V167" s="4"/>
      <c r="W167" s="4"/>
    </row>
    <row r="168">
      <c r="A168" s="161"/>
      <c r="B168" s="161"/>
      <c r="C168" s="161"/>
      <c r="D168" s="161"/>
      <c r="E168" s="341"/>
      <c r="F168" s="352"/>
      <c r="G168" s="462" t="s">
        <v>330</v>
      </c>
      <c r="H168" s="463" t="str">
        <f>COMPUTE_TIME_MS(H167, H166)</f>
        <v>#N/A</v>
      </c>
      <c r="I168" s="464"/>
      <c r="J168" s="465"/>
      <c r="K168" s="465"/>
      <c r="L168" s="466"/>
      <c r="M168" s="466"/>
      <c r="N168" s="466"/>
      <c r="O168" s="465"/>
      <c r="P168" s="467"/>
      <c r="Q168" s="379"/>
      <c r="T168" s="4"/>
      <c r="U168" s="4"/>
      <c r="V168" s="4"/>
      <c r="W168" s="4"/>
    </row>
    <row r="169">
      <c r="A169" s="161"/>
      <c r="B169" s="161"/>
      <c r="C169" s="161"/>
      <c r="D169" s="161"/>
      <c r="E169" s="341"/>
      <c r="F169" s="458" t="s">
        <v>331</v>
      </c>
      <c r="G169" s="455" t="s">
        <v>332</v>
      </c>
      <c r="H169" s="377">
        <f>IF(Q152,0,P155)+IF(Q156,0,P159)+IF(Q160,0,P163)</f>
        <v>44</v>
      </c>
      <c r="I169" s="336"/>
      <c r="J169" s="336"/>
      <c r="K169" s="336"/>
      <c r="L169" s="349"/>
      <c r="M169" s="349"/>
      <c r="N169" s="349"/>
      <c r="O169" s="336"/>
      <c r="P169" s="351"/>
      <c r="Q169" s="298"/>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52"/>
      <c r="F170" s="352"/>
      <c r="G170" s="469" t="s">
        <v>333</v>
      </c>
      <c r="H170" s="496" t="str">
        <f>HBM_TIME_MS(H169)</f>
        <v>#N/A</v>
      </c>
      <c r="I170" s="465"/>
      <c r="J170" s="465"/>
      <c r="K170" s="465"/>
      <c r="L170" s="466"/>
      <c r="M170" s="466"/>
      <c r="N170" s="466"/>
      <c r="O170" s="465"/>
      <c r="P170" s="467"/>
      <c r="Q170" s="379"/>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33" t="s">
        <v>343</v>
      </c>
      <c r="F171" s="357" t="s">
        <v>292</v>
      </c>
      <c r="G171" s="335"/>
      <c r="H171" s="336" t="s">
        <v>281</v>
      </c>
      <c r="I171" s="336" t="s">
        <v>282</v>
      </c>
      <c r="J171" s="337"/>
      <c r="K171" s="337" t="s">
        <v>104</v>
      </c>
      <c r="L171" s="337" t="s">
        <v>102</v>
      </c>
      <c r="M171" s="499" t="s">
        <v>178</v>
      </c>
      <c r="N171" s="336" t="s">
        <v>283</v>
      </c>
      <c r="O171" s="338" t="s">
        <v>125</v>
      </c>
      <c r="P171" s="351"/>
      <c r="Q171" s="338" t="b">
        <v>0</v>
      </c>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42"/>
      <c r="G172" s="343"/>
      <c r="H172" s="273" t="s">
        <v>285</v>
      </c>
      <c r="I172" s="364" t="s">
        <v>282</v>
      </c>
      <c r="J172" s="363"/>
      <c r="K172" s="363">
        <f t="shared" ref="K172:M172" si="30">PARAMS(K171)</f>
        <v>4096</v>
      </c>
      <c r="L172" s="364">
        <f t="shared" si="30"/>
        <v>1</v>
      </c>
      <c r="M172" s="364">
        <f t="shared" si="30"/>
        <v>7168</v>
      </c>
      <c r="N172" s="364" t="s">
        <v>283</v>
      </c>
      <c r="O172" s="341"/>
      <c r="P172" s="366">
        <f>SIZEOF_IN_MIB(J172:M172, $O171)</f>
        <v>28</v>
      </c>
      <c r="Q172" s="341"/>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342"/>
      <c r="G173" s="343"/>
      <c r="H173" s="363" t="s">
        <v>287</v>
      </c>
      <c r="I173" s="363" t="s">
        <v>282</v>
      </c>
      <c r="J173" s="364"/>
      <c r="K173" s="273" t="s">
        <v>196</v>
      </c>
      <c r="L173" s="273"/>
      <c r="M173" s="363"/>
      <c r="N173" s="363" t="s">
        <v>283</v>
      </c>
      <c r="O173" s="341"/>
      <c r="P173" s="366"/>
      <c r="Q173" s="341"/>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61"/>
      <c r="B174" s="161"/>
      <c r="C174" s="161"/>
      <c r="D174" s="161"/>
      <c r="E174" s="341"/>
      <c r="F174" s="353"/>
      <c r="G174" s="354"/>
      <c r="H174" s="273" t="s">
        <v>289</v>
      </c>
      <c r="I174" s="363" t="s">
        <v>282</v>
      </c>
      <c r="J174" s="364"/>
      <c r="K174" s="363">
        <f t="shared" ref="K174:M174" si="31">K172/SHARDING(K173)</f>
        <v>256</v>
      </c>
      <c r="L174" s="363">
        <f t="shared" si="31"/>
        <v>1</v>
      </c>
      <c r="M174" s="363">
        <f t="shared" si="31"/>
        <v>7168</v>
      </c>
      <c r="N174" s="363" t="s">
        <v>283</v>
      </c>
      <c r="O174" s="352"/>
      <c r="P174" s="366">
        <f>SIZEOF_IN_MIB(J174:M174, $O171)</f>
        <v>1.75</v>
      </c>
      <c r="Q174" s="35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161"/>
      <c r="B175" s="161"/>
      <c r="C175" s="161"/>
      <c r="D175" s="161"/>
      <c r="E175" s="341"/>
      <c r="F175" s="334" t="s">
        <v>296</v>
      </c>
      <c r="G175" s="335"/>
      <c r="H175" s="363" t="s">
        <v>281</v>
      </c>
      <c r="I175" s="363" t="s">
        <v>282</v>
      </c>
      <c r="J175" s="364"/>
      <c r="K175" s="273"/>
      <c r="L175" s="472" t="s">
        <v>178</v>
      </c>
      <c r="M175" s="273" t="s">
        <v>210</v>
      </c>
      <c r="N175" s="363" t="s">
        <v>283</v>
      </c>
      <c r="O175" s="365" t="s">
        <v>125</v>
      </c>
      <c r="P175" s="366"/>
      <c r="Q175" s="365" t="b">
        <v>0</v>
      </c>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161"/>
      <c r="B176" s="161"/>
      <c r="C176" s="161"/>
      <c r="D176" s="161"/>
      <c r="E176" s="341"/>
      <c r="F176" s="342"/>
      <c r="G176" s="343"/>
      <c r="H176" s="273" t="s">
        <v>285</v>
      </c>
      <c r="I176" s="363" t="s">
        <v>282</v>
      </c>
      <c r="J176" s="364"/>
      <c r="K176" s="363"/>
      <c r="L176" s="363">
        <f t="shared" ref="L176:M176" si="32">PARAMS(L175)</f>
        <v>7168</v>
      </c>
      <c r="M176" s="363">
        <f t="shared" si="32"/>
        <v>576</v>
      </c>
      <c r="N176" s="363" t="s">
        <v>283</v>
      </c>
      <c r="O176" s="341"/>
      <c r="P176" s="366">
        <f>SIZEOF_IN_MIB(J176:M176, $O175)</f>
        <v>3.9375</v>
      </c>
      <c r="Q176" s="341"/>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42"/>
      <c r="G177" s="343"/>
      <c r="H177" s="363" t="s">
        <v>287</v>
      </c>
      <c r="I177" s="363" t="s">
        <v>282</v>
      </c>
      <c r="J177" s="364"/>
      <c r="K177" s="364"/>
      <c r="L177" s="363"/>
      <c r="M177" s="363"/>
      <c r="N177" s="363" t="s">
        <v>283</v>
      </c>
      <c r="O177" s="341"/>
      <c r="P177" s="366"/>
      <c r="Q177" s="341"/>
    </row>
    <row r="178">
      <c r="A178" s="161"/>
      <c r="B178" s="161"/>
      <c r="C178" s="161"/>
      <c r="D178" s="161"/>
      <c r="E178" s="341"/>
      <c r="F178" s="353"/>
      <c r="G178" s="354"/>
      <c r="H178" s="349" t="s">
        <v>289</v>
      </c>
      <c r="I178" s="349" t="s">
        <v>282</v>
      </c>
      <c r="J178" s="336"/>
      <c r="K178" s="349"/>
      <c r="L178" s="349">
        <f t="shared" ref="L178:M178" si="33">L176/SHARDING(L177)</f>
        <v>7168</v>
      </c>
      <c r="M178" s="349">
        <f t="shared" si="33"/>
        <v>576</v>
      </c>
      <c r="N178" s="349" t="s">
        <v>283</v>
      </c>
      <c r="O178" s="316"/>
      <c r="P178" s="351">
        <f>SIZEOF_IN_MIB(J178:M178, $O175)</f>
        <v>3.9375</v>
      </c>
      <c r="Q178" s="316"/>
    </row>
    <row r="179">
      <c r="A179" s="161"/>
      <c r="B179" s="161"/>
      <c r="C179" s="161"/>
      <c r="D179" s="161"/>
      <c r="E179" s="341"/>
      <c r="F179" s="334" t="s">
        <v>56</v>
      </c>
      <c r="G179" s="335"/>
      <c r="H179" s="346" t="s">
        <v>281</v>
      </c>
      <c r="I179" s="346" t="s">
        <v>282</v>
      </c>
      <c r="J179" s="345"/>
      <c r="K179" s="344" t="s">
        <v>104</v>
      </c>
      <c r="L179" s="344" t="s">
        <v>102</v>
      </c>
      <c r="M179" s="344" t="s">
        <v>210</v>
      </c>
      <c r="N179" s="346" t="s">
        <v>283</v>
      </c>
      <c r="O179" s="473" t="s">
        <v>133</v>
      </c>
      <c r="P179" s="348"/>
      <c r="Q179" s="473" t="b">
        <v>0</v>
      </c>
    </row>
    <row r="180">
      <c r="A180" s="161"/>
      <c r="B180" s="2"/>
      <c r="C180" s="2"/>
      <c r="D180" s="2"/>
      <c r="E180" s="341"/>
      <c r="F180" s="342"/>
      <c r="G180" s="343"/>
      <c r="H180" s="337" t="s">
        <v>285</v>
      </c>
      <c r="I180" s="349" t="s">
        <v>282</v>
      </c>
      <c r="J180" s="336"/>
      <c r="K180" s="349">
        <f t="shared" ref="K180:M180" si="34">PARAMS(K179)</f>
        <v>4096</v>
      </c>
      <c r="L180" s="349">
        <f t="shared" si="34"/>
        <v>1</v>
      </c>
      <c r="M180" s="349">
        <f t="shared" si="34"/>
        <v>576</v>
      </c>
      <c r="N180" s="349" t="s">
        <v>283</v>
      </c>
      <c r="O180" s="350"/>
      <c r="P180" s="351">
        <f>SIZEOF_IN_MIB(K180:M180, $O179)</f>
        <v>4.5</v>
      </c>
      <c r="Q180" s="350"/>
    </row>
    <row r="181">
      <c r="A181" s="2"/>
      <c r="B181" s="2"/>
      <c r="C181" s="2"/>
      <c r="D181" s="2"/>
      <c r="E181" s="341"/>
      <c r="F181" s="342"/>
      <c r="G181" s="343"/>
      <c r="H181" s="346" t="s">
        <v>287</v>
      </c>
      <c r="I181" s="346" t="s">
        <v>282</v>
      </c>
      <c r="J181" s="345"/>
      <c r="K181" s="344" t="s">
        <v>196</v>
      </c>
      <c r="L181" s="344"/>
      <c r="M181" s="346"/>
      <c r="N181" s="346" t="s">
        <v>283</v>
      </c>
      <c r="O181" s="347"/>
      <c r="P181" s="348"/>
      <c r="Q181" s="347"/>
    </row>
    <row r="182">
      <c r="A182" s="161"/>
      <c r="B182" s="161"/>
      <c r="C182" s="161"/>
      <c r="D182" s="161"/>
      <c r="E182" s="341"/>
      <c r="F182" s="353"/>
      <c r="G182" s="354"/>
      <c r="H182" s="349" t="s">
        <v>289</v>
      </c>
      <c r="I182" s="349" t="s">
        <v>282</v>
      </c>
      <c r="J182" s="349"/>
      <c r="K182" s="349">
        <f t="shared" ref="K182:M182" si="35">K180/SHARDING(K181)</f>
        <v>256</v>
      </c>
      <c r="L182" s="349">
        <f t="shared" si="35"/>
        <v>1</v>
      </c>
      <c r="M182" s="349">
        <f t="shared" si="35"/>
        <v>576</v>
      </c>
      <c r="N182" s="349" t="s">
        <v>283</v>
      </c>
      <c r="O182" s="316"/>
      <c r="P182" s="351">
        <f>SIZEOF_IN_MIB(K182:M182, $O179)</f>
        <v>0.28125</v>
      </c>
      <c r="Q182" s="316"/>
    </row>
    <row r="183">
      <c r="A183" s="161"/>
      <c r="B183" s="161"/>
      <c r="C183" s="161"/>
      <c r="D183" s="161"/>
      <c r="E183" s="341"/>
      <c r="F183" s="474" t="s">
        <v>335</v>
      </c>
      <c r="G183" s="459" t="s">
        <v>109</v>
      </c>
      <c r="H183" s="497"/>
      <c r="I183" s="498"/>
      <c r="J183" s="345"/>
      <c r="K183" s="345"/>
      <c r="L183" s="346"/>
      <c r="M183" s="346"/>
      <c r="N183" s="346"/>
      <c r="O183" s="345"/>
      <c r="P183" s="348"/>
      <c r="Q183" s="379"/>
    </row>
    <row r="184">
      <c r="A184" s="161"/>
      <c r="B184" s="161"/>
      <c r="C184" s="161"/>
      <c r="D184" s="161"/>
      <c r="E184" s="341"/>
      <c r="F184" s="352"/>
      <c r="G184" s="459"/>
      <c r="H184" s="349"/>
      <c r="I184" s="492"/>
      <c r="J184" s="336"/>
      <c r="K184" s="336"/>
      <c r="L184" s="349"/>
      <c r="M184" s="349"/>
      <c r="N184" s="349"/>
      <c r="O184" s="336"/>
      <c r="P184" s="351"/>
      <c r="Q184" s="298"/>
    </row>
    <row r="185">
      <c r="A185" s="161"/>
      <c r="B185" s="161"/>
      <c r="C185" s="161"/>
      <c r="D185" s="161"/>
      <c r="E185" s="341"/>
      <c r="F185" s="458" t="s">
        <v>327</v>
      </c>
      <c r="G185" s="459" t="s">
        <v>328</v>
      </c>
      <c r="H185" s="346" t="str">
        <f>VLOOKUP(O171&amp;","&amp;O175,$T$2:$W$11,4, FALSE)</f>
        <v>fp8</v>
      </c>
      <c r="I185" s="493"/>
      <c r="J185" s="345"/>
      <c r="K185" s="345"/>
      <c r="L185" s="346"/>
      <c r="M185" s="346"/>
      <c r="N185" s="346"/>
      <c r="O185" s="345"/>
      <c r="P185" s="348"/>
      <c r="Q185" s="379"/>
    </row>
    <row r="186">
      <c r="A186" s="161"/>
      <c r="B186" s="161"/>
      <c r="C186" s="161"/>
      <c r="D186" s="161"/>
      <c r="E186" s="341"/>
      <c r="F186" s="341"/>
      <c r="G186" s="455" t="s">
        <v>341</v>
      </c>
      <c r="H186" s="494" t="str">
        <f>CALCULATE_FLOPS(J174:M174,J178:M178,L178,1,H185)</f>
        <v>#N/A</v>
      </c>
      <c r="I186" s="492"/>
      <c r="J186" s="336"/>
      <c r="K186" s="336"/>
      <c r="L186" s="349"/>
      <c r="M186" s="349"/>
      <c r="N186" s="349"/>
      <c r="O186" s="336"/>
      <c r="P186" s="351"/>
      <c r="Q186" s="298"/>
    </row>
    <row r="187">
      <c r="A187" s="161"/>
      <c r="B187" s="161"/>
      <c r="C187" s="161"/>
      <c r="D187" s="161"/>
      <c r="E187" s="341"/>
      <c r="F187" s="352"/>
      <c r="G187" s="462" t="s">
        <v>330</v>
      </c>
      <c r="H187" s="495" t="str">
        <f>COMPUTE_TIME_MS(H186, H185)</f>
        <v>#N/A</v>
      </c>
      <c r="I187" s="464"/>
      <c r="J187" s="465"/>
      <c r="K187" s="465"/>
      <c r="L187" s="466"/>
      <c r="M187" s="466"/>
      <c r="N187" s="466"/>
      <c r="O187" s="465"/>
      <c r="P187" s="467"/>
      <c r="Q187" s="379"/>
    </row>
    <row r="188">
      <c r="A188" s="161"/>
      <c r="B188" s="161"/>
      <c r="C188" s="161"/>
      <c r="D188" s="161"/>
      <c r="E188" s="341"/>
      <c r="F188" s="458" t="s">
        <v>331</v>
      </c>
      <c r="G188" s="455" t="s">
        <v>332</v>
      </c>
      <c r="H188" s="377">
        <f>IF(Q171,0,P174)+IF(Q175,0,P178)+IF(Q179,0,P182)</f>
        <v>5.96875</v>
      </c>
      <c r="I188" s="336"/>
      <c r="J188" s="336"/>
      <c r="K188" s="336"/>
      <c r="L188" s="349"/>
      <c r="M188" s="349"/>
      <c r="N188" s="349"/>
      <c r="O188" s="336"/>
      <c r="P188" s="351"/>
      <c r="Q188" s="298"/>
    </row>
    <row r="189">
      <c r="A189" s="161"/>
      <c r="B189" s="161"/>
      <c r="C189" s="161"/>
      <c r="D189" s="161"/>
      <c r="E189" s="352"/>
      <c r="F189" s="352"/>
      <c r="G189" s="469" t="s">
        <v>333</v>
      </c>
      <c r="H189" s="500" t="str">
        <f>HBM_TIME_MS(H188)</f>
        <v>#N/A</v>
      </c>
      <c r="I189" s="465"/>
      <c r="J189" s="465"/>
      <c r="K189" s="465"/>
      <c r="L189" s="466"/>
      <c r="M189" s="466"/>
      <c r="N189" s="466"/>
      <c r="O189" s="465"/>
      <c r="P189" s="467"/>
      <c r="Q189" s="379"/>
    </row>
    <row r="190">
      <c r="A190" s="161"/>
      <c r="B190" s="161"/>
      <c r="C190" s="161"/>
      <c r="D190" s="161"/>
      <c r="E190" s="333" t="s">
        <v>347</v>
      </c>
      <c r="F190" s="357" t="s">
        <v>292</v>
      </c>
      <c r="G190" s="335"/>
      <c r="H190" s="364" t="s">
        <v>281</v>
      </c>
      <c r="I190" s="364" t="s">
        <v>282</v>
      </c>
      <c r="J190" s="273" t="s">
        <v>104</v>
      </c>
      <c r="K190" s="273" t="s">
        <v>102</v>
      </c>
      <c r="L190" s="273" t="s">
        <v>207</v>
      </c>
      <c r="M190" s="472" t="s">
        <v>198</v>
      </c>
      <c r="N190" s="364" t="s">
        <v>283</v>
      </c>
      <c r="O190" s="365" t="s">
        <v>125</v>
      </c>
      <c r="P190" s="366"/>
      <c r="Q190" s="365" t="b">
        <v>0</v>
      </c>
    </row>
    <row r="191">
      <c r="A191" s="161"/>
      <c r="B191" s="161"/>
      <c r="C191" s="161"/>
      <c r="D191" s="161"/>
      <c r="E191" s="341"/>
      <c r="F191" s="342"/>
      <c r="G191" s="343"/>
      <c r="H191" s="273" t="s">
        <v>285</v>
      </c>
      <c r="I191" s="364" t="s">
        <v>282</v>
      </c>
      <c r="J191" s="363">
        <f t="shared" ref="J191:M191" si="36">PARAMS(J190)</f>
        <v>4096</v>
      </c>
      <c r="K191" s="364">
        <f t="shared" si="36"/>
        <v>1</v>
      </c>
      <c r="L191" s="364">
        <f t="shared" si="36"/>
        <v>128</v>
      </c>
      <c r="M191" s="364">
        <f t="shared" si="36"/>
        <v>512</v>
      </c>
      <c r="N191" s="364" t="s">
        <v>283</v>
      </c>
      <c r="O191" s="341"/>
      <c r="P191" s="366">
        <f>SIZEOF_IN_MIB(J191:M191, $O190)</f>
        <v>256</v>
      </c>
      <c r="Q191" s="341"/>
    </row>
    <row r="192">
      <c r="A192" s="161"/>
      <c r="B192" s="161"/>
      <c r="C192" s="161"/>
      <c r="D192" s="161"/>
      <c r="E192" s="341"/>
      <c r="F192" s="342"/>
      <c r="G192" s="343"/>
      <c r="H192" s="363" t="s">
        <v>287</v>
      </c>
      <c r="I192" s="363" t="s">
        <v>282</v>
      </c>
      <c r="J192" s="273" t="s">
        <v>196</v>
      </c>
      <c r="K192" s="273"/>
      <c r="L192" s="273"/>
      <c r="M192" s="363"/>
      <c r="N192" s="363" t="s">
        <v>283</v>
      </c>
      <c r="O192" s="341"/>
      <c r="P192" s="366"/>
      <c r="Q192" s="341"/>
    </row>
    <row r="193">
      <c r="A193" s="161"/>
      <c r="B193" s="161"/>
      <c r="C193" s="161"/>
      <c r="D193" s="161"/>
      <c r="E193" s="341"/>
      <c r="F193" s="353"/>
      <c r="G193" s="354"/>
      <c r="H193" s="273" t="s">
        <v>289</v>
      </c>
      <c r="I193" s="363" t="s">
        <v>282</v>
      </c>
      <c r="J193" s="363">
        <f t="shared" ref="J193:M193" si="37">J191/SHARDING(J192)</f>
        <v>256</v>
      </c>
      <c r="K193" s="363">
        <f t="shared" si="37"/>
        <v>1</v>
      </c>
      <c r="L193" s="363">
        <f t="shared" si="37"/>
        <v>128</v>
      </c>
      <c r="M193" s="363">
        <f t="shared" si="37"/>
        <v>512</v>
      </c>
      <c r="N193" s="363" t="s">
        <v>283</v>
      </c>
      <c r="O193" s="352"/>
      <c r="P193" s="366">
        <f>SIZEOF_IN_MIB(J193:M193, $O190)</f>
        <v>16</v>
      </c>
      <c r="Q193" s="352"/>
    </row>
    <row r="194">
      <c r="A194" s="161"/>
      <c r="B194" s="161"/>
      <c r="C194" s="161"/>
      <c r="D194" s="161"/>
      <c r="E194" s="341"/>
      <c r="F194" s="334" t="s">
        <v>296</v>
      </c>
      <c r="G194" s="335"/>
      <c r="H194" s="363" t="s">
        <v>281</v>
      </c>
      <c r="I194" s="363" t="s">
        <v>282</v>
      </c>
      <c r="J194" s="364"/>
      <c r="K194" s="273" t="s">
        <v>104</v>
      </c>
      <c r="L194" s="273" t="s">
        <v>106</v>
      </c>
      <c r="M194" s="472" t="s">
        <v>198</v>
      </c>
      <c r="N194" s="363" t="s">
        <v>283</v>
      </c>
      <c r="O194" s="365" t="s">
        <v>125</v>
      </c>
      <c r="P194" s="366"/>
      <c r="Q194" s="365" t="b">
        <v>0</v>
      </c>
    </row>
    <row r="195">
      <c r="E195" s="341"/>
      <c r="F195" s="342"/>
      <c r="G195" s="343"/>
      <c r="H195" s="273" t="s">
        <v>285</v>
      </c>
      <c r="I195" s="363" t="s">
        <v>282</v>
      </c>
      <c r="J195" s="364"/>
      <c r="K195" s="363">
        <f t="shared" ref="K195:M195" si="38">PARAMS(K194)</f>
        <v>4096</v>
      </c>
      <c r="L195" s="363">
        <f t="shared" si="38"/>
        <v>5120</v>
      </c>
      <c r="M195" s="363">
        <f t="shared" si="38"/>
        <v>512</v>
      </c>
      <c r="N195" s="363" t="s">
        <v>283</v>
      </c>
      <c r="O195" s="341"/>
      <c r="P195" s="366">
        <f>SIZEOF_IN_MIB(J195:M195, $O194)</f>
        <v>10240</v>
      </c>
      <c r="Q195" s="341"/>
    </row>
    <row r="196">
      <c r="E196" s="341"/>
      <c r="F196" s="342"/>
      <c r="G196" s="343"/>
      <c r="H196" s="363" t="s">
        <v>287</v>
      </c>
      <c r="I196" s="363" t="s">
        <v>282</v>
      </c>
      <c r="J196" s="364"/>
      <c r="K196" s="273" t="s">
        <v>196</v>
      </c>
      <c r="L196" s="363"/>
      <c r="M196" s="363"/>
      <c r="N196" s="363" t="s">
        <v>283</v>
      </c>
      <c r="O196" s="341"/>
      <c r="P196" s="366"/>
      <c r="Q196" s="341"/>
    </row>
    <row r="197">
      <c r="E197" s="341"/>
      <c r="F197" s="353"/>
      <c r="G197" s="354"/>
      <c r="H197" s="349" t="s">
        <v>289</v>
      </c>
      <c r="I197" s="349" t="s">
        <v>282</v>
      </c>
      <c r="J197" s="336"/>
      <c r="K197" s="349">
        <f t="shared" ref="K197:M197" si="39">K195/SHARDING(K196)</f>
        <v>256</v>
      </c>
      <c r="L197" s="349">
        <f t="shared" si="39"/>
        <v>5120</v>
      </c>
      <c r="M197" s="349">
        <f t="shared" si="39"/>
        <v>512</v>
      </c>
      <c r="N197" s="349" t="s">
        <v>283</v>
      </c>
      <c r="O197" s="316"/>
      <c r="P197" s="351">
        <f>SIZEOF_IN_MIB(J197:M197, $O194)</f>
        <v>640</v>
      </c>
      <c r="Q197" s="316"/>
    </row>
    <row r="198">
      <c r="E198" s="341"/>
      <c r="F198" s="334" t="s">
        <v>56</v>
      </c>
      <c r="G198" s="335"/>
      <c r="H198" s="346" t="s">
        <v>281</v>
      </c>
      <c r="I198" s="346" t="s">
        <v>282</v>
      </c>
      <c r="J198" s="344" t="s">
        <v>104</v>
      </c>
      <c r="K198" s="344" t="s">
        <v>102</v>
      </c>
      <c r="L198" s="344" t="s">
        <v>106</v>
      </c>
      <c r="M198" s="344" t="s">
        <v>207</v>
      </c>
      <c r="N198" s="346" t="s">
        <v>283</v>
      </c>
      <c r="O198" s="473" t="s">
        <v>133</v>
      </c>
      <c r="P198" s="348"/>
      <c r="Q198" s="473" t="b">
        <v>1</v>
      </c>
    </row>
    <row r="199">
      <c r="E199" s="341"/>
      <c r="F199" s="342"/>
      <c r="G199" s="343"/>
      <c r="H199" s="337" t="s">
        <v>285</v>
      </c>
      <c r="I199" s="349" t="s">
        <v>282</v>
      </c>
      <c r="J199" s="349">
        <f t="shared" ref="J199:M199" si="40">PARAMS(J198)</f>
        <v>4096</v>
      </c>
      <c r="K199" s="349">
        <f t="shared" si="40"/>
        <v>1</v>
      </c>
      <c r="L199" s="349">
        <f t="shared" si="40"/>
        <v>5120</v>
      </c>
      <c r="M199" s="349">
        <f t="shared" si="40"/>
        <v>128</v>
      </c>
      <c r="N199" s="349" t="s">
        <v>283</v>
      </c>
      <c r="O199" s="350"/>
      <c r="P199" s="351">
        <f>SIZEOF_IN_MIB(J199:M199, $O198)</f>
        <v>5120</v>
      </c>
      <c r="Q199" s="350"/>
    </row>
    <row r="200">
      <c r="E200" s="341"/>
      <c r="F200" s="342"/>
      <c r="G200" s="343"/>
      <c r="H200" s="346" t="s">
        <v>287</v>
      </c>
      <c r="I200" s="346" t="s">
        <v>282</v>
      </c>
      <c r="J200" s="344" t="s">
        <v>196</v>
      </c>
      <c r="K200" s="344"/>
      <c r="L200" s="344"/>
      <c r="M200" s="346"/>
      <c r="N200" s="346" t="s">
        <v>283</v>
      </c>
      <c r="O200" s="347"/>
      <c r="P200" s="348"/>
      <c r="Q200" s="347"/>
    </row>
    <row r="201">
      <c r="E201" s="341"/>
      <c r="F201" s="353"/>
      <c r="G201" s="354"/>
      <c r="H201" s="349" t="s">
        <v>289</v>
      </c>
      <c r="I201" s="349" t="s">
        <v>282</v>
      </c>
      <c r="J201" s="349">
        <f t="shared" ref="J201:M201" si="41">J199/SHARDING(J200)</f>
        <v>256</v>
      </c>
      <c r="K201" s="349">
        <f t="shared" si="41"/>
        <v>1</v>
      </c>
      <c r="L201" s="349">
        <f t="shared" si="41"/>
        <v>5120</v>
      </c>
      <c r="M201" s="349">
        <f t="shared" si="41"/>
        <v>128</v>
      </c>
      <c r="N201" s="349" t="s">
        <v>283</v>
      </c>
      <c r="O201" s="316"/>
      <c r="P201" s="351">
        <f>SIZEOF_IN_MIB(J201:M201, $O198)</f>
        <v>320</v>
      </c>
      <c r="Q201" s="316"/>
    </row>
    <row r="202">
      <c r="E202" s="341"/>
      <c r="F202" s="474" t="s">
        <v>335</v>
      </c>
      <c r="G202" s="459" t="s">
        <v>109</v>
      </c>
      <c r="H202" s="544" t="s">
        <v>348</v>
      </c>
      <c r="I202" s="345"/>
      <c r="J202" s="345"/>
      <c r="K202" s="345"/>
      <c r="L202" s="346"/>
      <c r="M202" s="346"/>
      <c r="N202" s="346"/>
      <c r="O202" s="545"/>
      <c r="P202" s="348"/>
      <c r="Q202" s="545"/>
    </row>
    <row r="203">
      <c r="E203" s="341"/>
      <c r="F203" s="352"/>
      <c r="G203" s="459"/>
      <c r="H203" s="349"/>
      <c r="I203" s="492"/>
      <c r="J203" s="336"/>
      <c r="K203" s="336"/>
      <c r="L203" s="349"/>
      <c r="M203" s="349"/>
      <c r="N203" s="349"/>
      <c r="O203" s="336"/>
      <c r="P203" s="351"/>
      <c r="Q203" s="298"/>
    </row>
    <row r="204">
      <c r="E204" s="341"/>
      <c r="F204" s="458" t="s">
        <v>327</v>
      </c>
      <c r="G204" s="459" t="s">
        <v>328</v>
      </c>
      <c r="H204" s="346" t="str">
        <f>VLOOKUP(O190&amp;","&amp;O194,$T$2:$W$11,4, FALSE)</f>
        <v>fp8</v>
      </c>
      <c r="I204" s="493"/>
      <c r="J204" s="345"/>
      <c r="K204" s="345"/>
      <c r="L204" s="346"/>
      <c r="M204" s="346"/>
      <c r="N204" s="346"/>
      <c r="O204" s="345"/>
      <c r="P204" s="348"/>
      <c r="Q204" s="379"/>
    </row>
    <row r="205">
      <c r="E205" s="341"/>
      <c r="F205" s="341"/>
      <c r="G205" s="455" t="s">
        <v>341</v>
      </c>
      <c r="H205" s="494" t="str">
        <f>CALCULATE_FLOPS(J193:M193,J197:M197,M197,K197,H204)</f>
        <v>#N/A</v>
      </c>
      <c r="I205" s="492"/>
      <c r="J205" s="336"/>
      <c r="K205" s="336"/>
      <c r="L205" s="349"/>
      <c r="M205" s="349"/>
      <c r="N205" s="349"/>
      <c r="O205" s="336"/>
      <c r="P205" s="351"/>
      <c r="Q205" s="298"/>
    </row>
    <row r="206">
      <c r="E206" s="341"/>
      <c r="F206" s="352"/>
      <c r="G206" s="462" t="s">
        <v>330</v>
      </c>
      <c r="H206" s="463" t="str">
        <f>COMPUTE_TIME_MS(H205, H204)</f>
        <v>#N/A</v>
      </c>
      <c r="I206" s="464"/>
      <c r="J206" s="465"/>
      <c r="K206" s="465"/>
      <c r="L206" s="466"/>
      <c r="M206" s="466"/>
      <c r="N206" s="466"/>
      <c r="O206" s="465"/>
      <c r="P206" s="467"/>
      <c r="Q206" s="379"/>
    </row>
    <row r="207">
      <c r="E207" s="341"/>
      <c r="F207" s="458" t="s">
        <v>331</v>
      </c>
      <c r="G207" s="455" t="s">
        <v>332</v>
      </c>
      <c r="H207" s="377">
        <f>IF(Q190,0,P193)+IF(Q194,0,P197)+IF(Q198,0,P201)</f>
        <v>656</v>
      </c>
      <c r="I207" s="336"/>
      <c r="J207" s="336"/>
      <c r="K207" s="336"/>
      <c r="L207" s="349"/>
      <c r="M207" s="349"/>
      <c r="N207" s="349"/>
      <c r="O207" s="336"/>
      <c r="P207" s="351"/>
      <c r="Q207" s="298"/>
    </row>
    <row r="208">
      <c r="E208" s="352"/>
      <c r="F208" s="352"/>
      <c r="G208" s="469" t="s">
        <v>333</v>
      </c>
      <c r="H208" s="500" t="str">
        <f>HBM_TIME_MS(H207)</f>
        <v>#N/A</v>
      </c>
      <c r="I208" s="465"/>
      <c r="J208" s="465"/>
      <c r="K208" s="465"/>
      <c r="L208" s="466"/>
      <c r="M208" s="466"/>
      <c r="N208" s="466"/>
      <c r="O208" s="465"/>
      <c r="P208" s="467"/>
      <c r="Q208" s="379"/>
    </row>
    <row r="209">
      <c r="E209" s="333" t="s">
        <v>349</v>
      </c>
      <c r="F209" s="357" t="s">
        <v>292</v>
      </c>
      <c r="G209" s="335"/>
      <c r="H209" s="364" t="s">
        <v>281</v>
      </c>
      <c r="I209" s="364" t="s">
        <v>282</v>
      </c>
      <c r="J209" s="273" t="s">
        <v>104</v>
      </c>
      <c r="K209" s="273" t="s">
        <v>102</v>
      </c>
      <c r="L209" s="273" t="s">
        <v>207</v>
      </c>
      <c r="M209" s="472" t="s">
        <v>204</v>
      </c>
      <c r="N209" s="364" t="s">
        <v>283</v>
      </c>
      <c r="O209" s="365" t="s">
        <v>125</v>
      </c>
      <c r="P209" s="366"/>
      <c r="Q209" s="365" t="b">
        <v>0</v>
      </c>
    </row>
    <row r="210">
      <c r="E210" s="341"/>
      <c r="F210" s="342"/>
      <c r="G210" s="343"/>
      <c r="H210" s="273" t="s">
        <v>285</v>
      </c>
      <c r="I210" s="364" t="s">
        <v>282</v>
      </c>
      <c r="J210" s="363">
        <f t="shared" ref="J210:M210" si="42">PARAMS(J209)</f>
        <v>4096</v>
      </c>
      <c r="K210" s="364">
        <f t="shared" si="42"/>
        <v>1</v>
      </c>
      <c r="L210" s="364">
        <f t="shared" si="42"/>
        <v>128</v>
      </c>
      <c r="M210" s="364">
        <f t="shared" si="42"/>
        <v>64</v>
      </c>
      <c r="N210" s="364" t="s">
        <v>283</v>
      </c>
      <c r="O210" s="341"/>
      <c r="P210" s="366">
        <f>SIZEOF_IN_MIB(J210:M210, $O209)</f>
        <v>32</v>
      </c>
      <c r="Q210" s="341"/>
    </row>
    <row r="211">
      <c r="E211" s="341"/>
      <c r="F211" s="342"/>
      <c r="G211" s="343"/>
      <c r="H211" s="363" t="s">
        <v>287</v>
      </c>
      <c r="I211" s="363" t="s">
        <v>282</v>
      </c>
      <c r="J211" s="273" t="s">
        <v>196</v>
      </c>
      <c r="K211" s="273"/>
      <c r="L211" s="273"/>
      <c r="M211" s="363"/>
      <c r="N211" s="363" t="s">
        <v>283</v>
      </c>
      <c r="O211" s="341"/>
      <c r="P211" s="366"/>
      <c r="Q211" s="341"/>
    </row>
    <row r="212">
      <c r="E212" s="341"/>
      <c r="F212" s="353"/>
      <c r="G212" s="354"/>
      <c r="H212" s="273" t="s">
        <v>289</v>
      </c>
      <c r="I212" s="363" t="s">
        <v>282</v>
      </c>
      <c r="J212" s="363">
        <f t="shared" ref="J212:M212" si="43">J210/SHARDING(J211)</f>
        <v>256</v>
      </c>
      <c r="K212" s="363">
        <f t="shared" si="43"/>
        <v>1</v>
      </c>
      <c r="L212" s="363">
        <f t="shared" si="43"/>
        <v>128</v>
      </c>
      <c r="M212" s="363">
        <f t="shared" si="43"/>
        <v>64</v>
      </c>
      <c r="N212" s="363" t="s">
        <v>283</v>
      </c>
      <c r="O212" s="352"/>
      <c r="P212" s="366">
        <f>SIZEOF_IN_MIB(J212:M212, $O209)</f>
        <v>2</v>
      </c>
      <c r="Q212" s="352"/>
    </row>
    <row r="213">
      <c r="E213" s="341"/>
      <c r="F213" s="334" t="s">
        <v>296</v>
      </c>
      <c r="G213" s="335"/>
      <c r="H213" s="363" t="s">
        <v>281</v>
      </c>
      <c r="I213" s="363" t="s">
        <v>282</v>
      </c>
      <c r="J213" s="364"/>
      <c r="K213" s="273" t="s">
        <v>104</v>
      </c>
      <c r="L213" s="273" t="s">
        <v>106</v>
      </c>
      <c r="M213" s="472" t="s">
        <v>204</v>
      </c>
      <c r="N213" s="363" t="s">
        <v>283</v>
      </c>
      <c r="O213" s="365" t="s">
        <v>125</v>
      </c>
      <c r="P213" s="366"/>
      <c r="Q213" s="365" t="b">
        <v>0</v>
      </c>
    </row>
    <row r="214">
      <c r="E214" s="341"/>
      <c r="F214" s="342"/>
      <c r="G214" s="343"/>
      <c r="H214" s="273" t="s">
        <v>285</v>
      </c>
      <c r="I214" s="363" t="s">
        <v>282</v>
      </c>
      <c r="J214" s="364"/>
      <c r="K214" s="363">
        <f t="shared" ref="K214:M214" si="44">PARAMS(K213)</f>
        <v>4096</v>
      </c>
      <c r="L214" s="363">
        <f t="shared" si="44"/>
        <v>5120</v>
      </c>
      <c r="M214" s="363">
        <f t="shared" si="44"/>
        <v>64</v>
      </c>
      <c r="N214" s="363" t="s">
        <v>283</v>
      </c>
      <c r="O214" s="341"/>
      <c r="P214" s="366">
        <f>SIZEOF_IN_MIB(J214:M214, $O213)</f>
        <v>1280</v>
      </c>
      <c r="Q214" s="341"/>
    </row>
    <row r="215">
      <c r="E215" s="341"/>
      <c r="F215" s="342"/>
      <c r="G215" s="343"/>
      <c r="H215" s="363" t="s">
        <v>287</v>
      </c>
      <c r="I215" s="363" t="s">
        <v>282</v>
      </c>
      <c r="J215" s="364"/>
      <c r="K215" s="273" t="s">
        <v>196</v>
      </c>
      <c r="L215" s="363"/>
      <c r="M215" s="363"/>
      <c r="N215" s="363" t="s">
        <v>283</v>
      </c>
      <c r="O215" s="341"/>
      <c r="P215" s="366"/>
      <c r="Q215" s="341"/>
    </row>
    <row r="216">
      <c r="E216" s="341"/>
      <c r="F216" s="353"/>
      <c r="G216" s="354"/>
      <c r="H216" s="349" t="s">
        <v>289</v>
      </c>
      <c r="I216" s="349" t="s">
        <v>282</v>
      </c>
      <c r="J216" s="336"/>
      <c r="K216" s="349">
        <f t="shared" ref="K216:M216" si="45">K214/SHARDING(K215)</f>
        <v>256</v>
      </c>
      <c r="L216" s="349">
        <f t="shared" si="45"/>
        <v>5120</v>
      </c>
      <c r="M216" s="349">
        <f t="shared" si="45"/>
        <v>64</v>
      </c>
      <c r="N216" s="349" t="s">
        <v>283</v>
      </c>
      <c r="O216" s="316"/>
      <c r="P216" s="351">
        <f>SIZEOF_IN_MIB(J216:M216, $O213)</f>
        <v>80</v>
      </c>
      <c r="Q216" s="316"/>
    </row>
    <row r="217">
      <c r="E217" s="341"/>
      <c r="F217" s="334" t="s">
        <v>56</v>
      </c>
      <c r="G217" s="335"/>
      <c r="H217" s="346" t="s">
        <v>281</v>
      </c>
      <c r="I217" s="346" t="s">
        <v>282</v>
      </c>
      <c r="J217" s="344" t="s">
        <v>104</v>
      </c>
      <c r="K217" s="344" t="s">
        <v>102</v>
      </c>
      <c r="L217" s="344" t="s">
        <v>106</v>
      </c>
      <c r="M217" s="344" t="s">
        <v>207</v>
      </c>
      <c r="N217" s="346" t="s">
        <v>283</v>
      </c>
      <c r="O217" s="546" t="s">
        <v>133</v>
      </c>
      <c r="P217" s="348"/>
      <c r="Q217" s="473" t="b">
        <v>1</v>
      </c>
    </row>
    <row r="218">
      <c r="E218" s="341"/>
      <c r="F218" s="342"/>
      <c r="G218" s="343"/>
      <c r="H218" s="337" t="s">
        <v>285</v>
      </c>
      <c r="I218" s="349" t="s">
        <v>282</v>
      </c>
      <c r="J218" s="349">
        <f t="shared" ref="J218:M218" si="46">PARAMS(J217)</f>
        <v>4096</v>
      </c>
      <c r="K218" s="349">
        <f t="shared" si="46"/>
        <v>1</v>
      </c>
      <c r="L218" s="349">
        <f t="shared" si="46"/>
        <v>5120</v>
      </c>
      <c r="M218" s="349">
        <f t="shared" si="46"/>
        <v>128</v>
      </c>
      <c r="N218" s="349" t="s">
        <v>283</v>
      </c>
      <c r="O218" s="350"/>
      <c r="P218" s="351">
        <f>SIZEOF_IN_MIB(J218:M218, $O217)</f>
        <v>5120</v>
      </c>
      <c r="Q218" s="350"/>
    </row>
    <row r="219">
      <c r="E219" s="341"/>
      <c r="F219" s="342"/>
      <c r="G219" s="343"/>
      <c r="H219" s="346" t="s">
        <v>287</v>
      </c>
      <c r="I219" s="346" t="s">
        <v>282</v>
      </c>
      <c r="J219" s="344" t="s">
        <v>196</v>
      </c>
      <c r="K219" s="344"/>
      <c r="L219" s="344"/>
      <c r="M219" s="346"/>
      <c r="N219" s="346" t="s">
        <v>283</v>
      </c>
      <c r="O219" s="347"/>
      <c r="P219" s="348"/>
      <c r="Q219" s="347"/>
    </row>
    <row r="220">
      <c r="E220" s="341"/>
      <c r="F220" s="353"/>
      <c r="G220" s="354"/>
      <c r="H220" s="349" t="s">
        <v>289</v>
      </c>
      <c r="I220" s="349" t="s">
        <v>282</v>
      </c>
      <c r="J220" s="349">
        <f t="shared" ref="J220:M220" si="47">J218/SHARDING(J219)</f>
        <v>256</v>
      </c>
      <c r="K220" s="349">
        <f t="shared" si="47"/>
        <v>1</v>
      </c>
      <c r="L220" s="349">
        <f t="shared" si="47"/>
        <v>5120</v>
      </c>
      <c r="M220" s="349">
        <f t="shared" si="47"/>
        <v>128</v>
      </c>
      <c r="N220" s="349" t="s">
        <v>283</v>
      </c>
      <c r="O220" s="316"/>
      <c r="P220" s="351">
        <f>SIZEOF_IN_MIB(J220:M220, $O217)</f>
        <v>320</v>
      </c>
      <c r="Q220" s="316"/>
    </row>
    <row r="221">
      <c r="E221" s="341"/>
      <c r="F221" s="474" t="s">
        <v>335</v>
      </c>
      <c r="G221" s="459" t="s">
        <v>109</v>
      </c>
      <c r="H221" s="497"/>
      <c r="I221" s="498"/>
      <c r="J221" s="345"/>
      <c r="K221" s="345"/>
      <c r="L221" s="346"/>
      <c r="M221" s="346"/>
      <c r="N221" s="346"/>
      <c r="O221" s="345"/>
      <c r="P221" s="348"/>
      <c r="Q221" s="379"/>
    </row>
    <row r="222">
      <c r="E222" s="341"/>
      <c r="F222" s="352"/>
      <c r="G222" s="459"/>
      <c r="H222" s="349"/>
      <c r="I222" s="492"/>
      <c r="J222" s="336"/>
      <c r="K222" s="336"/>
      <c r="L222" s="349"/>
      <c r="M222" s="349"/>
      <c r="N222" s="349"/>
      <c r="O222" s="336"/>
      <c r="P222" s="351"/>
      <c r="Q222" s="298"/>
    </row>
    <row r="223">
      <c r="E223" s="341"/>
      <c r="F223" s="458" t="s">
        <v>327</v>
      </c>
      <c r="G223" s="459" t="s">
        <v>328</v>
      </c>
      <c r="H223" s="346" t="str">
        <f>VLOOKUP(O209&amp;","&amp;O213,$T$2:$W$11,4, FALSE)</f>
        <v>fp8</v>
      </c>
      <c r="I223" s="493"/>
      <c r="J223" s="345"/>
      <c r="K223" s="345"/>
      <c r="L223" s="346"/>
      <c r="M223" s="346"/>
      <c r="N223" s="346"/>
      <c r="O223" s="345"/>
      <c r="P223" s="348"/>
      <c r="Q223" s="379"/>
    </row>
    <row r="224">
      <c r="E224" s="341"/>
      <c r="F224" s="341"/>
      <c r="G224" s="455" t="s">
        <v>341</v>
      </c>
      <c r="H224" s="494" t="str">
        <f>CALCULATE_FLOPS(J212:M212,J216:M216,M216,K216,H223)</f>
        <v>#N/A</v>
      </c>
      <c r="I224" s="492"/>
      <c r="J224" s="336"/>
      <c r="K224" s="336"/>
      <c r="L224" s="349"/>
      <c r="M224" s="349"/>
      <c r="N224" s="349"/>
      <c r="O224" s="336"/>
      <c r="P224" s="351"/>
      <c r="Q224" s="298"/>
    </row>
    <row r="225">
      <c r="E225" s="341"/>
      <c r="F225" s="352"/>
      <c r="G225" s="462" t="s">
        <v>330</v>
      </c>
      <c r="H225" s="495" t="str">
        <f>COMPUTE_TIME_MS(H224, H223)</f>
        <v>#N/A</v>
      </c>
      <c r="I225" s="464"/>
      <c r="J225" s="465"/>
      <c r="K225" s="465"/>
      <c r="L225" s="466"/>
      <c r="M225" s="466"/>
      <c r="N225" s="466"/>
      <c r="O225" s="465"/>
      <c r="P225" s="467"/>
      <c r="Q225" s="379"/>
    </row>
    <row r="226">
      <c r="E226" s="341"/>
      <c r="F226" s="458" t="s">
        <v>331</v>
      </c>
      <c r="G226" s="455" t="s">
        <v>332</v>
      </c>
      <c r="H226" s="377">
        <f>IF(Q209,0,P212)+IF(Q213,0,P216)+IF(Q217,0,P220)</f>
        <v>82</v>
      </c>
      <c r="I226" s="336"/>
      <c r="J226" s="336"/>
      <c r="K226" s="336"/>
      <c r="L226" s="349"/>
      <c r="M226" s="349"/>
      <c r="N226" s="349"/>
      <c r="O226" s="336"/>
      <c r="P226" s="351"/>
      <c r="Q226" s="298"/>
    </row>
    <row r="227">
      <c r="E227" s="352"/>
      <c r="F227" s="352"/>
      <c r="G227" s="469" t="s">
        <v>333</v>
      </c>
      <c r="H227" s="500" t="str">
        <f>HBM_TIME_MS(H226)</f>
        <v>#N/A</v>
      </c>
      <c r="I227" s="465"/>
      <c r="J227" s="465"/>
      <c r="K227" s="465"/>
      <c r="L227" s="466"/>
      <c r="M227" s="466"/>
      <c r="N227" s="466"/>
      <c r="O227" s="465"/>
      <c r="P227" s="467"/>
      <c r="Q227" s="379"/>
    </row>
    <row r="228">
      <c r="E228" s="333" t="s">
        <v>350</v>
      </c>
      <c r="F228" s="357" t="s">
        <v>292</v>
      </c>
      <c r="G228" s="335"/>
      <c r="H228" s="364" t="s">
        <v>281</v>
      </c>
      <c r="I228" s="364" t="s">
        <v>282</v>
      </c>
      <c r="J228" s="273" t="s">
        <v>104</v>
      </c>
      <c r="K228" s="273" t="s">
        <v>102</v>
      </c>
      <c r="L228" s="472" t="s">
        <v>106</v>
      </c>
      <c r="M228" s="273" t="s">
        <v>207</v>
      </c>
      <c r="N228" s="364" t="s">
        <v>283</v>
      </c>
      <c r="O228" s="365" t="s">
        <v>125</v>
      </c>
      <c r="P228" s="366"/>
      <c r="Q228" s="365" t="b">
        <v>1</v>
      </c>
    </row>
    <row r="229">
      <c r="E229" s="341"/>
      <c r="F229" s="342"/>
      <c r="G229" s="343"/>
      <c r="H229" s="273" t="s">
        <v>285</v>
      </c>
      <c r="I229" s="364" t="s">
        <v>282</v>
      </c>
      <c r="J229" s="363">
        <f t="shared" ref="J229:M229" si="48">PARAMS(J228)</f>
        <v>4096</v>
      </c>
      <c r="K229" s="364">
        <f t="shared" si="48"/>
        <v>1</v>
      </c>
      <c r="L229" s="364">
        <f t="shared" si="48"/>
        <v>5120</v>
      </c>
      <c r="M229" s="364">
        <f t="shared" si="48"/>
        <v>128</v>
      </c>
      <c r="N229" s="364" t="s">
        <v>283</v>
      </c>
      <c r="O229" s="341"/>
      <c r="P229" s="366">
        <f>SIZEOF_IN_MIB(J229:M229, $O228)</f>
        <v>2560</v>
      </c>
      <c r="Q229" s="341"/>
    </row>
    <row r="230">
      <c r="E230" s="341"/>
      <c r="F230" s="342"/>
      <c r="G230" s="343"/>
      <c r="H230" s="363" t="s">
        <v>287</v>
      </c>
      <c r="I230" s="363" t="s">
        <v>282</v>
      </c>
      <c r="J230" s="273" t="s">
        <v>196</v>
      </c>
      <c r="K230" s="273"/>
      <c r="L230" s="273"/>
      <c r="M230" s="363"/>
      <c r="N230" s="363" t="s">
        <v>283</v>
      </c>
      <c r="O230" s="341"/>
      <c r="P230" s="366"/>
      <c r="Q230" s="341"/>
    </row>
    <row r="231">
      <c r="E231" s="341"/>
      <c r="F231" s="353"/>
      <c r="G231" s="354"/>
      <c r="H231" s="273" t="s">
        <v>289</v>
      </c>
      <c r="I231" s="363" t="s">
        <v>282</v>
      </c>
      <c r="J231" s="363">
        <f t="shared" ref="J231:M231" si="49">J229/SHARDING(J230)</f>
        <v>256</v>
      </c>
      <c r="K231" s="363">
        <f t="shared" si="49"/>
        <v>1</v>
      </c>
      <c r="L231" s="363">
        <f t="shared" si="49"/>
        <v>5120</v>
      </c>
      <c r="M231" s="363">
        <f t="shared" si="49"/>
        <v>128</v>
      </c>
      <c r="N231" s="363" t="s">
        <v>283</v>
      </c>
      <c r="O231" s="352"/>
      <c r="P231" s="366">
        <f>SIZEOF_IN_MIB(J231:M231, $O228)</f>
        <v>160</v>
      </c>
      <c r="Q231" s="352"/>
    </row>
    <row r="232">
      <c r="E232" s="341"/>
      <c r="F232" s="334" t="s">
        <v>296</v>
      </c>
      <c r="G232" s="335"/>
      <c r="H232" s="363" t="s">
        <v>281</v>
      </c>
      <c r="I232" s="363" t="s">
        <v>282</v>
      </c>
      <c r="J232" s="273" t="s">
        <v>104</v>
      </c>
      <c r="K232" s="273"/>
      <c r="L232" s="472" t="s">
        <v>106</v>
      </c>
      <c r="M232" s="273" t="s">
        <v>198</v>
      </c>
      <c r="N232" s="363" t="s">
        <v>283</v>
      </c>
      <c r="O232" s="365" t="s">
        <v>125</v>
      </c>
      <c r="P232" s="366"/>
      <c r="Q232" s="365" t="b">
        <v>1</v>
      </c>
    </row>
    <row r="233">
      <c r="E233" s="341"/>
      <c r="F233" s="342"/>
      <c r="G233" s="343"/>
      <c r="H233" s="273" t="s">
        <v>285</v>
      </c>
      <c r="I233" s="363" t="s">
        <v>282</v>
      </c>
      <c r="J233" s="363">
        <f>PARAMS(J232)</f>
        <v>4096</v>
      </c>
      <c r="K233" s="363"/>
      <c r="L233" s="363">
        <f t="shared" ref="L233:M233" si="50">PARAMS(L232)</f>
        <v>5120</v>
      </c>
      <c r="M233" s="363">
        <f t="shared" si="50"/>
        <v>512</v>
      </c>
      <c r="N233" s="363" t="s">
        <v>283</v>
      </c>
      <c r="O233" s="341"/>
      <c r="P233" s="366">
        <f>SIZEOF_IN_MIB(J233:M233, $O232)</f>
        <v>10240</v>
      </c>
      <c r="Q233" s="341"/>
    </row>
    <row r="234">
      <c r="E234" s="341"/>
      <c r="F234" s="342"/>
      <c r="G234" s="343"/>
      <c r="H234" s="363" t="s">
        <v>287</v>
      </c>
      <c r="I234" s="363" t="s">
        <v>282</v>
      </c>
      <c r="J234" s="273" t="s">
        <v>196</v>
      </c>
      <c r="K234" s="364"/>
      <c r="L234" s="363"/>
      <c r="M234" s="363"/>
      <c r="N234" s="363" t="s">
        <v>283</v>
      </c>
      <c r="O234" s="341"/>
      <c r="P234" s="366"/>
      <c r="Q234" s="341"/>
    </row>
    <row r="235">
      <c r="E235" s="341"/>
      <c r="F235" s="353"/>
      <c r="G235" s="354"/>
      <c r="H235" s="349" t="s">
        <v>289</v>
      </c>
      <c r="I235" s="349" t="s">
        <v>282</v>
      </c>
      <c r="J235" s="349">
        <f>J233/SHARDING(J234)</f>
        <v>256</v>
      </c>
      <c r="K235" s="349"/>
      <c r="L235" s="349">
        <f t="shared" ref="L235:M235" si="51">L233/SHARDING(L234)</f>
        <v>5120</v>
      </c>
      <c r="M235" s="349">
        <f t="shared" si="51"/>
        <v>512</v>
      </c>
      <c r="N235" s="349" t="s">
        <v>283</v>
      </c>
      <c r="O235" s="316"/>
      <c r="P235" s="351">
        <f>SIZEOF_IN_MIB(J235:M235, $O232)</f>
        <v>640</v>
      </c>
      <c r="Q235" s="316"/>
    </row>
    <row r="236">
      <c r="E236" s="341"/>
      <c r="F236" s="334" t="s">
        <v>56</v>
      </c>
      <c r="G236" s="335"/>
      <c r="H236" s="346" t="s">
        <v>281</v>
      </c>
      <c r="I236" s="346" t="s">
        <v>282</v>
      </c>
      <c r="J236" s="344" t="s">
        <v>104</v>
      </c>
      <c r="K236" s="344" t="s">
        <v>102</v>
      </c>
      <c r="L236" s="344" t="s">
        <v>207</v>
      </c>
      <c r="M236" s="344" t="s">
        <v>198</v>
      </c>
      <c r="N236" s="346" t="s">
        <v>283</v>
      </c>
      <c r="O236" s="546" t="s">
        <v>133</v>
      </c>
      <c r="P236" s="348"/>
      <c r="Q236" s="473" t="b">
        <v>0</v>
      </c>
    </row>
    <row r="237">
      <c r="E237" s="341"/>
      <c r="F237" s="342"/>
      <c r="G237" s="343"/>
      <c r="H237" s="337" t="s">
        <v>285</v>
      </c>
      <c r="I237" s="349" t="s">
        <v>282</v>
      </c>
      <c r="J237" s="349">
        <f t="shared" ref="J237:M237" si="52">PARAMS(J236)</f>
        <v>4096</v>
      </c>
      <c r="K237" s="349">
        <f t="shared" si="52"/>
        <v>1</v>
      </c>
      <c r="L237" s="349">
        <f t="shared" si="52"/>
        <v>128</v>
      </c>
      <c r="M237" s="349">
        <f t="shared" si="52"/>
        <v>512</v>
      </c>
      <c r="N237" s="349" t="s">
        <v>283</v>
      </c>
      <c r="O237" s="350"/>
      <c r="P237" s="351">
        <f>SIZEOF_IN_MIB(J237:M237, $O236)</f>
        <v>512</v>
      </c>
      <c r="Q237" s="350"/>
    </row>
    <row r="238">
      <c r="E238" s="341"/>
      <c r="F238" s="342"/>
      <c r="G238" s="343"/>
      <c r="H238" s="346" t="s">
        <v>287</v>
      </c>
      <c r="I238" s="346" t="s">
        <v>282</v>
      </c>
      <c r="J238" s="344" t="s">
        <v>196</v>
      </c>
      <c r="K238" s="344"/>
      <c r="L238" s="344"/>
      <c r="M238" s="346"/>
      <c r="N238" s="346" t="s">
        <v>283</v>
      </c>
      <c r="O238" s="347"/>
      <c r="P238" s="348"/>
      <c r="Q238" s="347"/>
    </row>
    <row r="239">
      <c r="E239" s="341"/>
      <c r="F239" s="353"/>
      <c r="G239" s="354"/>
      <c r="H239" s="349" t="s">
        <v>289</v>
      </c>
      <c r="I239" s="349" t="s">
        <v>282</v>
      </c>
      <c r="J239" s="349">
        <f t="shared" ref="J239:M239" si="53">J237/SHARDING(J238)</f>
        <v>256</v>
      </c>
      <c r="K239" s="349">
        <f t="shared" si="53"/>
        <v>1</v>
      </c>
      <c r="L239" s="349">
        <f t="shared" si="53"/>
        <v>128</v>
      </c>
      <c r="M239" s="349">
        <f t="shared" si="53"/>
        <v>512</v>
      </c>
      <c r="N239" s="349" t="s">
        <v>283</v>
      </c>
      <c r="O239" s="316"/>
      <c r="P239" s="351">
        <f>SIZEOF_IN_MIB(J239:M239, $O236)</f>
        <v>32</v>
      </c>
      <c r="Q239" s="316"/>
    </row>
    <row r="240">
      <c r="E240" s="341"/>
      <c r="F240" s="474" t="s">
        <v>335</v>
      </c>
      <c r="G240" s="459" t="s">
        <v>109</v>
      </c>
      <c r="H240" s="497"/>
      <c r="I240" s="498"/>
      <c r="J240" s="345"/>
      <c r="K240" s="345"/>
      <c r="L240" s="346"/>
      <c r="M240" s="346"/>
      <c r="N240" s="346"/>
      <c r="O240" s="345"/>
      <c r="P240" s="348"/>
      <c r="Q240" s="379"/>
    </row>
    <row r="241">
      <c r="E241" s="341"/>
      <c r="F241" s="352"/>
      <c r="G241" s="459"/>
      <c r="H241" s="349"/>
      <c r="I241" s="492"/>
      <c r="J241" s="336"/>
      <c r="K241" s="336"/>
      <c r="L241" s="349"/>
      <c r="M241" s="349"/>
      <c r="N241" s="349"/>
      <c r="O241" s="336"/>
      <c r="P241" s="351"/>
      <c r="Q241" s="298"/>
    </row>
    <row r="242">
      <c r="E242" s="341"/>
      <c r="F242" s="458" t="s">
        <v>327</v>
      </c>
      <c r="G242" s="459" t="s">
        <v>328</v>
      </c>
      <c r="H242" s="346" t="str">
        <f>VLOOKUP(O228&amp;","&amp;O232,$T$2:$W$11,4, FALSE)</f>
        <v>fp8</v>
      </c>
      <c r="I242" s="493"/>
      <c r="J242" s="345"/>
      <c r="K242" s="345"/>
      <c r="L242" s="346"/>
      <c r="M242" s="346"/>
      <c r="N242" s="346"/>
      <c r="O242" s="345"/>
      <c r="P242" s="348"/>
      <c r="Q242" s="379"/>
    </row>
    <row r="243">
      <c r="E243" s="341"/>
      <c r="F243" s="341"/>
      <c r="G243" s="455" t="s">
        <v>341</v>
      </c>
      <c r="H243" s="494" t="str">
        <f>CALCULATE_FLOPS(J231:M231,J235:M235,L235,J235,H242)</f>
        <v>#N/A</v>
      </c>
      <c r="I243" s="492"/>
      <c r="J243" s="336"/>
      <c r="K243" s="336"/>
      <c r="L243" s="349"/>
      <c r="M243" s="349"/>
      <c r="N243" s="349"/>
      <c r="O243" s="336"/>
      <c r="P243" s="351"/>
      <c r="Q243" s="298"/>
    </row>
    <row r="244">
      <c r="E244" s="341"/>
      <c r="F244" s="352"/>
      <c r="G244" s="462" t="s">
        <v>330</v>
      </c>
      <c r="H244" s="495" t="str">
        <f>COMPUTE_TIME_MS(H243, H242)</f>
        <v>#N/A</v>
      </c>
      <c r="I244" s="464"/>
      <c r="J244" s="465"/>
      <c r="K244" s="465"/>
      <c r="L244" s="466"/>
      <c r="M244" s="466"/>
      <c r="N244" s="466"/>
      <c r="O244" s="465"/>
      <c r="P244" s="467"/>
      <c r="Q244" s="379"/>
    </row>
    <row r="245">
      <c r="E245" s="341"/>
      <c r="F245" s="458" t="s">
        <v>331</v>
      </c>
      <c r="G245" s="455" t="s">
        <v>332</v>
      </c>
      <c r="H245" s="377">
        <f>IF(Q228,0,P231)+IF(Q232,0,P235)+IF(Q236,0,P239)</f>
        <v>32</v>
      </c>
      <c r="I245" s="336"/>
      <c r="J245" s="336"/>
      <c r="K245" s="336"/>
      <c r="L245" s="349"/>
      <c r="M245" s="349"/>
      <c r="N245" s="349"/>
      <c r="O245" s="336"/>
      <c r="P245" s="351"/>
      <c r="Q245" s="298"/>
    </row>
    <row r="246">
      <c r="E246" s="352"/>
      <c r="F246" s="352"/>
      <c r="G246" s="469" t="s">
        <v>333</v>
      </c>
      <c r="H246" s="547" t="str">
        <f>HBM_TIME_MS(H245)</f>
        <v>#N/A</v>
      </c>
      <c r="I246" s="465"/>
      <c r="J246" s="465"/>
      <c r="K246" s="465"/>
      <c r="L246" s="466"/>
      <c r="M246" s="466"/>
      <c r="N246" s="466"/>
      <c r="O246" s="465"/>
      <c r="P246" s="467"/>
      <c r="Q246" s="379"/>
    </row>
    <row r="247">
      <c r="E247" s="333" t="s">
        <v>351</v>
      </c>
      <c r="F247" s="357" t="s">
        <v>292</v>
      </c>
      <c r="G247" s="335"/>
      <c r="H247" s="336" t="s">
        <v>281</v>
      </c>
      <c r="I247" s="336" t="s">
        <v>282</v>
      </c>
      <c r="J247" s="337" t="s">
        <v>104</v>
      </c>
      <c r="K247" s="337" t="s">
        <v>102</v>
      </c>
      <c r="L247" s="337" t="s">
        <v>207</v>
      </c>
      <c r="M247" s="499" t="s">
        <v>198</v>
      </c>
      <c r="N247" s="336" t="s">
        <v>283</v>
      </c>
      <c r="O247" s="338" t="s">
        <v>125</v>
      </c>
      <c r="P247" s="351"/>
      <c r="Q247" s="338" t="b">
        <v>0</v>
      </c>
    </row>
    <row r="248">
      <c r="E248" s="341"/>
      <c r="F248" s="342"/>
      <c r="G248" s="343"/>
      <c r="H248" s="344" t="s">
        <v>285</v>
      </c>
      <c r="I248" s="345" t="s">
        <v>282</v>
      </c>
      <c r="J248" s="346">
        <f t="shared" ref="J248:M248" si="54">PARAMS(J247)</f>
        <v>4096</v>
      </c>
      <c r="K248" s="345">
        <f t="shared" si="54"/>
        <v>1</v>
      </c>
      <c r="L248" s="345">
        <f t="shared" si="54"/>
        <v>128</v>
      </c>
      <c r="M248" s="345">
        <f t="shared" si="54"/>
        <v>512</v>
      </c>
      <c r="N248" s="345" t="s">
        <v>283</v>
      </c>
      <c r="O248" s="347"/>
      <c r="P248" s="348">
        <f>SIZEOF_IN_MIB(J248:M248, $O247)</f>
        <v>256</v>
      </c>
      <c r="Q248" s="347"/>
    </row>
    <row r="249">
      <c r="E249" s="341"/>
      <c r="F249" s="342"/>
      <c r="G249" s="343"/>
      <c r="H249" s="349" t="s">
        <v>287</v>
      </c>
      <c r="I249" s="349" t="s">
        <v>282</v>
      </c>
      <c r="J249" s="337" t="s">
        <v>196</v>
      </c>
      <c r="K249" s="337"/>
      <c r="L249" s="337"/>
      <c r="M249" s="349"/>
      <c r="N249" s="349" t="s">
        <v>283</v>
      </c>
      <c r="O249" s="350"/>
      <c r="P249" s="351"/>
      <c r="Q249" s="350"/>
    </row>
    <row r="250">
      <c r="E250" s="341"/>
      <c r="F250" s="353"/>
      <c r="G250" s="354"/>
      <c r="H250" s="344" t="s">
        <v>289</v>
      </c>
      <c r="I250" s="346" t="s">
        <v>282</v>
      </c>
      <c r="J250" s="346">
        <f t="shared" ref="J250:M250" si="55">J248/SHARDING(J249)</f>
        <v>256</v>
      </c>
      <c r="K250" s="346">
        <f t="shared" si="55"/>
        <v>1</v>
      </c>
      <c r="L250" s="346">
        <f t="shared" si="55"/>
        <v>128</v>
      </c>
      <c r="M250" s="346">
        <f t="shared" si="55"/>
        <v>512</v>
      </c>
      <c r="N250" s="346" t="s">
        <v>283</v>
      </c>
      <c r="O250" s="355"/>
      <c r="P250" s="348">
        <f>SIZEOF_IN_MIB(J250:M250, $O247)</f>
        <v>16</v>
      </c>
      <c r="Q250" s="355"/>
    </row>
    <row r="251">
      <c r="E251" s="341"/>
      <c r="F251" s="334" t="s">
        <v>296</v>
      </c>
      <c r="G251" s="335"/>
      <c r="H251" s="349" t="s">
        <v>281</v>
      </c>
      <c r="I251" s="349" t="s">
        <v>282</v>
      </c>
      <c r="J251" s="336"/>
      <c r="K251" s="337" t="s">
        <v>207</v>
      </c>
      <c r="L251" s="337" t="s">
        <v>201</v>
      </c>
      <c r="M251" s="499" t="s">
        <v>198</v>
      </c>
      <c r="N251" s="349" t="s">
        <v>283</v>
      </c>
      <c r="O251" s="338" t="s">
        <v>125</v>
      </c>
      <c r="P251" s="351"/>
      <c r="Q251" s="338" t="b">
        <v>0</v>
      </c>
    </row>
    <row r="252">
      <c r="E252" s="341"/>
      <c r="F252" s="342"/>
      <c r="G252" s="343"/>
      <c r="H252" s="344" t="s">
        <v>285</v>
      </c>
      <c r="I252" s="346" t="s">
        <v>282</v>
      </c>
      <c r="J252" s="345"/>
      <c r="K252" s="346">
        <f t="shared" ref="K252:M252" si="56">PARAMS(K251)</f>
        <v>128</v>
      </c>
      <c r="L252" s="346">
        <f t="shared" si="56"/>
        <v>128</v>
      </c>
      <c r="M252" s="346">
        <f t="shared" si="56"/>
        <v>512</v>
      </c>
      <c r="N252" s="346" t="s">
        <v>283</v>
      </c>
      <c r="O252" s="347"/>
      <c r="P252" s="348">
        <f>SIZEOF_IN_MIB(J252:M252, $O251)</f>
        <v>8</v>
      </c>
      <c r="Q252" s="347"/>
    </row>
    <row r="253">
      <c r="E253" s="341"/>
      <c r="F253" s="342"/>
      <c r="G253" s="343"/>
      <c r="H253" s="349" t="s">
        <v>287</v>
      </c>
      <c r="I253" s="349" t="s">
        <v>282</v>
      </c>
      <c r="J253" s="336"/>
      <c r="K253" s="336"/>
      <c r="L253" s="349"/>
      <c r="M253" s="349"/>
      <c r="N253" s="349" t="s">
        <v>283</v>
      </c>
      <c r="O253" s="350"/>
      <c r="P253" s="351"/>
      <c r="Q253" s="350"/>
    </row>
    <row r="254">
      <c r="E254" s="341"/>
      <c r="F254" s="353"/>
      <c r="G254" s="354"/>
      <c r="H254" s="346" t="s">
        <v>289</v>
      </c>
      <c r="I254" s="346" t="s">
        <v>282</v>
      </c>
      <c r="J254" s="345"/>
      <c r="K254" s="346">
        <f t="shared" ref="K254:M254" si="57">K252/SHARDING(K253)</f>
        <v>128</v>
      </c>
      <c r="L254" s="346">
        <f t="shared" si="57"/>
        <v>128</v>
      </c>
      <c r="M254" s="346">
        <f t="shared" si="57"/>
        <v>512</v>
      </c>
      <c r="N254" s="346" t="s">
        <v>283</v>
      </c>
      <c r="O254" s="355"/>
      <c r="P254" s="348">
        <f>SIZEOF_IN_MIB(J254:M254, $O251)</f>
        <v>8</v>
      </c>
      <c r="Q254" s="355"/>
    </row>
    <row r="255">
      <c r="E255" s="341"/>
      <c r="F255" s="334" t="s">
        <v>56</v>
      </c>
      <c r="G255" s="335"/>
      <c r="H255" s="349" t="s">
        <v>281</v>
      </c>
      <c r="I255" s="349" t="s">
        <v>282</v>
      </c>
      <c r="J255" s="337" t="s">
        <v>104</v>
      </c>
      <c r="K255" s="337" t="s">
        <v>102</v>
      </c>
      <c r="L255" s="337" t="s">
        <v>207</v>
      </c>
      <c r="M255" s="337" t="s">
        <v>201</v>
      </c>
      <c r="N255" s="349" t="s">
        <v>283</v>
      </c>
      <c r="O255" s="338" t="s">
        <v>133</v>
      </c>
      <c r="P255" s="351"/>
      <c r="Q255" s="338" t="b">
        <v>0</v>
      </c>
    </row>
    <row r="256">
      <c r="E256" s="341"/>
      <c r="F256" s="342"/>
      <c r="G256" s="343"/>
      <c r="H256" s="344" t="s">
        <v>285</v>
      </c>
      <c r="I256" s="346" t="s">
        <v>282</v>
      </c>
      <c r="J256" s="346">
        <f t="shared" ref="J256:M256" si="58">PARAMS(J255)</f>
        <v>4096</v>
      </c>
      <c r="K256" s="346">
        <f t="shared" si="58"/>
        <v>1</v>
      </c>
      <c r="L256" s="346">
        <f t="shared" si="58"/>
        <v>128</v>
      </c>
      <c r="M256" s="346">
        <f t="shared" si="58"/>
        <v>128</v>
      </c>
      <c r="N256" s="346" t="s">
        <v>283</v>
      </c>
      <c r="O256" s="347"/>
      <c r="P256" s="348">
        <f>SIZEOF_IN_MIB(J256:M256, $O255)</f>
        <v>128</v>
      </c>
      <c r="Q256" s="347"/>
    </row>
    <row r="257">
      <c r="E257" s="341"/>
      <c r="F257" s="342"/>
      <c r="G257" s="343"/>
      <c r="H257" s="349" t="s">
        <v>287</v>
      </c>
      <c r="I257" s="349" t="s">
        <v>282</v>
      </c>
      <c r="J257" s="337" t="s">
        <v>196</v>
      </c>
      <c r="K257" s="337"/>
      <c r="L257" s="337"/>
      <c r="M257" s="349"/>
      <c r="N257" s="349" t="s">
        <v>283</v>
      </c>
      <c r="O257" s="350"/>
      <c r="P257" s="351"/>
      <c r="Q257" s="350"/>
    </row>
    <row r="258">
      <c r="E258" s="341"/>
      <c r="F258" s="353"/>
      <c r="G258" s="354"/>
      <c r="H258" s="346" t="s">
        <v>289</v>
      </c>
      <c r="I258" s="346" t="s">
        <v>282</v>
      </c>
      <c r="J258" s="346">
        <f t="shared" ref="J258:M258" si="59">J256/SHARDING(J257)</f>
        <v>256</v>
      </c>
      <c r="K258" s="346">
        <f t="shared" si="59"/>
        <v>1</v>
      </c>
      <c r="L258" s="346">
        <f t="shared" si="59"/>
        <v>128</v>
      </c>
      <c r="M258" s="346">
        <f t="shared" si="59"/>
        <v>128</v>
      </c>
      <c r="N258" s="346" t="s">
        <v>283</v>
      </c>
      <c r="O258" s="355"/>
      <c r="P258" s="348">
        <f>SIZEOF_IN_MIB(J258:M258, $O255)</f>
        <v>8</v>
      </c>
      <c r="Q258" s="355"/>
    </row>
    <row r="259">
      <c r="E259" s="341"/>
      <c r="F259" s="474" t="s">
        <v>335</v>
      </c>
      <c r="G259" s="459" t="s">
        <v>109</v>
      </c>
      <c r="H259" s="548"/>
      <c r="I259" s="549"/>
      <c r="J259" s="336"/>
      <c r="K259" s="336"/>
      <c r="L259" s="349"/>
      <c r="M259" s="349"/>
      <c r="N259" s="349"/>
      <c r="O259" s="336"/>
      <c r="P259" s="351"/>
      <c r="Q259" s="298"/>
    </row>
    <row r="260">
      <c r="E260" s="341"/>
      <c r="F260" s="352"/>
      <c r="G260" s="459"/>
      <c r="H260" s="346"/>
      <c r="I260" s="493"/>
      <c r="J260" s="345"/>
      <c r="K260" s="345"/>
      <c r="L260" s="346"/>
      <c r="M260" s="346"/>
      <c r="N260" s="346"/>
      <c r="O260" s="345"/>
      <c r="P260" s="348"/>
      <c r="Q260" s="379"/>
    </row>
    <row r="261">
      <c r="E261" s="341"/>
      <c r="F261" s="458" t="s">
        <v>327</v>
      </c>
      <c r="G261" s="459" t="s">
        <v>328</v>
      </c>
      <c r="H261" s="349" t="str">
        <f>VLOOKUP(O247&amp;","&amp;O251,$T$2:$W$11,4, FALSE)</f>
        <v>fp8</v>
      </c>
      <c r="I261" s="492"/>
      <c r="J261" s="336"/>
      <c r="K261" s="336"/>
      <c r="L261" s="349"/>
      <c r="M261" s="349"/>
      <c r="N261" s="349"/>
      <c r="O261" s="336"/>
      <c r="P261" s="351"/>
      <c r="Q261" s="298"/>
    </row>
    <row r="262">
      <c r="E262" s="341"/>
      <c r="F262" s="341"/>
      <c r="G262" s="455" t="s">
        <v>341</v>
      </c>
      <c r="H262" s="550" t="str">
        <f>CALCULATE_FLOPS(J250:M250,J254:M254,M254,K254,H261)</f>
        <v>#N/A</v>
      </c>
      <c r="I262" s="493"/>
      <c r="J262" s="345"/>
      <c r="K262" s="345"/>
      <c r="L262" s="346"/>
      <c r="M262" s="346"/>
      <c r="N262" s="346"/>
      <c r="O262" s="345"/>
      <c r="P262" s="348"/>
      <c r="Q262" s="379"/>
    </row>
    <row r="263">
      <c r="E263" s="341"/>
      <c r="F263" s="352"/>
      <c r="G263" s="462" t="s">
        <v>330</v>
      </c>
      <c r="H263" s="495" t="str">
        <f>COMPUTE_TIME_MS(H262, H261)</f>
        <v>#N/A</v>
      </c>
      <c r="I263" s="464"/>
      <c r="J263" s="465"/>
      <c r="K263" s="465"/>
      <c r="L263" s="466"/>
      <c r="M263" s="466"/>
      <c r="N263" s="466"/>
      <c r="O263" s="465"/>
      <c r="P263" s="467"/>
      <c r="Q263" s="298"/>
    </row>
    <row r="264">
      <c r="E264" s="341"/>
      <c r="F264" s="458" t="s">
        <v>331</v>
      </c>
      <c r="G264" s="455" t="s">
        <v>332</v>
      </c>
      <c r="H264" s="509">
        <f>IF(Q247,0,P250)+IF(Q251,0,P254)+IF(Q255,0,P258)</f>
        <v>32</v>
      </c>
      <c r="I264" s="345"/>
      <c r="J264" s="345"/>
      <c r="K264" s="345"/>
      <c r="L264" s="346"/>
      <c r="M264" s="346"/>
      <c r="N264" s="346"/>
      <c r="O264" s="345"/>
      <c r="P264" s="348"/>
      <c r="Q264" s="379"/>
    </row>
    <row r="265">
      <c r="E265" s="352"/>
      <c r="F265" s="352"/>
      <c r="G265" s="469" t="s">
        <v>333</v>
      </c>
      <c r="H265" s="500" t="str">
        <f>HBM_TIME_MS(H264)</f>
        <v>#N/A</v>
      </c>
      <c r="I265" s="465"/>
      <c r="J265" s="465"/>
      <c r="K265" s="465"/>
      <c r="L265" s="466"/>
      <c r="M265" s="466"/>
      <c r="N265" s="466"/>
      <c r="O265" s="465"/>
      <c r="P265" s="467"/>
      <c r="Q265" s="298"/>
    </row>
    <row r="266">
      <c r="E266" s="333" t="s">
        <v>355</v>
      </c>
      <c r="F266" s="357" t="s">
        <v>292</v>
      </c>
      <c r="G266" s="335"/>
      <c r="H266" s="345" t="s">
        <v>281</v>
      </c>
      <c r="I266" s="345" t="s">
        <v>282</v>
      </c>
      <c r="J266" s="344" t="s">
        <v>104</v>
      </c>
      <c r="K266" s="344" t="s">
        <v>102</v>
      </c>
      <c r="L266" s="556" t="s">
        <v>207</v>
      </c>
      <c r="M266" s="556" t="s">
        <v>201</v>
      </c>
      <c r="N266" s="345" t="s">
        <v>283</v>
      </c>
      <c r="O266" s="473" t="s">
        <v>125</v>
      </c>
      <c r="P266" s="348"/>
      <c r="Q266" s="473" t="b">
        <v>0</v>
      </c>
    </row>
    <row r="267">
      <c r="E267" s="341"/>
      <c r="F267" s="342"/>
      <c r="G267" s="343"/>
      <c r="H267" s="337" t="s">
        <v>285</v>
      </c>
      <c r="I267" s="336" t="s">
        <v>282</v>
      </c>
      <c r="J267" s="349">
        <f t="shared" ref="J267:M267" si="60">PARAMS(J266)</f>
        <v>4096</v>
      </c>
      <c r="K267" s="336">
        <f t="shared" si="60"/>
        <v>1</v>
      </c>
      <c r="L267" s="336">
        <f t="shared" si="60"/>
        <v>128</v>
      </c>
      <c r="M267" s="336">
        <f t="shared" si="60"/>
        <v>128</v>
      </c>
      <c r="N267" s="336" t="s">
        <v>283</v>
      </c>
      <c r="O267" s="350"/>
      <c r="P267" s="351">
        <f>SIZEOF_IN_MIB(J267:M267, $O266)</f>
        <v>64</v>
      </c>
      <c r="Q267" s="350"/>
    </row>
    <row r="268">
      <c r="E268" s="341"/>
      <c r="F268" s="342"/>
      <c r="G268" s="343"/>
      <c r="H268" s="346" t="s">
        <v>287</v>
      </c>
      <c r="I268" s="346" t="s">
        <v>282</v>
      </c>
      <c r="J268" s="344" t="s">
        <v>196</v>
      </c>
      <c r="K268" s="344"/>
      <c r="L268" s="344"/>
      <c r="M268" s="346"/>
      <c r="N268" s="346" t="s">
        <v>283</v>
      </c>
      <c r="O268" s="347"/>
      <c r="P268" s="348"/>
      <c r="Q268" s="347"/>
    </row>
    <row r="269">
      <c r="E269" s="341"/>
      <c r="F269" s="353"/>
      <c r="G269" s="354"/>
      <c r="H269" s="337" t="s">
        <v>289</v>
      </c>
      <c r="I269" s="349" t="s">
        <v>282</v>
      </c>
      <c r="J269" s="349">
        <f t="shared" ref="J269:M269" si="61">J267/SHARDING(J268)</f>
        <v>256</v>
      </c>
      <c r="K269" s="349">
        <f t="shared" si="61"/>
        <v>1</v>
      </c>
      <c r="L269" s="349">
        <f t="shared" si="61"/>
        <v>128</v>
      </c>
      <c r="M269" s="349">
        <f t="shared" si="61"/>
        <v>128</v>
      </c>
      <c r="N269" s="349" t="s">
        <v>283</v>
      </c>
      <c r="O269" s="316"/>
      <c r="P269" s="351">
        <f>SIZEOF_IN_MIB(J269:M269, $O266)</f>
        <v>4</v>
      </c>
      <c r="Q269" s="316"/>
    </row>
    <row r="270">
      <c r="E270" s="341"/>
      <c r="F270" s="334" t="s">
        <v>296</v>
      </c>
      <c r="G270" s="335"/>
      <c r="H270" s="346" t="s">
        <v>281</v>
      </c>
      <c r="I270" s="346" t="s">
        <v>282</v>
      </c>
      <c r="J270" s="345"/>
      <c r="K270" s="556" t="s">
        <v>207</v>
      </c>
      <c r="L270" s="556" t="s">
        <v>201</v>
      </c>
      <c r="M270" s="344" t="s">
        <v>178</v>
      </c>
      <c r="N270" s="346" t="s">
        <v>283</v>
      </c>
      <c r="O270" s="473" t="s">
        <v>125</v>
      </c>
      <c r="P270" s="348"/>
      <c r="Q270" s="473" t="b">
        <v>0</v>
      </c>
    </row>
    <row r="271">
      <c r="E271" s="341"/>
      <c r="F271" s="342"/>
      <c r="G271" s="343"/>
      <c r="H271" s="337" t="s">
        <v>285</v>
      </c>
      <c r="I271" s="349" t="s">
        <v>282</v>
      </c>
      <c r="J271" s="336"/>
      <c r="K271" s="349">
        <f t="shared" ref="K271:M271" si="62">PARAMS(K270)</f>
        <v>128</v>
      </c>
      <c r="L271" s="349">
        <f t="shared" si="62"/>
        <v>128</v>
      </c>
      <c r="M271" s="349">
        <f t="shared" si="62"/>
        <v>7168</v>
      </c>
      <c r="N271" s="349" t="s">
        <v>283</v>
      </c>
      <c r="O271" s="350"/>
      <c r="P271" s="351">
        <f>SIZEOF_IN_MIB(J271:M271, $O270)</f>
        <v>112</v>
      </c>
      <c r="Q271" s="350"/>
    </row>
    <row r="272">
      <c r="E272" s="341"/>
      <c r="F272" s="342"/>
      <c r="G272" s="343"/>
      <c r="H272" s="346" t="s">
        <v>287</v>
      </c>
      <c r="I272" s="346" t="s">
        <v>282</v>
      </c>
      <c r="J272" s="345"/>
      <c r="K272" s="345"/>
      <c r="L272" s="346"/>
      <c r="M272" s="346"/>
      <c r="N272" s="346" t="s">
        <v>283</v>
      </c>
      <c r="O272" s="347"/>
      <c r="P272" s="348"/>
      <c r="Q272" s="347"/>
    </row>
    <row r="273">
      <c r="E273" s="341"/>
      <c r="F273" s="353"/>
      <c r="G273" s="354"/>
      <c r="H273" s="349" t="s">
        <v>289</v>
      </c>
      <c r="I273" s="349" t="s">
        <v>282</v>
      </c>
      <c r="J273" s="336"/>
      <c r="K273" s="349">
        <f t="shared" ref="K273:M273" si="63">K271/SHARDING(K272)</f>
        <v>128</v>
      </c>
      <c r="L273" s="349">
        <f t="shared" si="63"/>
        <v>128</v>
      </c>
      <c r="M273" s="349">
        <f t="shared" si="63"/>
        <v>7168</v>
      </c>
      <c r="N273" s="349" t="s">
        <v>283</v>
      </c>
      <c r="O273" s="316"/>
      <c r="P273" s="351">
        <f>SIZEOF_IN_MIB(J273:M273, $O270)</f>
        <v>112</v>
      </c>
      <c r="Q273" s="316"/>
    </row>
    <row r="274">
      <c r="E274" s="341"/>
      <c r="F274" s="334" t="s">
        <v>56</v>
      </c>
      <c r="G274" s="335"/>
      <c r="H274" s="346" t="s">
        <v>281</v>
      </c>
      <c r="I274" s="346" t="s">
        <v>282</v>
      </c>
      <c r="J274" s="345"/>
      <c r="K274" s="344" t="s">
        <v>104</v>
      </c>
      <c r="L274" s="344" t="s">
        <v>102</v>
      </c>
      <c r="M274" s="344" t="s">
        <v>178</v>
      </c>
      <c r="N274" s="346" t="s">
        <v>283</v>
      </c>
      <c r="O274" s="473" t="s">
        <v>133</v>
      </c>
      <c r="P274" s="348"/>
      <c r="Q274" s="473" t="b">
        <v>0</v>
      </c>
    </row>
    <row r="275">
      <c r="E275" s="341"/>
      <c r="F275" s="342"/>
      <c r="G275" s="343"/>
      <c r="H275" s="337" t="s">
        <v>285</v>
      </c>
      <c r="I275" s="349" t="s">
        <v>282</v>
      </c>
      <c r="J275" s="336"/>
      <c r="K275" s="349">
        <f t="shared" ref="K275:M275" si="64">PARAMS(K274)</f>
        <v>4096</v>
      </c>
      <c r="L275" s="349">
        <f t="shared" si="64"/>
        <v>1</v>
      </c>
      <c r="M275" s="349">
        <f t="shared" si="64"/>
        <v>7168</v>
      </c>
      <c r="N275" s="349" t="s">
        <v>283</v>
      </c>
      <c r="O275" s="350"/>
      <c r="P275" s="351">
        <f>SIZEOF_IN_MIB(K275:M275, $O274)</f>
        <v>56</v>
      </c>
      <c r="Q275" s="350"/>
    </row>
    <row r="276">
      <c r="E276" s="341"/>
      <c r="F276" s="342"/>
      <c r="G276" s="343"/>
      <c r="H276" s="346" t="s">
        <v>287</v>
      </c>
      <c r="I276" s="346" t="s">
        <v>282</v>
      </c>
      <c r="J276" s="345"/>
      <c r="K276" s="344" t="s">
        <v>196</v>
      </c>
      <c r="L276" s="344"/>
      <c r="M276" s="346"/>
      <c r="N276" s="346" t="s">
        <v>283</v>
      </c>
      <c r="O276" s="347"/>
      <c r="P276" s="348"/>
      <c r="Q276" s="347"/>
    </row>
    <row r="277">
      <c r="E277" s="341"/>
      <c r="F277" s="353"/>
      <c r="G277" s="354"/>
      <c r="H277" s="349" t="s">
        <v>289</v>
      </c>
      <c r="I277" s="349" t="s">
        <v>282</v>
      </c>
      <c r="J277" s="349"/>
      <c r="K277" s="349">
        <f t="shared" ref="K277:M277" si="65">K275/SHARDING(K276)</f>
        <v>256</v>
      </c>
      <c r="L277" s="349">
        <f t="shared" si="65"/>
        <v>1</v>
      </c>
      <c r="M277" s="349">
        <f t="shared" si="65"/>
        <v>7168</v>
      </c>
      <c r="N277" s="349" t="s">
        <v>283</v>
      </c>
      <c r="O277" s="316"/>
      <c r="P277" s="351">
        <f>SIZEOF_IN_MIB(K277:M277, $O274)</f>
        <v>3.5</v>
      </c>
      <c r="Q277" s="316"/>
    </row>
    <row r="278">
      <c r="E278" s="341"/>
      <c r="F278" s="474" t="s">
        <v>335</v>
      </c>
      <c r="G278" s="459" t="s">
        <v>109</v>
      </c>
      <c r="H278" s="497"/>
      <c r="I278" s="498"/>
      <c r="J278" s="345"/>
      <c r="K278" s="345"/>
      <c r="L278" s="346"/>
      <c r="M278" s="346"/>
      <c r="N278" s="346"/>
      <c r="O278" s="345"/>
      <c r="P278" s="348"/>
      <c r="Q278" s="379"/>
    </row>
    <row r="279">
      <c r="E279" s="341"/>
      <c r="F279" s="352"/>
      <c r="G279" s="459"/>
      <c r="H279" s="349"/>
      <c r="I279" s="492"/>
      <c r="J279" s="336"/>
      <c r="K279" s="336"/>
      <c r="L279" s="349"/>
      <c r="M279" s="349"/>
      <c r="N279" s="349"/>
      <c r="O279" s="336"/>
      <c r="P279" s="339"/>
      <c r="Q279" s="298"/>
    </row>
    <row r="280">
      <c r="E280" s="341"/>
      <c r="F280" s="458" t="s">
        <v>327</v>
      </c>
      <c r="G280" s="459" t="s">
        <v>328</v>
      </c>
      <c r="H280" s="346" t="str">
        <f>VLOOKUP(O266&amp;","&amp;O270,$T$2:$W$11,4, FALSE)</f>
        <v>fp8</v>
      </c>
      <c r="I280" s="493"/>
      <c r="J280" s="345"/>
      <c r="K280" s="345"/>
      <c r="L280" s="346"/>
      <c r="M280" s="346"/>
      <c r="N280" s="346"/>
      <c r="O280" s="345"/>
      <c r="P280" s="578"/>
      <c r="Q280" s="379"/>
    </row>
    <row r="281">
      <c r="E281" s="341"/>
      <c r="F281" s="341"/>
      <c r="G281" s="455" t="s">
        <v>341</v>
      </c>
      <c r="H281" s="494" t="str">
        <f>CALCULATE_FLOPS(J269:M269,J273:M273,K273:L273,1,H280)</f>
        <v>#N/A</v>
      </c>
      <c r="I281" s="883" t="s">
        <v>359</v>
      </c>
      <c r="J281" s="336"/>
      <c r="K281" s="336"/>
      <c r="L281" s="349"/>
      <c r="M281" s="349"/>
      <c r="N281" s="349"/>
      <c r="O281" s="336"/>
      <c r="P281" s="339"/>
      <c r="Q281" s="298"/>
    </row>
    <row r="282">
      <c r="E282" s="341"/>
      <c r="F282" s="352"/>
      <c r="G282" s="462" t="s">
        <v>330</v>
      </c>
      <c r="H282" s="585" t="str">
        <f>COMPUTE_TIME_MS(H281, H280)</f>
        <v>#N/A</v>
      </c>
      <c r="I282" s="464"/>
      <c r="J282" s="465"/>
      <c r="K282" s="465"/>
      <c r="L282" s="466"/>
      <c r="M282" s="466"/>
      <c r="N282" s="466"/>
      <c r="O282" s="465"/>
      <c r="P282" s="586"/>
      <c r="Q282" s="379"/>
    </row>
    <row r="283">
      <c r="E283" s="341"/>
      <c r="F283" s="458" t="s">
        <v>331</v>
      </c>
      <c r="G283" s="455" t="s">
        <v>332</v>
      </c>
      <c r="H283" s="377">
        <f>IF(Q266,0,P269)+IF(Q270,0,P273)+IF(Q274,0,P277)</f>
        <v>119.5</v>
      </c>
      <c r="I283" s="336"/>
      <c r="J283" s="336"/>
      <c r="K283" s="336"/>
      <c r="L283" s="349"/>
      <c r="M283" s="349"/>
      <c r="N283" s="349"/>
      <c r="O283" s="336"/>
      <c r="P283" s="339"/>
      <c r="Q283" s="298"/>
    </row>
    <row r="284">
      <c r="E284" s="352"/>
      <c r="F284" s="352"/>
      <c r="G284" s="469" t="s">
        <v>333</v>
      </c>
      <c r="H284" s="547" t="str">
        <f>HBM_TIME_MS(H283)</f>
        <v>#N/A</v>
      </c>
      <c r="I284" s="465"/>
      <c r="J284" s="465"/>
      <c r="K284" s="465"/>
      <c r="L284" s="466"/>
      <c r="M284" s="466"/>
      <c r="N284" s="466"/>
      <c r="O284" s="465"/>
      <c r="P284" s="586"/>
      <c r="Q284" s="379"/>
    </row>
    <row r="288">
      <c r="E288" s="884" t="s">
        <v>360</v>
      </c>
      <c r="F288" s="11"/>
      <c r="G288" s="11"/>
      <c r="H288" s="11"/>
      <c r="I288" s="11"/>
      <c r="J288" s="11"/>
      <c r="K288" s="11"/>
      <c r="L288" s="11"/>
      <c r="M288" s="11"/>
      <c r="N288" s="11"/>
      <c r="O288" s="11"/>
      <c r="P288" s="11"/>
      <c r="Q288" s="11"/>
    </row>
    <row r="289">
      <c r="E289" s="324" t="s">
        <v>272</v>
      </c>
      <c r="F289" s="587" t="s">
        <v>273</v>
      </c>
      <c r="G289" s="326"/>
      <c r="H289" s="588"/>
      <c r="I289" s="325" t="s">
        <v>274</v>
      </c>
      <c r="J289" s="589"/>
      <c r="K289" s="589"/>
      <c r="L289" s="589"/>
      <c r="M289" s="589"/>
      <c r="N289" s="588"/>
      <c r="O289" s="328" t="s">
        <v>275</v>
      </c>
      <c r="P289" s="328" t="s">
        <v>361</v>
      </c>
      <c r="Q289" s="330" t="s">
        <v>277</v>
      </c>
    </row>
    <row r="290">
      <c r="E290" s="333" t="s">
        <v>362</v>
      </c>
      <c r="F290" s="590" t="s">
        <v>335</v>
      </c>
      <c r="G290" s="591" t="s">
        <v>363</v>
      </c>
      <c r="H290" s="592" t="s">
        <v>364</v>
      </c>
      <c r="I290" s="448"/>
      <c r="J290" s="448"/>
      <c r="K290" s="553"/>
      <c r="L290" s="553"/>
      <c r="M290" s="593"/>
      <c r="N290" s="448"/>
      <c r="O290" s="553"/>
      <c r="P290" s="448"/>
      <c r="Q290" s="553"/>
    </row>
    <row r="291">
      <c r="E291" s="341"/>
      <c r="F291" s="341"/>
      <c r="G291" s="371" t="s">
        <v>301</v>
      </c>
      <c r="H291" s="531" t="s">
        <v>281</v>
      </c>
      <c r="I291" s="336" t="s">
        <v>282</v>
      </c>
      <c r="J291" s="336"/>
      <c r="K291" s="337" t="s">
        <v>104</v>
      </c>
      <c r="L291" s="337" t="s">
        <v>212</v>
      </c>
      <c r="M291" s="358" t="s">
        <v>178</v>
      </c>
      <c r="N291" s="336" t="s">
        <v>283</v>
      </c>
      <c r="O291" s="338" t="s">
        <v>125</v>
      </c>
      <c r="P291" s="336"/>
      <c r="Q291" s="338"/>
    </row>
    <row r="292">
      <c r="E292" s="341"/>
      <c r="F292" s="341"/>
      <c r="G292" s="341"/>
      <c r="H292" s="378" t="s">
        <v>285</v>
      </c>
      <c r="I292" s="345" t="s">
        <v>282</v>
      </c>
      <c r="J292" s="346"/>
      <c r="K292" s="345">
        <f t="shared" ref="K292:M292" si="66">PARAMS(K291)</f>
        <v>4096</v>
      </c>
      <c r="L292" s="345">
        <f t="shared" si="66"/>
        <v>8</v>
      </c>
      <c r="M292" s="345">
        <f t="shared" si="66"/>
        <v>7168</v>
      </c>
      <c r="N292" s="345" t="s">
        <v>283</v>
      </c>
      <c r="O292" s="347"/>
      <c r="P292" s="509">
        <f>SIZEOF_IN_MIB(J292:M292, O291)</f>
        <v>224</v>
      </c>
      <c r="Q292" s="347"/>
    </row>
    <row r="293">
      <c r="E293" s="341"/>
      <c r="F293" s="341"/>
      <c r="G293" s="341"/>
      <c r="H293" s="376" t="s">
        <v>302</v>
      </c>
      <c r="I293" s="349" t="s">
        <v>282</v>
      </c>
      <c r="J293" s="336"/>
      <c r="K293" s="337" t="s">
        <v>196</v>
      </c>
      <c r="L293" s="337"/>
      <c r="M293" s="337"/>
      <c r="N293" s="349" t="s">
        <v>283</v>
      </c>
      <c r="O293" s="350"/>
      <c r="P293" s="377"/>
      <c r="Q293" s="350"/>
    </row>
    <row r="294">
      <c r="E294" s="341"/>
      <c r="F294" s="341"/>
      <c r="G294" s="341"/>
      <c r="H294" s="378" t="s">
        <v>303</v>
      </c>
      <c r="I294" s="346" t="s">
        <v>282</v>
      </c>
      <c r="J294" s="345"/>
      <c r="K294" s="346">
        <f t="shared" ref="K294:M294" si="67">K292/SHARDING(K293)</f>
        <v>256</v>
      </c>
      <c r="L294" s="346">
        <f t="shared" si="67"/>
        <v>8</v>
      </c>
      <c r="M294" s="346">
        <f t="shared" si="67"/>
        <v>7168</v>
      </c>
      <c r="N294" s="344" t="s">
        <v>283</v>
      </c>
      <c r="O294" s="347"/>
      <c r="P294" s="509"/>
      <c r="Q294" s="347"/>
    </row>
    <row r="295">
      <c r="E295" s="341"/>
      <c r="F295" s="341"/>
      <c r="G295" s="352"/>
      <c r="H295" s="376" t="s">
        <v>304</v>
      </c>
      <c r="I295" s="349" t="s">
        <v>282</v>
      </c>
      <c r="J295" s="336"/>
      <c r="K295" s="337" t="s">
        <v>196</v>
      </c>
      <c r="L295" s="337"/>
      <c r="M295" s="337"/>
      <c r="N295" s="349" t="s">
        <v>283</v>
      </c>
      <c r="O295" s="316"/>
      <c r="P295" s="377">
        <f>SIZEOF_IN_MIB(J294:M294, O291)</f>
        <v>14</v>
      </c>
      <c r="Q295" s="316"/>
    </row>
    <row r="296">
      <c r="E296" s="341"/>
      <c r="F296" s="341"/>
      <c r="G296" s="594" t="s">
        <v>608</v>
      </c>
      <c r="H296" s="715">
        <f>P292</f>
        <v>224</v>
      </c>
      <c r="I296" s="379"/>
      <c r="J296" s="379"/>
      <c r="K296" s="379"/>
      <c r="L296" s="379"/>
      <c r="M296" s="379"/>
      <c r="N296" s="379"/>
      <c r="O296" s="379"/>
      <c r="P296" s="596"/>
      <c r="Q296" s="379"/>
    </row>
    <row r="297">
      <c r="E297" s="341"/>
      <c r="F297" s="341"/>
      <c r="G297" s="599" t="s">
        <v>609</v>
      </c>
      <c r="H297" s="885" t="str">
        <f>ALL2ALL_CHIP2CHIP_TIME_MS(H296)</f>
        <v>#N/A</v>
      </c>
      <c r="I297" s="298"/>
      <c r="J297" s="298"/>
      <c r="K297" s="298"/>
      <c r="L297" s="298"/>
      <c r="M297" s="298"/>
      <c r="N297" s="298"/>
      <c r="O297" s="298"/>
      <c r="P297" s="598"/>
      <c r="Q297" s="298"/>
    </row>
    <row r="298">
      <c r="E298" s="341"/>
      <c r="F298" s="341"/>
      <c r="G298" s="601"/>
      <c r="H298" s="517"/>
      <c r="I298" s="346"/>
      <c r="J298" s="345"/>
      <c r="K298" s="344"/>
      <c r="L298" s="556"/>
      <c r="M298" s="344"/>
      <c r="N298" s="346"/>
      <c r="O298" s="344"/>
      <c r="P298" s="509"/>
      <c r="Q298" s="344"/>
    </row>
    <row r="299">
      <c r="E299" s="341"/>
      <c r="F299" s="341"/>
      <c r="G299" s="591" t="s">
        <v>368</v>
      </c>
      <c r="H299" s="603" t="s">
        <v>610</v>
      </c>
      <c r="I299" s="449"/>
      <c r="J299" s="448"/>
      <c r="K299" s="553"/>
      <c r="L299" s="446"/>
      <c r="M299" s="553"/>
      <c r="N299" s="449"/>
      <c r="O299" s="553"/>
      <c r="P299" s="604"/>
      <c r="Q299" s="553"/>
    </row>
    <row r="300">
      <c r="E300" s="341"/>
      <c r="F300" s="341"/>
      <c r="G300" s="371" t="s">
        <v>301</v>
      </c>
      <c r="H300" s="517" t="s">
        <v>281</v>
      </c>
      <c r="I300" s="346" t="s">
        <v>282</v>
      </c>
      <c r="J300" s="345"/>
      <c r="K300" s="344" t="s">
        <v>104</v>
      </c>
      <c r="L300" s="556" t="s">
        <v>102</v>
      </c>
      <c r="M300" s="344" t="s">
        <v>178</v>
      </c>
      <c r="N300" s="346" t="s">
        <v>283</v>
      </c>
      <c r="O300" s="473" t="s">
        <v>125</v>
      </c>
      <c r="P300" s="509"/>
      <c r="Q300" s="473"/>
    </row>
    <row r="301">
      <c r="E301" s="341"/>
      <c r="F301" s="341"/>
      <c r="G301" s="341"/>
      <c r="H301" s="376" t="s">
        <v>285</v>
      </c>
      <c r="I301" s="349" t="s">
        <v>282</v>
      </c>
      <c r="J301" s="336"/>
      <c r="K301" s="349">
        <f t="shared" ref="K301:M301" si="68">PARAMS(K300)</f>
        <v>4096</v>
      </c>
      <c r="L301" s="349">
        <f t="shared" si="68"/>
        <v>1</v>
      </c>
      <c r="M301" s="349">
        <f t="shared" si="68"/>
        <v>7168</v>
      </c>
      <c r="N301" s="349" t="s">
        <v>283</v>
      </c>
      <c r="O301" s="350"/>
      <c r="P301" s="377">
        <f>SIZEOF_IN_MIB(J301:M301, O300)</f>
        <v>28</v>
      </c>
      <c r="Q301" s="350"/>
    </row>
    <row r="302">
      <c r="E302" s="341"/>
      <c r="F302" s="341"/>
      <c r="G302" s="341"/>
      <c r="H302" s="378" t="s">
        <v>302</v>
      </c>
      <c r="I302" s="346" t="s">
        <v>282</v>
      </c>
      <c r="J302" s="345"/>
      <c r="K302" s="344" t="s">
        <v>196</v>
      </c>
      <c r="L302" s="344"/>
      <c r="M302" s="344"/>
      <c r="N302" s="346" t="s">
        <v>283</v>
      </c>
      <c r="O302" s="347"/>
      <c r="P302" s="509"/>
      <c r="Q302" s="347"/>
    </row>
    <row r="303">
      <c r="E303" s="341"/>
      <c r="F303" s="341"/>
      <c r="G303" s="341"/>
      <c r="H303" s="602" t="s">
        <v>289</v>
      </c>
      <c r="I303" s="349" t="s">
        <v>282</v>
      </c>
      <c r="J303" s="336"/>
      <c r="K303" s="349">
        <f t="shared" ref="K303:M303" si="69">K301/SHARDING(K302)</f>
        <v>256</v>
      </c>
      <c r="L303" s="349">
        <f t="shared" si="69"/>
        <v>1</v>
      </c>
      <c r="M303" s="349">
        <f t="shared" si="69"/>
        <v>7168</v>
      </c>
      <c r="N303" s="349" t="s">
        <v>283</v>
      </c>
      <c r="O303" s="350"/>
      <c r="P303" s="377">
        <f>SIZEOF_IN_MIB(J303:M303, O300)</f>
        <v>1.75</v>
      </c>
      <c r="Q303" s="316"/>
    </row>
    <row r="304">
      <c r="E304" s="341"/>
      <c r="F304" s="341"/>
      <c r="G304" s="352"/>
      <c r="H304" s="610" t="s">
        <v>304</v>
      </c>
      <c r="I304" s="346" t="s">
        <v>282</v>
      </c>
      <c r="J304" s="379"/>
      <c r="K304" s="379"/>
      <c r="L304" s="379"/>
      <c r="M304" s="344"/>
      <c r="N304" s="346" t="s">
        <v>283</v>
      </c>
      <c r="O304" s="355"/>
      <c r="P304" s="596"/>
      <c r="Q304" s="379"/>
    </row>
    <row r="305">
      <c r="E305" s="341"/>
      <c r="F305" s="341"/>
      <c r="G305" s="385" t="s">
        <v>306</v>
      </c>
      <c r="H305" s="886">
        <f>SHARDING(K302)</f>
        <v>16</v>
      </c>
      <c r="I305" s="298"/>
      <c r="J305" s="298"/>
      <c r="K305" s="298"/>
      <c r="L305" s="298"/>
      <c r="M305" s="298"/>
      <c r="N305" s="298"/>
      <c r="O305" s="298"/>
      <c r="P305" s="598"/>
      <c r="Q305" s="298"/>
    </row>
    <row r="306">
      <c r="E306" s="341"/>
      <c r="F306" s="341"/>
      <c r="G306" s="385" t="s">
        <v>307</v>
      </c>
      <c r="H306" s="395">
        <f>P303 * (H305-1)</f>
        <v>26.25</v>
      </c>
      <c r="I306" s="379"/>
      <c r="J306" s="379"/>
      <c r="K306" s="379"/>
      <c r="L306" s="379"/>
      <c r="M306" s="379"/>
      <c r="N306" s="379"/>
      <c r="O306" s="379"/>
      <c r="P306" s="596"/>
      <c r="Q306" s="379"/>
    </row>
    <row r="307">
      <c r="E307" s="341"/>
      <c r="F307" s="341"/>
      <c r="G307" s="394" t="s">
        <v>308</v>
      </c>
      <c r="H307" s="390">
        <f>H306*H305</f>
        <v>420</v>
      </c>
      <c r="I307" s="349"/>
      <c r="J307" s="336"/>
      <c r="K307" s="336"/>
      <c r="L307" s="337"/>
      <c r="M307" s="349"/>
      <c r="N307" s="349"/>
      <c r="O307" s="337"/>
      <c r="P307" s="377"/>
      <c r="Q307" s="337"/>
    </row>
    <row r="308">
      <c r="E308" s="341"/>
      <c r="F308" s="341"/>
      <c r="G308" s="396" t="s">
        <v>309</v>
      </c>
      <c r="H308" s="887" t="str">
        <f>IFS(H305=8,12,
H305=4,4,
H305=2,1,
H305=1,0,
TRUE,NA())</f>
        <v>#N/A</v>
      </c>
      <c r="I308" s="346"/>
      <c r="J308" s="345"/>
      <c r="K308" s="345"/>
      <c r="L308" s="344"/>
      <c r="M308" s="346"/>
      <c r="N308" s="346"/>
      <c r="O308" s="344"/>
      <c r="P308" s="509"/>
      <c r="Q308" s="344"/>
    </row>
    <row r="309">
      <c r="E309" s="341"/>
      <c r="F309" s="341"/>
      <c r="G309" s="9" t="s">
        <v>310</v>
      </c>
      <c r="H309" s="293">
        <v>1.0</v>
      </c>
      <c r="I309" s="349"/>
      <c r="J309" s="336"/>
      <c r="K309" s="336"/>
      <c r="L309" s="337"/>
      <c r="M309" s="349"/>
      <c r="N309" s="349"/>
      <c r="O309" s="337"/>
      <c r="P309" s="377"/>
      <c r="Q309" s="337"/>
    </row>
    <row r="310">
      <c r="E310" s="341"/>
      <c r="F310" s="341"/>
      <c r="G310" s="402" t="s">
        <v>311</v>
      </c>
      <c r="H310" s="608" t="str">
        <f>ALL_GATHER_CHIP2CHIP_TIME_MS2(H307 * H309, H308)</f>
        <v>#N/A</v>
      </c>
      <c r="I310" s="346"/>
      <c r="J310" s="345"/>
      <c r="K310" s="345"/>
      <c r="L310" s="344"/>
      <c r="M310" s="346"/>
      <c r="N310" s="346"/>
      <c r="O310" s="344"/>
      <c r="P310" s="509"/>
      <c r="Q310" s="344"/>
    </row>
    <row r="311">
      <c r="E311" s="341"/>
      <c r="F311" s="341"/>
      <c r="G311" s="601"/>
      <c r="H311" s="602"/>
      <c r="I311" s="349"/>
      <c r="J311" s="336"/>
      <c r="K311" s="337"/>
      <c r="L311" s="499"/>
      <c r="M311" s="337"/>
      <c r="N311" s="349"/>
      <c r="O311" s="337"/>
      <c r="P311" s="377"/>
      <c r="Q311" s="337"/>
    </row>
    <row r="312">
      <c r="E312" s="341"/>
      <c r="F312" s="341"/>
      <c r="G312" s="591" t="s">
        <v>117</v>
      </c>
      <c r="H312" s="592" t="s">
        <v>371</v>
      </c>
      <c r="I312" s="449"/>
      <c r="J312" s="448"/>
      <c r="K312" s="553"/>
      <c r="L312" s="446"/>
      <c r="M312" s="553"/>
      <c r="N312" s="449"/>
      <c r="O312" s="553"/>
      <c r="P312" s="604"/>
      <c r="Q312" s="553"/>
    </row>
    <row r="313">
      <c r="E313" s="341"/>
      <c r="F313" s="341"/>
      <c r="G313" s="609" t="s">
        <v>301</v>
      </c>
      <c r="H313" s="602" t="s">
        <v>281</v>
      </c>
      <c r="I313" s="349" t="s">
        <v>282</v>
      </c>
      <c r="J313" s="336"/>
      <c r="K313" s="337" t="s">
        <v>104</v>
      </c>
      <c r="L313" s="499" t="s">
        <v>102</v>
      </c>
      <c r="M313" s="337" t="s">
        <v>178</v>
      </c>
      <c r="N313" s="349" t="s">
        <v>283</v>
      </c>
      <c r="O313" s="338" t="s">
        <v>125</v>
      </c>
      <c r="P313" s="377"/>
      <c r="Q313" s="337"/>
    </row>
    <row r="314">
      <c r="E314" s="341"/>
      <c r="F314" s="341"/>
      <c r="G314" s="341"/>
      <c r="H314" s="378" t="s">
        <v>285</v>
      </c>
      <c r="I314" s="346" t="s">
        <v>282</v>
      </c>
      <c r="J314" s="345"/>
      <c r="K314" s="346">
        <f t="shared" ref="K314:M314" si="70">PARAMS(K313)</f>
        <v>4096</v>
      </c>
      <c r="L314" s="346">
        <f t="shared" si="70"/>
        <v>1</v>
      </c>
      <c r="M314" s="346">
        <f t="shared" si="70"/>
        <v>7168</v>
      </c>
      <c r="N314" s="346" t="s">
        <v>283</v>
      </c>
      <c r="O314" s="347"/>
      <c r="P314" s="509">
        <f>SIZEOF_IN_MIB(J314:M314, O313)</f>
        <v>28</v>
      </c>
      <c r="Q314" s="344"/>
    </row>
    <row r="315">
      <c r="E315" s="341"/>
      <c r="F315" s="341"/>
      <c r="G315" s="341"/>
      <c r="H315" s="376" t="s">
        <v>302</v>
      </c>
      <c r="I315" s="349" t="s">
        <v>282</v>
      </c>
      <c r="J315" s="336"/>
      <c r="K315" s="337" t="s">
        <v>196</v>
      </c>
      <c r="L315" s="337"/>
      <c r="M315" s="337"/>
      <c r="N315" s="349" t="s">
        <v>283</v>
      </c>
      <c r="O315" s="350"/>
      <c r="P315" s="377"/>
      <c r="Q315" s="337"/>
    </row>
    <row r="316">
      <c r="E316" s="341"/>
      <c r="F316" s="341"/>
      <c r="G316" s="341"/>
      <c r="H316" s="378" t="s">
        <v>303</v>
      </c>
      <c r="I316" s="346" t="s">
        <v>282</v>
      </c>
      <c r="J316" s="345"/>
      <c r="K316" s="346">
        <f t="shared" ref="K316:M316" si="71">K314/SHARDING(K315)</f>
        <v>256</v>
      </c>
      <c r="L316" s="346">
        <f t="shared" si="71"/>
        <v>1</v>
      </c>
      <c r="M316" s="346">
        <f t="shared" si="71"/>
        <v>7168</v>
      </c>
      <c r="N316" s="346" t="s">
        <v>283</v>
      </c>
      <c r="O316" s="347"/>
      <c r="P316" s="509">
        <f>SIZEOF_IN_MIB(J316:M316, O313)</f>
        <v>1.75</v>
      </c>
      <c r="Q316" s="344"/>
    </row>
    <row r="317">
      <c r="E317" s="341"/>
      <c r="F317" s="341"/>
      <c r="G317" s="352"/>
      <c r="H317" s="605" t="s">
        <v>304</v>
      </c>
      <c r="I317" s="349" t="s">
        <v>282</v>
      </c>
      <c r="J317" s="298"/>
      <c r="K317" s="298"/>
      <c r="L317" s="298"/>
      <c r="M317" s="337"/>
      <c r="N317" s="349" t="s">
        <v>283</v>
      </c>
      <c r="O317" s="316"/>
      <c r="P317" s="298"/>
      <c r="Q317" s="337"/>
    </row>
    <row r="318">
      <c r="E318" s="341"/>
      <c r="F318" s="341"/>
      <c r="G318" s="458" t="s">
        <v>372</v>
      </c>
      <c r="H318" s="610" t="s">
        <v>306</v>
      </c>
      <c r="I318" s="379"/>
      <c r="J318" s="410" t="str">
        <f>SHARDING(K315) / HW_SPEC("# of TensorCore per Chip")</f>
        <v>#N/A</v>
      </c>
      <c r="K318" s="345"/>
      <c r="L318" s="344"/>
      <c r="M318" s="346"/>
      <c r="N318" s="346"/>
      <c r="O318" s="344"/>
      <c r="P318" s="509"/>
      <c r="Q318" s="344"/>
    </row>
    <row r="319">
      <c r="E319" s="341"/>
      <c r="F319" s="341"/>
      <c r="G319" s="341"/>
      <c r="H319" s="605" t="s">
        <v>307</v>
      </c>
      <c r="I319" s="298"/>
      <c r="J319" s="390" t="str">
        <f>P316 * HW_SPEC("# of TensorCore per Chip") * (J318-1)</f>
        <v>#N/A</v>
      </c>
      <c r="K319" s="336"/>
      <c r="L319" s="337"/>
      <c r="M319" s="349"/>
      <c r="N319" s="349"/>
      <c r="O319" s="337"/>
      <c r="P319" s="377"/>
      <c r="Q319" s="337"/>
    </row>
    <row r="320">
      <c r="E320" s="341"/>
      <c r="F320" s="341"/>
      <c r="G320" s="341"/>
      <c r="H320" s="410" t="s">
        <v>308</v>
      </c>
      <c r="I320" s="379"/>
      <c r="J320" s="395" t="str">
        <f>J319*J318</f>
        <v>#N/A</v>
      </c>
      <c r="K320" s="345"/>
      <c r="L320" s="344"/>
      <c r="M320" s="346"/>
      <c r="N320" s="346"/>
      <c r="O320" s="344"/>
      <c r="P320" s="509"/>
      <c r="Q320" s="344"/>
    </row>
    <row r="321">
      <c r="E321" s="341"/>
      <c r="F321" s="341"/>
      <c r="G321" s="341"/>
      <c r="H321" s="478" t="s">
        <v>309</v>
      </c>
      <c r="I321" s="298"/>
      <c r="J321" s="397" t="str">
        <f>IFS(J318=8,12,
J318=4,4,
J318=2,1,
J318=1,0,
TRUE,NA())</f>
        <v>#N/A</v>
      </c>
      <c r="K321" s="336"/>
      <c r="L321" s="337"/>
      <c r="M321" s="349"/>
      <c r="N321" s="349"/>
      <c r="O321" s="337"/>
      <c r="P321" s="377"/>
      <c r="Q321" s="337"/>
    </row>
    <row r="322">
      <c r="E322" s="341"/>
      <c r="F322" s="341"/>
      <c r="G322" s="341"/>
      <c r="H322" s="606" t="s">
        <v>310</v>
      </c>
      <c r="I322" s="379"/>
      <c r="J322" s="611" t="s">
        <v>611</v>
      </c>
      <c r="K322" s="345"/>
      <c r="L322" s="344"/>
      <c r="M322" s="346"/>
      <c r="N322" s="346"/>
      <c r="O322" s="344"/>
      <c r="P322" s="509"/>
      <c r="Q322" s="344"/>
    </row>
    <row r="323">
      <c r="E323" s="341"/>
      <c r="F323" s="341"/>
      <c r="G323" s="352"/>
      <c r="H323" s="612" t="s">
        <v>311</v>
      </c>
      <c r="I323" s="613"/>
      <c r="J323" s="403" t="str">
        <f>ALL_GATHER_CHIP2CHIP_TIME_MS2(J320 * J322, J321)</f>
        <v>#N/A</v>
      </c>
      <c r="K323" s="336"/>
      <c r="L323" s="337"/>
      <c r="M323" s="349"/>
      <c r="N323" s="349"/>
      <c r="O323" s="337"/>
      <c r="P323" s="377"/>
      <c r="Q323" s="337"/>
    </row>
    <row r="324">
      <c r="E324" s="341"/>
      <c r="F324" s="341"/>
      <c r="G324" s="458" t="s">
        <v>373</v>
      </c>
      <c r="H324" s="410" t="s">
        <v>306</v>
      </c>
      <c r="I324" s="387"/>
      <c r="J324" s="483" t="str">
        <f>HW_SPEC("# of TensorCore per Chip")</f>
        <v>#N/A</v>
      </c>
      <c r="K324" s="345"/>
      <c r="L324" s="344"/>
      <c r="M324" s="346"/>
      <c r="N324" s="346"/>
      <c r="O324" s="344"/>
      <c r="P324" s="509"/>
      <c r="Q324" s="344"/>
    </row>
    <row r="325">
      <c r="E325" s="341"/>
      <c r="F325" s="341"/>
      <c r="G325" s="341"/>
      <c r="H325" s="478" t="s">
        <v>307</v>
      </c>
      <c r="I325" s="391"/>
      <c r="J325" s="390" t="str">
        <f> P314 / J324 * (J324-1)</f>
        <v>#N/A</v>
      </c>
      <c r="K325" s="336"/>
      <c r="L325" s="337"/>
      <c r="M325" s="349"/>
      <c r="N325" s="349"/>
      <c r="O325" s="337"/>
      <c r="P325" s="377"/>
      <c r="Q325" s="337"/>
    </row>
    <row r="326">
      <c r="E326" s="341"/>
      <c r="F326" s="341"/>
      <c r="G326" s="341"/>
      <c r="H326" s="410" t="s">
        <v>308</v>
      </c>
      <c r="I326" s="387"/>
      <c r="J326" s="395" t="str">
        <f>J325*J324</f>
        <v>#N/A</v>
      </c>
      <c r="K326" s="345"/>
      <c r="L326" s="344"/>
      <c r="M326" s="346"/>
      <c r="N326" s="346"/>
      <c r="O326" s="344"/>
      <c r="P326" s="509"/>
      <c r="Q326" s="344"/>
    </row>
    <row r="327">
      <c r="E327" s="341"/>
      <c r="F327" s="341"/>
      <c r="G327" s="341"/>
      <c r="H327" s="614" t="s">
        <v>311</v>
      </c>
      <c r="I327" s="615"/>
      <c r="J327" s="616" t="str">
        <f>ALL_GATHER_CORE2CORE_TIME_MS(J326)</f>
        <v>#N/A</v>
      </c>
      <c r="K327" s="336"/>
      <c r="L327" s="337"/>
      <c r="M327" s="349"/>
      <c r="N327" s="349"/>
      <c r="O327" s="337"/>
      <c r="P327" s="377"/>
      <c r="Q327" s="337"/>
    </row>
    <row r="328">
      <c r="E328" s="341"/>
      <c r="F328" s="341"/>
      <c r="G328" s="352"/>
      <c r="H328" s="617" t="s">
        <v>374</v>
      </c>
      <c r="I328" s="618"/>
      <c r="J328" s="619" t="str">
        <f>J327/J318</f>
        <v>#N/A</v>
      </c>
      <c r="K328" s="345"/>
      <c r="L328" s="344"/>
      <c r="M328" s="346"/>
      <c r="N328" s="346"/>
      <c r="O328" s="344"/>
      <c r="P328" s="509"/>
      <c r="Q328" s="344"/>
    </row>
    <row r="329">
      <c r="E329" s="341"/>
      <c r="F329" s="341"/>
      <c r="G329" s="402" t="s">
        <v>316</v>
      </c>
      <c r="H329" s="620" t="str">
        <f>J323+J328</f>
        <v>#N/A</v>
      </c>
      <c r="I329" s="298"/>
      <c r="J329" s="621"/>
      <c r="K329" s="336"/>
      <c r="L329" s="337"/>
      <c r="M329" s="349"/>
      <c r="N329" s="349"/>
      <c r="O329" s="337"/>
      <c r="P329" s="377"/>
      <c r="Q329" s="337"/>
    </row>
    <row r="330">
      <c r="E330" s="341"/>
      <c r="F330" s="341"/>
      <c r="G330" s="601"/>
      <c r="H330" s="622"/>
      <c r="I330" s="493"/>
      <c r="J330" s="345"/>
      <c r="K330" s="345"/>
      <c r="L330" s="346"/>
      <c r="M330" s="346"/>
      <c r="N330" s="346"/>
      <c r="O330" s="345"/>
      <c r="P330" s="509"/>
      <c r="Q330" s="379"/>
    </row>
    <row r="331">
      <c r="E331" s="341"/>
      <c r="F331" s="341"/>
      <c r="G331" s="623" t="s">
        <v>375</v>
      </c>
      <c r="H331" s="624" t="s">
        <v>117</v>
      </c>
      <c r="I331" s="581"/>
      <c r="J331" s="448"/>
      <c r="K331" s="448"/>
      <c r="L331" s="449"/>
      <c r="M331" s="449"/>
      <c r="N331" s="449"/>
      <c r="O331" s="448"/>
      <c r="P331" s="604"/>
      <c r="Q331" s="572"/>
    </row>
    <row r="332">
      <c r="E332" s="352"/>
      <c r="F332" s="352"/>
      <c r="G332" s="591" t="s">
        <v>340</v>
      </c>
      <c r="H332" s="625" t="str">
        <f>IFS(H331=G290,H297,H331=G299,H310,H331=G312,H329, TRUE,0)</f>
        <v>#N/A</v>
      </c>
      <c r="I332" s="581"/>
      <c r="J332" s="448"/>
      <c r="K332" s="448"/>
      <c r="L332" s="449"/>
      <c r="M332" s="449"/>
      <c r="N332" s="449"/>
      <c r="O332" s="448"/>
      <c r="P332" s="604"/>
      <c r="Q332" s="572"/>
    </row>
    <row r="333">
      <c r="E333" s="333" t="s">
        <v>377</v>
      </c>
      <c r="F333" s="627" t="s">
        <v>292</v>
      </c>
      <c r="G333" s="335"/>
      <c r="H333" s="372" t="s">
        <v>281</v>
      </c>
      <c r="I333" s="364" t="s">
        <v>282</v>
      </c>
      <c r="J333" s="364"/>
      <c r="K333" s="273" t="s">
        <v>104</v>
      </c>
      <c r="L333" s="273" t="s">
        <v>212</v>
      </c>
      <c r="M333" s="472" t="s">
        <v>178</v>
      </c>
      <c r="N333" s="364" t="s">
        <v>283</v>
      </c>
      <c r="O333" s="365" t="s">
        <v>125</v>
      </c>
      <c r="P333" s="375"/>
      <c r="Q333" s="365" t="b">
        <v>0</v>
      </c>
    </row>
    <row r="334">
      <c r="E334" s="341"/>
      <c r="F334" s="342"/>
      <c r="G334" s="343"/>
      <c r="H334" s="374" t="s">
        <v>285</v>
      </c>
      <c r="I334" s="364" t="s">
        <v>282</v>
      </c>
      <c r="J334" s="363"/>
      <c r="K334" s="364">
        <f t="shared" ref="K334:M334" si="72">PARAMS(K333)</f>
        <v>4096</v>
      </c>
      <c r="L334" s="364">
        <f t="shared" si="72"/>
        <v>8</v>
      </c>
      <c r="M334" s="364">
        <f t="shared" si="72"/>
        <v>7168</v>
      </c>
      <c r="N334" s="364" t="s">
        <v>283</v>
      </c>
      <c r="O334" s="341"/>
      <c r="P334" s="375">
        <f>SIZEOF_IN_MIB(J334:M334, O333)</f>
        <v>224</v>
      </c>
      <c r="Q334" s="341"/>
    </row>
    <row r="335">
      <c r="E335" s="341"/>
      <c r="F335" s="342"/>
      <c r="G335" s="343"/>
      <c r="H335" s="629" t="s">
        <v>287</v>
      </c>
      <c r="I335" s="363" t="s">
        <v>282</v>
      </c>
      <c r="J335" s="364"/>
      <c r="K335" s="273"/>
      <c r="L335" s="273"/>
      <c r="M335" s="273" t="s">
        <v>97</v>
      </c>
      <c r="N335" s="363" t="s">
        <v>283</v>
      </c>
      <c r="O335" s="341"/>
      <c r="P335" s="375"/>
      <c r="Q335" s="341"/>
    </row>
    <row r="336">
      <c r="E336" s="341"/>
      <c r="F336" s="353"/>
      <c r="G336" s="354"/>
      <c r="H336" s="376" t="s">
        <v>289</v>
      </c>
      <c r="I336" s="349" t="s">
        <v>282</v>
      </c>
      <c r="J336" s="336"/>
      <c r="K336" s="349">
        <f t="shared" ref="K336:M336" si="73">K334/SHARDING(K335)</f>
        <v>4096</v>
      </c>
      <c r="L336" s="349">
        <f t="shared" si="73"/>
        <v>8</v>
      </c>
      <c r="M336" s="349">
        <f t="shared" si="73"/>
        <v>896</v>
      </c>
      <c r="N336" s="349" t="s">
        <v>283</v>
      </c>
      <c r="O336" s="316"/>
      <c r="P336" s="377">
        <f>SIZEOF_IN_MIB(J336:M336, O333)</f>
        <v>28</v>
      </c>
      <c r="Q336" s="316"/>
    </row>
    <row r="337">
      <c r="E337" s="341"/>
      <c r="F337" s="630" t="s">
        <v>296</v>
      </c>
      <c r="G337" s="335"/>
      <c r="H337" s="517" t="s">
        <v>281</v>
      </c>
      <c r="I337" s="346" t="s">
        <v>282</v>
      </c>
      <c r="J337" s="344">
        <v>2.0</v>
      </c>
      <c r="K337" s="344" t="s">
        <v>184</v>
      </c>
      <c r="L337" s="556" t="s">
        <v>178</v>
      </c>
      <c r="M337" s="344" t="s">
        <v>182</v>
      </c>
      <c r="N337" s="346" t="s">
        <v>283</v>
      </c>
      <c r="O337" s="473" t="s">
        <v>180</v>
      </c>
      <c r="P337" s="509"/>
      <c r="Q337" s="473" t="b">
        <v>0</v>
      </c>
    </row>
    <row r="338">
      <c r="E338" s="341"/>
      <c r="F338" s="342"/>
      <c r="G338" s="343"/>
      <c r="H338" s="376" t="s">
        <v>285</v>
      </c>
      <c r="I338" s="349" t="s">
        <v>282</v>
      </c>
      <c r="J338" s="349">
        <f t="shared" ref="J338:M338" si="74">PARAMS(J337)</f>
        <v>2</v>
      </c>
      <c r="K338" s="349">
        <f t="shared" si="74"/>
        <v>256</v>
      </c>
      <c r="L338" s="349">
        <f t="shared" si="74"/>
        <v>7168</v>
      </c>
      <c r="M338" s="349">
        <f t="shared" si="74"/>
        <v>2048</v>
      </c>
      <c r="N338" s="349" t="s">
        <v>283</v>
      </c>
      <c r="O338" s="350"/>
      <c r="P338" s="377">
        <f>SIZEOF_IN_MIB(J338:M338, O337)</f>
        <v>3584</v>
      </c>
      <c r="Q338" s="350"/>
    </row>
    <row r="339">
      <c r="E339" s="341"/>
      <c r="F339" s="342"/>
      <c r="G339" s="343"/>
      <c r="H339" s="517" t="s">
        <v>287</v>
      </c>
      <c r="I339" s="346"/>
      <c r="J339" s="345"/>
      <c r="K339" s="344"/>
      <c r="L339" s="344" t="s">
        <v>97</v>
      </c>
      <c r="M339" s="344" t="s">
        <v>96</v>
      </c>
      <c r="N339" s="346" t="s">
        <v>283</v>
      </c>
      <c r="O339" s="347"/>
      <c r="P339" s="509"/>
      <c r="Q339" s="347"/>
    </row>
    <row r="340">
      <c r="E340" s="341"/>
      <c r="F340" s="353"/>
      <c r="G340" s="354"/>
      <c r="H340" s="602" t="s">
        <v>289</v>
      </c>
      <c r="I340" s="349" t="s">
        <v>282</v>
      </c>
      <c r="J340" s="349">
        <f t="shared" ref="J340:M340" si="75">J338/SHARDING(J339)</f>
        <v>2</v>
      </c>
      <c r="K340" s="349">
        <f t="shared" si="75"/>
        <v>256</v>
      </c>
      <c r="L340" s="349">
        <f t="shared" si="75"/>
        <v>896</v>
      </c>
      <c r="M340" s="349">
        <f t="shared" si="75"/>
        <v>1024</v>
      </c>
      <c r="N340" s="349" t="s">
        <v>283</v>
      </c>
      <c r="O340" s="316"/>
      <c r="P340" s="377">
        <f>SIZEOF_IN_MIB(J340:M340, O337)</f>
        <v>224</v>
      </c>
      <c r="Q340" s="316"/>
    </row>
    <row r="341">
      <c r="E341" s="341"/>
      <c r="F341" s="630" t="s">
        <v>56</v>
      </c>
      <c r="G341" s="335"/>
      <c r="H341" s="517" t="s">
        <v>281</v>
      </c>
      <c r="I341" s="346" t="s">
        <v>282</v>
      </c>
      <c r="J341" s="344">
        <v>2.0</v>
      </c>
      <c r="K341" s="344" t="s">
        <v>104</v>
      </c>
      <c r="L341" s="344" t="s">
        <v>212</v>
      </c>
      <c r="M341" s="344" t="s">
        <v>182</v>
      </c>
      <c r="N341" s="346" t="s">
        <v>283</v>
      </c>
      <c r="O341" s="546" t="s">
        <v>133</v>
      </c>
      <c r="P341" s="509"/>
      <c r="Q341" s="473" t="b">
        <v>0</v>
      </c>
    </row>
    <row r="342">
      <c r="E342" s="341"/>
      <c r="F342" s="342"/>
      <c r="G342" s="343"/>
      <c r="H342" s="376" t="s">
        <v>285</v>
      </c>
      <c r="I342" s="349" t="s">
        <v>282</v>
      </c>
      <c r="J342" s="349">
        <f t="shared" ref="J342:M342" si="76">PARAMS(J341)</f>
        <v>2</v>
      </c>
      <c r="K342" s="349">
        <f t="shared" si="76"/>
        <v>4096</v>
      </c>
      <c r="L342" s="349">
        <f t="shared" si="76"/>
        <v>8</v>
      </c>
      <c r="M342" s="349">
        <f t="shared" si="76"/>
        <v>2048</v>
      </c>
      <c r="N342" s="349" t="s">
        <v>283</v>
      </c>
      <c r="O342" s="350"/>
      <c r="P342" s="377">
        <f>SIZEOF_IN_MIB(J342:M342, O341)</f>
        <v>256</v>
      </c>
      <c r="Q342" s="350"/>
    </row>
    <row r="343">
      <c r="E343" s="341"/>
      <c r="F343" s="342"/>
      <c r="G343" s="343"/>
      <c r="H343" s="517" t="s">
        <v>287</v>
      </c>
      <c r="I343" s="346" t="s">
        <v>282</v>
      </c>
      <c r="J343" s="345"/>
      <c r="K343" s="344"/>
      <c r="L343" s="344"/>
      <c r="M343" s="344" t="s">
        <v>96</v>
      </c>
      <c r="N343" s="346" t="s">
        <v>283</v>
      </c>
      <c r="O343" s="347"/>
      <c r="P343" s="509"/>
      <c r="Q343" s="347"/>
    </row>
    <row r="344">
      <c r="E344" s="341"/>
      <c r="F344" s="353"/>
      <c r="G344" s="354"/>
      <c r="H344" s="602" t="s">
        <v>289</v>
      </c>
      <c r="I344" s="349" t="s">
        <v>282</v>
      </c>
      <c r="J344" s="349">
        <f t="shared" ref="J344:M344" si="77">J342/SHARDING(J343)</f>
        <v>2</v>
      </c>
      <c r="K344" s="349">
        <f t="shared" si="77"/>
        <v>4096</v>
      </c>
      <c r="L344" s="349">
        <f t="shared" si="77"/>
        <v>8</v>
      </c>
      <c r="M344" s="349">
        <f t="shared" si="77"/>
        <v>1024</v>
      </c>
      <c r="N344" s="349" t="s">
        <v>283</v>
      </c>
      <c r="O344" s="316"/>
      <c r="P344" s="377">
        <f>SIZEOF_IN_MIB(J344:M344, O341)</f>
        <v>128</v>
      </c>
      <c r="Q344" s="316"/>
    </row>
    <row r="345">
      <c r="E345" s="341"/>
      <c r="F345" s="370" t="s">
        <v>378</v>
      </c>
      <c r="G345" s="601" t="s">
        <v>612</v>
      </c>
      <c r="H345" s="498" t="str">
        <f>L339</f>
        <v>data</v>
      </c>
      <c r="I345" s="632" t="s">
        <v>613</v>
      </c>
      <c r="J345" s="345"/>
      <c r="K345" s="345"/>
      <c r="L345" s="346"/>
      <c r="M345" s="346"/>
      <c r="N345" s="346"/>
      <c r="O345" s="345"/>
      <c r="P345" s="509"/>
      <c r="Q345" s="379"/>
    </row>
    <row r="346">
      <c r="E346" s="341"/>
      <c r="F346" s="341"/>
      <c r="G346" s="591" t="s">
        <v>381</v>
      </c>
      <c r="H346" s="633" t="s">
        <v>382</v>
      </c>
      <c r="I346" s="633"/>
      <c r="J346" s="448"/>
      <c r="K346" s="448"/>
      <c r="L346" s="449"/>
      <c r="M346" s="449"/>
      <c r="N346" s="449"/>
      <c r="O346" s="448"/>
      <c r="P346" s="604"/>
      <c r="Q346" s="572"/>
    </row>
    <row r="347">
      <c r="E347" s="341"/>
      <c r="F347" s="341"/>
      <c r="G347" s="594" t="s">
        <v>306</v>
      </c>
      <c r="H347" s="634">
        <f>SHARDING(H345)</f>
        <v>8</v>
      </c>
      <c r="I347" s="498"/>
      <c r="J347" s="345"/>
      <c r="K347" s="345"/>
      <c r="L347" s="346"/>
      <c r="M347" s="346"/>
      <c r="N347" s="346"/>
      <c r="O347" s="345"/>
      <c r="P347" s="509"/>
      <c r="Q347" s="379"/>
    </row>
    <row r="348">
      <c r="E348" s="341"/>
      <c r="F348" s="341"/>
      <c r="G348" s="594" t="s">
        <v>383</v>
      </c>
      <c r="H348" s="635">
        <f>P344/H347*(H347-1)</f>
        <v>112</v>
      </c>
      <c r="I348" s="549"/>
      <c r="J348" s="336"/>
      <c r="K348" s="336"/>
      <c r="L348" s="349"/>
      <c r="M348" s="349"/>
      <c r="N348" s="349"/>
      <c r="O348" s="336"/>
      <c r="P348" s="377"/>
      <c r="Q348" s="298"/>
    </row>
    <row r="349">
      <c r="E349" s="341"/>
      <c r="F349" s="341"/>
      <c r="G349" s="594" t="s">
        <v>384</v>
      </c>
      <c r="H349" s="636">
        <f>H348*H347</f>
        <v>896</v>
      </c>
      <c r="I349" s="498"/>
      <c r="J349" s="345"/>
      <c r="K349" s="345"/>
      <c r="L349" s="346"/>
      <c r="M349" s="346"/>
      <c r="N349" s="346"/>
      <c r="O349" s="345"/>
      <c r="P349" s="509"/>
      <c r="Q349" s="379"/>
    </row>
    <row r="350">
      <c r="E350" s="341"/>
      <c r="F350" s="341"/>
      <c r="G350" s="637" t="s">
        <v>385</v>
      </c>
      <c r="H350" s="638" t="s">
        <v>309</v>
      </c>
      <c r="I350" s="549"/>
      <c r="J350" s="639">
        <f>IFS(H347=8,12,
H347=4,4,
H347=2,1,
H347=1,0,
TRUE,NA())</f>
        <v>12</v>
      </c>
      <c r="K350" s="336"/>
      <c r="L350" s="349"/>
      <c r="M350" s="349"/>
      <c r="N350" s="349"/>
      <c r="O350" s="336"/>
      <c r="P350" s="377"/>
      <c r="Q350" s="298"/>
    </row>
    <row r="351">
      <c r="E351" s="341"/>
      <c r="F351" s="341"/>
      <c r="G351" s="341"/>
      <c r="H351" s="640" t="s">
        <v>386</v>
      </c>
      <c r="I351" s="379"/>
      <c r="J351" s="641" t="str">
        <f>HW_SPEC("# of TensorCore per Chip")</f>
        <v>#N/A</v>
      </c>
      <c r="K351" s="345"/>
      <c r="L351" s="346"/>
      <c r="M351" s="346"/>
      <c r="N351" s="346"/>
      <c r="O351" s="345"/>
      <c r="P351" s="509"/>
      <c r="Q351" s="379"/>
    </row>
    <row r="352">
      <c r="E352" s="341"/>
      <c r="F352" s="341"/>
      <c r="G352" s="352"/>
      <c r="H352" s="642" t="s">
        <v>311</v>
      </c>
      <c r="I352" s="549"/>
      <c r="J352" s="643" t="str">
        <f>REDUCE_SCATTER_CHIP2CHIP_TIME_MS2(H349*J351,J350)</f>
        <v>#N/A</v>
      </c>
      <c r="K352" s="336"/>
      <c r="L352" s="349"/>
      <c r="M352" s="349"/>
      <c r="N352" s="349"/>
      <c r="O352" s="336"/>
      <c r="P352" s="377"/>
      <c r="Q352" s="298"/>
    </row>
    <row r="353">
      <c r="E353" s="341"/>
      <c r="F353" s="341"/>
      <c r="G353" s="644" t="s">
        <v>387</v>
      </c>
      <c r="H353" s="645" t="s">
        <v>311</v>
      </c>
      <c r="I353" s="379"/>
      <c r="J353" s="646" t="str">
        <f>REDUCE_SCATTER_CORE2CORE_TIME_MS(H349)</f>
        <v>#N/A</v>
      </c>
      <c r="K353" s="345"/>
      <c r="L353" s="346"/>
      <c r="M353" s="346"/>
      <c r="N353" s="346"/>
      <c r="O353" s="345"/>
      <c r="P353" s="509"/>
      <c r="Q353" s="379"/>
    </row>
    <row r="354">
      <c r="E354" s="341"/>
      <c r="F354" s="341"/>
      <c r="G354" s="11"/>
      <c r="H354" s="298"/>
      <c r="I354" s="549"/>
      <c r="J354" s="336"/>
      <c r="K354" s="336"/>
      <c r="L354" s="349"/>
      <c r="M354" s="349"/>
      <c r="N354" s="349"/>
      <c r="O354" s="336"/>
      <c r="P354" s="377"/>
      <c r="Q354" s="298"/>
    </row>
    <row r="355">
      <c r="E355" s="341"/>
      <c r="F355" s="341"/>
      <c r="G355" s="591" t="s">
        <v>388</v>
      </c>
      <c r="H355" s="647" t="s">
        <v>389</v>
      </c>
      <c r="I355" s="648"/>
      <c r="J355" s="448"/>
      <c r="K355" s="448"/>
      <c r="L355" s="449"/>
      <c r="M355" s="449"/>
      <c r="N355" s="449"/>
      <c r="O355" s="448"/>
      <c r="P355" s="604"/>
      <c r="Q355" s="572"/>
    </row>
    <row r="356">
      <c r="E356" s="341"/>
      <c r="F356" s="341"/>
      <c r="G356" s="601" t="s">
        <v>390</v>
      </c>
      <c r="H356" s="649">
        <f>P344/2</f>
        <v>64</v>
      </c>
      <c r="I356" s="650"/>
      <c r="J356" s="454"/>
      <c r="K356" s="454"/>
      <c r="L356" s="455"/>
      <c r="M356" s="455"/>
      <c r="N356" s="455"/>
      <c r="O356" s="454"/>
      <c r="P356" s="468"/>
      <c r="Q356" s="11"/>
    </row>
    <row r="357">
      <c r="E357" s="341"/>
      <c r="F357" s="341"/>
      <c r="G357" s="11"/>
      <c r="H357" s="11"/>
      <c r="I357" s="650"/>
      <c r="J357" s="454"/>
      <c r="K357" s="454"/>
      <c r="L357" s="455"/>
      <c r="M357" s="455"/>
      <c r="N357" s="455"/>
      <c r="O357" s="454"/>
      <c r="P357" s="468"/>
      <c r="Q357" s="11"/>
    </row>
    <row r="358">
      <c r="E358" s="341"/>
      <c r="F358" s="341"/>
      <c r="G358" s="591" t="s">
        <v>263</v>
      </c>
      <c r="H358" s="647" t="s">
        <v>391</v>
      </c>
      <c r="I358" s="648"/>
      <c r="J358" s="448"/>
      <c r="K358" s="448"/>
      <c r="L358" s="449"/>
      <c r="M358" s="449"/>
      <c r="N358" s="449"/>
      <c r="O358" s="448"/>
      <c r="P358" s="604"/>
      <c r="Q358" s="572"/>
    </row>
    <row r="359">
      <c r="E359" s="341"/>
      <c r="F359" s="341"/>
      <c r="G359" s="594" t="s">
        <v>306</v>
      </c>
      <c r="H359" s="651">
        <f>H347</f>
        <v>8</v>
      </c>
      <c r="I359" s="650"/>
      <c r="J359" s="454"/>
      <c r="K359" s="454"/>
      <c r="L359" s="455"/>
      <c r="M359" s="455"/>
      <c r="N359" s="455"/>
      <c r="O359" s="454"/>
      <c r="P359" s="468"/>
      <c r="Q359" s="11"/>
    </row>
    <row r="360">
      <c r="E360" s="341"/>
      <c r="F360" s="341"/>
      <c r="G360" s="594" t="s">
        <v>392</v>
      </c>
      <c r="H360" s="652">
        <f>H356/H359 * (H359-1)</f>
        <v>56</v>
      </c>
      <c r="I360" s="650"/>
      <c r="J360" s="454"/>
      <c r="K360" s="454"/>
      <c r="L360" s="455"/>
      <c r="M360" s="455"/>
      <c r="N360" s="455"/>
      <c r="O360" s="454"/>
      <c r="P360" s="468"/>
      <c r="Q360" s="11"/>
    </row>
    <row r="361">
      <c r="E361" s="341"/>
      <c r="F361" s="341"/>
      <c r="G361" s="594" t="s">
        <v>308</v>
      </c>
      <c r="H361" s="652">
        <f>H360*H359</f>
        <v>448</v>
      </c>
      <c r="I361" s="650"/>
      <c r="J361" s="454"/>
      <c r="K361" s="454"/>
      <c r="L361" s="455"/>
      <c r="M361" s="455"/>
      <c r="N361" s="455"/>
      <c r="O361" s="454"/>
      <c r="P361" s="468"/>
      <c r="Q361" s="11"/>
    </row>
    <row r="362">
      <c r="E362" s="341"/>
      <c r="F362" s="341"/>
      <c r="G362" s="653" t="s">
        <v>385</v>
      </c>
      <c r="H362" s="385" t="s">
        <v>309</v>
      </c>
      <c r="I362" s="11"/>
      <c r="J362" s="654">
        <f>IFS(H359=8,12,
H359=4,4,
H359=2,1,
TRUE,NA())</f>
        <v>12</v>
      </c>
      <c r="K362" s="454"/>
      <c r="L362" s="455"/>
      <c r="M362" s="455"/>
      <c r="N362" s="455"/>
      <c r="O362" s="454"/>
      <c r="P362" s="468"/>
      <c r="Q362" s="11"/>
      <c r="S362" s="655"/>
    </row>
    <row r="363">
      <c r="E363" s="341"/>
      <c r="F363" s="341"/>
      <c r="G363" s="341"/>
      <c r="H363" s="385" t="s">
        <v>386</v>
      </c>
      <c r="I363" s="11"/>
      <c r="J363" s="656" t="str">
        <f>HW_SPEC("# of TensorCore per Chip")</f>
        <v>#N/A</v>
      </c>
      <c r="K363" s="454"/>
      <c r="L363" s="455"/>
      <c r="M363" s="455"/>
      <c r="N363" s="455"/>
      <c r="O363" s="454"/>
      <c r="P363" s="468"/>
      <c r="Q363" s="11"/>
    </row>
    <row r="364">
      <c r="E364" s="341"/>
      <c r="F364" s="341"/>
      <c r="G364" s="352"/>
      <c r="H364" s="402" t="s">
        <v>311</v>
      </c>
      <c r="I364" s="650"/>
      <c r="J364" s="657" t="str">
        <f>REDUCE_SCATTER_CHIP2CHIP_TIME_MS2(H361*J363,J362)</f>
        <v>#N/A</v>
      </c>
      <c r="K364" s="454"/>
      <c r="L364" s="455"/>
      <c r="M364" s="455"/>
      <c r="N364" s="455"/>
      <c r="O364" s="454"/>
      <c r="P364" s="468"/>
      <c r="Q364" s="11"/>
    </row>
    <row r="365">
      <c r="E365" s="341"/>
      <c r="F365" s="341"/>
      <c r="G365" s="658" t="s">
        <v>387</v>
      </c>
      <c r="H365" s="402" t="s">
        <v>311</v>
      </c>
      <c r="I365" s="650"/>
      <c r="J365" s="657" t="str">
        <f>REDUCE_SCATTER_CORE2CORE_TIME_MS(H361)</f>
        <v>#N/A</v>
      </c>
      <c r="K365" s="454"/>
      <c r="L365" s="455"/>
      <c r="M365" s="455"/>
      <c r="N365" s="455"/>
      <c r="O365" s="454"/>
      <c r="P365" s="468"/>
      <c r="Q365" s="11"/>
    </row>
    <row r="366">
      <c r="E366" s="341"/>
      <c r="F366" s="341"/>
      <c r="G366" s="594"/>
      <c r="H366" s="659"/>
      <c r="I366" s="650"/>
      <c r="J366" s="454"/>
      <c r="K366" s="454"/>
      <c r="L366" s="455"/>
      <c r="M366" s="455"/>
      <c r="N366" s="455"/>
      <c r="O366" s="454"/>
      <c r="P366" s="468"/>
      <c r="Q366" s="11"/>
    </row>
    <row r="367">
      <c r="E367" s="341"/>
      <c r="F367" s="341"/>
      <c r="G367" s="591" t="s">
        <v>393</v>
      </c>
      <c r="H367" s="660" t="s">
        <v>385</v>
      </c>
      <c r="I367" s="648"/>
      <c r="J367" s="448"/>
      <c r="K367" s="448"/>
      <c r="L367" s="449"/>
      <c r="M367" s="449"/>
      <c r="N367" s="449"/>
      <c r="O367" s="448"/>
      <c r="P367" s="604"/>
      <c r="Q367" s="572"/>
    </row>
    <row r="368">
      <c r="E368" s="341"/>
      <c r="F368" s="341"/>
      <c r="G368" s="661" t="s">
        <v>395</v>
      </c>
      <c r="H368" s="662" t="str">
        <f>IFS(H367=G350,J352,
H367=G353,J353 ,
TRUE,0)</f>
        <v>#N/A</v>
      </c>
      <c r="I368" s="650"/>
      <c r="J368" s="454"/>
      <c r="K368" s="454"/>
      <c r="L368" s="455"/>
      <c r="M368" s="455"/>
      <c r="N368" s="455"/>
      <c r="O368" s="454"/>
      <c r="P368" s="468"/>
      <c r="Q368" s="11"/>
    </row>
    <row r="369">
      <c r="E369" s="341"/>
      <c r="F369" s="341"/>
      <c r="G369" s="661" t="s">
        <v>396</v>
      </c>
      <c r="H369" s="662" t="str">
        <f>IFS(H367=G362,J364,
H367=G365,J365 ,
TRUE,0)</f>
        <v>#N/A</v>
      </c>
      <c r="I369" s="650"/>
      <c r="J369" s="454"/>
      <c r="K369" s="454"/>
      <c r="L369" s="455"/>
      <c r="M369" s="455"/>
      <c r="N369" s="455"/>
      <c r="O369" s="454"/>
      <c r="P369" s="468"/>
      <c r="Q369" s="11"/>
    </row>
    <row r="370">
      <c r="E370" s="341"/>
      <c r="F370" s="352"/>
      <c r="G370" s="591" t="s">
        <v>340</v>
      </c>
      <c r="H370" s="625" t="str">
        <f>SUM(H368:H369)</f>
        <v>#N/A</v>
      </c>
      <c r="I370" s="581"/>
      <c r="J370" s="448"/>
      <c r="K370" s="448"/>
      <c r="L370" s="449"/>
      <c r="M370" s="449"/>
      <c r="N370" s="449"/>
      <c r="O370" s="448"/>
      <c r="P370" s="604"/>
      <c r="Q370" s="572"/>
    </row>
    <row r="371">
      <c r="E371" s="341"/>
      <c r="F371" s="609" t="s">
        <v>327</v>
      </c>
      <c r="G371" s="601" t="s">
        <v>328</v>
      </c>
      <c r="H371" s="663" t="str">
        <f>VLOOKUP(O333&amp;","&amp;O337,$T$2:$W$11,4, FALSE)</f>
        <v>fp8</v>
      </c>
      <c r="I371" s="460"/>
      <c r="J371" s="454"/>
      <c r="K371" s="454"/>
      <c r="L371" s="455"/>
      <c r="M371" s="455"/>
      <c r="N371" s="455"/>
      <c r="O371" s="454"/>
      <c r="P371" s="468"/>
      <c r="Q371" s="11"/>
    </row>
    <row r="372">
      <c r="E372" s="341"/>
      <c r="F372" s="341"/>
      <c r="G372" s="601" t="s">
        <v>403</v>
      </c>
      <c r="H372" s="667" t="str">
        <f>CALCULATE_FLOPS(J336:M336,J340:M340,L340,K340,H371)</f>
        <v>#N/A</v>
      </c>
      <c r="I372" s="460"/>
      <c r="J372" s="454"/>
      <c r="K372" s="454"/>
      <c r="L372" s="455"/>
      <c r="M372" s="455"/>
      <c r="N372" s="455"/>
      <c r="O372" s="454"/>
      <c r="P372" s="468"/>
      <c r="Q372" s="11"/>
    </row>
    <row r="373">
      <c r="E373" s="341"/>
      <c r="F373" s="352"/>
      <c r="G373" s="669" t="s">
        <v>330</v>
      </c>
      <c r="H373" s="670" t="str">
        <f>COMPUTE_TIME_MS(H372, H371)</f>
        <v>#N/A</v>
      </c>
      <c r="I373" s="464"/>
      <c r="J373" s="465"/>
      <c r="K373" s="465"/>
      <c r="L373" s="466"/>
      <c r="M373" s="466"/>
      <c r="N373" s="466"/>
      <c r="O373" s="465"/>
      <c r="P373" s="671"/>
      <c r="Q373" s="11"/>
    </row>
    <row r="374">
      <c r="E374" s="341"/>
      <c r="F374" s="609" t="s">
        <v>331</v>
      </c>
      <c r="G374" s="663" t="s">
        <v>332</v>
      </c>
      <c r="H374" s="672">
        <f>IF(Q333,0,P336)+IF(Q337,0,P340)+IF(Q341,0,P344 / 2)</f>
        <v>316</v>
      </c>
      <c r="I374" s="454"/>
      <c r="J374" s="454"/>
      <c r="K374" s="454"/>
      <c r="L374" s="455"/>
      <c r="M374" s="455"/>
      <c r="N374" s="455"/>
      <c r="O374" s="454"/>
      <c r="P374" s="468"/>
      <c r="Q374" s="11"/>
    </row>
    <row r="375">
      <c r="E375" s="352"/>
      <c r="F375" s="352"/>
      <c r="G375" s="673" t="s">
        <v>333</v>
      </c>
      <c r="H375" s="670" t="str">
        <f>HBM_TIME_MS(H374)</f>
        <v>#N/A</v>
      </c>
      <c r="I375" s="465"/>
      <c r="J375" s="465"/>
      <c r="K375" s="465"/>
      <c r="L375" s="466"/>
      <c r="M375" s="466"/>
      <c r="N375" s="466"/>
      <c r="O375" s="465"/>
      <c r="P375" s="671"/>
      <c r="Q375" s="11"/>
    </row>
    <row r="376">
      <c r="E376" s="333" t="s">
        <v>404</v>
      </c>
      <c r="F376" s="627" t="s">
        <v>292</v>
      </c>
      <c r="G376" s="335"/>
      <c r="H376" s="372" t="s">
        <v>281</v>
      </c>
      <c r="I376" s="364" t="s">
        <v>282</v>
      </c>
      <c r="J376" s="273"/>
      <c r="K376" s="273" t="s">
        <v>104</v>
      </c>
      <c r="L376" s="273" t="s">
        <v>212</v>
      </c>
      <c r="M376" s="472" t="s">
        <v>182</v>
      </c>
      <c r="N376" s="364" t="s">
        <v>283</v>
      </c>
      <c r="O376" s="365" t="s">
        <v>125</v>
      </c>
      <c r="P376" s="375"/>
      <c r="Q376" s="365" t="b">
        <v>0</v>
      </c>
    </row>
    <row r="377">
      <c r="E377" s="341"/>
      <c r="F377" s="342"/>
      <c r="G377" s="343"/>
      <c r="H377" s="374" t="s">
        <v>285</v>
      </c>
      <c r="I377" s="364" t="s">
        <v>282</v>
      </c>
      <c r="J377" s="363"/>
      <c r="K377" s="364">
        <f t="shared" ref="K377:M377" si="78">PARAMS(K376)</f>
        <v>4096</v>
      </c>
      <c r="L377" s="364">
        <f t="shared" si="78"/>
        <v>8</v>
      </c>
      <c r="M377" s="364">
        <f t="shared" si="78"/>
        <v>2048</v>
      </c>
      <c r="N377" s="364" t="s">
        <v>283</v>
      </c>
      <c r="O377" s="341"/>
      <c r="P377" s="375">
        <f>SIZEOF_IN_MIB(J377:M377, O376)</f>
        <v>64</v>
      </c>
      <c r="Q377" s="341"/>
    </row>
    <row r="378">
      <c r="E378" s="341"/>
      <c r="F378" s="342"/>
      <c r="G378" s="343"/>
      <c r="H378" s="629" t="s">
        <v>287</v>
      </c>
      <c r="I378" s="363" t="s">
        <v>282</v>
      </c>
      <c r="J378" s="364"/>
      <c r="K378" s="273"/>
      <c r="L378" s="273"/>
      <c r="M378" s="273" t="s">
        <v>96</v>
      </c>
      <c r="N378" s="363" t="s">
        <v>283</v>
      </c>
      <c r="O378" s="341"/>
      <c r="P378" s="375"/>
      <c r="Q378" s="341"/>
    </row>
    <row r="379">
      <c r="E379" s="341"/>
      <c r="F379" s="353"/>
      <c r="G379" s="354"/>
      <c r="H379" s="374" t="s">
        <v>289</v>
      </c>
      <c r="I379" s="363" t="s">
        <v>282</v>
      </c>
      <c r="J379" s="364"/>
      <c r="K379" s="363">
        <f t="shared" ref="K379:M379" si="79">K377/SHARDING(K378)</f>
        <v>4096</v>
      </c>
      <c r="L379" s="363">
        <f t="shared" si="79"/>
        <v>8</v>
      </c>
      <c r="M379" s="363">
        <f t="shared" si="79"/>
        <v>1024</v>
      </c>
      <c r="N379" s="363" t="s">
        <v>283</v>
      </c>
      <c r="O379" s="352"/>
      <c r="P379" s="375">
        <f>SIZEOF_IN_MIB(J379:M379, O376)</f>
        <v>32</v>
      </c>
      <c r="Q379" s="352"/>
    </row>
    <row r="380">
      <c r="E380" s="341"/>
      <c r="F380" s="630" t="s">
        <v>296</v>
      </c>
      <c r="G380" s="335"/>
      <c r="H380" s="629" t="s">
        <v>281</v>
      </c>
      <c r="I380" s="363" t="s">
        <v>282</v>
      </c>
      <c r="J380" s="364"/>
      <c r="K380" s="273" t="s">
        <v>184</v>
      </c>
      <c r="L380" s="472" t="s">
        <v>182</v>
      </c>
      <c r="M380" s="273" t="s">
        <v>178</v>
      </c>
      <c r="N380" s="363" t="s">
        <v>283</v>
      </c>
      <c r="O380" s="365" t="s">
        <v>180</v>
      </c>
      <c r="P380" s="375"/>
      <c r="Q380" s="365" t="b">
        <v>0</v>
      </c>
    </row>
    <row r="381">
      <c r="E381" s="341"/>
      <c r="F381" s="342"/>
      <c r="G381" s="343"/>
      <c r="H381" s="374" t="s">
        <v>285</v>
      </c>
      <c r="I381" s="363" t="s">
        <v>282</v>
      </c>
      <c r="J381" s="364"/>
      <c r="K381" s="363">
        <f t="shared" ref="K381:M381" si="80">PARAMS(K380)</f>
        <v>256</v>
      </c>
      <c r="L381" s="363">
        <f t="shared" si="80"/>
        <v>2048</v>
      </c>
      <c r="M381" s="363">
        <f t="shared" si="80"/>
        <v>7168</v>
      </c>
      <c r="N381" s="363" t="s">
        <v>283</v>
      </c>
      <c r="O381" s="341"/>
      <c r="P381" s="375">
        <f>SIZEOF_IN_MIB(J381:M381, O380)</f>
        <v>1792</v>
      </c>
      <c r="Q381" s="341"/>
    </row>
    <row r="382">
      <c r="E382" s="341"/>
      <c r="F382" s="342"/>
      <c r="G382" s="343"/>
      <c r="H382" s="629" t="s">
        <v>287</v>
      </c>
      <c r="I382" s="363" t="s">
        <v>282</v>
      </c>
      <c r="J382" s="364"/>
      <c r="K382" s="273"/>
      <c r="L382" s="273" t="s">
        <v>96</v>
      </c>
      <c r="M382" s="273" t="s">
        <v>97</v>
      </c>
      <c r="N382" s="363" t="s">
        <v>283</v>
      </c>
      <c r="O382" s="341"/>
      <c r="P382" s="375"/>
      <c r="Q382" s="341"/>
    </row>
    <row r="383">
      <c r="E383" s="341"/>
      <c r="F383" s="353"/>
      <c r="G383" s="354"/>
      <c r="H383" s="629" t="s">
        <v>289</v>
      </c>
      <c r="I383" s="363" t="s">
        <v>282</v>
      </c>
      <c r="J383" s="364"/>
      <c r="K383" s="363">
        <f t="shared" ref="K383:M383" si="81">K381/SHARDING(K382)</f>
        <v>256</v>
      </c>
      <c r="L383" s="363">
        <f t="shared" si="81"/>
        <v>1024</v>
      </c>
      <c r="M383" s="363">
        <f t="shared" si="81"/>
        <v>896</v>
      </c>
      <c r="N383" s="363" t="s">
        <v>283</v>
      </c>
      <c r="O383" s="352"/>
      <c r="P383" s="375">
        <f>SIZEOF_IN_MIB(J383:M383, O380)</f>
        <v>112</v>
      </c>
      <c r="Q383" s="352"/>
    </row>
    <row r="384">
      <c r="E384" s="341"/>
      <c r="F384" s="630" t="s">
        <v>56</v>
      </c>
      <c r="G384" s="335"/>
      <c r="H384" s="629" t="s">
        <v>281</v>
      </c>
      <c r="I384" s="363" t="s">
        <v>282</v>
      </c>
      <c r="J384" s="364"/>
      <c r="K384" s="273" t="s">
        <v>104</v>
      </c>
      <c r="L384" s="273" t="s">
        <v>212</v>
      </c>
      <c r="M384" s="273" t="s">
        <v>178</v>
      </c>
      <c r="N384" s="363" t="s">
        <v>283</v>
      </c>
      <c r="O384" s="674" t="s">
        <v>133</v>
      </c>
      <c r="P384" s="375"/>
      <c r="Q384" s="365" t="b">
        <v>0</v>
      </c>
    </row>
    <row r="385">
      <c r="E385" s="341"/>
      <c r="F385" s="342"/>
      <c r="G385" s="343"/>
      <c r="H385" s="374" t="s">
        <v>285</v>
      </c>
      <c r="I385" s="363" t="s">
        <v>282</v>
      </c>
      <c r="J385" s="364"/>
      <c r="K385" s="363">
        <f t="shared" ref="K385:M385" si="82">PARAMS(K384)</f>
        <v>4096</v>
      </c>
      <c r="L385" s="363">
        <f t="shared" si="82"/>
        <v>8</v>
      </c>
      <c r="M385" s="363">
        <f t="shared" si="82"/>
        <v>7168</v>
      </c>
      <c r="N385" s="363" t="s">
        <v>283</v>
      </c>
      <c r="O385" s="341"/>
      <c r="P385" s="375">
        <f>SIZEOF_IN_MIB(J385:M385, O384)</f>
        <v>448</v>
      </c>
      <c r="Q385" s="341"/>
    </row>
    <row r="386">
      <c r="E386" s="341"/>
      <c r="F386" s="342"/>
      <c r="G386" s="343"/>
      <c r="H386" s="629" t="s">
        <v>287</v>
      </c>
      <c r="I386" s="363" t="s">
        <v>282</v>
      </c>
      <c r="J386" s="364"/>
      <c r="K386" s="273"/>
      <c r="L386" s="273"/>
      <c r="M386" s="273" t="s">
        <v>97</v>
      </c>
      <c r="N386" s="363" t="s">
        <v>283</v>
      </c>
      <c r="O386" s="341"/>
      <c r="P386" s="375"/>
      <c r="Q386" s="341"/>
    </row>
    <row r="387">
      <c r="E387" s="341"/>
      <c r="F387" s="353"/>
      <c r="G387" s="354"/>
      <c r="H387" s="629" t="s">
        <v>289</v>
      </c>
      <c r="I387" s="363" t="s">
        <v>282</v>
      </c>
      <c r="J387" s="363"/>
      <c r="K387" s="363">
        <f t="shared" ref="K387:M387" si="83">K385/SHARDING(K386)</f>
        <v>4096</v>
      </c>
      <c r="L387" s="363">
        <f t="shared" si="83"/>
        <v>8</v>
      </c>
      <c r="M387" s="363">
        <f t="shared" si="83"/>
        <v>896</v>
      </c>
      <c r="N387" s="363" t="s">
        <v>283</v>
      </c>
      <c r="O387" s="352"/>
      <c r="P387" s="375">
        <f>SIZEOF_IN_MIB(J387:M387, O384)</f>
        <v>56</v>
      </c>
      <c r="Q387" s="352"/>
    </row>
    <row r="388">
      <c r="E388" s="341"/>
      <c r="F388" s="370" t="s">
        <v>378</v>
      </c>
      <c r="G388" s="675" t="s">
        <v>614</v>
      </c>
      <c r="H388" s="676" t="str">
        <f>L382</f>
        <v>model</v>
      </c>
      <c r="I388" s="364"/>
      <c r="J388" s="11"/>
      <c r="K388" s="364"/>
      <c r="L388" s="363"/>
      <c r="M388" s="363"/>
      <c r="N388" s="363"/>
      <c r="O388" s="364"/>
      <c r="P388" s="375"/>
      <c r="Q388" s="677"/>
    </row>
    <row r="389">
      <c r="E389" s="341"/>
      <c r="F389" s="341"/>
      <c r="G389" s="678" t="s">
        <v>406</v>
      </c>
      <c r="H389" s="679" t="s">
        <v>615</v>
      </c>
      <c r="I389" s="448"/>
      <c r="J389" s="448"/>
      <c r="K389" s="448"/>
      <c r="L389" s="449"/>
      <c r="M389" s="449"/>
      <c r="N389" s="449"/>
      <c r="O389" s="448"/>
      <c r="P389" s="604"/>
      <c r="Q389" s="450"/>
    </row>
    <row r="390">
      <c r="E390" s="341"/>
      <c r="F390" s="341"/>
      <c r="G390" s="680" t="s">
        <v>306</v>
      </c>
      <c r="H390" s="374">
        <f>SHARDING(H388)</f>
        <v>2</v>
      </c>
      <c r="I390" s="364"/>
      <c r="J390" s="364"/>
      <c r="K390" s="364"/>
      <c r="L390" s="363"/>
      <c r="M390" s="363"/>
      <c r="N390" s="363"/>
      <c r="O390" s="364"/>
      <c r="P390" s="375"/>
      <c r="Q390" s="677"/>
    </row>
    <row r="391">
      <c r="E391" s="341"/>
      <c r="F391" s="341"/>
      <c r="G391" s="680" t="s">
        <v>392</v>
      </c>
      <c r="H391" s="681">
        <f>P387 / H390 * (H390-1)</f>
        <v>28</v>
      </c>
      <c r="I391" s="364"/>
      <c r="J391" s="364"/>
      <c r="K391" s="364"/>
      <c r="L391" s="363"/>
      <c r="M391" s="363"/>
      <c r="N391" s="363"/>
      <c r="O391" s="364"/>
      <c r="P391" s="375"/>
      <c r="Q391" s="677"/>
    </row>
    <row r="392">
      <c r="E392" s="341"/>
      <c r="F392" s="341"/>
      <c r="G392" s="680" t="s">
        <v>308</v>
      </c>
      <c r="H392" s="681">
        <f>H391*H390</f>
        <v>56</v>
      </c>
      <c r="I392" s="364"/>
      <c r="J392" s="364"/>
      <c r="K392" s="364"/>
      <c r="L392" s="363"/>
      <c r="M392" s="363"/>
      <c r="N392" s="363"/>
      <c r="O392" s="364"/>
      <c r="P392" s="375"/>
      <c r="Q392" s="677"/>
    </row>
    <row r="393">
      <c r="E393" s="341"/>
      <c r="F393" s="341"/>
      <c r="G393" s="385" t="s">
        <v>309</v>
      </c>
      <c r="H393" s="654">
        <f>IFS(H390=8,12,
H390=4,4,
H390=2,1,
TRUE,NA())</f>
        <v>1</v>
      </c>
      <c r="I393" s="11"/>
      <c r="J393" s="364"/>
      <c r="K393" s="364"/>
      <c r="L393" s="363"/>
      <c r="M393" s="363"/>
      <c r="N393" s="363"/>
      <c r="O393" s="364"/>
      <c r="P393" s="375"/>
      <c r="Q393" s="677"/>
    </row>
    <row r="394">
      <c r="E394" s="341"/>
      <c r="F394" s="341"/>
      <c r="G394" s="682" t="s">
        <v>340</v>
      </c>
      <c r="H394" s="683" t="str">
        <f>ALL_REDUCE_CHIP2CHIP_TIME_MS(H392,H393)</f>
        <v>#N/A</v>
      </c>
      <c r="I394" s="364"/>
      <c r="J394" s="364"/>
      <c r="K394" s="364"/>
      <c r="L394" s="363"/>
      <c r="M394" s="363"/>
      <c r="N394" s="363"/>
      <c r="O394" s="364"/>
      <c r="P394" s="375"/>
      <c r="Q394" s="677"/>
    </row>
    <row r="395">
      <c r="E395" s="341"/>
      <c r="F395" s="341"/>
      <c r="G395" s="682"/>
      <c r="H395" s="683"/>
      <c r="I395" s="364"/>
      <c r="J395" s="364"/>
      <c r="K395" s="364"/>
      <c r="L395" s="363"/>
      <c r="M395" s="363"/>
      <c r="N395" s="363"/>
      <c r="O395" s="364"/>
      <c r="P395" s="375"/>
      <c r="Q395" s="677"/>
    </row>
    <row r="396">
      <c r="E396" s="341"/>
      <c r="F396" s="341"/>
      <c r="G396" s="678" t="s">
        <v>408</v>
      </c>
      <c r="H396" s="684" t="s">
        <v>409</v>
      </c>
      <c r="I396" s="448"/>
      <c r="J396" s="448"/>
      <c r="K396" s="448"/>
      <c r="L396" s="449"/>
      <c r="M396" s="449"/>
      <c r="N396" s="449"/>
      <c r="O396" s="448"/>
      <c r="P396" s="604"/>
      <c r="Q396" s="450"/>
    </row>
    <row r="397">
      <c r="E397" s="341"/>
      <c r="F397" s="341"/>
      <c r="G397" s="8" t="s">
        <v>340</v>
      </c>
      <c r="H397" s="670">
        <f>0</f>
        <v>0</v>
      </c>
      <c r="I397" s="364"/>
      <c r="J397" s="364"/>
      <c r="K397" s="364"/>
      <c r="L397" s="363"/>
      <c r="M397" s="363"/>
      <c r="N397" s="363"/>
      <c r="O397" s="364"/>
      <c r="P397" s="375"/>
      <c r="Q397" s="677"/>
    </row>
    <row r="398">
      <c r="E398" s="341"/>
      <c r="F398" s="341"/>
      <c r="G398" s="8"/>
      <c r="H398" s="670"/>
      <c r="I398" s="364"/>
      <c r="J398" s="364"/>
      <c r="K398" s="364"/>
      <c r="L398" s="363"/>
      <c r="M398" s="363"/>
      <c r="N398" s="363"/>
      <c r="O398" s="364"/>
      <c r="P398" s="375"/>
      <c r="Q398" s="677"/>
    </row>
    <row r="399">
      <c r="E399" s="341"/>
      <c r="F399" s="341"/>
      <c r="G399" s="591" t="s">
        <v>393</v>
      </c>
      <c r="H399" s="685" t="s">
        <v>408</v>
      </c>
      <c r="I399" s="448"/>
      <c r="J399" s="448"/>
      <c r="K399" s="448"/>
      <c r="L399" s="449"/>
      <c r="M399" s="449"/>
      <c r="N399" s="449"/>
      <c r="O399" s="448"/>
      <c r="P399" s="604"/>
      <c r="Q399" s="450"/>
    </row>
    <row r="400">
      <c r="E400" s="341"/>
      <c r="F400" s="352"/>
      <c r="G400" s="669" t="s">
        <v>340</v>
      </c>
      <c r="H400" s="670">
        <f>IFS(H399=G389,H394,H399=G396,H397,TRUE,0)</f>
        <v>0</v>
      </c>
      <c r="I400" s="686"/>
      <c r="J400" s="364"/>
      <c r="K400" s="364"/>
      <c r="L400" s="363"/>
      <c r="M400" s="363"/>
      <c r="N400" s="363"/>
      <c r="O400" s="364"/>
      <c r="P400" s="375"/>
      <c r="Q400" s="677"/>
    </row>
    <row r="401">
      <c r="E401" s="341"/>
      <c r="F401" s="609" t="s">
        <v>327</v>
      </c>
      <c r="G401" s="601" t="s">
        <v>328</v>
      </c>
      <c r="H401" s="663" t="str">
        <f>VLOOKUP(O376&amp;","&amp;O380,$T$2:$W$11,4, FALSE)</f>
        <v>fp8</v>
      </c>
      <c r="I401" s="460"/>
      <c r="J401" s="454"/>
      <c r="K401" s="454"/>
      <c r="L401" s="455"/>
      <c r="M401" s="455"/>
      <c r="N401" s="455"/>
      <c r="O401" s="454"/>
      <c r="P401" s="468"/>
      <c r="Q401" s="11"/>
    </row>
    <row r="402">
      <c r="E402" s="341"/>
      <c r="F402" s="341"/>
      <c r="G402" s="663" t="s">
        <v>341</v>
      </c>
      <c r="H402" s="687" t="str">
        <f>CALCULATE_FLOPS(J379:M379,J383:M383,L383,K383,H401)</f>
        <v>#N/A</v>
      </c>
      <c r="I402" s="492"/>
      <c r="J402" s="336"/>
      <c r="K402" s="336"/>
      <c r="L402" s="349"/>
      <c r="M402" s="349"/>
      <c r="N402" s="349"/>
      <c r="O402" s="336"/>
      <c r="P402" s="377"/>
      <c r="Q402" s="298"/>
    </row>
    <row r="403">
      <c r="E403" s="341"/>
      <c r="F403" s="352"/>
      <c r="G403" s="669" t="s">
        <v>330</v>
      </c>
      <c r="H403" s="688" t="str">
        <f>COMPUTE_TIME_MS(H402, H401)</f>
        <v>#N/A</v>
      </c>
      <c r="I403" s="464"/>
      <c r="J403" s="465"/>
      <c r="K403" s="465"/>
      <c r="L403" s="466"/>
      <c r="M403" s="466"/>
      <c r="N403" s="466"/>
      <c r="O403" s="465"/>
      <c r="P403" s="671"/>
      <c r="Q403" s="379"/>
    </row>
    <row r="404">
      <c r="E404" s="341"/>
      <c r="F404" s="609" t="s">
        <v>331</v>
      </c>
      <c r="G404" s="663" t="s">
        <v>332</v>
      </c>
      <c r="H404" s="689">
        <f>IF(Q376,0,P379)+IF(Q380,0,P383)+IF(Q384,0,P387)</f>
        <v>200</v>
      </c>
      <c r="I404" s="336"/>
      <c r="J404" s="336"/>
      <c r="K404" s="336"/>
      <c r="L404" s="349"/>
      <c r="M404" s="349"/>
      <c r="N404" s="349"/>
      <c r="O404" s="336"/>
      <c r="P404" s="377"/>
      <c r="Q404" s="298"/>
    </row>
    <row r="405">
      <c r="E405" s="352"/>
      <c r="F405" s="352"/>
      <c r="G405" s="673" t="s">
        <v>333</v>
      </c>
      <c r="H405" s="690" t="str">
        <f>HBM_TIME_MS(H404)</f>
        <v>#N/A</v>
      </c>
      <c r="I405" s="465"/>
      <c r="J405" s="465"/>
      <c r="K405" s="465"/>
      <c r="L405" s="466"/>
      <c r="M405" s="466"/>
      <c r="N405" s="466"/>
      <c r="O405" s="465"/>
      <c r="P405" s="671"/>
      <c r="Q405" s="379"/>
    </row>
    <row r="406">
      <c r="E406" s="333" t="s">
        <v>411</v>
      </c>
      <c r="F406" s="691" t="s">
        <v>412</v>
      </c>
      <c r="G406" s="371" t="s">
        <v>301</v>
      </c>
      <c r="H406" s="531" t="s">
        <v>281</v>
      </c>
      <c r="I406" s="336" t="s">
        <v>282</v>
      </c>
      <c r="J406" s="337"/>
      <c r="K406" s="337" t="s">
        <v>104</v>
      </c>
      <c r="L406" s="337" t="s">
        <v>212</v>
      </c>
      <c r="M406" s="499" t="s">
        <v>178</v>
      </c>
      <c r="N406" s="336" t="s">
        <v>283</v>
      </c>
      <c r="O406" s="338" t="s">
        <v>133</v>
      </c>
      <c r="P406" s="377"/>
      <c r="Q406" s="337"/>
    </row>
    <row r="407">
      <c r="E407" s="341"/>
      <c r="F407" s="341"/>
      <c r="G407" s="341"/>
      <c r="H407" s="378" t="s">
        <v>285</v>
      </c>
      <c r="I407" s="345" t="s">
        <v>282</v>
      </c>
      <c r="J407" s="346"/>
      <c r="K407" s="345">
        <f t="shared" ref="K407:M407" si="84">PARAMS(K406)</f>
        <v>4096</v>
      </c>
      <c r="L407" s="345">
        <f t="shared" si="84"/>
        <v>8</v>
      </c>
      <c r="M407" s="345">
        <f t="shared" si="84"/>
        <v>7168</v>
      </c>
      <c r="N407" s="345" t="s">
        <v>283</v>
      </c>
      <c r="O407" s="347"/>
      <c r="P407" s="509">
        <f>SIZEOF_IN_MIB(J407:M407, O406)</f>
        <v>448</v>
      </c>
      <c r="Q407" s="344"/>
    </row>
    <row r="408">
      <c r="E408" s="341"/>
      <c r="F408" s="341"/>
      <c r="G408" s="341"/>
      <c r="H408" s="602" t="s">
        <v>287</v>
      </c>
      <c r="I408" s="349" t="s">
        <v>282</v>
      </c>
      <c r="J408" s="336"/>
      <c r="K408" s="337"/>
      <c r="L408" s="337"/>
      <c r="M408" s="337" t="s">
        <v>97</v>
      </c>
      <c r="N408" s="349" t="s">
        <v>283</v>
      </c>
      <c r="O408" s="350"/>
      <c r="P408" s="377"/>
      <c r="Q408" s="337"/>
    </row>
    <row r="409">
      <c r="E409" s="341"/>
      <c r="F409" s="341"/>
      <c r="G409" s="352"/>
      <c r="H409" s="378" t="s">
        <v>289</v>
      </c>
      <c r="I409" s="346" t="s">
        <v>282</v>
      </c>
      <c r="J409" s="345"/>
      <c r="K409" s="346">
        <f t="shared" ref="K409:M409" si="85">K407/SHARDING(K408)</f>
        <v>4096</v>
      </c>
      <c r="L409" s="346">
        <f t="shared" si="85"/>
        <v>8</v>
      </c>
      <c r="M409" s="346">
        <f t="shared" si="85"/>
        <v>896</v>
      </c>
      <c r="N409" s="346" t="s">
        <v>283</v>
      </c>
      <c r="O409" s="355"/>
      <c r="P409" s="509">
        <f>SIZEOF_IN_MIB(J409:M409, O406)</f>
        <v>56</v>
      </c>
      <c r="Q409" s="344"/>
    </row>
    <row r="410">
      <c r="E410" s="341"/>
      <c r="F410" s="341"/>
      <c r="G410" s="594" t="s">
        <v>616</v>
      </c>
      <c r="H410" s="888">
        <f>P407</f>
        <v>448</v>
      </c>
      <c r="I410" s="349"/>
      <c r="J410" s="336"/>
      <c r="K410" s="349"/>
      <c r="L410" s="349"/>
      <c r="M410" s="349"/>
      <c r="N410" s="349"/>
      <c r="O410" s="337"/>
      <c r="P410" s="377"/>
      <c r="Q410" s="337"/>
    </row>
    <row r="411">
      <c r="E411" s="341"/>
      <c r="F411" s="352"/>
      <c r="G411" s="594" t="s">
        <v>609</v>
      </c>
      <c r="H411" s="646" t="str">
        <f>ALL2ALL_CHIP2CHIP_TIME_MS(H410)</f>
        <v>#N/A</v>
      </c>
      <c r="I411" s="346"/>
      <c r="J411" s="345"/>
      <c r="K411" s="346"/>
      <c r="L411" s="346"/>
      <c r="M411" s="346"/>
      <c r="N411" s="346"/>
      <c r="O411" s="344"/>
      <c r="P411" s="509"/>
      <c r="Q411" s="344"/>
    </row>
    <row r="412">
      <c r="E412" s="341"/>
      <c r="F412" s="702" t="s">
        <v>417</v>
      </c>
      <c r="G412" s="661" t="s">
        <v>169</v>
      </c>
      <c r="H412" s="703" t="s">
        <v>617</v>
      </c>
      <c r="I412" s="336"/>
      <c r="J412" s="337"/>
      <c r="K412" s="337"/>
      <c r="L412" s="337"/>
      <c r="M412" s="337"/>
      <c r="N412" s="349"/>
      <c r="O412" s="337"/>
      <c r="P412" s="377"/>
      <c r="Q412" s="337"/>
    </row>
    <row r="413">
      <c r="E413" s="341"/>
      <c r="F413" s="341"/>
      <c r="G413" s="371" t="s">
        <v>301</v>
      </c>
      <c r="H413" s="529" t="s">
        <v>281</v>
      </c>
      <c r="I413" s="345" t="s">
        <v>282</v>
      </c>
      <c r="J413" s="344"/>
      <c r="K413" s="344" t="s">
        <v>104</v>
      </c>
      <c r="L413" s="344" t="s">
        <v>102</v>
      </c>
      <c r="M413" s="344" t="s">
        <v>178</v>
      </c>
      <c r="N413" s="346"/>
      <c r="O413" s="473" t="s">
        <v>133</v>
      </c>
      <c r="P413" s="509"/>
      <c r="Q413" s="344"/>
    </row>
    <row r="414">
      <c r="E414" s="341"/>
      <c r="F414" s="341"/>
      <c r="G414" s="341"/>
      <c r="H414" s="376" t="s">
        <v>285</v>
      </c>
      <c r="I414" s="336" t="s">
        <v>282</v>
      </c>
      <c r="J414" s="349"/>
      <c r="K414" s="336">
        <f t="shared" ref="K414:M414" si="86">PARAMS(K413)</f>
        <v>4096</v>
      </c>
      <c r="L414" s="336">
        <f t="shared" si="86"/>
        <v>1</v>
      </c>
      <c r="M414" s="336">
        <f t="shared" si="86"/>
        <v>7168</v>
      </c>
      <c r="N414" s="349"/>
      <c r="O414" s="350"/>
      <c r="P414" s="377">
        <f>SIZEOF_IN_MIB(J414:M414, O413)</f>
        <v>56</v>
      </c>
      <c r="Q414" s="337"/>
    </row>
    <row r="415">
      <c r="E415" s="341"/>
      <c r="F415" s="341"/>
      <c r="G415" s="341"/>
      <c r="H415" s="517" t="s">
        <v>287</v>
      </c>
      <c r="I415" s="346" t="s">
        <v>282</v>
      </c>
      <c r="J415" s="345"/>
      <c r="K415" s="344"/>
      <c r="L415" s="344"/>
      <c r="M415" s="344" t="s">
        <v>97</v>
      </c>
      <c r="N415" s="346"/>
      <c r="O415" s="347"/>
      <c r="P415" s="509"/>
      <c r="Q415" s="344"/>
    </row>
    <row r="416">
      <c r="E416" s="341"/>
      <c r="F416" s="341"/>
      <c r="G416" s="341"/>
      <c r="H416" s="374" t="s">
        <v>289</v>
      </c>
      <c r="I416" s="363" t="s">
        <v>282</v>
      </c>
      <c r="J416" s="364"/>
      <c r="K416" s="363">
        <f t="shared" ref="K416:M416" si="87">K414/SHARDING(K415)</f>
        <v>4096</v>
      </c>
      <c r="L416" s="363">
        <f t="shared" si="87"/>
        <v>1</v>
      </c>
      <c r="M416" s="363">
        <f t="shared" si="87"/>
        <v>896</v>
      </c>
      <c r="N416" s="363"/>
      <c r="O416" s="352"/>
      <c r="P416" s="375">
        <f>SIZEOF_IN_MIB(J416:M416, O413)</f>
        <v>7</v>
      </c>
      <c r="Q416" s="273"/>
    </row>
    <row r="417">
      <c r="E417" s="341"/>
      <c r="F417" s="341"/>
      <c r="G417" s="352"/>
      <c r="H417" s="704" t="s">
        <v>419</v>
      </c>
      <c r="I417" s="705"/>
      <c r="J417" s="273"/>
      <c r="K417" s="363"/>
      <c r="L417" s="363"/>
      <c r="M417" s="363"/>
      <c r="N417" s="363"/>
      <c r="O417" s="273"/>
      <c r="P417" s="706"/>
      <c r="Q417" s="273"/>
    </row>
    <row r="418">
      <c r="E418" s="341"/>
      <c r="F418" s="341"/>
      <c r="G418" s="385" t="s">
        <v>306</v>
      </c>
      <c r="H418" s="707">
        <f>SHARDING(J417) * SHARDING(H388)</f>
        <v>2</v>
      </c>
      <c r="I418" s="363"/>
      <c r="J418" s="364"/>
      <c r="K418" s="363"/>
      <c r="L418" s="363"/>
      <c r="M418" s="363"/>
      <c r="N418" s="363"/>
      <c r="O418" s="273"/>
      <c r="P418" s="706"/>
      <c r="Q418" s="273"/>
    </row>
    <row r="419">
      <c r="E419" s="341"/>
      <c r="F419" s="341"/>
      <c r="G419" s="594" t="s">
        <v>383</v>
      </c>
      <c r="H419" s="652">
        <f>P416 / H418 * (H418-1)</f>
        <v>3.5</v>
      </c>
      <c r="I419" s="363"/>
      <c r="J419" s="364"/>
      <c r="K419" s="363"/>
      <c r="L419" s="363"/>
      <c r="M419" s="363"/>
      <c r="N419" s="363"/>
      <c r="O419" s="273"/>
      <c r="P419" s="706"/>
      <c r="Q419" s="273"/>
    </row>
    <row r="420">
      <c r="E420" s="341"/>
      <c r="F420" s="341"/>
      <c r="G420" s="594" t="s">
        <v>384</v>
      </c>
      <c r="H420" s="708">
        <f>H419*H418</f>
        <v>7</v>
      </c>
      <c r="I420" s="601"/>
      <c r="J420" s="364"/>
      <c r="K420" s="363"/>
      <c r="L420" s="363"/>
      <c r="M420" s="363"/>
      <c r="N420" s="363"/>
      <c r="O420" s="273"/>
      <c r="P420" s="706"/>
      <c r="Q420" s="273"/>
    </row>
    <row r="421">
      <c r="E421" s="341"/>
      <c r="F421" s="341"/>
      <c r="G421" s="594" t="s">
        <v>420</v>
      </c>
      <c r="H421" s="709" t="str">
        <f>HW_SPEC("# of TensorCore per Chip")</f>
        <v>#N/A</v>
      </c>
      <c r="I421" s="703" t="s">
        <v>421</v>
      </c>
      <c r="J421" s="336"/>
      <c r="K421" s="349"/>
      <c r="L421" s="349"/>
      <c r="M421" s="349"/>
      <c r="N421" s="349"/>
      <c r="O421" s="337"/>
      <c r="P421" s="710"/>
      <c r="Q421" s="337"/>
    </row>
    <row r="422">
      <c r="E422" s="341"/>
      <c r="F422" s="341"/>
      <c r="G422" s="385" t="s">
        <v>309</v>
      </c>
      <c r="H422" s="410">
        <f>IFS(H418=8,12,
H418=4,4,
H418=2,1,
TRUE,NA())</f>
        <v>1</v>
      </c>
      <c r="I422" s="711"/>
      <c r="J422" s="345"/>
      <c r="K422" s="346"/>
      <c r="L422" s="346"/>
      <c r="M422" s="346"/>
      <c r="N422" s="346"/>
      <c r="O422" s="344"/>
      <c r="P422" s="712"/>
      <c r="Q422" s="344"/>
    </row>
    <row r="423">
      <c r="E423" s="341"/>
      <c r="F423" s="352"/>
      <c r="G423" s="594" t="s">
        <v>423</v>
      </c>
      <c r="H423" s="643" t="str">
        <f>REDUCE_SCATTER_CHIP2CHIP_TIME_MS2(H420*H421,H422)</f>
        <v>#N/A</v>
      </c>
      <c r="I423" s="602"/>
      <c r="J423" s="336"/>
      <c r="K423" s="349"/>
      <c r="L423" s="349"/>
      <c r="M423" s="349"/>
      <c r="N423" s="349"/>
      <c r="O423" s="337"/>
      <c r="P423" s="710"/>
      <c r="Q423" s="337"/>
    </row>
    <row r="424">
      <c r="E424" s="341"/>
      <c r="F424" s="702" t="s">
        <v>119</v>
      </c>
      <c r="G424" s="713" t="s">
        <v>169</v>
      </c>
      <c r="H424" s="398" t="s">
        <v>618</v>
      </c>
      <c r="I424" s="344"/>
      <c r="J424" s="345"/>
      <c r="K424" s="344"/>
      <c r="L424" s="556"/>
      <c r="M424" s="344"/>
      <c r="N424" s="346"/>
      <c r="O424" s="344"/>
      <c r="P424" s="509"/>
      <c r="Q424" s="344"/>
    </row>
    <row r="425">
      <c r="E425" s="341"/>
      <c r="F425" s="341"/>
      <c r="G425" s="609" t="s">
        <v>301</v>
      </c>
      <c r="H425" s="602" t="s">
        <v>281</v>
      </c>
      <c r="I425" s="602"/>
      <c r="J425" s="336"/>
      <c r="K425" s="337" t="s">
        <v>104</v>
      </c>
      <c r="L425" s="499" t="s">
        <v>102</v>
      </c>
      <c r="M425" s="337" t="s">
        <v>178</v>
      </c>
      <c r="N425" s="349"/>
      <c r="O425" s="338" t="s">
        <v>125</v>
      </c>
      <c r="P425" s="377"/>
      <c r="Q425" s="337"/>
    </row>
    <row r="426">
      <c r="E426" s="341"/>
      <c r="F426" s="341"/>
      <c r="G426" s="341"/>
      <c r="H426" s="378" t="s">
        <v>285</v>
      </c>
      <c r="I426" s="378"/>
      <c r="J426" s="345"/>
      <c r="K426" s="346">
        <f t="shared" ref="K426:M426" si="88">PARAMS(K425)</f>
        <v>4096</v>
      </c>
      <c r="L426" s="346">
        <f t="shared" si="88"/>
        <v>1</v>
      </c>
      <c r="M426" s="346">
        <f t="shared" si="88"/>
        <v>7168</v>
      </c>
      <c r="N426" s="346"/>
      <c r="O426" s="347"/>
      <c r="P426" s="509">
        <f>SIZEOF_IN_MIB(J426:M426, O425)</f>
        <v>28</v>
      </c>
      <c r="Q426" s="344"/>
    </row>
    <row r="427">
      <c r="E427" s="341"/>
      <c r="F427" s="341"/>
      <c r="G427" s="341"/>
      <c r="H427" s="602" t="s">
        <v>287</v>
      </c>
      <c r="I427" s="602"/>
      <c r="J427" s="336"/>
      <c r="K427" s="337"/>
      <c r="L427" s="337"/>
      <c r="M427" s="337" t="s">
        <v>97</v>
      </c>
      <c r="N427" s="349"/>
      <c r="O427" s="350"/>
      <c r="P427" s="377"/>
      <c r="Q427" s="337"/>
    </row>
    <row r="428">
      <c r="E428" s="341"/>
      <c r="F428" s="341"/>
      <c r="G428" s="341"/>
      <c r="H428" s="517" t="s">
        <v>289</v>
      </c>
      <c r="I428" s="517"/>
      <c r="J428" s="345"/>
      <c r="K428" s="346">
        <f t="shared" ref="K428:M428" si="89">K426/SHARDING(K427)</f>
        <v>4096</v>
      </c>
      <c r="L428" s="346">
        <f t="shared" si="89"/>
        <v>1</v>
      </c>
      <c r="M428" s="346">
        <f t="shared" si="89"/>
        <v>896</v>
      </c>
      <c r="N428" s="346"/>
      <c r="O428" s="355"/>
      <c r="P428" s="509">
        <f>SIZEOF_IN_MIB(J428:M428, O425)</f>
        <v>3.5</v>
      </c>
      <c r="Q428" s="344"/>
    </row>
    <row r="429">
      <c r="E429" s="341"/>
      <c r="F429" s="341"/>
      <c r="G429" s="352"/>
      <c r="H429" s="639" t="s">
        <v>419</v>
      </c>
      <c r="I429" s="376"/>
      <c r="J429" s="639"/>
      <c r="K429" s="336"/>
      <c r="L429" s="337"/>
      <c r="M429" s="349"/>
      <c r="N429" s="349"/>
      <c r="O429" s="337"/>
      <c r="P429" s="377"/>
      <c r="Q429" s="337"/>
    </row>
    <row r="430">
      <c r="E430" s="341"/>
      <c r="F430" s="341"/>
      <c r="G430" s="458" t="s">
        <v>425</v>
      </c>
      <c r="H430" s="606" t="s">
        <v>306</v>
      </c>
      <c r="I430" s="379"/>
      <c r="J430" s="595" t="str">
        <f>SHARDING(J429)*SHARDING(H388)/HW_SPEC("# of TensorCore per Chip")</f>
        <v>#N/A</v>
      </c>
      <c r="K430" s="345"/>
      <c r="L430" s="344"/>
      <c r="M430" s="346"/>
      <c r="N430" s="346"/>
      <c r="O430" s="344"/>
      <c r="P430" s="509"/>
      <c r="Q430" s="344"/>
    </row>
    <row r="431">
      <c r="E431" s="341"/>
      <c r="F431" s="341"/>
      <c r="G431" s="341"/>
      <c r="H431" s="639" t="s">
        <v>426</v>
      </c>
      <c r="I431" s="298"/>
      <c r="J431" s="716" t="str">
        <f>P428 / J430 * (J430-1)</f>
        <v>#N/A</v>
      </c>
      <c r="K431" s="336"/>
      <c r="L431" s="337"/>
      <c r="M431" s="349"/>
      <c r="N431" s="349"/>
      <c r="O431" s="337"/>
      <c r="P431" s="377"/>
      <c r="Q431" s="337"/>
    </row>
    <row r="432">
      <c r="E432" s="341"/>
      <c r="F432" s="341"/>
      <c r="G432" s="341"/>
      <c r="H432" s="634" t="s">
        <v>384</v>
      </c>
      <c r="I432" s="379"/>
      <c r="J432" s="715" t="str">
        <f>J431*J430</f>
        <v>#N/A</v>
      </c>
      <c r="K432" s="345"/>
      <c r="L432" s="344"/>
      <c r="M432" s="346"/>
      <c r="N432" s="346"/>
      <c r="O432" s="344"/>
      <c r="P432" s="509"/>
      <c r="Q432" s="344"/>
    </row>
    <row r="433">
      <c r="E433" s="341"/>
      <c r="F433" s="341"/>
      <c r="G433" s="341"/>
      <c r="H433" s="639" t="s">
        <v>309</v>
      </c>
      <c r="I433" s="298"/>
      <c r="J433" s="714" t="str">
        <f>IFS(J430=8,12,
J430=4,4,
J430=2,1,
TRUE,NA())</f>
        <v>#N/A</v>
      </c>
      <c r="K433" s="336"/>
      <c r="L433" s="337"/>
      <c r="M433" s="349"/>
      <c r="N433" s="349"/>
      <c r="O433" s="337"/>
      <c r="P433" s="377"/>
      <c r="Q433" s="337"/>
    </row>
    <row r="434">
      <c r="E434" s="341"/>
      <c r="F434" s="341"/>
      <c r="G434" s="352"/>
      <c r="H434" s="634" t="s">
        <v>311</v>
      </c>
      <c r="I434" s="379"/>
      <c r="J434" s="889" t="str">
        <f>IF(J432=0,0, REDUCE_SCATTER_CHIP2CHIP_TIME_MS2(J432,J433))</f>
        <v>#N/A</v>
      </c>
      <c r="K434" s="345"/>
      <c r="L434" s="344"/>
      <c r="M434" s="346"/>
      <c r="N434" s="346"/>
      <c r="O434" s="344"/>
      <c r="P434" s="509"/>
      <c r="Q434" s="344"/>
    </row>
    <row r="435">
      <c r="E435" s="341"/>
      <c r="F435" s="341"/>
      <c r="G435" s="609" t="s">
        <v>427</v>
      </c>
      <c r="H435" s="416" t="s">
        <v>306</v>
      </c>
      <c r="I435" s="601"/>
      <c r="J435" s="717" t="str">
        <f>HW_SPEC("# of TensorCore per Chip")</f>
        <v>#N/A</v>
      </c>
      <c r="K435" s="364"/>
      <c r="L435" s="273"/>
      <c r="M435" s="363"/>
      <c r="N435" s="363"/>
      <c r="O435" s="273"/>
      <c r="P435" s="375"/>
      <c r="Q435" s="273"/>
    </row>
    <row r="436">
      <c r="E436" s="341"/>
      <c r="F436" s="341"/>
      <c r="G436" s="341"/>
      <c r="H436" s="704" t="s">
        <v>416</v>
      </c>
      <c r="I436" s="11"/>
      <c r="J436" s="718" t="str">
        <f>P428 * (J435-1)/J435</f>
        <v>#N/A</v>
      </c>
      <c r="K436" s="364"/>
      <c r="L436" s="273"/>
      <c r="M436" s="363"/>
      <c r="N436" s="363"/>
      <c r="O436" s="273"/>
      <c r="P436" s="375"/>
      <c r="Q436" s="273"/>
    </row>
    <row r="437">
      <c r="E437" s="341"/>
      <c r="F437" s="341"/>
      <c r="G437" s="341"/>
      <c r="H437" s="704" t="s">
        <v>384</v>
      </c>
      <c r="I437" s="11"/>
      <c r="J437" s="718" t="str">
        <f>J436*J435</f>
        <v>#N/A</v>
      </c>
      <c r="K437" s="364"/>
      <c r="L437" s="273"/>
      <c r="M437" s="363"/>
      <c r="N437" s="363"/>
      <c r="O437" s="273"/>
      <c r="P437" s="375"/>
      <c r="Q437" s="273"/>
    </row>
    <row r="438">
      <c r="E438" s="341"/>
      <c r="F438" s="341"/>
      <c r="G438" s="341"/>
      <c r="H438" s="704" t="s">
        <v>311</v>
      </c>
      <c r="I438" s="11"/>
      <c r="J438" s="719" t="str">
        <f>REDUCE_SCATTER_CORE2CORE_TIME_MS(J437)</f>
        <v>#N/A</v>
      </c>
      <c r="K438" s="364"/>
      <c r="L438" s="273"/>
      <c r="M438" s="363"/>
      <c r="N438" s="363"/>
      <c r="O438" s="273"/>
      <c r="P438" s="375"/>
      <c r="Q438" s="273"/>
    </row>
    <row r="439">
      <c r="E439" s="341"/>
      <c r="F439" s="341"/>
      <c r="G439" s="352"/>
      <c r="H439" s="704" t="s">
        <v>428</v>
      </c>
      <c r="I439" s="11"/>
      <c r="J439" s="719" t="str">
        <f>J438/J430</f>
        <v>#N/A</v>
      </c>
      <c r="K439" s="364"/>
      <c r="L439" s="273"/>
      <c r="M439" s="363"/>
      <c r="N439" s="363"/>
      <c r="O439" s="273"/>
      <c r="P439" s="375"/>
      <c r="Q439" s="273"/>
    </row>
    <row r="440">
      <c r="E440" s="341"/>
      <c r="F440" s="352"/>
      <c r="G440" s="599" t="s">
        <v>429</v>
      </c>
      <c r="H440" s="11" t="str">
        <f>SUM(J434+J439)</f>
        <v>#N/A</v>
      </c>
      <c r="I440" s="719"/>
      <c r="J440" s="364"/>
      <c r="K440" s="364"/>
      <c r="L440" s="273"/>
      <c r="M440" s="363"/>
      <c r="N440" s="363"/>
      <c r="O440" s="273"/>
      <c r="P440" s="375"/>
      <c r="Q440" s="273"/>
    </row>
    <row r="441">
      <c r="E441" s="341"/>
      <c r="F441" s="370" t="s">
        <v>335</v>
      </c>
      <c r="G441" s="720" t="s">
        <v>322</v>
      </c>
      <c r="H441" s="721" t="s">
        <v>119</v>
      </c>
      <c r="I441" s="650"/>
      <c r="J441" s="454"/>
      <c r="K441" s="454"/>
      <c r="L441" s="455"/>
      <c r="M441" s="455"/>
      <c r="N441" s="455"/>
      <c r="O441" s="454"/>
      <c r="P441" s="722"/>
      <c r="Q441" s="11"/>
    </row>
    <row r="442">
      <c r="E442" s="341"/>
      <c r="F442" s="352"/>
      <c r="G442" s="669" t="s">
        <v>340</v>
      </c>
      <c r="H442" s="662" t="str">
        <f>IFS(H441=F406,H411,H441=F412,H423,F424=H441,H440, TRUE,0)</f>
        <v>#N/A</v>
      </c>
      <c r="I442" s="686"/>
      <c r="J442" s="364"/>
      <c r="K442" s="364"/>
      <c r="L442" s="363"/>
      <c r="M442" s="363"/>
      <c r="N442" s="363"/>
      <c r="O442" s="364"/>
      <c r="P442" s="890"/>
      <c r="Q442" s="677"/>
    </row>
    <row r="443">
      <c r="E443" s="341"/>
      <c r="F443" s="609" t="s">
        <v>327</v>
      </c>
      <c r="G443" s="601" t="s">
        <v>109</v>
      </c>
      <c r="H443" s="891"/>
      <c r="I443" s="650"/>
      <c r="J443" s="454"/>
      <c r="K443" s="454"/>
      <c r="L443" s="455"/>
      <c r="M443" s="455"/>
      <c r="N443" s="455"/>
      <c r="O443" s="454"/>
      <c r="P443" s="722"/>
      <c r="Q443" s="11"/>
    </row>
    <row r="444">
      <c r="E444" s="341"/>
      <c r="F444" s="341"/>
      <c r="G444" s="601"/>
      <c r="H444" s="663"/>
      <c r="I444" s="460"/>
      <c r="J444" s="454"/>
      <c r="K444" s="454"/>
      <c r="L444" s="455"/>
      <c r="M444" s="455"/>
      <c r="N444" s="455"/>
      <c r="O444" s="454"/>
      <c r="P444" s="722"/>
      <c r="Q444" s="11"/>
    </row>
    <row r="445">
      <c r="E445" s="341"/>
      <c r="F445" s="352"/>
      <c r="G445" s="601"/>
      <c r="H445" s="663"/>
      <c r="I445" s="460"/>
      <c r="J445" s="454"/>
      <c r="K445" s="454"/>
      <c r="L445" s="455"/>
      <c r="M445" s="455"/>
      <c r="N445" s="455"/>
      <c r="O445" s="454"/>
      <c r="P445" s="722"/>
      <c r="Q445" s="11"/>
    </row>
    <row r="446">
      <c r="E446" s="341"/>
      <c r="F446" s="609" t="s">
        <v>331</v>
      </c>
      <c r="G446" s="601" t="s">
        <v>109</v>
      </c>
      <c r="H446" s="663"/>
      <c r="I446" s="460"/>
      <c r="J446" s="454"/>
      <c r="K446" s="454"/>
      <c r="L446" s="455"/>
      <c r="M446" s="455"/>
      <c r="N446" s="455"/>
      <c r="O446" s="454"/>
      <c r="P446" s="722"/>
      <c r="Q446" s="11"/>
    </row>
    <row r="447">
      <c r="E447" s="352"/>
      <c r="F447" s="352"/>
      <c r="G447" s="601"/>
      <c r="H447" s="663"/>
      <c r="I447" s="460"/>
      <c r="J447" s="454"/>
      <c r="K447" s="454"/>
      <c r="L447" s="455"/>
      <c r="M447" s="455"/>
      <c r="N447" s="455"/>
      <c r="O447" s="454"/>
      <c r="P447" s="722"/>
      <c r="Q447" s="11"/>
    </row>
    <row r="448">
      <c r="E448" s="333" t="s">
        <v>430</v>
      </c>
      <c r="F448" s="725" t="s">
        <v>292</v>
      </c>
      <c r="G448" s="335"/>
      <c r="H448" s="531" t="s">
        <v>281</v>
      </c>
      <c r="I448" s="336" t="s">
        <v>282</v>
      </c>
      <c r="J448" s="337"/>
      <c r="K448" s="337" t="s">
        <v>104</v>
      </c>
      <c r="L448" s="337" t="s">
        <v>102</v>
      </c>
      <c r="M448" s="499" t="s">
        <v>178</v>
      </c>
      <c r="N448" s="336" t="s">
        <v>283</v>
      </c>
      <c r="O448" s="338" t="s">
        <v>125</v>
      </c>
      <c r="P448" s="377"/>
      <c r="Q448" s="338" t="b">
        <v>0</v>
      </c>
    </row>
    <row r="449">
      <c r="E449" s="341"/>
      <c r="F449" s="342"/>
      <c r="G449" s="343"/>
      <c r="H449" s="378" t="s">
        <v>285</v>
      </c>
      <c r="I449" s="345" t="s">
        <v>282</v>
      </c>
      <c r="J449" s="346"/>
      <c r="K449" s="345">
        <f t="shared" ref="K449:M449" si="90">PARAMS(K448)</f>
        <v>4096</v>
      </c>
      <c r="L449" s="345">
        <f t="shared" si="90"/>
        <v>1</v>
      </c>
      <c r="M449" s="345">
        <f t="shared" si="90"/>
        <v>7168</v>
      </c>
      <c r="N449" s="345" t="s">
        <v>283</v>
      </c>
      <c r="O449" s="347"/>
      <c r="P449" s="509">
        <f>SIZEOF_IN_MIB(J449:M449, O448)</f>
        <v>28</v>
      </c>
      <c r="Q449" s="347"/>
    </row>
    <row r="450">
      <c r="E450" s="341"/>
      <c r="F450" s="342"/>
      <c r="G450" s="343"/>
      <c r="H450" s="602" t="s">
        <v>287</v>
      </c>
      <c r="I450" s="349" t="s">
        <v>282</v>
      </c>
      <c r="J450" s="336"/>
      <c r="K450" s="337" t="s">
        <v>97</v>
      </c>
      <c r="L450" s="337"/>
      <c r="M450" s="337"/>
      <c r="N450" s="349" t="s">
        <v>283</v>
      </c>
      <c r="O450" s="350"/>
      <c r="P450" s="377"/>
      <c r="Q450" s="350"/>
    </row>
    <row r="451">
      <c r="E451" s="341"/>
      <c r="F451" s="353"/>
      <c r="G451" s="354"/>
      <c r="H451" s="378" t="s">
        <v>289</v>
      </c>
      <c r="I451" s="346" t="s">
        <v>282</v>
      </c>
      <c r="J451" s="345"/>
      <c r="K451" s="346">
        <f t="shared" ref="K451:M451" si="91">K449/SHARDING(K450)</f>
        <v>512</v>
      </c>
      <c r="L451" s="346">
        <f t="shared" si="91"/>
        <v>1</v>
      </c>
      <c r="M451" s="346">
        <f t="shared" si="91"/>
        <v>7168</v>
      </c>
      <c r="N451" s="346" t="s">
        <v>283</v>
      </c>
      <c r="O451" s="355"/>
      <c r="P451" s="509">
        <f>SIZEOF_IN_MIB(J451:M451, O448)</f>
        <v>3.5</v>
      </c>
      <c r="Q451" s="355"/>
    </row>
    <row r="452">
      <c r="E452" s="341"/>
      <c r="F452" s="726" t="s">
        <v>296</v>
      </c>
      <c r="G452" s="335"/>
      <c r="H452" s="602" t="s">
        <v>281</v>
      </c>
      <c r="I452" s="349" t="s">
        <v>282</v>
      </c>
      <c r="J452" s="336"/>
      <c r="K452" s="298"/>
      <c r="L452" s="337" t="s">
        <v>178</v>
      </c>
      <c r="M452" s="499" t="s">
        <v>182</v>
      </c>
      <c r="N452" s="349" t="s">
        <v>283</v>
      </c>
      <c r="O452" s="338" t="s">
        <v>180</v>
      </c>
      <c r="P452" s="377"/>
      <c r="Q452" s="338" t="b">
        <v>0</v>
      </c>
    </row>
    <row r="453">
      <c r="E453" s="341"/>
      <c r="F453" s="342"/>
      <c r="G453" s="343"/>
      <c r="H453" s="378" t="s">
        <v>285</v>
      </c>
      <c r="I453" s="346" t="s">
        <v>282</v>
      </c>
      <c r="J453" s="345"/>
      <c r="K453" s="398">
        <v>2.0</v>
      </c>
      <c r="L453" s="346">
        <f t="shared" ref="L453:M453" si="92">PARAMS(L452)</f>
        <v>7168</v>
      </c>
      <c r="M453" s="346">
        <f t="shared" si="92"/>
        <v>2048</v>
      </c>
      <c r="N453" s="346" t="s">
        <v>283</v>
      </c>
      <c r="O453" s="347"/>
      <c r="P453" s="509">
        <f>SIZEOF_IN_MIB(J453:M453, O452)</f>
        <v>14</v>
      </c>
      <c r="Q453" s="347"/>
    </row>
    <row r="454">
      <c r="E454" s="341"/>
      <c r="F454" s="342"/>
      <c r="G454" s="343"/>
      <c r="H454" s="602" t="s">
        <v>287</v>
      </c>
      <c r="I454" s="349" t="s">
        <v>282</v>
      </c>
      <c r="J454" s="336"/>
      <c r="K454" s="298"/>
      <c r="L454" s="337"/>
      <c r="M454" s="337"/>
      <c r="N454" s="349" t="s">
        <v>283</v>
      </c>
      <c r="O454" s="350"/>
      <c r="P454" s="377"/>
      <c r="Q454" s="350"/>
    </row>
    <row r="455">
      <c r="E455" s="341"/>
      <c r="F455" s="353"/>
      <c r="G455" s="354"/>
      <c r="H455" s="517" t="s">
        <v>289</v>
      </c>
      <c r="I455" s="346" t="s">
        <v>282</v>
      </c>
      <c r="J455" s="345"/>
      <c r="K455" s="398">
        <v>2.0</v>
      </c>
      <c r="L455" s="346">
        <f t="shared" ref="L455:M455" si="93">L453/SHARDING(L454)</f>
        <v>7168</v>
      </c>
      <c r="M455" s="346">
        <f t="shared" si="93"/>
        <v>2048</v>
      </c>
      <c r="N455" s="346" t="s">
        <v>283</v>
      </c>
      <c r="O455" s="355"/>
      <c r="P455" s="509">
        <f>SIZEOF_IN_MIB(J455:M455, O452)</f>
        <v>14</v>
      </c>
      <c r="Q455" s="355"/>
    </row>
    <row r="456">
      <c r="E456" s="341"/>
      <c r="F456" s="726" t="s">
        <v>56</v>
      </c>
      <c r="G456" s="335"/>
      <c r="H456" s="602" t="s">
        <v>281</v>
      </c>
      <c r="I456" s="349" t="s">
        <v>282</v>
      </c>
      <c r="J456" s="336"/>
      <c r="K456" s="337" t="s">
        <v>104</v>
      </c>
      <c r="L456" s="337" t="s">
        <v>102</v>
      </c>
      <c r="M456" s="337" t="s">
        <v>182</v>
      </c>
      <c r="N456" s="349" t="s">
        <v>283</v>
      </c>
      <c r="O456" s="727" t="s">
        <v>133</v>
      </c>
      <c r="P456" s="377"/>
      <c r="Q456" s="338" t="b">
        <v>0</v>
      </c>
    </row>
    <row r="457">
      <c r="E457" s="341"/>
      <c r="F457" s="342"/>
      <c r="G457" s="343"/>
      <c r="H457" s="378" t="s">
        <v>285</v>
      </c>
      <c r="I457" s="346" t="s">
        <v>282</v>
      </c>
      <c r="J457" s="344">
        <v>2.0</v>
      </c>
      <c r="K457" s="346">
        <f t="shared" ref="K457:M457" si="94">PARAMS(K456)</f>
        <v>4096</v>
      </c>
      <c r="L457" s="346">
        <f t="shared" si="94"/>
        <v>1</v>
      </c>
      <c r="M457" s="346">
        <f t="shared" si="94"/>
        <v>2048</v>
      </c>
      <c r="N457" s="346" t="s">
        <v>283</v>
      </c>
      <c r="O457" s="347"/>
      <c r="P457" s="509">
        <f>SIZEOF_IN_MIB(J457:M457, O456)</f>
        <v>32</v>
      </c>
      <c r="Q457" s="347"/>
    </row>
    <row r="458">
      <c r="E458" s="341"/>
      <c r="F458" s="342"/>
      <c r="G458" s="343"/>
      <c r="H458" s="602" t="s">
        <v>287</v>
      </c>
      <c r="I458" s="349" t="s">
        <v>282</v>
      </c>
      <c r="J458" s="336"/>
      <c r="K458" s="337" t="s">
        <v>97</v>
      </c>
      <c r="L458" s="337"/>
      <c r="M458" s="349"/>
      <c r="N458" s="349" t="s">
        <v>283</v>
      </c>
      <c r="O458" s="350"/>
      <c r="P458" s="377"/>
      <c r="Q458" s="350"/>
    </row>
    <row r="459">
      <c r="E459" s="341"/>
      <c r="F459" s="353"/>
      <c r="G459" s="354"/>
      <c r="H459" s="517" t="s">
        <v>289</v>
      </c>
      <c r="I459" s="346" t="s">
        <v>282</v>
      </c>
      <c r="J459" s="344">
        <v>2.0</v>
      </c>
      <c r="K459" s="346">
        <f t="shared" ref="K459:M459" si="95">K457/SHARDING(K458)</f>
        <v>512</v>
      </c>
      <c r="L459" s="346">
        <f t="shared" si="95"/>
        <v>1</v>
      </c>
      <c r="M459" s="346">
        <f t="shared" si="95"/>
        <v>2048</v>
      </c>
      <c r="N459" s="346" t="s">
        <v>283</v>
      </c>
      <c r="O459" s="355"/>
      <c r="P459" s="509">
        <f>SIZEOF_IN_MIB(J459:M459, O456)</f>
        <v>4</v>
      </c>
      <c r="Q459" s="355"/>
    </row>
    <row r="460">
      <c r="E460" s="341"/>
      <c r="F460" s="371" t="s">
        <v>335</v>
      </c>
      <c r="G460" s="601"/>
      <c r="H460" s="728"/>
      <c r="I460" s="336"/>
      <c r="J460" s="336"/>
      <c r="K460" s="336"/>
      <c r="L460" s="349"/>
      <c r="M460" s="349"/>
      <c r="N460" s="349"/>
      <c r="O460" s="336"/>
      <c r="P460" s="377"/>
      <c r="Q460" s="729"/>
    </row>
    <row r="461">
      <c r="E461" s="341"/>
      <c r="F461" s="352"/>
      <c r="G461" s="669" t="s">
        <v>340</v>
      </c>
      <c r="H461" s="730"/>
      <c r="I461" s="493"/>
      <c r="J461" s="345"/>
      <c r="K461" s="345"/>
      <c r="L461" s="346"/>
      <c r="M461" s="346"/>
      <c r="N461" s="346"/>
      <c r="O461" s="345"/>
      <c r="P461" s="509"/>
      <c r="Q461" s="545"/>
    </row>
    <row r="462">
      <c r="E462" s="341"/>
      <c r="F462" s="731" t="s">
        <v>327</v>
      </c>
      <c r="G462" s="601" t="s">
        <v>328</v>
      </c>
      <c r="H462" s="663" t="str">
        <f>VLOOKUP(O448&amp;","&amp;O452,$T$2:$W$11,4, FALSE)</f>
        <v>fp8</v>
      </c>
      <c r="I462" s="460"/>
      <c r="J462" s="454"/>
      <c r="K462" s="454"/>
      <c r="L462" s="455"/>
      <c r="M462" s="455"/>
      <c r="N462" s="455"/>
      <c r="O462" s="454"/>
      <c r="P462" s="468"/>
      <c r="Q462" s="11"/>
    </row>
    <row r="463">
      <c r="E463" s="341"/>
      <c r="F463" s="341"/>
      <c r="G463" s="663" t="s">
        <v>341</v>
      </c>
      <c r="H463" s="667" t="str">
        <f>CALCULATE_FLOPS(J451:M451,J455:M455,M455,L455,H462)</f>
        <v>#N/A</v>
      </c>
      <c r="I463" s="460"/>
      <c r="J463" s="454"/>
      <c r="K463" s="454"/>
      <c r="L463" s="455"/>
      <c r="M463" s="455"/>
      <c r="N463" s="455"/>
      <c r="O463" s="454"/>
      <c r="P463" s="468"/>
      <c r="Q463" s="11"/>
    </row>
    <row r="464">
      <c r="E464" s="341"/>
      <c r="F464" s="352"/>
      <c r="G464" s="669" t="s">
        <v>330</v>
      </c>
      <c r="H464" s="732" t="str">
        <f>COMPUTE_TIME_MS(H463, H462)</f>
        <v>#N/A</v>
      </c>
      <c r="I464" s="464"/>
      <c r="J464" s="465"/>
      <c r="K464" s="465"/>
      <c r="L464" s="466"/>
      <c r="M464" s="466"/>
      <c r="N464" s="466"/>
      <c r="O464" s="465"/>
      <c r="P464" s="671"/>
      <c r="Q464" s="11"/>
    </row>
    <row r="465">
      <c r="E465" s="341"/>
      <c r="F465" s="731" t="s">
        <v>331</v>
      </c>
      <c r="G465" s="663" t="s">
        <v>332</v>
      </c>
      <c r="H465" s="672">
        <f>IF(Q448,0,P451)+IF(Q452,0,P455)+IF(Q456,0,P459)</f>
        <v>21.5</v>
      </c>
      <c r="I465" s="454"/>
      <c r="J465" s="454"/>
      <c r="K465" s="454"/>
      <c r="L465" s="455"/>
      <c r="M465" s="455"/>
      <c r="N465" s="455"/>
      <c r="O465" s="454"/>
      <c r="P465" s="468"/>
      <c r="Q465" s="11"/>
    </row>
    <row r="466">
      <c r="E466" s="352"/>
      <c r="F466" s="352"/>
      <c r="G466" s="673" t="s">
        <v>333</v>
      </c>
      <c r="H466" s="733" t="str">
        <f>HBM_TIME_MS(H465)</f>
        <v>#N/A</v>
      </c>
      <c r="I466" s="465"/>
      <c r="J466" s="465"/>
      <c r="K466" s="465"/>
      <c r="L466" s="466"/>
      <c r="M466" s="466"/>
      <c r="N466" s="466"/>
      <c r="O466" s="465"/>
      <c r="P466" s="671"/>
      <c r="Q466" s="11"/>
    </row>
    <row r="467">
      <c r="E467" s="333" t="s">
        <v>431</v>
      </c>
      <c r="F467" s="725" t="s">
        <v>292</v>
      </c>
      <c r="G467" s="335"/>
      <c r="H467" s="531" t="s">
        <v>281</v>
      </c>
      <c r="I467" s="336" t="s">
        <v>282</v>
      </c>
      <c r="J467" s="405"/>
      <c r="K467" s="734" t="s">
        <v>104</v>
      </c>
      <c r="L467" s="734" t="s">
        <v>102</v>
      </c>
      <c r="M467" s="735" t="s">
        <v>182</v>
      </c>
      <c r="N467" s="336" t="s">
        <v>283</v>
      </c>
      <c r="O467" s="338" t="s">
        <v>125</v>
      </c>
      <c r="P467" s="377"/>
      <c r="Q467" s="338" t="b">
        <v>0</v>
      </c>
    </row>
    <row r="468">
      <c r="E468" s="341"/>
      <c r="F468" s="342"/>
      <c r="G468" s="343"/>
      <c r="H468" s="378" t="s">
        <v>285</v>
      </c>
      <c r="I468" s="345" t="s">
        <v>282</v>
      </c>
      <c r="J468" s="400"/>
      <c r="K468" s="739">
        <f t="shared" ref="K468:M468" si="96">PARAMS(K467)</f>
        <v>4096</v>
      </c>
      <c r="L468" s="737">
        <f t="shared" si="96"/>
        <v>1</v>
      </c>
      <c r="M468" s="737">
        <f t="shared" si="96"/>
        <v>2048</v>
      </c>
      <c r="N468" s="345" t="s">
        <v>283</v>
      </c>
      <c r="O468" s="347"/>
      <c r="P468" s="509">
        <f>SIZEOF_IN_MIB(J468:M468, O467)</f>
        <v>8</v>
      </c>
      <c r="Q468" s="347"/>
    </row>
    <row r="469">
      <c r="E469" s="341"/>
      <c r="F469" s="342"/>
      <c r="G469" s="343"/>
      <c r="H469" s="602" t="s">
        <v>287</v>
      </c>
      <c r="I469" s="349" t="s">
        <v>282</v>
      </c>
      <c r="J469" s="404"/>
      <c r="K469" s="734" t="s">
        <v>97</v>
      </c>
      <c r="L469" s="405"/>
      <c r="M469" s="405"/>
      <c r="N469" s="349" t="s">
        <v>283</v>
      </c>
      <c r="O469" s="350"/>
      <c r="P469" s="377"/>
      <c r="Q469" s="350"/>
    </row>
    <row r="470">
      <c r="E470" s="341"/>
      <c r="F470" s="353"/>
      <c r="G470" s="354"/>
      <c r="H470" s="378" t="s">
        <v>289</v>
      </c>
      <c r="I470" s="346" t="s">
        <v>282</v>
      </c>
      <c r="J470" s="399"/>
      <c r="K470" s="736">
        <f t="shared" ref="K470:M470" si="97">K468/SHARDING(K469)</f>
        <v>512</v>
      </c>
      <c r="L470" s="736">
        <f t="shared" si="97"/>
        <v>1</v>
      </c>
      <c r="M470" s="736">
        <f t="shared" si="97"/>
        <v>2048</v>
      </c>
      <c r="N470" s="346" t="s">
        <v>283</v>
      </c>
      <c r="O470" s="355"/>
      <c r="P470" s="509">
        <f>SIZEOF_IN_MIB(J470:M470, O467)</f>
        <v>1</v>
      </c>
      <c r="Q470" s="355"/>
    </row>
    <row r="471">
      <c r="E471" s="341"/>
      <c r="F471" s="726" t="s">
        <v>296</v>
      </c>
      <c r="G471" s="335"/>
      <c r="H471" s="602" t="s">
        <v>281</v>
      </c>
      <c r="I471" s="349" t="s">
        <v>282</v>
      </c>
      <c r="J471" s="404"/>
      <c r="K471" s="391"/>
      <c r="L471" s="734" t="s">
        <v>182</v>
      </c>
      <c r="M471" s="735" t="s">
        <v>178</v>
      </c>
      <c r="N471" s="349" t="s">
        <v>283</v>
      </c>
      <c r="O471" s="338" t="s">
        <v>180</v>
      </c>
      <c r="P471" s="377"/>
      <c r="Q471" s="338" t="b">
        <v>0</v>
      </c>
    </row>
    <row r="472">
      <c r="E472" s="341"/>
      <c r="F472" s="342"/>
      <c r="G472" s="343"/>
      <c r="H472" s="378" t="s">
        <v>285</v>
      </c>
      <c r="I472" s="346" t="s">
        <v>282</v>
      </c>
      <c r="J472" s="399"/>
      <c r="K472" s="388"/>
      <c r="L472" s="736">
        <f t="shared" ref="L472:M472" si="98">PARAMS(L471)</f>
        <v>2048</v>
      </c>
      <c r="M472" s="736">
        <f t="shared" si="98"/>
        <v>7168</v>
      </c>
      <c r="N472" s="346" t="s">
        <v>283</v>
      </c>
      <c r="O472" s="347"/>
      <c r="P472" s="509">
        <f>SIZEOF_IN_MIB(J472:M472, O471)</f>
        <v>7</v>
      </c>
      <c r="Q472" s="347"/>
    </row>
    <row r="473">
      <c r="E473" s="341"/>
      <c r="F473" s="342"/>
      <c r="G473" s="343"/>
      <c r="H473" s="602" t="s">
        <v>287</v>
      </c>
      <c r="I473" s="349" t="s">
        <v>282</v>
      </c>
      <c r="J473" s="404"/>
      <c r="K473" s="391"/>
      <c r="L473" s="405"/>
      <c r="M473" s="405"/>
      <c r="N473" s="349" t="s">
        <v>283</v>
      </c>
      <c r="O473" s="350"/>
      <c r="P473" s="377"/>
      <c r="Q473" s="350"/>
    </row>
    <row r="474">
      <c r="E474" s="341"/>
      <c r="F474" s="353"/>
      <c r="G474" s="354"/>
      <c r="H474" s="517" t="s">
        <v>289</v>
      </c>
      <c r="I474" s="346" t="s">
        <v>282</v>
      </c>
      <c r="J474" s="399"/>
      <c r="K474" s="388"/>
      <c r="L474" s="736">
        <f t="shared" ref="L474:M474" si="99">L472/SHARDING(L473)</f>
        <v>2048</v>
      </c>
      <c r="M474" s="736">
        <f t="shared" si="99"/>
        <v>7168</v>
      </c>
      <c r="N474" s="346" t="s">
        <v>283</v>
      </c>
      <c r="O474" s="355"/>
      <c r="P474" s="509">
        <f>SIZEOF_IN_MIB(J474:M474, O471)</f>
        <v>7</v>
      </c>
      <c r="Q474" s="355"/>
    </row>
    <row r="475">
      <c r="E475" s="341"/>
      <c r="F475" s="726" t="s">
        <v>56</v>
      </c>
      <c r="G475" s="335"/>
      <c r="H475" s="602" t="s">
        <v>281</v>
      </c>
      <c r="I475" s="349" t="s">
        <v>282</v>
      </c>
      <c r="J475" s="404"/>
      <c r="K475" s="734" t="s">
        <v>104</v>
      </c>
      <c r="L475" s="734" t="s">
        <v>102</v>
      </c>
      <c r="M475" s="734" t="s">
        <v>178</v>
      </c>
      <c r="N475" s="349" t="s">
        <v>283</v>
      </c>
      <c r="O475" s="727" t="s">
        <v>133</v>
      </c>
      <c r="P475" s="377"/>
      <c r="Q475" s="338" t="b">
        <v>0</v>
      </c>
    </row>
    <row r="476">
      <c r="E476" s="341"/>
      <c r="F476" s="342"/>
      <c r="G476" s="343"/>
      <c r="H476" s="378" t="s">
        <v>285</v>
      </c>
      <c r="I476" s="346" t="s">
        <v>282</v>
      </c>
      <c r="J476" s="400"/>
      <c r="K476" s="739">
        <f t="shared" ref="K476:M476" si="100">PARAMS(K475)</f>
        <v>4096</v>
      </c>
      <c r="L476" s="736">
        <f t="shared" si="100"/>
        <v>1</v>
      </c>
      <c r="M476" s="736">
        <f t="shared" si="100"/>
        <v>7168</v>
      </c>
      <c r="N476" s="346" t="s">
        <v>283</v>
      </c>
      <c r="O476" s="347"/>
      <c r="P476" s="509">
        <f>SIZEOF_IN_MIB(J476:M476, O475)</f>
        <v>56</v>
      </c>
      <c r="Q476" s="347"/>
    </row>
    <row r="477">
      <c r="E477" s="341"/>
      <c r="F477" s="342"/>
      <c r="G477" s="343"/>
      <c r="H477" s="602" t="s">
        <v>287</v>
      </c>
      <c r="I477" s="349" t="s">
        <v>282</v>
      </c>
      <c r="J477" s="404"/>
      <c r="K477" s="734" t="s">
        <v>97</v>
      </c>
      <c r="L477" s="405"/>
      <c r="M477" s="405"/>
      <c r="N477" s="349" t="s">
        <v>283</v>
      </c>
      <c r="O477" s="350"/>
      <c r="P477" s="377"/>
      <c r="Q477" s="350"/>
    </row>
    <row r="478">
      <c r="E478" s="341"/>
      <c r="F478" s="353"/>
      <c r="G478" s="354"/>
      <c r="H478" s="517" t="s">
        <v>289</v>
      </c>
      <c r="I478" s="346" t="s">
        <v>282</v>
      </c>
      <c r="J478" s="400"/>
      <c r="K478" s="736">
        <f t="shared" ref="K478:M478" si="101">K476/SHARDING(K477)</f>
        <v>512</v>
      </c>
      <c r="L478" s="736">
        <f t="shared" si="101"/>
        <v>1</v>
      </c>
      <c r="M478" s="736">
        <f t="shared" si="101"/>
        <v>7168</v>
      </c>
      <c r="N478" s="346" t="s">
        <v>283</v>
      </c>
      <c r="O478" s="355"/>
      <c r="P478" s="509">
        <f>SIZEOF_IN_MIB(J478:M478, O475)</f>
        <v>7</v>
      </c>
      <c r="Q478" s="355"/>
    </row>
    <row r="479">
      <c r="E479" s="341"/>
      <c r="F479" s="371" t="s">
        <v>335</v>
      </c>
      <c r="G479" s="601"/>
      <c r="H479" s="728"/>
      <c r="I479" s="336"/>
      <c r="J479" s="336"/>
      <c r="K479" s="336"/>
      <c r="L479" s="349"/>
      <c r="M479" s="349"/>
      <c r="N479" s="349"/>
      <c r="O479" s="336"/>
      <c r="P479" s="377"/>
      <c r="Q479" s="729"/>
    </row>
    <row r="480">
      <c r="E480" s="341"/>
      <c r="F480" s="352"/>
      <c r="G480" s="669" t="s">
        <v>340</v>
      </c>
      <c r="H480" s="730"/>
      <c r="I480" s="493"/>
      <c r="J480" s="345"/>
      <c r="K480" s="345"/>
      <c r="L480" s="346"/>
      <c r="M480" s="346"/>
      <c r="N480" s="346"/>
      <c r="O480" s="345"/>
      <c r="P480" s="509"/>
      <c r="Q480" s="545"/>
    </row>
    <row r="481">
      <c r="E481" s="341"/>
      <c r="F481" s="731" t="s">
        <v>327</v>
      </c>
      <c r="G481" s="601" t="s">
        <v>328</v>
      </c>
      <c r="H481" s="663" t="str">
        <f>VLOOKUP(O467&amp;","&amp;O471,$T$2:$W$11,4, FALSE)</f>
        <v>fp8</v>
      </c>
      <c r="I481" s="460"/>
      <c r="J481" s="454"/>
      <c r="K481" s="454"/>
      <c r="L481" s="455"/>
      <c r="M481" s="455"/>
      <c r="N481" s="455"/>
      <c r="O481" s="454"/>
      <c r="P481" s="468"/>
      <c r="Q481" s="11"/>
    </row>
    <row r="482">
      <c r="E482" s="341"/>
      <c r="F482" s="341"/>
      <c r="G482" s="663" t="s">
        <v>341</v>
      </c>
      <c r="H482" s="667" t="str">
        <f>CALCULATE_FLOPS(J470:M470,J474:M474,M474,L474,H481)</f>
        <v>#N/A</v>
      </c>
      <c r="I482" s="460"/>
      <c r="J482" s="454"/>
      <c r="K482" s="454"/>
      <c r="L482" s="455"/>
      <c r="M482" s="455"/>
      <c r="N482" s="455"/>
      <c r="O482" s="454"/>
      <c r="P482" s="468"/>
      <c r="Q482" s="11"/>
    </row>
    <row r="483">
      <c r="E483" s="341"/>
      <c r="F483" s="352"/>
      <c r="G483" s="669" t="s">
        <v>330</v>
      </c>
      <c r="H483" s="732" t="str">
        <f>COMPUTE_TIME_MS(H482, H481)</f>
        <v>#N/A</v>
      </c>
      <c r="I483" s="464"/>
      <c r="J483" s="465"/>
      <c r="K483" s="465"/>
      <c r="L483" s="466"/>
      <c r="M483" s="466"/>
      <c r="N483" s="466"/>
      <c r="O483" s="465"/>
      <c r="P483" s="671"/>
      <c r="Q483" s="11"/>
    </row>
    <row r="484">
      <c r="E484" s="341"/>
      <c r="F484" s="731" t="s">
        <v>331</v>
      </c>
      <c r="G484" s="663" t="s">
        <v>332</v>
      </c>
      <c r="H484" s="672">
        <f>IF(Q467,0,P470)+IF(Q471,0,P474)+IF(Q475,0,P478)</f>
        <v>15</v>
      </c>
      <c r="I484" s="454"/>
      <c r="J484" s="454"/>
      <c r="K484" s="454"/>
      <c r="L484" s="455"/>
      <c r="M484" s="455"/>
      <c r="N484" s="455"/>
      <c r="O484" s="454"/>
      <c r="P484" s="468"/>
      <c r="Q484" s="11"/>
    </row>
    <row r="485">
      <c r="E485" s="352"/>
      <c r="F485" s="352"/>
      <c r="G485" s="673" t="s">
        <v>333</v>
      </c>
      <c r="H485" s="733" t="str">
        <f>HBM_TIME_MS(H484)</f>
        <v>#N/A</v>
      </c>
      <c r="I485" s="465"/>
      <c r="J485" s="465"/>
      <c r="K485" s="465"/>
      <c r="L485" s="466"/>
      <c r="M485" s="466"/>
      <c r="N485" s="466"/>
      <c r="O485" s="465"/>
      <c r="P485" s="671"/>
      <c r="Q485" s="11"/>
    </row>
    <row r="486">
      <c r="P486" s="227"/>
    </row>
    <row r="487">
      <c r="P487" s="227"/>
    </row>
    <row r="488">
      <c r="P488" s="227"/>
    </row>
    <row r="489">
      <c r="P489" s="227"/>
    </row>
    <row r="490">
      <c r="P490" s="227"/>
    </row>
    <row r="491">
      <c r="P491" s="227"/>
    </row>
    <row r="492">
      <c r="P492" s="227"/>
    </row>
    <row r="493">
      <c r="P493" s="227"/>
    </row>
    <row r="494">
      <c r="P494" s="227"/>
    </row>
    <row r="495">
      <c r="P495" s="227"/>
    </row>
    <row r="496">
      <c r="P496" s="227"/>
    </row>
    <row r="497">
      <c r="P497" s="227"/>
    </row>
    <row r="498">
      <c r="P498" s="227"/>
    </row>
    <row r="499">
      <c r="P499" s="227"/>
    </row>
    <row r="500">
      <c r="P500" s="227"/>
    </row>
    <row r="501">
      <c r="P501" s="227"/>
    </row>
    <row r="502">
      <c r="P502" s="227"/>
    </row>
    <row r="503">
      <c r="P503" s="227"/>
    </row>
    <row r="504">
      <c r="P504" s="227"/>
    </row>
    <row r="505">
      <c r="P505" s="227"/>
    </row>
    <row r="506">
      <c r="P506" s="227"/>
    </row>
    <row r="507">
      <c r="P507" s="227"/>
    </row>
    <row r="508">
      <c r="P508" s="227"/>
    </row>
    <row r="509">
      <c r="P509" s="227"/>
    </row>
    <row r="510">
      <c r="P510" s="227"/>
    </row>
    <row r="511">
      <c r="P511" s="227"/>
    </row>
    <row r="512">
      <c r="P512" s="227"/>
    </row>
    <row r="513">
      <c r="P513" s="227"/>
    </row>
    <row r="514">
      <c r="P514" s="227"/>
    </row>
    <row r="515">
      <c r="P515" s="227"/>
    </row>
    <row r="516">
      <c r="P516" s="227"/>
    </row>
    <row r="517">
      <c r="P517" s="227"/>
    </row>
    <row r="518">
      <c r="P518" s="227"/>
    </row>
    <row r="519">
      <c r="P519" s="227"/>
    </row>
    <row r="520">
      <c r="P520" s="227"/>
    </row>
    <row r="521">
      <c r="P521" s="227"/>
    </row>
    <row r="522">
      <c r="P522" s="227"/>
    </row>
    <row r="523">
      <c r="P523" s="227"/>
    </row>
    <row r="524">
      <c r="P524" s="227"/>
    </row>
    <row r="525">
      <c r="P525" s="227"/>
    </row>
    <row r="526">
      <c r="P526" s="227"/>
    </row>
    <row r="527">
      <c r="P527" s="227"/>
    </row>
    <row r="528">
      <c r="P528" s="227"/>
    </row>
    <row r="529">
      <c r="P529" s="227"/>
    </row>
    <row r="530">
      <c r="P530" s="227"/>
    </row>
    <row r="531">
      <c r="P531" s="227"/>
    </row>
    <row r="532">
      <c r="P532" s="227"/>
    </row>
    <row r="533">
      <c r="P533" s="227"/>
    </row>
    <row r="534">
      <c r="P534" s="227"/>
    </row>
    <row r="535">
      <c r="P535" s="227"/>
    </row>
    <row r="536">
      <c r="P536" s="227"/>
    </row>
    <row r="537">
      <c r="P537" s="227"/>
    </row>
    <row r="538">
      <c r="P538" s="227"/>
    </row>
    <row r="539">
      <c r="P539" s="227"/>
    </row>
    <row r="540">
      <c r="P540" s="227"/>
    </row>
    <row r="541">
      <c r="P541" s="227"/>
    </row>
    <row r="542">
      <c r="P542" s="227"/>
    </row>
    <row r="543">
      <c r="P543" s="227"/>
    </row>
    <row r="544">
      <c r="P544" s="227"/>
    </row>
    <row r="545">
      <c r="P545" s="227"/>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16">
      <formula1>"GhostFish,GB200"</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null!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16" t="s">
        <v>169</v>
      </c>
      <c r="B1" s="216" t="s">
        <v>170</v>
      </c>
      <c r="C1" s="216" t="s">
        <v>171</v>
      </c>
      <c r="D1" s="892"/>
      <c r="E1" s="218"/>
      <c r="F1" s="219" t="s">
        <v>172</v>
      </c>
      <c r="G1" s="219" t="s">
        <v>173</v>
      </c>
      <c r="H1" s="220" t="s">
        <v>174</v>
      </c>
      <c r="I1" s="218"/>
      <c r="J1" s="218"/>
      <c r="K1" s="218"/>
      <c r="L1" s="218"/>
      <c r="M1" s="218"/>
      <c r="N1" s="218"/>
      <c r="O1" s="218"/>
      <c r="P1" s="221"/>
      <c r="Q1" s="222" t="s">
        <v>175</v>
      </c>
      <c r="R1" s="218"/>
      <c r="S1" s="218"/>
      <c r="T1" s="222" t="s">
        <v>176</v>
      </c>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row>
    <row r="2">
      <c r="A2" s="223" t="s">
        <v>177</v>
      </c>
      <c r="B2" s="223" t="s">
        <v>178</v>
      </c>
      <c r="C2" s="223">
        <v>7168.0</v>
      </c>
      <c r="D2" s="893"/>
      <c r="F2" s="219" t="s">
        <v>179</v>
      </c>
      <c r="G2" s="225"/>
      <c r="H2" s="226"/>
      <c r="P2" s="227"/>
      <c r="Q2" s="181" t="s">
        <v>180</v>
      </c>
      <c r="R2" s="181">
        <v>0.5</v>
      </c>
      <c r="T2" s="66" t="str">
        <f t="shared" ref="T2:T6" si="1">U2&amp;","&amp;V2</f>
        <v>fp4,fp4</v>
      </c>
      <c r="U2" s="181" t="s">
        <v>180</v>
      </c>
      <c r="V2" s="181" t="s">
        <v>180</v>
      </c>
      <c r="W2" s="181" t="s">
        <v>180</v>
      </c>
      <c r="AR2" s="228"/>
      <c r="AS2" s="228"/>
      <c r="AT2" s="228"/>
    </row>
    <row r="3">
      <c r="A3" s="223" t="s">
        <v>181</v>
      </c>
      <c r="B3" s="223" t="s">
        <v>182</v>
      </c>
      <c r="C3" s="223">
        <v>2048.0</v>
      </c>
      <c r="D3" s="893"/>
      <c r="F3" s="230" t="s">
        <v>96</v>
      </c>
      <c r="G3" s="225">
        <v>1.0</v>
      </c>
      <c r="H3" s="226"/>
      <c r="P3" s="227"/>
      <c r="Q3" s="181" t="s">
        <v>125</v>
      </c>
      <c r="R3" s="181">
        <v>1.0</v>
      </c>
      <c r="T3" s="66" t="str">
        <f t="shared" si="1"/>
        <v>fp4,fp8</v>
      </c>
      <c r="U3" s="181" t="s">
        <v>180</v>
      </c>
      <c r="V3" s="181" t="s">
        <v>125</v>
      </c>
      <c r="W3" s="181" t="s">
        <v>125</v>
      </c>
    </row>
    <row r="4">
      <c r="A4" s="223" t="s">
        <v>183</v>
      </c>
      <c r="B4" s="223" t="s">
        <v>184</v>
      </c>
      <c r="C4" s="223">
        <v>256.0</v>
      </c>
      <c r="D4" s="893"/>
      <c r="F4" s="230" t="s">
        <v>97</v>
      </c>
      <c r="G4" s="225">
        <v>16.0</v>
      </c>
      <c r="H4" s="226" t="s">
        <v>185</v>
      </c>
      <c r="P4" s="227"/>
      <c r="Q4" s="181" t="s">
        <v>133</v>
      </c>
      <c r="R4" s="181">
        <v>2.0</v>
      </c>
      <c r="T4" s="66" t="str">
        <f t="shared" si="1"/>
        <v>fp4,bf16</v>
      </c>
      <c r="U4" s="181" t="s">
        <v>180</v>
      </c>
      <c r="V4" s="181" t="s">
        <v>133</v>
      </c>
      <c r="W4" s="181" t="s">
        <v>133</v>
      </c>
      <c r="AR4" s="228"/>
      <c r="AS4" s="228"/>
      <c r="AT4" s="228"/>
    </row>
    <row r="5">
      <c r="A5" s="223" t="s">
        <v>186</v>
      </c>
      <c r="B5" s="223" t="s">
        <v>187</v>
      </c>
      <c r="C5" s="223">
        <v>61.0</v>
      </c>
      <c r="D5" s="893"/>
      <c r="F5" s="230" t="s">
        <v>98</v>
      </c>
      <c r="G5" s="225">
        <v>1.0</v>
      </c>
      <c r="H5" s="226"/>
      <c r="P5" s="227"/>
      <c r="T5" s="66" t="str">
        <f t="shared" si="1"/>
        <v>fp8,fp4</v>
      </c>
      <c r="U5" s="181" t="s">
        <v>125</v>
      </c>
      <c r="V5" s="181" t="s">
        <v>180</v>
      </c>
      <c r="W5" s="181" t="s">
        <v>125</v>
      </c>
    </row>
    <row r="6">
      <c r="A6" s="231" t="s">
        <v>188</v>
      </c>
      <c r="B6" s="231" t="s">
        <v>189</v>
      </c>
      <c r="C6" s="231">
        <v>3.0</v>
      </c>
      <c r="D6" s="893"/>
      <c r="F6" s="230" t="s">
        <v>99</v>
      </c>
      <c r="G6" s="225">
        <v>1.0</v>
      </c>
      <c r="H6" s="226" t="s">
        <v>190</v>
      </c>
      <c r="P6" s="227"/>
      <c r="T6" s="66" t="str">
        <f t="shared" si="1"/>
        <v>fp8,fp8</v>
      </c>
      <c r="U6" s="181" t="s">
        <v>125</v>
      </c>
      <c r="V6" s="181" t="s">
        <v>125</v>
      </c>
      <c r="W6" s="181" t="s">
        <v>125</v>
      </c>
      <c r="AR6" s="161"/>
      <c r="AS6" s="161"/>
      <c r="AT6" s="161"/>
    </row>
    <row r="7">
      <c r="A7" s="223" t="s">
        <v>191</v>
      </c>
      <c r="B7" s="223" t="s">
        <v>192</v>
      </c>
      <c r="C7" s="223">
        <v>8.0</v>
      </c>
      <c r="D7" s="893"/>
      <c r="F7" s="219" t="s">
        <v>193</v>
      </c>
      <c r="P7" s="227"/>
      <c r="U7" s="181"/>
      <c r="V7" s="181"/>
      <c r="W7" s="181"/>
      <c r="AB7" s="181"/>
      <c r="AC7" s="181"/>
      <c r="AD7" s="181"/>
      <c r="AE7" s="181"/>
    </row>
    <row r="8">
      <c r="A8" s="232" t="s">
        <v>194</v>
      </c>
      <c r="B8" s="233" t="s">
        <v>195</v>
      </c>
      <c r="C8" s="223">
        <v>1536.0</v>
      </c>
      <c r="D8" s="893"/>
      <c r="F8" s="234" t="s">
        <v>196</v>
      </c>
      <c r="G8" s="235">
        <f>G4*G3</f>
        <v>16</v>
      </c>
      <c r="H8" s="236"/>
      <c r="P8" s="227"/>
      <c r="T8" s="66" t="str">
        <f t="shared" ref="T8:T10" si="2">U8&amp;","&amp;V8</f>
        <v>fp8,bf16</v>
      </c>
      <c r="U8" s="181" t="s">
        <v>125</v>
      </c>
      <c r="V8" s="181" t="s">
        <v>133</v>
      </c>
      <c r="W8" s="181" t="s">
        <v>133</v>
      </c>
      <c r="AB8" s="181"/>
      <c r="AC8" s="181"/>
      <c r="AD8" s="181"/>
      <c r="AE8" s="181"/>
    </row>
    <row r="9">
      <c r="A9" s="232" t="s">
        <v>197</v>
      </c>
      <c r="B9" s="233" t="s">
        <v>198</v>
      </c>
      <c r="C9" s="223">
        <v>512.0</v>
      </c>
      <c r="D9" s="893"/>
      <c r="F9" s="237" t="s">
        <v>199</v>
      </c>
      <c r="G9" s="238">
        <f>PRODUCT(G2:G5)</f>
        <v>16</v>
      </c>
      <c r="H9" s="239"/>
      <c r="P9" s="227"/>
      <c r="T9" s="66" t="str">
        <f t="shared" si="2"/>
        <v>bf16,fp4</v>
      </c>
      <c r="U9" s="181" t="s">
        <v>133</v>
      </c>
      <c r="V9" s="181" t="s">
        <v>180</v>
      </c>
      <c r="W9" s="181" t="s">
        <v>133</v>
      </c>
      <c r="AP9" s="218"/>
      <c r="AQ9" s="218"/>
      <c r="AT9" s="228"/>
    </row>
    <row r="10">
      <c r="A10" s="232" t="s">
        <v>200</v>
      </c>
      <c r="B10" s="233" t="s">
        <v>201</v>
      </c>
      <c r="C10" s="223">
        <v>128.0</v>
      </c>
      <c r="D10" s="893"/>
      <c r="F10" s="237" t="s">
        <v>202</v>
      </c>
      <c r="G10" s="238">
        <f>$G$9/$H$17</f>
        <v>8</v>
      </c>
      <c r="H10" s="239"/>
      <c r="P10" s="227"/>
      <c r="T10" s="66" t="str">
        <f t="shared" si="2"/>
        <v>bf16,fp8</v>
      </c>
      <c r="U10" s="181" t="s">
        <v>133</v>
      </c>
      <c r="V10" s="181" t="s">
        <v>125</v>
      </c>
      <c r="W10" s="181" t="s">
        <v>133</v>
      </c>
      <c r="AP10" s="222"/>
    </row>
    <row r="11">
      <c r="A11" s="232" t="s">
        <v>203</v>
      </c>
      <c r="B11" s="233" t="s">
        <v>204</v>
      </c>
      <c r="C11" s="223">
        <v>64.0</v>
      </c>
      <c r="D11" s="893"/>
      <c r="L11" s="844" t="s">
        <v>584</v>
      </c>
      <c r="P11" s="227"/>
      <c r="T11" s="66" t="s">
        <v>205</v>
      </c>
      <c r="U11" s="181" t="s">
        <v>133</v>
      </c>
      <c r="V11" s="181" t="s">
        <v>133</v>
      </c>
      <c r="W11" s="181" t="s">
        <v>133</v>
      </c>
      <c r="AP11" s="218"/>
      <c r="AQ11" s="218"/>
      <c r="AT11" s="228"/>
    </row>
    <row r="12">
      <c r="A12" s="223" t="s">
        <v>206</v>
      </c>
      <c r="B12" s="233" t="s">
        <v>207</v>
      </c>
      <c r="C12" s="223">
        <v>128.0</v>
      </c>
      <c r="D12" s="893"/>
    </row>
    <row r="13">
      <c r="A13" s="241" t="s">
        <v>208</v>
      </c>
      <c r="B13" s="242"/>
      <c r="C13" s="242"/>
      <c r="AG13" s="207"/>
      <c r="AH13" s="207"/>
      <c r="AI13" s="161"/>
      <c r="AJ13" s="2"/>
      <c r="AK13" s="2"/>
      <c r="AL13" s="2"/>
      <c r="AM13" s="2"/>
      <c r="AN13" s="161"/>
      <c r="AO13" s="2"/>
      <c r="AP13" s="207"/>
      <c r="AQ13" s="2"/>
      <c r="AR13" s="2"/>
      <c r="AS13" s="161"/>
      <c r="AT13" s="161"/>
    </row>
    <row r="14">
      <c r="A14" s="244" t="s">
        <v>209</v>
      </c>
      <c r="B14" s="244" t="s">
        <v>209</v>
      </c>
      <c r="C14" s="245">
        <f>$C$10+$C$11</f>
        <v>192</v>
      </c>
      <c r="AG14" s="2"/>
      <c r="AH14" s="2"/>
      <c r="AI14" s="161"/>
      <c r="AJ14" s="2"/>
      <c r="AK14" s="2"/>
      <c r="AL14" s="2"/>
      <c r="AM14" s="2"/>
      <c r="AN14" s="161"/>
      <c r="AO14" s="2"/>
      <c r="AP14" s="247"/>
      <c r="AQ14" s="247"/>
      <c r="AR14" s="2"/>
      <c r="AS14" s="161"/>
      <c r="AT14" s="248"/>
    </row>
    <row r="15">
      <c r="A15" s="244" t="s">
        <v>210</v>
      </c>
      <c r="B15" s="244" t="s">
        <v>210</v>
      </c>
      <c r="C15" s="249">
        <f>$C$9+$C$11</f>
        <v>576</v>
      </c>
      <c r="D15" s="893"/>
      <c r="AG15" s="2"/>
      <c r="AH15" s="2"/>
      <c r="AI15" s="161"/>
      <c r="AJ15" s="2"/>
      <c r="AK15" s="2"/>
      <c r="AL15" s="2"/>
      <c r="AM15" s="2"/>
      <c r="AN15" s="161"/>
      <c r="AO15" s="2"/>
      <c r="AP15" s="247"/>
      <c r="AQ15" s="247"/>
      <c r="AR15" s="2"/>
      <c r="AS15" s="161"/>
      <c r="AT15" s="248"/>
    </row>
    <row r="16">
      <c r="A16" s="249" t="s">
        <v>211</v>
      </c>
      <c r="B16" s="249" t="s">
        <v>212</v>
      </c>
      <c r="C16" s="245">
        <f>C7*$C$24</f>
        <v>8</v>
      </c>
      <c r="F16" s="250" t="s">
        <v>213</v>
      </c>
      <c r="G16" s="251" t="s">
        <v>585</v>
      </c>
      <c r="H16" s="251" t="s">
        <v>522</v>
      </c>
      <c r="AG16" s="2"/>
      <c r="AH16" s="2"/>
      <c r="AI16" s="161"/>
      <c r="AJ16" s="2"/>
      <c r="AK16" s="2"/>
      <c r="AL16" s="2"/>
      <c r="AM16" s="2"/>
      <c r="AN16" s="161"/>
      <c r="AO16" s="2"/>
      <c r="AP16" s="247"/>
      <c r="AQ16" s="247"/>
      <c r="AR16" s="2"/>
      <c r="AS16" s="161"/>
      <c r="AT16" s="248"/>
    </row>
    <row r="17">
      <c r="A17" s="252" t="s">
        <v>173</v>
      </c>
      <c r="B17" s="252" t="s">
        <v>214</v>
      </c>
      <c r="C17" s="253">
        <f>$G$9</f>
        <v>16</v>
      </c>
      <c r="F17" s="185" t="str">
        <f t="array" ref="F17:F29">DB!A2:A14</f>
        <v># of TensorCore per Chip</v>
      </c>
      <c r="G17" s="847">
        <v>1.0</v>
      </c>
      <c r="H17" s="254">
        <f t="array" ref="H17:H29">xlookup($H$16,DB!1:1,DB!2:14) * G17:G29</f>
        <v>2</v>
      </c>
      <c r="AG17" s="2"/>
      <c r="AH17" s="2"/>
      <c r="AI17" s="161"/>
      <c r="AJ17" s="2"/>
      <c r="AK17" s="2"/>
      <c r="AL17" s="2"/>
      <c r="AM17" s="2"/>
      <c r="AN17" s="161"/>
      <c r="AO17" s="2"/>
      <c r="AP17" s="247"/>
      <c r="AQ17" s="2"/>
      <c r="AR17" s="2"/>
      <c r="AS17" s="161"/>
      <c r="AT17" s="161"/>
    </row>
    <row r="18">
      <c r="A18" s="252" t="s">
        <v>215</v>
      </c>
      <c r="B18" s="252" t="s">
        <v>216</v>
      </c>
      <c r="C18" s="253">
        <f>$G$10</f>
        <v>8</v>
      </c>
      <c r="F18" s="185" t="s">
        <v>217</v>
      </c>
      <c r="G18" s="847">
        <v>1.0</v>
      </c>
      <c r="H18" s="254">
        <v>7315.0</v>
      </c>
      <c r="AG18" s="2"/>
      <c r="AH18" s="2"/>
      <c r="AI18" s="161"/>
      <c r="AJ18" s="2"/>
      <c r="AK18" s="2"/>
      <c r="AL18" s="2"/>
      <c r="AM18" s="2"/>
      <c r="AN18" s="161"/>
      <c r="AO18" s="2"/>
      <c r="AP18" s="247"/>
      <c r="AQ18" s="2"/>
      <c r="AR18" s="2"/>
      <c r="AS18" s="161"/>
      <c r="AT18" s="161"/>
    </row>
    <row r="19">
      <c r="A19" s="256" t="s">
        <v>587</v>
      </c>
      <c r="B19" s="256" t="s">
        <v>219</v>
      </c>
      <c r="C19" s="257" t="str">
        <f>IFS(C18=8,"2x2x2",C18=4,"2x2",TRUE,NA)</f>
        <v>2x2x2</v>
      </c>
      <c r="D19" s="247"/>
      <c r="F19" s="185" t="s">
        <v>220</v>
      </c>
      <c r="G19" s="847">
        <v>1.0</v>
      </c>
      <c r="H19" s="254">
        <v>3968.04</v>
      </c>
      <c r="AG19" s="2"/>
      <c r="AH19" s="2"/>
      <c r="AI19" s="161"/>
      <c r="AJ19" s="2"/>
      <c r="AK19" s="2"/>
      <c r="AL19" s="2"/>
      <c r="AM19" s="2"/>
      <c r="AN19" s="161"/>
      <c r="AO19" s="2"/>
      <c r="AP19" s="247"/>
      <c r="AQ19" s="2"/>
      <c r="AR19" s="2"/>
      <c r="AS19" s="161"/>
      <c r="AT19" s="161"/>
    </row>
    <row r="20">
      <c r="A20" s="260" t="s">
        <v>588</v>
      </c>
      <c r="B20" s="260" t="s">
        <v>222</v>
      </c>
      <c r="C20" s="849">
        <f>IFS(C19="2x2x2",12,C19="2x2",4,TRUE,NA())</f>
        <v>12</v>
      </c>
      <c r="D20" s="80"/>
      <c r="F20" s="185" t="s">
        <v>223</v>
      </c>
      <c r="G20" s="847">
        <v>1.0</v>
      </c>
      <c r="H20" s="254">
        <v>3968.04</v>
      </c>
      <c r="AG20" s="2"/>
      <c r="AH20" s="2"/>
      <c r="AI20" s="161"/>
      <c r="AJ20" s="2"/>
      <c r="AK20" s="2"/>
      <c r="AL20" s="2"/>
      <c r="AM20" s="2"/>
      <c r="AN20" s="161"/>
      <c r="AO20" s="2"/>
      <c r="AP20" s="247"/>
      <c r="AQ20" s="2"/>
      <c r="AR20" s="2"/>
      <c r="AS20" s="161"/>
      <c r="AT20" s="161"/>
    </row>
    <row r="21">
      <c r="A21" s="253"/>
      <c r="B21" s="253"/>
      <c r="C21" s="253"/>
      <c r="F21" s="185" t="s">
        <v>224</v>
      </c>
      <c r="G21" s="847">
        <v>1.0</v>
      </c>
      <c r="H21" s="254">
        <v>1984.02</v>
      </c>
      <c r="AG21" s="2"/>
      <c r="AH21" s="2"/>
      <c r="AI21" s="161"/>
      <c r="AJ21" s="2"/>
      <c r="AK21" s="2"/>
      <c r="AL21" s="2"/>
      <c r="AM21" s="2"/>
      <c r="AN21" s="161"/>
      <c r="AO21" s="2"/>
      <c r="AP21" s="247"/>
      <c r="AQ21" s="247"/>
      <c r="AR21" s="2"/>
      <c r="AS21" s="161"/>
      <c r="AT21" s="248"/>
    </row>
    <row r="22">
      <c r="A22" s="262" t="s">
        <v>225</v>
      </c>
      <c r="B22" s="263"/>
      <c r="C22" s="264"/>
      <c r="D22" s="893"/>
      <c r="F22" s="185" t="s">
        <v>226</v>
      </c>
      <c r="G22" s="847">
        <v>0.987</v>
      </c>
      <c r="H22" s="266">
        <v>189.504</v>
      </c>
      <c r="AG22" s="2"/>
      <c r="AH22" s="2"/>
      <c r="AI22" s="161"/>
      <c r="AJ22" s="2"/>
      <c r="AK22" s="2"/>
      <c r="AL22" s="2"/>
      <c r="AM22" s="2"/>
      <c r="AN22" s="161"/>
      <c r="AO22" s="2"/>
      <c r="AP22" s="247"/>
      <c r="AQ22" s="247"/>
      <c r="AR22" s="2"/>
      <c r="AS22" s="161"/>
      <c r="AT22" s="248"/>
    </row>
    <row r="23">
      <c r="A23" s="249" t="s">
        <v>227</v>
      </c>
      <c r="B23" s="249" t="s">
        <v>228</v>
      </c>
      <c r="C23" s="249" t="s">
        <v>18</v>
      </c>
      <c r="D23" s="893"/>
      <c r="F23" s="185" t="s">
        <v>229</v>
      </c>
      <c r="G23" s="847">
        <v>0.8</v>
      </c>
      <c r="H23" s="266">
        <v>2926.0</v>
      </c>
      <c r="AG23" s="2"/>
      <c r="AH23" s="2"/>
      <c r="AI23" s="161"/>
      <c r="AJ23" s="2"/>
      <c r="AK23" s="2"/>
      <c r="AL23" s="2"/>
      <c r="AM23" s="2"/>
      <c r="AN23" s="161"/>
      <c r="AO23" s="2"/>
      <c r="AP23" s="247"/>
      <c r="AQ23" s="247"/>
      <c r="AR23" s="2"/>
      <c r="AS23" s="161"/>
      <c r="AT23" s="248"/>
    </row>
    <row r="24">
      <c r="A24" s="852" t="s">
        <v>101</v>
      </c>
      <c r="B24" s="852" t="s">
        <v>102</v>
      </c>
      <c r="C24" s="852">
        <f>IF(C23="Decode", 1, 2048)</f>
        <v>1</v>
      </c>
      <c r="D24" s="893"/>
      <c r="F24" s="185" t="s">
        <v>230</v>
      </c>
      <c r="G24" s="847">
        <v>1.0</v>
      </c>
      <c r="H24" s="254">
        <v>1984.02</v>
      </c>
      <c r="AG24" s="2"/>
      <c r="AH24" s="2"/>
      <c r="AI24" s="161"/>
      <c r="AJ24" s="248"/>
      <c r="AK24" s="2"/>
      <c r="AL24" s="2"/>
      <c r="AM24" s="2"/>
    </row>
    <row r="25">
      <c r="A25" s="223" t="s">
        <v>103</v>
      </c>
      <c r="B25" s="223" t="s">
        <v>104</v>
      </c>
      <c r="C25" s="223">
        <v>4096.0</v>
      </c>
      <c r="D25" s="181"/>
      <c r="F25" s="185" t="s">
        <v>231</v>
      </c>
      <c r="G25" s="847">
        <v>1.0</v>
      </c>
      <c r="H25" s="254">
        <v>1984.02</v>
      </c>
      <c r="AG25" s="207"/>
      <c r="AH25" s="207"/>
      <c r="AI25" s="207"/>
      <c r="AK25" s="2"/>
      <c r="AL25" s="2"/>
      <c r="AM25" s="2"/>
      <c r="AN25" s="161"/>
      <c r="AO25" s="2"/>
      <c r="AP25" s="2"/>
      <c r="AQ25" s="2"/>
      <c r="AR25" s="2"/>
      <c r="AS25" s="161"/>
      <c r="AT25" s="161"/>
    </row>
    <row r="26">
      <c r="A26" s="854" t="s">
        <v>105</v>
      </c>
      <c r="B26" s="855" t="s">
        <v>106</v>
      </c>
      <c r="C26" s="855">
        <f>1024+4096</f>
        <v>5120</v>
      </c>
      <c r="D26" s="893"/>
      <c r="F26" s="185" t="s">
        <v>233</v>
      </c>
      <c r="G26" s="847">
        <v>1.0</v>
      </c>
      <c r="H26" s="254">
        <v>992.01</v>
      </c>
      <c r="AG26" s="207"/>
      <c r="AH26" s="207"/>
      <c r="AI26" s="207"/>
      <c r="AK26" s="2"/>
      <c r="AL26" s="2"/>
      <c r="AM26" s="2"/>
      <c r="AN26" s="161"/>
      <c r="AO26" s="2"/>
      <c r="AP26" s="2"/>
      <c r="AQ26" s="2"/>
      <c r="AR26" s="2"/>
      <c r="AS26" s="161"/>
      <c r="AT26" s="161"/>
    </row>
    <row r="27">
      <c r="A27" s="249" t="s">
        <v>110</v>
      </c>
      <c r="B27" s="253"/>
      <c r="C27" s="252">
        <v>0.15</v>
      </c>
      <c r="D27" s="893"/>
      <c r="F27" s="185" t="s">
        <v>234</v>
      </c>
      <c r="G27" s="847">
        <v>0.987</v>
      </c>
      <c r="H27" s="271">
        <v>94.752</v>
      </c>
      <c r="AG27" s="207"/>
      <c r="AH27" s="207"/>
      <c r="AI27" s="207"/>
      <c r="AL27" s="2"/>
      <c r="AM27" s="2"/>
      <c r="AN27" s="161"/>
      <c r="AO27" s="2"/>
      <c r="AP27" s="2"/>
      <c r="AQ27" s="2"/>
      <c r="AR27" s="2"/>
      <c r="AS27" s="161"/>
      <c r="AT27" s="161"/>
    </row>
    <row r="28">
      <c r="A28" s="249" t="s">
        <v>111</v>
      </c>
      <c r="B28" s="253"/>
      <c r="C28" s="252">
        <v>1.0</v>
      </c>
      <c r="D28" s="893"/>
      <c r="F28" s="185" t="s">
        <v>235</v>
      </c>
      <c r="G28" s="847">
        <v>0.375</v>
      </c>
      <c r="H28" s="254">
        <v>600.0</v>
      </c>
      <c r="AB28" s="181"/>
      <c r="AC28" s="181"/>
      <c r="AD28" s="181"/>
      <c r="AE28" s="181"/>
      <c r="AM28" s="222"/>
      <c r="AN28" s="218"/>
      <c r="AO28" s="222"/>
      <c r="AP28" s="222"/>
      <c r="AQ28" s="272"/>
      <c r="AR28" s="222"/>
      <c r="AS28" s="66"/>
    </row>
    <row r="29">
      <c r="A29" s="852" t="s">
        <v>123</v>
      </c>
      <c r="B29" s="856" t="s">
        <v>589</v>
      </c>
      <c r="C29" s="273" t="s">
        <v>133</v>
      </c>
      <c r="D29" s="894"/>
      <c r="F29" s="11" t="s">
        <v>236</v>
      </c>
      <c r="G29" s="858">
        <v>0.8</v>
      </c>
      <c r="H29" s="275">
        <v>80.0</v>
      </c>
      <c r="AB29" s="181"/>
      <c r="AC29" s="181"/>
      <c r="AD29" s="181"/>
      <c r="AE29" s="181"/>
      <c r="AM29" s="222"/>
      <c r="AN29" s="218"/>
      <c r="AO29" s="222"/>
      <c r="AP29" s="222"/>
      <c r="AQ29" s="272"/>
      <c r="AR29" s="222"/>
      <c r="AS29" s="66"/>
    </row>
    <row r="30">
      <c r="A30" s="223" t="s">
        <v>112</v>
      </c>
      <c r="B30" s="859" t="s">
        <v>113</v>
      </c>
      <c r="C30" s="860" t="b">
        <v>1</v>
      </c>
      <c r="AM30" s="222"/>
      <c r="AN30" s="218"/>
      <c r="AO30" s="218"/>
      <c r="AP30" s="218"/>
      <c r="AQ30" s="218"/>
      <c r="AR30" s="222"/>
      <c r="AT30" s="228"/>
    </row>
    <row r="31">
      <c r="A31" s="181"/>
      <c r="B31" s="278"/>
      <c r="C31" s="278"/>
      <c r="D31" s="278"/>
      <c r="AM31" s="222"/>
      <c r="AN31" s="218"/>
      <c r="AO31" s="218"/>
      <c r="AP31" s="222"/>
      <c r="AQ31" s="222"/>
      <c r="AR31" s="222"/>
    </row>
    <row r="32" ht="27.0" customHeight="1">
      <c r="A32" s="281" t="s">
        <v>241</v>
      </c>
      <c r="F32" s="861" t="s">
        <v>590</v>
      </c>
      <c r="G32" s="862"/>
      <c r="AG32" s="2"/>
      <c r="AH32" s="2"/>
      <c r="AI32" s="2"/>
      <c r="AJ32" s="2"/>
      <c r="AK32" s="2"/>
      <c r="AL32" s="2"/>
      <c r="AM32" s="247"/>
      <c r="AN32" s="247"/>
      <c r="AO32" s="279"/>
      <c r="AP32" s="222"/>
      <c r="AQ32" s="247"/>
      <c r="AR32" s="247"/>
      <c r="AT32" s="280"/>
    </row>
    <row r="33" ht="30.0" customHeight="1">
      <c r="A33" s="250" t="s">
        <v>242</v>
      </c>
      <c r="B33" s="250" t="str">
        <f> "Value (" &amp; H16 &amp; ")"</f>
        <v>Value (GhostFish (P3))</v>
      </c>
      <c r="C33" s="282" t="s">
        <v>591</v>
      </c>
      <c r="F33" s="436" t="s">
        <v>592</v>
      </c>
      <c r="G33" s="863" t="s">
        <v>125</v>
      </c>
      <c r="P33" s="227"/>
      <c r="AG33" s="2"/>
      <c r="AH33" s="2"/>
      <c r="AI33" s="2"/>
      <c r="AJ33" s="2"/>
      <c r="AK33" s="2"/>
      <c r="AL33" s="2"/>
      <c r="AM33" s="247"/>
      <c r="AN33" s="247"/>
      <c r="AO33" s="279"/>
      <c r="AP33" s="222"/>
      <c r="AQ33" s="247"/>
      <c r="AR33" s="247"/>
      <c r="AT33" s="280"/>
    </row>
    <row r="34" ht="15.0" customHeight="1">
      <c r="A34" s="185" t="s">
        <v>76</v>
      </c>
      <c r="B34" s="271">
        <f>$C25*$C24</f>
        <v>4096</v>
      </c>
      <c r="C34" s="182">
        <f>492*8</f>
        <v>3936</v>
      </c>
      <c r="F34" s="864" t="s">
        <v>593</v>
      </c>
      <c r="G34" s="863" t="str">
        <f>C29</f>
        <v>bf16</v>
      </c>
      <c r="P34" s="227"/>
      <c r="AG34" s="2"/>
      <c r="AH34" s="2"/>
      <c r="AI34" s="2"/>
      <c r="AJ34" s="2"/>
      <c r="AK34" s="2"/>
      <c r="AL34" s="2"/>
      <c r="AM34" s="247"/>
      <c r="AN34" s="247"/>
      <c r="AO34" s="279"/>
      <c r="AP34" s="222"/>
      <c r="AQ34" s="247"/>
      <c r="AR34" s="247"/>
      <c r="AT34" s="280"/>
    </row>
    <row r="35" ht="15.0" customHeight="1">
      <c r="A35" s="185" t="s">
        <v>243</v>
      </c>
      <c r="B35" s="288">
        <f>G9</f>
        <v>16</v>
      </c>
      <c r="C35" s="9">
        <v>8.0</v>
      </c>
      <c r="F35" s="865" t="s">
        <v>594</v>
      </c>
      <c r="G35" s="866" t="s">
        <v>595</v>
      </c>
      <c r="P35" s="227"/>
      <c r="AG35" s="2"/>
      <c r="AH35" s="2"/>
      <c r="AI35" s="2"/>
      <c r="AJ35" s="2"/>
      <c r="AK35" s="2"/>
      <c r="AL35" s="2"/>
      <c r="AM35" s="247"/>
      <c r="AN35" s="247"/>
      <c r="AO35" s="279"/>
      <c r="AP35" s="222"/>
      <c r="AQ35" s="247"/>
      <c r="AR35" s="247"/>
      <c r="AT35" s="280"/>
    </row>
    <row r="36" ht="15.0" customHeight="1">
      <c r="A36" s="185" t="s">
        <v>146</v>
      </c>
      <c r="B36" s="289" t="str">
        <f>$G$78/1000 * $C$5</f>
        <v>#N/A</v>
      </c>
      <c r="C36" s="11">
        <f>0.0734</f>
        <v>0.0734</v>
      </c>
      <c r="F36" s="867" t="s">
        <v>596</v>
      </c>
      <c r="G36" s="868">
        <f>671*1000000000</f>
        <v>671000000000</v>
      </c>
      <c r="P36" s="227"/>
      <c r="AG36" s="2"/>
      <c r="AH36" s="2"/>
      <c r="AI36" s="2"/>
      <c r="AJ36" s="2"/>
      <c r="AK36" s="2"/>
      <c r="AL36" s="2"/>
      <c r="AM36" s="247"/>
      <c r="AN36" s="247"/>
      <c r="AO36" s="279"/>
      <c r="AP36" s="222"/>
      <c r="AQ36" s="247"/>
      <c r="AR36" s="247"/>
      <c r="AT36" s="280"/>
    </row>
    <row r="37" ht="15.0" customHeight="1">
      <c r="A37" s="185" t="s">
        <v>147</v>
      </c>
      <c r="B37" s="271" t="str">
        <f>$B$34/$B$36</f>
        <v>#N/A</v>
      </c>
      <c r="C37" s="193">
        <f>492/0.0733 * C35</f>
        <v>53697.13506</v>
      </c>
      <c r="F37" s="436" t="s">
        <v>597</v>
      </c>
      <c r="G37" s="869">
        <f>SUM(PRODUCT(L92:M92), PRODUCT(K138:M138), PRODUCT(K157:M157), PRODUCT(L176:M176), PRODUCT(K252:M252), PRODUCT(K271:M271)) * PARAMS("L")</f>
        <v>11413422080</v>
      </c>
      <c r="P37" s="227"/>
      <c r="AG37" s="2"/>
      <c r="AH37" s="2"/>
      <c r="AI37" s="2"/>
      <c r="AJ37" s="2"/>
      <c r="AK37" s="2"/>
      <c r="AL37" s="2"/>
      <c r="AM37" s="247"/>
      <c r="AN37" s="247"/>
      <c r="AO37" s="279"/>
      <c r="AP37" s="222"/>
      <c r="AQ37" s="247"/>
      <c r="AR37" s="247"/>
      <c r="AT37" s="280"/>
    </row>
    <row r="38" ht="15.0" customHeight="1">
      <c r="A38" s="185" t="s">
        <v>148</v>
      </c>
      <c r="B38" s="193" t="str">
        <f>B34/(B36*(1+C27))*C28</f>
        <v>#N/A</v>
      </c>
      <c r="C38" s="193"/>
      <c r="F38" s="867"/>
      <c r="G38" s="870"/>
      <c r="P38" s="227"/>
      <c r="AG38" s="2"/>
      <c r="AH38" s="2"/>
      <c r="AI38" s="2"/>
      <c r="AJ38" s="2"/>
      <c r="AK38" s="2"/>
      <c r="AL38" s="2"/>
      <c r="AM38" s="247"/>
      <c r="AN38" s="247"/>
      <c r="AO38" s="279"/>
      <c r="AP38" s="222"/>
      <c r="AQ38" s="247"/>
      <c r="AR38" s="247"/>
      <c r="AT38" s="280"/>
    </row>
    <row r="39" ht="15.0" customHeight="1">
      <c r="A39" s="185" t="s">
        <v>149</v>
      </c>
      <c r="B39" s="193" t="str">
        <f>B38/$G$10</f>
        <v>#N/A</v>
      </c>
      <c r="C39" s="193">
        <f>C37/C35</f>
        <v>6712.141883</v>
      </c>
      <c r="F39" s="867" t="s">
        <v>598</v>
      </c>
      <c r="G39" s="870">
        <f>G36-G37</f>
        <v>659586577920</v>
      </c>
      <c r="P39" s="227"/>
      <c r="AG39" s="2"/>
      <c r="AH39" s="2"/>
      <c r="AI39" s="2"/>
      <c r="AJ39" s="2"/>
      <c r="AK39" s="2"/>
      <c r="AL39" s="2"/>
      <c r="AM39" s="247"/>
      <c r="AN39" s="247"/>
      <c r="AO39" s="279"/>
      <c r="AP39" s="222"/>
      <c r="AQ39" s="247"/>
      <c r="AR39" s="247"/>
      <c r="AT39" s="280"/>
    </row>
    <row r="40" ht="15.0" customHeight="1">
      <c r="A40" s="843"/>
      <c r="B40" s="846" t="str">
        <f>B39/C39</f>
        <v>#N/A</v>
      </c>
      <c r="C40" s="846"/>
      <c r="F40" s="436" t="s">
        <v>599</v>
      </c>
      <c r="G40" s="869">
        <f>SUM(P92, P138, P157, P176, P252, P271) * PARAMS(B5) / 1024</f>
        <v>10.62957764</v>
      </c>
      <c r="P40" s="227"/>
      <c r="AG40" s="2"/>
      <c r="AH40" s="2"/>
      <c r="AI40" s="2"/>
      <c r="AJ40" s="2"/>
      <c r="AK40" s="2"/>
      <c r="AL40" s="2"/>
      <c r="AM40" s="247"/>
      <c r="AN40" s="247"/>
      <c r="AO40" s="279"/>
      <c r="AP40" s="222"/>
      <c r="AQ40" s="247"/>
      <c r="AR40" s="247"/>
      <c r="AT40" s="280"/>
    </row>
    <row r="41" ht="15.0" customHeight="1">
      <c r="F41" s="867" t="s">
        <v>600</v>
      </c>
      <c r="G41" s="870">
        <f>(G39*  SWITCH(G33, "fp32", 4, "bf16", 2, "fp8", 1, "fp4", 0.5)/1024^3 + G40*G9) + (G9-1) * SUM(P453, P472) * (C5-3)/1024</f>
        <v>802.202909</v>
      </c>
      <c r="P41" s="227"/>
      <c r="AG41" s="2"/>
      <c r="AH41" s="2"/>
      <c r="AI41" s="2"/>
      <c r="AJ41" s="2"/>
      <c r="AK41" s="2"/>
      <c r="AL41" s="2"/>
      <c r="AM41" s="247"/>
      <c r="AN41" s="247"/>
      <c r="AO41" s="279"/>
      <c r="AP41" s="222"/>
      <c r="AQ41" s="247"/>
      <c r="AR41" s="247"/>
      <c r="AT41" s="280"/>
    </row>
    <row r="42" ht="15.0" customHeight="1">
      <c r="F42" s="436" t="s">
        <v>601</v>
      </c>
      <c r="G42" s="869">
        <f>G41/G9</f>
        <v>50.13768181</v>
      </c>
      <c r="P42" s="227"/>
      <c r="AG42" s="2"/>
      <c r="AH42" s="2"/>
      <c r="AI42" s="2"/>
      <c r="AJ42" s="2"/>
      <c r="AK42" s="2"/>
      <c r="AL42" s="2"/>
      <c r="AM42" s="247"/>
      <c r="AN42" s="247"/>
      <c r="AO42" s="279"/>
      <c r="AP42" s="222"/>
      <c r="AQ42" s="247"/>
      <c r="AR42" s="247"/>
      <c r="AT42" s="280"/>
    </row>
    <row r="43" ht="29.25" customHeight="1">
      <c r="A43" s="323" t="s">
        <v>269</v>
      </c>
      <c r="F43" s="867" t="s">
        <v>602</v>
      </c>
      <c r="G43" s="871">
        <v>0.9</v>
      </c>
      <c r="P43" s="227"/>
      <c r="AG43" s="2"/>
      <c r="AH43" s="2"/>
      <c r="AI43" s="2"/>
      <c r="AJ43" s="2"/>
      <c r="AK43" s="2"/>
      <c r="AL43" s="2"/>
      <c r="AM43" s="247"/>
      <c r="AN43" s="247"/>
      <c r="AO43" s="279"/>
      <c r="AP43" s="222"/>
      <c r="AQ43" s="247"/>
      <c r="AR43" s="247"/>
      <c r="AT43" s="280"/>
    </row>
    <row r="44" ht="15.0" customHeight="1">
      <c r="A44" s="183" t="s">
        <v>271</v>
      </c>
      <c r="B44" s="183" t="s">
        <v>171</v>
      </c>
      <c r="C44" s="183" t="s">
        <v>174</v>
      </c>
      <c r="F44" s="436" t="s">
        <v>603</v>
      </c>
      <c r="G44" s="869">
        <f>(((H27 * G43 - G42)*1024^3) * G8) / (PARAMS(B26) * PAD_128(C9+C11) * SWITCH(PARAMS("kvcache_dtype"), "fp32", 4, "bf16", 2, "fp8", 1, "fp4", 0.5)*PARAMS(B5))</f>
        <v>1510.083442</v>
      </c>
      <c r="P44" s="227"/>
      <c r="AG44" s="2"/>
      <c r="AH44" s="2"/>
      <c r="AI44" s="2"/>
      <c r="AJ44" s="2"/>
      <c r="AK44" s="2"/>
      <c r="AL44" s="2"/>
      <c r="AM44" s="247"/>
      <c r="AN44" s="247"/>
      <c r="AO44" s="279"/>
      <c r="AP44" s="222"/>
      <c r="AQ44" s="247"/>
      <c r="AR44" s="247"/>
      <c r="AT44" s="280"/>
    </row>
    <row r="45" ht="15.0" customHeight="1">
      <c r="A45" s="185" t="s">
        <v>278</v>
      </c>
      <c r="B45" s="331">
        <f>SUM(P92,P138,P157,P176,P252,P271) * PARAMS("L") / 1024</f>
        <v>10.62957764</v>
      </c>
      <c r="C45" s="332"/>
      <c r="F45" s="872"/>
      <c r="G45" s="873"/>
      <c r="J45" s="873">
        <f>SUM(G43+G45+G47)</f>
        <v>0.9</v>
      </c>
      <c r="P45" s="227"/>
      <c r="AG45" s="2"/>
      <c r="AH45" s="2"/>
      <c r="AI45" s="2"/>
      <c r="AJ45" s="2"/>
      <c r="AK45" s="2"/>
      <c r="AL45" s="2"/>
      <c r="AM45" s="247"/>
      <c r="AN45" s="247"/>
      <c r="AO45" s="279"/>
      <c r="AP45" s="222"/>
      <c r="AQ45" s="247"/>
      <c r="AR45" s="247"/>
      <c r="AT45" s="280"/>
    </row>
    <row r="46" ht="15.0" customHeight="1">
      <c r="A46" s="185" t="s">
        <v>284</v>
      </c>
      <c r="B46" s="340">
        <f>SUM($P$292,$P$381) * PARAMS("L") / 1024</f>
        <v>226.84375</v>
      </c>
      <c r="C46" s="11"/>
      <c r="F46" s="872"/>
      <c r="G46" s="873"/>
      <c r="M46" s="874">
        <f>(2*129280*7168 + 3*2048*7168)</f>
        <v>1897398272</v>
      </c>
      <c r="P46" s="227"/>
      <c r="AG46" s="2"/>
      <c r="AH46" s="2"/>
      <c r="AI46" s="2"/>
      <c r="AJ46" s="2"/>
      <c r="AK46" s="2"/>
      <c r="AL46" s="2"/>
      <c r="AM46" s="247"/>
      <c r="AN46" s="247"/>
      <c r="AO46" s="279"/>
      <c r="AP46" s="222"/>
      <c r="AQ46" s="247"/>
      <c r="AR46" s="247"/>
      <c r="AT46" s="280"/>
    </row>
    <row r="47" ht="15.0" customHeight="1">
      <c r="A47" s="9" t="s">
        <v>286</v>
      </c>
      <c r="B47" s="11"/>
      <c r="C47" s="11"/>
      <c r="F47" s="872"/>
      <c r="G47" s="873"/>
      <c r="P47" s="227"/>
      <c r="AG47" s="2"/>
      <c r="AH47" s="2"/>
      <c r="AI47" s="2"/>
      <c r="AJ47" s="2"/>
      <c r="AK47" s="2"/>
      <c r="AL47" s="2"/>
      <c r="AM47" s="247"/>
      <c r="AN47" s="247"/>
      <c r="AO47" s="279"/>
      <c r="AP47" s="222"/>
      <c r="AQ47" s="247"/>
      <c r="AR47" s="247"/>
      <c r="AT47" s="280"/>
    </row>
    <row r="48" ht="15.0" customHeight="1">
      <c r="A48" s="185" t="s">
        <v>288</v>
      </c>
      <c r="B48" s="340">
        <f>SIZEOF_IN_MIB(PARAMS("B")*PARAMS("S")*PARAMS("L")*(PARAMS("c_kv")+PARAMS("h_rope")), PARAMS("kvcache_dtype"))/1024</f>
        <v>1372.5</v>
      </c>
      <c r="C48" s="11"/>
      <c r="F48" s="872"/>
      <c r="G48" s="873"/>
      <c r="P48" s="227"/>
      <c r="AG48" s="2"/>
      <c r="AH48" s="2"/>
      <c r="AI48" s="2"/>
      <c r="AJ48" s="2"/>
      <c r="AK48" s="2"/>
      <c r="AL48" s="2"/>
      <c r="AM48" s="247"/>
      <c r="AN48" s="247"/>
      <c r="AO48" s="279"/>
      <c r="AP48" s="222"/>
      <c r="AQ48" s="247"/>
      <c r="AR48" s="247"/>
      <c r="AT48" s="280"/>
    </row>
    <row r="49" ht="15.0" customHeight="1">
      <c r="A49" s="9" t="s">
        <v>290</v>
      </c>
      <c r="B49" s="356">
        <f>MAX(P92,P111,P130,P149,P168,P187,P206,P225,P244,P260,P298,P345,P411,P430)/1024</f>
        <v>0.01025390625</v>
      </c>
      <c r="C49" s="9"/>
      <c r="F49" s="872"/>
      <c r="G49" s="873"/>
      <c r="P49" s="227"/>
      <c r="AG49" s="2"/>
      <c r="AH49" s="2"/>
      <c r="AI49" s="2"/>
      <c r="AJ49" s="2"/>
      <c r="AK49" s="2"/>
      <c r="AL49" s="2"/>
      <c r="AM49" s="247"/>
      <c r="AN49" s="247"/>
      <c r="AO49" s="279"/>
      <c r="AP49" s="222"/>
      <c r="AQ49" s="247"/>
      <c r="AR49" s="247"/>
      <c r="AT49" s="280"/>
    </row>
    <row r="50" ht="15.0" customHeight="1">
      <c r="A50" s="8" t="s">
        <v>293</v>
      </c>
      <c r="B50" s="359">
        <f>SUM(B45:B48)</f>
        <v>1609.973328</v>
      </c>
      <c r="C50" s="8" t="str">
        <f>"&lt;=" &amp; ($H$27 * PARAMS("num_devices")) &amp; " (Capacity)?"</f>
        <v>&lt;=1516.032 (Capacity)?</v>
      </c>
      <c r="F50" s="872"/>
      <c r="G50" s="873"/>
      <c r="P50" s="227"/>
      <c r="AG50" s="2"/>
      <c r="AH50" s="2"/>
      <c r="AI50" s="2"/>
      <c r="AJ50" s="2"/>
      <c r="AK50" s="2"/>
      <c r="AL50" s="2"/>
      <c r="AM50" s="247"/>
      <c r="AN50" s="247"/>
      <c r="AO50" s="279"/>
      <c r="AP50" s="222"/>
      <c r="AQ50" s="247"/>
      <c r="AR50" s="247"/>
      <c r="AT50" s="280"/>
    </row>
    <row r="51">
      <c r="A51" s="11"/>
      <c r="B51" s="11"/>
      <c r="C51" s="11"/>
      <c r="D51" s="181"/>
      <c r="E51" s="181"/>
      <c r="F51" s="872"/>
      <c r="G51" s="873"/>
      <c r="AM51" s="222"/>
      <c r="AN51" s="218"/>
      <c r="AO51" s="218"/>
      <c r="AP51" s="218"/>
      <c r="AQ51" s="218"/>
      <c r="AR51" s="222"/>
      <c r="AT51" s="280"/>
    </row>
    <row r="52">
      <c r="A52" s="185" t="s">
        <v>294</v>
      </c>
      <c r="B52" s="331">
        <f>SUM(P94,P140,P159,P178,P254,P273) * PARAMS("L") / 1024</f>
        <v>10.62957764</v>
      </c>
      <c r="C52" s="332"/>
      <c r="D52" s="181"/>
      <c r="E52" s="181"/>
      <c r="F52" s="872"/>
      <c r="G52" s="873"/>
      <c r="AM52" s="222"/>
      <c r="AN52" s="218"/>
      <c r="AO52" s="218"/>
      <c r="AP52" s="218"/>
      <c r="AQ52" s="218"/>
      <c r="AR52" s="222"/>
      <c r="AT52" s="280"/>
    </row>
    <row r="53">
      <c r="A53" s="185" t="s">
        <v>295</v>
      </c>
      <c r="B53" s="340">
        <f>SUM(P340,P383) * PARAMS("L") / 1024</f>
        <v>40.03125</v>
      </c>
      <c r="C53" s="332"/>
      <c r="D53" s="181"/>
      <c r="F53" s="872"/>
      <c r="G53" s="873"/>
      <c r="AM53" s="222"/>
      <c r="AN53" s="218"/>
      <c r="AO53" s="218"/>
      <c r="AP53" s="218"/>
      <c r="AQ53" s="218"/>
      <c r="AR53" s="222"/>
      <c r="AT53" s="280"/>
    </row>
    <row r="54">
      <c r="A54" s="9" t="s">
        <v>286</v>
      </c>
      <c r="B54" s="11"/>
      <c r="C54" s="332"/>
      <c r="D54" s="181"/>
      <c r="E54" s="181"/>
      <c r="F54" s="872"/>
      <c r="G54" s="873"/>
      <c r="AM54" s="222"/>
      <c r="AN54" s="218"/>
      <c r="AO54" s="218"/>
      <c r="AP54" s="218"/>
      <c r="AQ54" s="218"/>
      <c r="AR54" s="222"/>
      <c r="AT54" s="280"/>
    </row>
    <row r="55">
      <c r="A55" s="185" t="s">
        <v>297</v>
      </c>
      <c r="B55" s="340">
        <f>B48/PARAMS("num_devices")</f>
        <v>85.78125</v>
      </c>
      <c r="C55" s="332"/>
      <c r="D55" s="181"/>
      <c r="E55" s="181"/>
      <c r="F55" s="181"/>
      <c r="G55" s="181"/>
      <c r="AM55" s="222"/>
      <c r="AN55" s="218"/>
      <c r="AO55" s="218"/>
      <c r="AP55" s="218"/>
      <c r="AQ55" s="218"/>
      <c r="AR55" s="222"/>
      <c r="AT55" s="280"/>
    </row>
    <row r="56">
      <c r="A56" s="185" t="s">
        <v>298</v>
      </c>
      <c r="B56" s="340">
        <f>MAX(P94,P113,P132,P151,P170,P189,P208,P227,P246,P262,P300,P347,P413,P432)/1024</f>
        <v>0.01025390625</v>
      </c>
      <c r="C56" s="332"/>
      <c r="D56" s="181"/>
      <c r="E56" s="181"/>
      <c r="F56" s="181"/>
      <c r="G56" s="181"/>
      <c r="AM56" s="222"/>
      <c r="AN56" s="218"/>
      <c r="AO56" s="218"/>
      <c r="AP56" s="218"/>
      <c r="AQ56" s="218"/>
      <c r="AR56" s="222"/>
      <c r="AT56" s="280"/>
    </row>
    <row r="57">
      <c r="A57" s="199" t="s">
        <v>299</v>
      </c>
      <c r="B57" s="361">
        <f>SUM(B52:B55)</f>
        <v>136.4420776</v>
      </c>
      <c r="C57" s="362" t="str">
        <f>"&lt;=" &amp; ($H$27) &amp; " (Capacity)?"</f>
        <v>&lt;=94.752 (Capacity)?</v>
      </c>
      <c r="D57" s="181"/>
      <c r="E57" s="181"/>
      <c r="F57" s="181"/>
      <c r="G57" s="181"/>
      <c r="AM57" s="222"/>
      <c r="AN57" s="218"/>
      <c r="AO57" s="218"/>
      <c r="AP57" s="218"/>
      <c r="AQ57" s="218"/>
      <c r="AR57" s="222"/>
      <c r="AT57" s="280"/>
    </row>
    <row r="58">
      <c r="A58" s="281"/>
      <c r="B58" s="281"/>
      <c r="D58" s="181"/>
      <c r="E58" s="181"/>
      <c r="F58" s="181"/>
      <c r="G58" s="181"/>
      <c r="AM58" s="222"/>
      <c r="AN58" s="218"/>
      <c r="AO58" s="218"/>
      <c r="AP58" s="218"/>
      <c r="AQ58" s="218"/>
      <c r="AR58" s="222"/>
      <c r="AT58" s="280"/>
    </row>
    <row r="59">
      <c r="A59" s="281" t="s">
        <v>244</v>
      </c>
      <c r="B59" s="281"/>
      <c r="D59" s="181"/>
      <c r="E59" s="181"/>
      <c r="F59" s="181"/>
      <c r="G59" s="181"/>
      <c r="AM59" s="222"/>
      <c r="AN59" s="218"/>
      <c r="AO59" s="218"/>
      <c r="AP59" s="218"/>
      <c r="AQ59" s="218"/>
      <c r="AR59" s="222"/>
      <c r="AT59" s="280"/>
    </row>
    <row r="60">
      <c r="A60" s="290" t="s">
        <v>245</v>
      </c>
      <c r="B60" s="290" t="s">
        <v>246</v>
      </c>
      <c r="C60" s="290" t="s">
        <v>247</v>
      </c>
      <c r="D60" s="290" t="s">
        <v>248</v>
      </c>
      <c r="E60" s="290" t="s">
        <v>249</v>
      </c>
      <c r="F60" s="290" t="s">
        <v>250</v>
      </c>
      <c r="G60" s="290" t="s">
        <v>251</v>
      </c>
      <c r="H60" s="290" t="s">
        <v>252</v>
      </c>
      <c r="I60" s="875"/>
      <c r="J60" s="290" t="s">
        <v>604</v>
      </c>
      <c r="AG60" s="207"/>
      <c r="AH60" s="207"/>
      <c r="AI60" s="2"/>
      <c r="AJ60" s="2"/>
      <c r="AK60" s="2"/>
      <c r="AL60" s="2"/>
      <c r="AM60" s="247"/>
      <c r="AN60" s="279"/>
      <c r="AO60" s="279"/>
      <c r="AP60" s="292"/>
      <c r="AQ60" s="279"/>
      <c r="AR60" s="247"/>
      <c r="AS60" s="66"/>
      <c r="AT60" s="280"/>
    </row>
    <row r="61">
      <c r="A61" s="293" t="s">
        <v>29</v>
      </c>
      <c r="B61" s="294" t="s">
        <v>255</v>
      </c>
      <c r="C61" s="295">
        <f>$H$132</f>
        <v>0.004338794429</v>
      </c>
      <c r="D61" s="295" t="str">
        <f>$H$130</f>
        <v>#N/A</v>
      </c>
      <c r="E61" s="297"/>
      <c r="F61" s="295">
        <f>H127</f>
        <v>0</v>
      </c>
      <c r="G61" s="295" t="str">
        <f t="shared" ref="G61:G64" si="3">max(C61:F61)</f>
        <v>#N/A</v>
      </c>
      <c r="H61" s="297" t="str">
        <f t="shared" ref="H61:H64" si="4">IFS(C61=G61, "HBM", D61=G61, "Compute", E61=G61, "ICI Lt", F61=G61, "ICI BW")</f>
        <v>#N/A</v>
      </c>
      <c r="I61" s="808"/>
      <c r="J61" s="876" t="str">
        <f t="shared" ref="J61:J66" si="5">G61/$G$76</f>
        <v>#N/A</v>
      </c>
      <c r="P61" s="877"/>
      <c r="AG61" s="2"/>
      <c r="AH61" s="2"/>
      <c r="AI61" s="207"/>
      <c r="AJ61" s="2"/>
      <c r="AK61" s="2"/>
      <c r="AL61" s="2"/>
      <c r="AM61" s="247"/>
      <c r="AN61" s="218"/>
      <c r="AO61" s="218"/>
      <c r="AP61" s="218"/>
      <c r="AQ61" s="218"/>
      <c r="AR61" s="247"/>
      <c r="AT61" s="280"/>
    </row>
    <row r="62">
      <c r="A62" s="293" t="s">
        <v>29</v>
      </c>
      <c r="B62" s="294" t="s">
        <v>32</v>
      </c>
      <c r="C62" s="295">
        <f>$H$151</f>
        <v>0.01614532158</v>
      </c>
      <c r="D62" s="295" t="str">
        <f>$H$149</f>
        <v>#N/A</v>
      </c>
      <c r="E62" s="297"/>
      <c r="F62" s="295"/>
      <c r="G62" s="295" t="str">
        <f t="shared" si="3"/>
        <v>#N/A</v>
      </c>
      <c r="H62" s="297" t="str">
        <f t="shared" si="4"/>
        <v>#N/A</v>
      </c>
      <c r="I62" s="808"/>
      <c r="J62" s="876" t="str">
        <f t="shared" si="5"/>
        <v>#N/A</v>
      </c>
      <c r="P62" s="878"/>
      <c r="AG62" s="2"/>
      <c r="AH62" s="2"/>
      <c r="AI62" s="2"/>
      <c r="AJ62" s="2"/>
      <c r="AK62" s="2"/>
      <c r="AL62" s="2"/>
      <c r="AM62" s="247"/>
      <c r="AN62" s="247"/>
      <c r="AO62" s="279"/>
      <c r="AP62" s="222"/>
      <c r="AQ62" s="247"/>
      <c r="AR62" s="247"/>
      <c r="AT62" s="280"/>
    </row>
    <row r="63">
      <c r="A63" s="293" t="s">
        <v>29</v>
      </c>
      <c r="B63" s="294" t="s">
        <v>34</v>
      </c>
      <c r="C63" s="295">
        <f>$H$170</f>
        <v>0.01468515038</v>
      </c>
      <c r="D63" s="295" t="str">
        <f>$H$168</f>
        <v>#N/A</v>
      </c>
      <c r="E63" s="297"/>
      <c r="F63" s="295"/>
      <c r="G63" s="295" t="str">
        <f t="shared" si="3"/>
        <v>#N/A</v>
      </c>
      <c r="H63" s="297" t="str">
        <f t="shared" si="4"/>
        <v>#N/A</v>
      </c>
      <c r="I63" s="808"/>
      <c r="J63" s="876" t="str">
        <f t="shared" si="5"/>
        <v>#N/A</v>
      </c>
      <c r="P63" s="878"/>
      <c r="AG63" s="2"/>
      <c r="AH63" s="2"/>
      <c r="AI63" s="2"/>
      <c r="AJ63" s="2"/>
      <c r="AK63" s="2"/>
      <c r="AL63" s="2"/>
      <c r="AM63" s="247"/>
      <c r="AN63" s="218"/>
      <c r="AO63" s="218"/>
      <c r="AP63" s="218"/>
      <c r="AQ63" s="218"/>
      <c r="AR63" s="247"/>
      <c r="AT63" s="280"/>
    </row>
    <row r="64">
      <c r="A64" s="293" t="s">
        <v>29</v>
      </c>
      <c r="B64" s="294" t="s">
        <v>256</v>
      </c>
      <c r="C64" s="295">
        <f>$H$189</f>
        <v>0.001992090712</v>
      </c>
      <c r="D64" s="295" t="str">
        <f>$H$187</f>
        <v>#N/A</v>
      </c>
      <c r="E64" s="297"/>
      <c r="F64" s="295"/>
      <c r="G64" s="295" t="str">
        <f t="shared" si="3"/>
        <v>#N/A</v>
      </c>
      <c r="H64" s="297" t="str">
        <f t="shared" si="4"/>
        <v>#N/A</v>
      </c>
      <c r="I64" s="808"/>
      <c r="J64" s="876" t="str">
        <f t="shared" si="5"/>
        <v>#N/A</v>
      </c>
      <c r="P64" s="878"/>
      <c r="AM64" s="222"/>
      <c r="AO64" s="222"/>
      <c r="AP64" s="222"/>
      <c r="AQ64" s="222"/>
      <c r="AR64" s="247"/>
      <c r="AS64" s="66"/>
      <c r="AT64" s="280"/>
    </row>
    <row r="65">
      <c r="A65" s="293" t="s">
        <v>29</v>
      </c>
      <c r="B65" s="302" t="s">
        <v>258</v>
      </c>
      <c r="C65" s="295">
        <f t="shared" ref="C65:D65" si="6">SUM(C67:C69)</f>
        <v>0.5033001538</v>
      </c>
      <c r="D65" s="295" t="str">
        <f t="shared" si="6"/>
        <v>#N/A</v>
      </c>
      <c r="E65" s="297"/>
      <c r="F65" s="295"/>
      <c r="G65" s="295" t="str">
        <f>IF(PARAMS("flash_attn"),MAX(C65:F65),0)</f>
        <v>#N/A</v>
      </c>
      <c r="H65" s="297" t="str">
        <f>IFS(G65=0,"",C65=G65, "HBM", D65=G65, "Compute", E65=G65, "ICI Lt", F65=G65, "ICI BW")</f>
        <v>#N/A</v>
      </c>
      <c r="I65" s="808"/>
      <c r="J65" s="876" t="str">
        <f t="shared" si="5"/>
        <v>#N/A</v>
      </c>
      <c r="P65" s="878"/>
      <c r="R65" s="203"/>
      <c r="S65" s="203"/>
      <c r="T65" s="203"/>
      <c r="U65" s="203"/>
      <c r="V65" s="203"/>
      <c r="W65" s="2"/>
      <c r="AM65" s="222"/>
      <c r="AO65" s="218"/>
      <c r="AP65" s="218"/>
      <c r="AQ65" s="218"/>
      <c r="AR65" s="247"/>
      <c r="AT65" s="280"/>
    </row>
    <row r="66">
      <c r="A66" s="293" t="s">
        <v>29</v>
      </c>
      <c r="B66" s="302" t="s">
        <v>259</v>
      </c>
      <c r="C66" s="295"/>
      <c r="D66" s="295"/>
      <c r="E66" s="297"/>
      <c r="F66" s="295"/>
      <c r="G66" s="295">
        <f>IF(PARAMS("flash_attn"),0,SUM(G67:G69))</f>
        <v>0</v>
      </c>
      <c r="H66" s="297"/>
      <c r="I66" s="808"/>
      <c r="J66" s="876" t="str">
        <f t="shared" si="5"/>
        <v>#N/A</v>
      </c>
      <c r="P66" s="878"/>
      <c r="R66" s="203"/>
      <c r="S66" s="203"/>
      <c r="T66" s="203"/>
      <c r="U66" s="203"/>
      <c r="V66" s="203"/>
      <c r="W66" s="2"/>
      <c r="AM66" s="222"/>
      <c r="AO66" s="218"/>
      <c r="AP66" s="218"/>
      <c r="AQ66" s="218"/>
      <c r="AR66" s="247"/>
      <c r="AT66" s="280"/>
    </row>
    <row r="67">
      <c r="A67" s="293" t="s">
        <v>29</v>
      </c>
      <c r="B67" s="294" t="s">
        <v>619</v>
      </c>
      <c r="C67" s="295">
        <f>$H$208</f>
        <v>0.4378844839</v>
      </c>
      <c r="D67" s="295" t="str">
        <f>$H$206</f>
        <v>#N/A</v>
      </c>
      <c r="E67" s="297"/>
      <c r="F67" s="295"/>
      <c r="G67" s="295" t="str">
        <f t="shared" ref="G67:G75" si="7">max(C67:F67)</f>
        <v>#N/A</v>
      </c>
      <c r="H67" s="297" t="str">
        <f t="shared" ref="H67:H75" si="8">IFS(C67=G67, "HBM", D67=G67, "Compute", E67=G67, "ICI Lt", F67=G67, "ICI BW")</f>
        <v>#N/A</v>
      </c>
      <c r="I67" s="808"/>
      <c r="J67" s="876"/>
      <c r="P67" s="878"/>
      <c r="R67" s="203"/>
      <c r="S67" s="203"/>
      <c r="T67" s="203"/>
      <c r="U67" s="203"/>
      <c r="V67" s="203"/>
      <c r="W67" s="2"/>
      <c r="AM67" s="222"/>
      <c r="AO67" s="218"/>
      <c r="AP67" s="218"/>
      <c r="AQ67" s="218"/>
      <c r="AR67" s="247"/>
      <c r="AT67" s="280"/>
    </row>
    <row r="68">
      <c r="A68" s="293" t="s">
        <v>29</v>
      </c>
      <c r="B68" s="294" t="s">
        <v>620</v>
      </c>
      <c r="C68" s="295">
        <f>$H$227</f>
        <v>0.05473556049</v>
      </c>
      <c r="D68" s="295" t="str">
        <f>$H$225</f>
        <v>#N/A</v>
      </c>
      <c r="E68" s="297"/>
      <c r="F68" s="295"/>
      <c r="G68" s="295" t="str">
        <f t="shared" si="7"/>
        <v>#N/A</v>
      </c>
      <c r="H68" s="297" t="str">
        <f t="shared" si="8"/>
        <v>#N/A</v>
      </c>
      <c r="I68" s="808"/>
      <c r="J68" s="876"/>
      <c r="P68" s="878"/>
      <c r="R68" s="303"/>
      <c r="S68" s="303"/>
      <c r="T68" s="303"/>
      <c r="U68" s="303"/>
      <c r="V68" s="303"/>
      <c r="W68" s="2"/>
      <c r="AM68" s="222"/>
      <c r="AN68" s="218"/>
      <c r="AO68" s="222"/>
      <c r="AP68" s="222"/>
      <c r="AQ68" s="218"/>
      <c r="AR68" s="247"/>
      <c r="AT68" s="280"/>
    </row>
    <row r="69">
      <c r="A69" s="293" t="s">
        <v>29</v>
      </c>
      <c r="B69" s="294" t="s">
        <v>621</v>
      </c>
      <c r="C69" s="295">
        <f>$H$246</f>
        <v>0.01068010936</v>
      </c>
      <c r="D69" s="295" t="str">
        <f>$H$244</f>
        <v>#N/A</v>
      </c>
      <c r="E69" s="297"/>
      <c r="F69" s="295"/>
      <c r="G69" s="295" t="str">
        <f t="shared" si="7"/>
        <v>#N/A</v>
      </c>
      <c r="H69" s="297" t="str">
        <f t="shared" si="8"/>
        <v>#N/A</v>
      </c>
      <c r="I69" s="808"/>
      <c r="J69" s="876"/>
      <c r="P69" s="878"/>
      <c r="R69" s="303"/>
      <c r="S69" s="303"/>
      <c r="T69" s="303"/>
      <c r="U69" s="303"/>
      <c r="V69" s="303"/>
      <c r="W69" s="2"/>
      <c r="AM69" s="222"/>
      <c r="AN69" s="218"/>
      <c r="AO69" s="218"/>
      <c r="AP69" s="218"/>
      <c r="AQ69" s="218"/>
      <c r="AR69" s="247"/>
      <c r="AT69" s="280"/>
    </row>
    <row r="70">
      <c r="A70" s="293" t="s">
        <v>29</v>
      </c>
      <c r="B70" s="294" t="s">
        <v>38</v>
      </c>
      <c r="C70" s="295">
        <f>H265</f>
        <v>0.01068010936</v>
      </c>
      <c r="D70" s="295" t="str">
        <f>H263</f>
        <v>#N/A</v>
      </c>
      <c r="E70" s="297"/>
      <c r="F70" s="295"/>
      <c r="G70" s="295" t="str">
        <f t="shared" si="7"/>
        <v>#N/A</v>
      </c>
      <c r="H70" s="297" t="str">
        <f t="shared" si="8"/>
        <v>#N/A</v>
      </c>
      <c r="I70" s="808"/>
      <c r="J70" s="876" t="str">
        <f t="shared" ref="J70:J76" si="9">G70/$G$76</f>
        <v>#N/A</v>
      </c>
      <c r="P70" s="878"/>
      <c r="R70" s="303"/>
      <c r="S70" s="303"/>
      <c r="T70" s="303"/>
      <c r="U70" s="303"/>
      <c r="V70" s="303"/>
      <c r="W70" s="304"/>
      <c r="AK70" s="280"/>
      <c r="AM70" s="222"/>
      <c r="AN70" s="218"/>
      <c r="AO70" s="218"/>
      <c r="AP70" s="218"/>
      <c r="AQ70" s="218"/>
      <c r="AR70" s="247"/>
      <c r="AT70" s="280"/>
    </row>
    <row r="71">
      <c r="A71" s="293" t="s">
        <v>29</v>
      </c>
      <c r="B71" s="294" t="s">
        <v>40</v>
      </c>
      <c r="C71" s="295">
        <f>H284</f>
        <v>0.03988353341</v>
      </c>
      <c r="D71" s="295" t="str">
        <f>H282</f>
        <v>#N/A</v>
      </c>
      <c r="E71" s="297"/>
      <c r="F71" s="295"/>
      <c r="G71" s="295" t="str">
        <f t="shared" si="7"/>
        <v>#N/A</v>
      </c>
      <c r="H71" s="297" t="str">
        <f t="shared" si="8"/>
        <v>#N/A</v>
      </c>
      <c r="I71" s="808"/>
      <c r="J71" s="876" t="str">
        <f t="shared" si="9"/>
        <v>#N/A</v>
      </c>
      <c r="P71" s="878"/>
      <c r="R71" s="303"/>
      <c r="S71" s="303"/>
      <c r="T71" s="303"/>
      <c r="U71" s="305"/>
      <c r="V71" s="305"/>
      <c r="W71" s="2"/>
      <c r="AK71" s="306"/>
      <c r="AL71" s="307"/>
      <c r="AM71" s="247"/>
      <c r="AN71" s="218"/>
      <c r="AO71" s="218"/>
      <c r="AP71" s="218"/>
      <c r="AQ71" s="218"/>
      <c r="AR71" s="247"/>
      <c r="AT71" s="280"/>
    </row>
    <row r="72">
      <c r="A72" s="293" t="s">
        <v>264</v>
      </c>
      <c r="B72" s="308" t="s">
        <v>44</v>
      </c>
      <c r="C72" s="295"/>
      <c r="D72" s="295"/>
      <c r="E72" s="297"/>
      <c r="F72" s="295">
        <f>$H$332</f>
        <v>0.1025390625</v>
      </c>
      <c r="G72" s="295">
        <f t="shared" si="7"/>
        <v>0.1025390625</v>
      </c>
      <c r="H72" s="297" t="str">
        <f t="shared" si="8"/>
        <v>ICI BW</v>
      </c>
      <c r="I72" s="808"/>
      <c r="J72" s="876" t="str">
        <f t="shared" si="9"/>
        <v>#N/A</v>
      </c>
      <c r="P72" s="878"/>
      <c r="R72" s="2"/>
      <c r="S72" s="2"/>
      <c r="T72" s="2"/>
      <c r="U72" s="2"/>
      <c r="V72" s="2"/>
      <c r="W72" s="2"/>
      <c r="AM72" s="222"/>
      <c r="AN72" s="218"/>
      <c r="AO72" s="222"/>
      <c r="AP72" s="222"/>
      <c r="AQ72" s="272"/>
      <c r="AR72" s="222"/>
    </row>
    <row r="73">
      <c r="A73" s="293" t="s">
        <v>264</v>
      </c>
      <c r="B73" s="308" t="s">
        <v>46</v>
      </c>
      <c r="C73" s="295">
        <f>$H$375</f>
        <v>0.1568641063</v>
      </c>
      <c r="D73" s="295" t="str">
        <f>$H$373</f>
        <v>#N/A</v>
      </c>
      <c r="E73" s="297"/>
      <c r="F73" s="295">
        <f>$H$370</f>
        <v>0</v>
      </c>
      <c r="G73" s="295" t="str">
        <f t="shared" si="7"/>
        <v>#N/A</v>
      </c>
      <c r="H73" s="297" t="str">
        <f t="shared" si="8"/>
        <v>#N/A</v>
      </c>
      <c r="I73" s="808"/>
      <c r="J73" s="876" t="str">
        <f t="shared" si="9"/>
        <v>#N/A</v>
      </c>
      <c r="P73" s="878"/>
      <c r="R73" s="2"/>
      <c r="S73" s="2"/>
      <c r="T73" s="2"/>
      <c r="U73" s="2"/>
      <c r="V73" s="2"/>
      <c r="W73" s="309"/>
      <c r="AM73" s="222"/>
      <c r="AN73" s="218"/>
      <c r="AO73" s="218"/>
      <c r="AP73" s="218"/>
      <c r="AQ73" s="218"/>
      <c r="AR73" s="222"/>
      <c r="AT73" s="228"/>
    </row>
    <row r="74">
      <c r="A74" s="293" t="s">
        <v>264</v>
      </c>
      <c r="B74" s="308" t="s">
        <v>48</v>
      </c>
      <c r="C74" s="295">
        <f>$H$405</f>
        <v>0.08544087491</v>
      </c>
      <c r="D74" s="295" t="str">
        <f>$H$403</f>
        <v>#N/A</v>
      </c>
      <c r="E74" s="297"/>
      <c r="F74" s="295">
        <f>$H$400</f>
        <v>0</v>
      </c>
      <c r="G74" s="295" t="str">
        <f t="shared" si="7"/>
        <v>#N/A</v>
      </c>
      <c r="H74" s="297" t="str">
        <f t="shared" si="8"/>
        <v>#N/A</v>
      </c>
      <c r="I74" s="808"/>
      <c r="J74" s="876" t="str">
        <f t="shared" si="9"/>
        <v>#N/A</v>
      </c>
      <c r="P74" s="878"/>
      <c r="R74" s="2"/>
      <c r="S74" s="2"/>
      <c r="T74" s="2"/>
      <c r="U74" s="2"/>
      <c r="V74" s="2"/>
      <c r="W74" s="309"/>
      <c r="AM74" s="222"/>
      <c r="AN74" s="218"/>
      <c r="AO74" s="218"/>
      <c r="AP74" s="222"/>
      <c r="AQ74" s="222"/>
      <c r="AR74" s="222"/>
    </row>
    <row r="75">
      <c r="A75" s="293" t="s">
        <v>264</v>
      </c>
      <c r="B75" s="308" t="s">
        <v>52</v>
      </c>
      <c r="C75" s="295"/>
      <c r="D75" s="295"/>
      <c r="E75" s="297"/>
      <c r="F75" s="295">
        <f>$H$442</f>
        <v>0.205078125</v>
      </c>
      <c r="G75" s="295">
        <f t="shared" si="7"/>
        <v>0.205078125</v>
      </c>
      <c r="H75" s="297" t="str">
        <f t="shared" si="8"/>
        <v>ICI BW</v>
      </c>
      <c r="I75" s="808"/>
      <c r="J75" s="876" t="str">
        <f t="shared" si="9"/>
        <v>#N/A</v>
      </c>
      <c r="P75" s="878"/>
      <c r="AM75" s="222"/>
      <c r="AN75" s="218"/>
      <c r="AO75" s="218"/>
      <c r="AP75" s="218"/>
      <c r="AQ75" s="218"/>
      <c r="AR75" s="222"/>
      <c r="AT75" s="280"/>
    </row>
    <row r="76">
      <c r="A76" s="310"/>
      <c r="B76" s="311"/>
      <c r="C76" s="311"/>
      <c r="D76" s="311"/>
      <c r="E76" s="310" t="s">
        <v>265</v>
      </c>
      <c r="F76" s="312" t="s">
        <v>121</v>
      </c>
      <c r="G76" s="311" t="str">
        <f>SUM(G61:G66,G70:G75)</f>
        <v>#N/A</v>
      </c>
      <c r="H76" s="311"/>
      <c r="I76" s="314"/>
      <c r="J76" s="315" t="str">
        <f t="shared" si="9"/>
        <v>#N/A</v>
      </c>
      <c r="P76" s="878"/>
      <c r="AG76" s="207"/>
      <c r="AH76" s="207"/>
      <c r="AI76" s="2"/>
      <c r="AJ76" s="2"/>
      <c r="AK76" s="2"/>
      <c r="AL76" s="2"/>
      <c r="AM76" s="247"/>
      <c r="AN76" s="279"/>
      <c r="AO76" s="279"/>
      <c r="AP76" s="292"/>
      <c r="AQ76" s="279"/>
      <c r="AR76" s="247"/>
      <c r="AT76" s="280"/>
    </row>
    <row r="77">
      <c r="A77" s="316"/>
      <c r="B77" s="311"/>
      <c r="C77" s="311"/>
      <c r="D77" s="311"/>
      <c r="E77" s="316"/>
      <c r="F77" s="312" t="s">
        <v>266</v>
      </c>
      <c r="G77" s="879" t="str">
        <f>SUM(G61:G66,G70:G71)+MAX(G72:G73)+MAX(G74:G75)</f>
        <v>#N/A</v>
      </c>
      <c r="H77" s="311"/>
      <c r="I77" s="314"/>
      <c r="J77" s="315"/>
      <c r="P77" s="878"/>
      <c r="AG77" s="207"/>
      <c r="AH77" s="207"/>
      <c r="AI77" s="2"/>
      <c r="AJ77" s="2"/>
      <c r="AK77" s="2"/>
      <c r="AL77" s="2"/>
      <c r="AM77" s="247"/>
      <c r="AN77" s="279"/>
      <c r="AO77" s="279"/>
      <c r="AP77" s="292"/>
      <c r="AQ77" s="279"/>
      <c r="AR77" s="247"/>
      <c r="AT77" s="280"/>
    </row>
    <row r="78">
      <c r="A78" s="318" t="s">
        <v>267</v>
      </c>
      <c r="B78" s="319"/>
      <c r="C78" s="319"/>
      <c r="D78" s="319"/>
      <c r="E78" s="318" t="s">
        <v>268</v>
      </c>
      <c r="F78" s="320" t="s">
        <v>121</v>
      </c>
      <c r="G78" s="880" t="str">
        <f>IF(F78=F76,G76,G77)</f>
        <v>#N/A</v>
      </c>
      <c r="H78" s="319"/>
      <c r="I78" s="322"/>
      <c r="J78" s="322"/>
      <c r="P78" s="881"/>
      <c r="AG78" s="2"/>
      <c r="AH78" s="2"/>
      <c r="AI78" s="2"/>
      <c r="AJ78" s="2"/>
      <c r="AK78" s="2"/>
      <c r="AL78" s="2"/>
      <c r="AM78" s="247"/>
      <c r="AN78" s="247"/>
      <c r="AO78" s="279"/>
      <c r="AP78" s="222"/>
      <c r="AQ78" s="247"/>
      <c r="AR78" s="247"/>
      <c r="AT78" s="280"/>
    </row>
    <row r="79" ht="15.0" customHeight="1">
      <c r="P79" s="227"/>
      <c r="AG79" s="2"/>
      <c r="AH79" s="2"/>
      <c r="AI79" s="2"/>
      <c r="AJ79" s="2"/>
      <c r="AK79" s="2"/>
      <c r="AL79" s="2"/>
      <c r="AM79" s="247"/>
      <c r="AN79" s="247"/>
      <c r="AO79" s="279"/>
      <c r="AP79" s="222"/>
      <c r="AQ79" s="247"/>
      <c r="AR79" s="247"/>
      <c r="AT79" s="280"/>
    </row>
    <row r="80">
      <c r="P80" s="227"/>
      <c r="AG80" s="2"/>
      <c r="AH80" s="2"/>
      <c r="AI80" s="2"/>
      <c r="AJ80" s="2"/>
      <c r="AK80" s="2"/>
      <c r="AL80" s="2"/>
      <c r="AM80" s="247"/>
      <c r="AN80" s="247"/>
      <c r="AO80" s="279"/>
      <c r="AP80" s="222"/>
      <c r="AQ80" s="247"/>
      <c r="AR80" s="247"/>
      <c r="AT80" s="280"/>
    </row>
    <row r="81">
      <c r="E81" s="281" t="s">
        <v>270</v>
      </c>
      <c r="P81" s="227"/>
      <c r="AG81" s="2"/>
      <c r="AH81" s="2"/>
      <c r="AI81" s="2"/>
      <c r="AJ81" s="2"/>
      <c r="AK81" s="2"/>
      <c r="AL81" s="2"/>
      <c r="AM81" s="247"/>
      <c r="AN81" s="218"/>
      <c r="AO81" s="218"/>
      <c r="AP81" s="218"/>
      <c r="AQ81" s="218"/>
      <c r="AR81" s="247"/>
      <c r="AT81" s="280"/>
    </row>
    <row r="82">
      <c r="A82" s="207"/>
      <c r="B82" s="2"/>
      <c r="C82" s="2"/>
      <c r="E82" s="324" t="s">
        <v>272</v>
      </c>
      <c r="F82" s="325" t="s">
        <v>273</v>
      </c>
      <c r="G82" s="326"/>
      <c r="H82" s="327"/>
      <c r="I82" s="325" t="s">
        <v>274</v>
      </c>
      <c r="J82" s="326"/>
      <c r="K82" s="326"/>
      <c r="L82" s="326"/>
      <c r="M82" s="326"/>
      <c r="N82" s="327"/>
      <c r="O82" s="328" t="s">
        <v>275</v>
      </c>
      <c r="P82" s="329" t="s">
        <v>276</v>
      </c>
      <c r="Q82" s="330" t="s">
        <v>277</v>
      </c>
      <c r="AM82" s="222"/>
      <c r="AO82" s="222"/>
      <c r="AP82" s="222"/>
      <c r="AQ82" s="222"/>
      <c r="AR82" s="247"/>
      <c r="AT82" s="280"/>
    </row>
    <row r="83">
      <c r="A83" s="207"/>
      <c r="B83" s="2"/>
      <c r="C83" s="2"/>
      <c r="D83" s="2"/>
      <c r="E83" s="333" t="s">
        <v>279</v>
      </c>
      <c r="F83" s="334" t="s">
        <v>280</v>
      </c>
      <c r="G83" s="335"/>
      <c r="H83" s="336" t="s">
        <v>281</v>
      </c>
      <c r="I83" s="336" t="s">
        <v>282</v>
      </c>
      <c r="J83" s="336"/>
      <c r="K83" s="337" t="s">
        <v>104</v>
      </c>
      <c r="L83" s="337" t="s">
        <v>102</v>
      </c>
      <c r="M83" s="336" t="s">
        <v>178</v>
      </c>
      <c r="N83" s="336" t="s">
        <v>283</v>
      </c>
      <c r="O83" s="338" t="s">
        <v>125</v>
      </c>
      <c r="P83" s="339"/>
      <c r="Q83" s="337"/>
      <c r="AM83" s="222"/>
      <c r="AO83" s="218"/>
      <c r="AP83" s="218"/>
      <c r="AQ83" s="218"/>
      <c r="AR83" s="247"/>
      <c r="AT83" s="280"/>
    </row>
    <row r="84">
      <c r="A84" s="207"/>
      <c r="B84" s="2"/>
      <c r="C84" s="2"/>
      <c r="D84" s="2"/>
      <c r="E84" s="341"/>
      <c r="F84" s="342"/>
      <c r="G84" s="343"/>
      <c r="H84" s="344" t="s">
        <v>285</v>
      </c>
      <c r="I84" s="345" t="s">
        <v>282</v>
      </c>
      <c r="J84" s="346"/>
      <c r="K84" s="345">
        <f t="shared" ref="K84:M84" si="10">PARAMS(K83)</f>
        <v>4096</v>
      </c>
      <c r="L84" s="345">
        <f t="shared" si="10"/>
        <v>1</v>
      </c>
      <c r="M84" s="345">
        <f t="shared" si="10"/>
        <v>7168</v>
      </c>
      <c r="N84" s="345" t="s">
        <v>283</v>
      </c>
      <c r="O84" s="347"/>
      <c r="P84" s="348">
        <f>SIZEOF_IN_MIB(J84:M84, $O83)</f>
        <v>28</v>
      </c>
      <c r="Q84" s="344"/>
      <c r="AM84" s="222"/>
      <c r="AN84" s="218"/>
      <c r="AO84" s="222"/>
      <c r="AP84" s="222"/>
      <c r="AQ84" s="218"/>
      <c r="AR84" s="247"/>
      <c r="AT84" s="280"/>
    </row>
    <row r="85">
      <c r="A85" s="207"/>
      <c r="B85" s="2"/>
      <c r="C85" s="2"/>
      <c r="D85" s="2"/>
      <c r="E85" s="341"/>
      <c r="F85" s="342"/>
      <c r="G85" s="343"/>
      <c r="H85" s="349" t="s">
        <v>287</v>
      </c>
      <c r="I85" s="349" t="s">
        <v>282</v>
      </c>
      <c r="J85" s="336"/>
      <c r="K85" s="337" t="s">
        <v>196</v>
      </c>
      <c r="L85" s="337"/>
      <c r="M85" s="337"/>
      <c r="N85" s="349" t="s">
        <v>283</v>
      </c>
      <c r="O85" s="350"/>
      <c r="P85" s="351"/>
      <c r="Q85" s="337"/>
      <c r="AM85" s="222"/>
      <c r="AN85" s="218"/>
      <c r="AO85" s="218"/>
      <c r="AP85" s="218"/>
      <c r="AQ85" s="218"/>
      <c r="AR85" s="247"/>
      <c r="AT85" s="280"/>
    </row>
    <row r="86">
      <c r="A86" s="207"/>
      <c r="B86" s="2"/>
      <c r="C86" s="2"/>
      <c r="D86" s="2"/>
      <c r="E86" s="352"/>
      <c r="F86" s="353"/>
      <c r="G86" s="354"/>
      <c r="H86" s="344" t="s">
        <v>289</v>
      </c>
      <c r="I86" s="346" t="s">
        <v>282</v>
      </c>
      <c r="J86" s="345"/>
      <c r="K86" s="346">
        <f t="shared" ref="K86:M86" si="11">K84/SHARDING(K85)</f>
        <v>256</v>
      </c>
      <c r="L86" s="346">
        <f t="shared" si="11"/>
        <v>1</v>
      </c>
      <c r="M86" s="346">
        <f t="shared" si="11"/>
        <v>7168</v>
      </c>
      <c r="N86" s="346" t="s">
        <v>283</v>
      </c>
      <c r="O86" s="355"/>
      <c r="P86" s="348">
        <f>SIZEOF_IN_MIB(J86:M86, $O83)</f>
        <v>1.75</v>
      </c>
      <c r="Q86" s="344"/>
      <c r="AG86" s="181"/>
      <c r="AK86" s="280"/>
      <c r="AM86" s="222"/>
      <c r="AN86" s="218"/>
      <c r="AO86" s="218"/>
      <c r="AP86" s="218"/>
      <c r="AQ86" s="218"/>
      <c r="AR86" s="247"/>
      <c r="AT86" s="280"/>
    </row>
    <row r="87">
      <c r="A87" s="207"/>
      <c r="B87" s="2"/>
      <c r="C87" s="2"/>
      <c r="D87" s="2"/>
      <c r="E87" s="333" t="s">
        <v>291</v>
      </c>
      <c r="F87" s="357" t="s">
        <v>292</v>
      </c>
      <c r="G87" s="335"/>
      <c r="H87" s="336" t="s">
        <v>281</v>
      </c>
      <c r="I87" s="336" t="s">
        <v>282</v>
      </c>
      <c r="J87" s="336"/>
      <c r="K87" s="337" t="s">
        <v>104</v>
      </c>
      <c r="L87" s="337" t="s">
        <v>102</v>
      </c>
      <c r="M87" s="358" t="s">
        <v>178</v>
      </c>
      <c r="N87" s="336" t="s">
        <v>283</v>
      </c>
      <c r="O87" s="338" t="s">
        <v>125</v>
      </c>
      <c r="P87" s="339"/>
      <c r="Q87" s="338" t="b">
        <v>0</v>
      </c>
      <c r="AG87" s="181"/>
      <c r="AK87" s="306"/>
      <c r="AL87" s="307"/>
      <c r="AM87" s="247"/>
      <c r="AN87" s="218"/>
      <c r="AO87" s="218"/>
      <c r="AP87" s="218"/>
      <c r="AQ87" s="218"/>
      <c r="AR87" s="247"/>
      <c r="AT87" s="280"/>
    </row>
    <row r="88">
      <c r="A88" s="2"/>
      <c r="B88" s="2"/>
      <c r="C88" s="2"/>
      <c r="D88" s="2"/>
      <c r="E88" s="341"/>
      <c r="F88" s="342"/>
      <c r="G88" s="343"/>
      <c r="H88" s="344" t="s">
        <v>285</v>
      </c>
      <c r="I88" s="345" t="s">
        <v>282</v>
      </c>
      <c r="J88" s="346"/>
      <c r="K88" s="345">
        <f t="shared" ref="K88:M88" si="12">PARAMS(K87)</f>
        <v>4096</v>
      </c>
      <c r="L88" s="345">
        <f t="shared" si="12"/>
        <v>1</v>
      </c>
      <c r="M88" s="345">
        <f t="shared" si="12"/>
        <v>7168</v>
      </c>
      <c r="N88" s="345" t="s">
        <v>283</v>
      </c>
      <c r="O88" s="347"/>
      <c r="P88" s="348">
        <f>SIZEOF_IN_MIB(J88:M88, $O87)</f>
        <v>28</v>
      </c>
      <c r="Q88" s="347"/>
      <c r="AG88" s="181"/>
      <c r="AM88" s="2"/>
      <c r="AR88" s="2"/>
    </row>
    <row r="89">
      <c r="A89" s="161"/>
      <c r="B89" s="161"/>
      <c r="C89" s="161"/>
      <c r="D89" s="161"/>
      <c r="E89" s="341"/>
      <c r="F89" s="342"/>
      <c r="G89" s="343"/>
      <c r="H89" s="349" t="s">
        <v>287</v>
      </c>
      <c r="I89" s="349" t="s">
        <v>282</v>
      </c>
      <c r="J89" s="336"/>
      <c r="K89" s="337" t="s">
        <v>196</v>
      </c>
      <c r="L89" s="337"/>
      <c r="M89" s="349"/>
      <c r="N89" s="349" t="s">
        <v>283</v>
      </c>
      <c r="O89" s="350"/>
      <c r="P89" s="351"/>
      <c r="Q89" s="350"/>
    </row>
    <row r="90">
      <c r="A90" s="161"/>
      <c r="B90" s="161"/>
      <c r="C90" s="161"/>
      <c r="D90" s="161"/>
      <c r="E90" s="341"/>
      <c r="F90" s="353"/>
      <c r="G90" s="354"/>
      <c r="H90" s="344" t="s">
        <v>289</v>
      </c>
      <c r="I90" s="346" t="s">
        <v>282</v>
      </c>
      <c r="J90" s="345"/>
      <c r="K90" s="346">
        <f t="shared" ref="K90:M90" si="13">K88/SHARDING(K89)</f>
        <v>256</v>
      </c>
      <c r="L90" s="346">
        <f t="shared" si="13"/>
        <v>1</v>
      </c>
      <c r="M90" s="346">
        <f t="shared" si="13"/>
        <v>7168</v>
      </c>
      <c r="N90" s="346" t="s">
        <v>283</v>
      </c>
      <c r="O90" s="355"/>
      <c r="P90" s="348">
        <f>SIZEOF_IN_MIB(J90:M90, $O87)</f>
        <v>1.75</v>
      </c>
      <c r="Q90" s="355"/>
      <c r="AG90" s="181"/>
    </row>
    <row r="91">
      <c r="A91" s="161"/>
      <c r="B91" s="161"/>
      <c r="C91" s="161"/>
      <c r="D91" s="161"/>
      <c r="E91" s="341"/>
      <c r="F91" s="334" t="s">
        <v>296</v>
      </c>
      <c r="G91" s="335"/>
      <c r="H91" s="349" t="s">
        <v>281</v>
      </c>
      <c r="I91" s="349" t="s">
        <v>282</v>
      </c>
      <c r="J91" s="336"/>
      <c r="K91" s="336"/>
      <c r="L91" s="360" t="s">
        <v>178</v>
      </c>
      <c r="M91" s="337" t="s">
        <v>195</v>
      </c>
      <c r="N91" s="349" t="s">
        <v>283</v>
      </c>
      <c r="O91" s="338" t="s">
        <v>125</v>
      </c>
      <c r="P91" s="351"/>
      <c r="Q91" s="338" t="b">
        <v>0</v>
      </c>
      <c r="AP91" s="218"/>
      <c r="AQ91" s="218"/>
      <c r="AT91" s="228"/>
    </row>
    <row r="92">
      <c r="A92" s="161"/>
      <c r="B92" s="161"/>
      <c r="C92" s="161"/>
      <c r="D92" s="161"/>
      <c r="E92" s="341"/>
      <c r="F92" s="342"/>
      <c r="G92" s="343"/>
      <c r="H92" s="344" t="s">
        <v>285</v>
      </c>
      <c r="I92" s="346" t="s">
        <v>282</v>
      </c>
      <c r="J92" s="345"/>
      <c r="K92" s="345"/>
      <c r="L92" s="346">
        <f t="shared" ref="L92:M92" si="14">PARAMS(L91)</f>
        <v>7168</v>
      </c>
      <c r="M92" s="346">
        <f t="shared" si="14"/>
        <v>1536</v>
      </c>
      <c r="N92" s="346" t="s">
        <v>283</v>
      </c>
      <c r="O92" s="347"/>
      <c r="P92" s="348">
        <f>SIZEOF_IN_MIB(J92:M92, $O91)</f>
        <v>10.5</v>
      </c>
      <c r="Q92" s="347"/>
      <c r="AP92" s="222"/>
    </row>
    <row r="93">
      <c r="A93" s="161"/>
      <c r="B93" s="161"/>
      <c r="C93" s="161"/>
      <c r="D93" s="161"/>
      <c r="E93" s="341"/>
      <c r="F93" s="342"/>
      <c r="G93" s="343"/>
      <c r="H93" s="349" t="s">
        <v>287</v>
      </c>
      <c r="I93" s="349" t="s">
        <v>282</v>
      </c>
      <c r="J93" s="336"/>
      <c r="K93" s="336"/>
      <c r="L93" s="349"/>
      <c r="M93" s="349"/>
      <c r="N93" s="349" t="s">
        <v>283</v>
      </c>
      <c r="O93" s="350"/>
      <c r="P93" s="351"/>
      <c r="Q93" s="350"/>
      <c r="AP93" s="218"/>
      <c r="AQ93" s="218"/>
      <c r="AT93" s="228"/>
    </row>
    <row r="94">
      <c r="A94" s="161"/>
      <c r="B94" s="161"/>
      <c r="C94" s="161"/>
      <c r="D94" s="161"/>
      <c r="E94" s="341"/>
      <c r="F94" s="353"/>
      <c r="G94" s="354"/>
      <c r="H94" s="346" t="s">
        <v>289</v>
      </c>
      <c r="I94" s="346" t="s">
        <v>282</v>
      </c>
      <c r="J94" s="345"/>
      <c r="K94" s="345"/>
      <c r="L94" s="346">
        <f t="shared" ref="L94:M94" si="15">L92/SHARDING(L93)</f>
        <v>7168</v>
      </c>
      <c r="M94" s="346">
        <f t="shared" si="15"/>
        <v>1536</v>
      </c>
      <c r="N94" s="346" t="s">
        <v>283</v>
      </c>
      <c r="O94" s="355"/>
      <c r="P94" s="348">
        <f>SIZEOF_IN_MIB(J94:M94, $O91)</f>
        <v>10.5</v>
      </c>
      <c r="Q94" s="355"/>
    </row>
    <row r="95">
      <c r="A95" s="161"/>
      <c r="B95" s="161"/>
      <c r="C95" s="161"/>
      <c r="D95" s="161"/>
      <c r="E95" s="341"/>
      <c r="F95" s="334" t="s">
        <v>56</v>
      </c>
      <c r="G95" s="335"/>
      <c r="H95" s="363" t="s">
        <v>281</v>
      </c>
      <c r="I95" s="363" t="s">
        <v>282</v>
      </c>
      <c r="J95" s="364"/>
      <c r="K95" s="273" t="s">
        <v>104</v>
      </c>
      <c r="L95" s="273" t="s">
        <v>102</v>
      </c>
      <c r="M95" s="273" t="s">
        <v>195</v>
      </c>
      <c r="N95" s="363" t="s">
        <v>283</v>
      </c>
      <c r="O95" s="365" t="s">
        <v>133</v>
      </c>
      <c r="P95" s="366"/>
      <c r="Q95" s="365" t="b">
        <v>0</v>
      </c>
    </row>
    <row r="96">
      <c r="A96" s="161"/>
      <c r="B96" s="161"/>
      <c r="C96" s="161"/>
      <c r="D96" s="161"/>
      <c r="E96" s="341"/>
      <c r="F96" s="342"/>
      <c r="G96" s="343"/>
      <c r="H96" s="273" t="s">
        <v>285</v>
      </c>
      <c r="I96" s="363" t="s">
        <v>282</v>
      </c>
      <c r="J96" s="364"/>
      <c r="K96" s="363">
        <f t="shared" ref="K96:M96" si="16">PARAMS(K95)</f>
        <v>4096</v>
      </c>
      <c r="L96" s="364">
        <f t="shared" si="16"/>
        <v>1</v>
      </c>
      <c r="M96" s="363">
        <f t="shared" si="16"/>
        <v>1536</v>
      </c>
      <c r="N96" s="363" t="s">
        <v>283</v>
      </c>
      <c r="O96" s="341"/>
      <c r="P96" s="366">
        <f>SIZEOF_IN_MIB(K96:M96, $O95)</f>
        <v>12</v>
      </c>
      <c r="Q96" s="341"/>
    </row>
    <row r="97">
      <c r="A97" s="161"/>
      <c r="B97" s="161"/>
      <c r="C97" s="161"/>
      <c r="D97" s="161"/>
      <c r="E97" s="341"/>
      <c r="F97" s="342"/>
      <c r="G97" s="343"/>
      <c r="H97" s="363" t="s">
        <v>287</v>
      </c>
      <c r="I97" s="363" t="s">
        <v>282</v>
      </c>
      <c r="J97" s="364"/>
      <c r="K97" s="273" t="s">
        <v>196</v>
      </c>
      <c r="L97" s="273"/>
      <c r="M97" s="363"/>
      <c r="N97" s="363" t="s">
        <v>283</v>
      </c>
      <c r="O97" s="341"/>
      <c r="P97" s="366"/>
      <c r="Q97" s="341"/>
    </row>
    <row r="98">
      <c r="A98" s="161"/>
      <c r="B98" s="161"/>
      <c r="C98" s="161"/>
      <c r="D98" s="161"/>
      <c r="E98" s="341"/>
      <c r="F98" s="353"/>
      <c r="G98" s="354"/>
      <c r="H98" s="363" t="s">
        <v>289</v>
      </c>
      <c r="I98" s="363" t="s">
        <v>282</v>
      </c>
      <c r="J98" s="364"/>
      <c r="K98" s="363">
        <f t="shared" ref="K98:M98" si="17">K96/SHARDING(K97)</f>
        <v>256</v>
      </c>
      <c r="L98" s="363">
        <f t="shared" si="17"/>
        <v>1</v>
      </c>
      <c r="M98" s="363">
        <f t="shared" si="17"/>
        <v>1536</v>
      </c>
      <c r="N98" s="363" t="s">
        <v>283</v>
      </c>
      <c r="O98" s="352"/>
      <c r="P98" s="366">
        <f>SIZEOF_IN_MIB(K98:M98, $O95)</f>
        <v>0.75</v>
      </c>
      <c r="Q98" s="352"/>
    </row>
    <row r="99">
      <c r="A99" s="161"/>
      <c r="B99" s="161"/>
      <c r="C99" s="161"/>
      <c r="E99" s="341"/>
      <c r="F99" s="370" t="s">
        <v>300</v>
      </c>
      <c r="G99" s="371" t="s">
        <v>301</v>
      </c>
      <c r="H99" s="372" t="s">
        <v>281</v>
      </c>
      <c r="I99" s="364" t="s">
        <v>282</v>
      </c>
      <c r="J99" s="364" t="str">
        <f t="array" ref="J99:M102">J83:M86</f>
        <v/>
      </c>
      <c r="K99" s="273" t="s">
        <v>104</v>
      </c>
      <c r="L99" s="273" t="s">
        <v>102</v>
      </c>
      <c r="M99" s="373" t="s">
        <v>178</v>
      </c>
      <c r="N99" s="364" t="s">
        <v>283</v>
      </c>
      <c r="O99" s="365" t="s">
        <v>125</v>
      </c>
      <c r="P99" s="364"/>
      <c r="Q99" s="365"/>
    </row>
    <row r="100">
      <c r="A100" s="161"/>
      <c r="B100" s="161"/>
      <c r="C100" s="161"/>
      <c r="E100" s="341"/>
      <c r="F100" s="341"/>
      <c r="G100" s="341"/>
      <c r="H100" s="374" t="s">
        <v>285</v>
      </c>
      <c r="I100" s="364" t="s">
        <v>282</v>
      </c>
      <c r="J100" s="363"/>
      <c r="K100" s="364">
        <v>4096.0</v>
      </c>
      <c r="L100" s="364">
        <v>1.0</v>
      </c>
      <c r="M100" s="364">
        <v>7168.0</v>
      </c>
      <c r="N100" s="364" t="s">
        <v>283</v>
      </c>
      <c r="O100" s="341"/>
      <c r="P100" s="375">
        <f>SIZEOF_IN_MIB(J100:M100, O99)</f>
        <v>28</v>
      </c>
      <c r="Q100" s="341"/>
    </row>
    <row r="101">
      <c r="A101" s="161"/>
      <c r="B101" s="161"/>
      <c r="C101" s="161"/>
      <c r="E101" s="341"/>
      <c r="F101" s="341"/>
      <c r="G101" s="341"/>
      <c r="H101" s="374" t="s">
        <v>302</v>
      </c>
      <c r="I101" s="363" t="s">
        <v>282</v>
      </c>
      <c r="J101" s="364"/>
      <c r="K101" s="273" t="s">
        <v>196</v>
      </c>
      <c r="L101" s="273"/>
      <c r="M101" s="273"/>
      <c r="N101" s="363" t="s">
        <v>283</v>
      </c>
      <c r="O101" s="341"/>
      <c r="P101" s="375"/>
      <c r="Q101" s="341"/>
    </row>
    <row r="102">
      <c r="A102" s="161"/>
      <c r="B102" s="161"/>
      <c r="C102" s="161"/>
      <c r="E102" s="341"/>
      <c r="F102" s="341"/>
      <c r="G102" s="341"/>
      <c r="H102" s="376" t="s">
        <v>303</v>
      </c>
      <c r="I102" s="349" t="s">
        <v>282</v>
      </c>
      <c r="J102" s="336"/>
      <c r="K102" s="349">
        <v>256.0</v>
      </c>
      <c r="L102" s="349">
        <v>1.0</v>
      </c>
      <c r="M102" s="349">
        <v>7168.0</v>
      </c>
      <c r="N102" s="337" t="s">
        <v>283</v>
      </c>
      <c r="O102" s="350"/>
      <c r="P102" s="377">
        <f>SIZEOF_IN_MIB(J102:M102, O99)</f>
        <v>1.75</v>
      </c>
      <c r="Q102" s="350"/>
    </row>
    <row r="103">
      <c r="A103" s="161"/>
      <c r="B103" s="161"/>
      <c r="C103" s="161"/>
      <c r="E103" s="341"/>
      <c r="F103" s="341"/>
      <c r="G103" s="352"/>
      <c r="H103" s="378" t="s">
        <v>304</v>
      </c>
      <c r="I103" s="346" t="s">
        <v>282</v>
      </c>
      <c r="J103" s="345"/>
      <c r="K103" s="344"/>
      <c r="L103" s="344"/>
      <c r="M103" s="344"/>
      <c r="N103" s="346" t="s">
        <v>283</v>
      </c>
      <c r="O103" s="355"/>
      <c r="P103" s="379"/>
      <c r="Q103" s="355"/>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0" t="s">
        <v>305</v>
      </c>
      <c r="H104" s="381"/>
      <c r="I104" s="382"/>
      <c r="J104" s="382"/>
      <c r="K104" s="382"/>
      <c r="L104" s="383"/>
      <c r="M104" s="383"/>
      <c r="N104" s="383"/>
      <c r="O104" s="382"/>
      <c r="P104" s="384"/>
      <c r="Q104" s="382"/>
      <c r="R104" s="2"/>
      <c r="S104" s="2"/>
      <c r="AG104" s="2"/>
      <c r="AH104" s="2"/>
      <c r="AI104" s="2"/>
      <c r="AJ104" s="2"/>
      <c r="AK104" s="2"/>
      <c r="AL104" s="2"/>
      <c r="AM104" s="2"/>
      <c r="AN104" s="2"/>
      <c r="AO104" s="2"/>
      <c r="AP104" s="2"/>
      <c r="AQ104" s="2"/>
      <c r="AR104" s="2"/>
      <c r="AS104" s="2"/>
      <c r="AT104" s="2"/>
    </row>
    <row r="105">
      <c r="A105" s="161"/>
      <c r="B105" s="161"/>
      <c r="C105" s="161"/>
      <c r="E105" s="341"/>
      <c r="F105" s="341"/>
      <c r="G105" s="385" t="s">
        <v>306</v>
      </c>
      <c r="H105" s="386">
        <f>SHARDING(K101)*SHARDING(L101)*SHARDING(M101)</f>
        <v>16</v>
      </c>
      <c r="I105" s="387"/>
      <c r="J105" s="387"/>
      <c r="K105" s="387"/>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85" t="s">
        <v>307</v>
      </c>
      <c r="H106" s="390">
        <f>P102 * (H105-1)</f>
        <v>26.25</v>
      </c>
      <c r="I106" s="298"/>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394" t="s">
        <v>308</v>
      </c>
      <c r="H107" s="395">
        <f>H106*H105</f>
        <v>420</v>
      </c>
      <c r="I107" s="387"/>
      <c r="J107" s="379"/>
      <c r="K107" s="379"/>
      <c r="L107" s="388"/>
      <c r="M107" s="388"/>
      <c r="N107" s="388"/>
      <c r="O107" s="387"/>
      <c r="P107" s="389"/>
      <c r="Q107" s="387"/>
      <c r="R107" s="2"/>
      <c r="S107" s="2"/>
      <c r="AG107" s="2"/>
      <c r="AH107" s="2"/>
      <c r="AI107" s="2"/>
      <c r="AJ107" s="2"/>
      <c r="AK107" s="2"/>
      <c r="AL107" s="2"/>
      <c r="AM107" s="2"/>
      <c r="AN107" s="2"/>
      <c r="AO107" s="2"/>
      <c r="AP107" s="2"/>
      <c r="AQ107" s="2"/>
      <c r="AR107" s="2"/>
      <c r="AS107" s="2"/>
      <c r="AT107" s="2"/>
    </row>
    <row r="108">
      <c r="A108" s="161"/>
      <c r="B108" s="161"/>
      <c r="C108" s="161"/>
      <c r="E108" s="341"/>
      <c r="F108" s="341"/>
      <c r="G108" s="396" t="s">
        <v>309</v>
      </c>
      <c r="H108" s="397" t="str">
        <f>IFS(H105=8,12,
H105=4,4,
H105=2,1,
H105=1,0,
TRUE,NA())</f>
        <v>#N/A</v>
      </c>
      <c r="I108" s="391"/>
      <c r="J108" s="391"/>
      <c r="K108" s="391"/>
      <c r="L108" s="392"/>
      <c r="M108" s="392"/>
      <c r="N108" s="392"/>
      <c r="O108" s="391"/>
      <c r="P108" s="393"/>
      <c r="Q108" s="391"/>
      <c r="R108" s="2"/>
      <c r="S108" s="2"/>
      <c r="AG108" s="2"/>
      <c r="AH108" s="2"/>
      <c r="AI108" s="2"/>
      <c r="AJ108" s="2"/>
      <c r="AK108" s="2"/>
      <c r="AL108" s="2"/>
      <c r="AM108" s="2"/>
      <c r="AN108" s="2"/>
      <c r="AO108" s="2"/>
      <c r="AP108" s="2"/>
      <c r="AQ108" s="2"/>
      <c r="AR108" s="2"/>
      <c r="AS108" s="2"/>
      <c r="AT108" s="2"/>
    </row>
    <row r="109">
      <c r="A109" s="161"/>
      <c r="B109" s="161"/>
      <c r="C109" s="161"/>
      <c r="E109" s="341"/>
      <c r="F109" s="341"/>
      <c r="G109" s="9" t="s">
        <v>310</v>
      </c>
      <c r="H109" s="398">
        <v>1.0</v>
      </c>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402" t="s">
        <v>311</v>
      </c>
      <c r="H110" s="403" t="str">
        <f>ALL_GATHER_CHIP2CHIP_TIME_MS2(H107 * H109, H108)</f>
        <v>#N/A</v>
      </c>
      <c r="I110" s="404"/>
      <c r="J110" s="404"/>
      <c r="K110" s="404"/>
      <c r="L110" s="405"/>
      <c r="M110" s="405"/>
      <c r="N110" s="405"/>
      <c r="O110" s="404"/>
      <c r="P110" s="406"/>
      <c r="Q110" s="404"/>
      <c r="R110" s="2"/>
      <c r="S110" s="2"/>
      <c r="AG110" s="2"/>
      <c r="AH110" s="2"/>
      <c r="AI110" s="2"/>
      <c r="AJ110" s="2"/>
      <c r="AK110" s="2"/>
      <c r="AL110" s="2"/>
      <c r="AM110" s="2"/>
      <c r="AN110" s="2"/>
      <c r="AO110" s="2"/>
      <c r="AP110" s="2"/>
      <c r="AQ110" s="2"/>
      <c r="AR110" s="2"/>
      <c r="AS110" s="2"/>
      <c r="AT110" s="2"/>
    </row>
    <row r="111">
      <c r="A111" s="161"/>
      <c r="B111" s="161"/>
      <c r="C111" s="161"/>
      <c r="E111" s="341"/>
      <c r="F111" s="341"/>
      <c r="G111" s="394"/>
      <c r="H111" s="407"/>
      <c r="I111" s="399"/>
      <c r="J111" s="399"/>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80" t="s">
        <v>312</v>
      </c>
      <c r="H112" s="381"/>
      <c r="I112" s="382"/>
      <c r="J112" s="382"/>
      <c r="K112" s="382"/>
      <c r="L112" s="383"/>
      <c r="M112" s="383"/>
      <c r="N112" s="383"/>
      <c r="O112" s="382"/>
      <c r="P112" s="384"/>
      <c r="Q112" s="382"/>
      <c r="R112" s="2"/>
      <c r="S112" s="2"/>
      <c r="AG112" s="2"/>
      <c r="AH112" s="2"/>
      <c r="AI112" s="2"/>
      <c r="AJ112" s="2"/>
      <c r="AK112" s="2"/>
      <c r="AL112" s="2"/>
      <c r="AM112" s="2"/>
      <c r="AN112" s="2"/>
      <c r="AO112" s="2"/>
      <c r="AP112" s="2"/>
      <c r="AQ112" s="2"/>
      <c r="AR112" s="2"/>
      <c r="AS112" s="2"/>
      <c r="AT112" s="2"/>
    </row>
    <row r="113">
      <c r="A113" s="161"/>
      <c r="B113" s="161"/>
      <c r="C113" s="161"/>
      <c r="E113" s="341"/>
      <c r="F113" s="341"/>
      <c r="G113" s="408" t="s">
        <v>313</v>
      </c>
      <c r="H113" s="409" t="s">
        <v>306</v>
      </c>
      <c r="I113" s="379"/>
      <c r="J113" s="410">
        <f>SHARDING(K101)*SHARDING(L101)*SHARDING(M101)/HW_SPEC("# of TensorCore per Chip")</f>
        <v>8</v>
      </c>
      <c r="K113" s="399"/>
      <c r="L113" s="400"/>
      <c r="M113" s="400"/>
      <c r="N113" s="400"/>
      <c r="O113" s="399"/>
      <c r="P113" s="401"/>
      <c r="Q113" s="399"/>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85" t="s">
        <v>307</v>
      </c>
      <c r="I114" s="11"/>
      <c r="J114" s="411">
        <f>P102 * HW_SPEC("# of TensorCore per Chip") * (J113-1)</f>
        <v>24.5</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4" t="s">
        <v>308</v>
      </c>
      <c r="I115" s="11"/>
      <c r="J115" s="411">
        <f>J114*J113</f>
        <v>196</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309</v>
      </c>
      <c r="I116" s="11"/>
      <c r="J116" s="415">
        <f>IFS(J113=8,12,
J113=4,4,
J113=2,1,
J113=1,0,
TRUE,NA())</f>
        <v>12</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341"/>
      <c r="H117" s="9" t="s">
        <v>310</v>
      </c>
      <c r="I117" s="11"/>
      <c r="J117" s="416">
        <v>2.0</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52"/>
      <c r="H118" s="385" t="s">
        <v>311</v>
      </c>
      <c r="I118" s="11"/>
      <c r="J118" s="417">
        <f>ALL_GATHER_CHIP2CHIP_TIME_MS2(J115 * J117, J116)</f>
        <v>0.1993815104</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408" t="s">
        <v>314</v>
      </c>
      <c r="H119" s="396" t="s">
        <v>306</v>
      </c>
      <c r="I119" s="418"/>
      <c r="J119" s="419">
        <f>HW_SPEC("# of TensorCore per Chip")</f>
        <v>2</v>
      </c>
      <c r="K119" s="412"/>
      <c r="L119" s="413"/>
      <c r="M119" s="413"/>
      <c r="N119" s="413"/>
      <c r="O119" s="412"/>
      <c r="P119" s="414"/>
      <c r="Q119" s="412"/>
      <c r="R119" s="2"/>
      <c r="S119" s="2"/>
      <c r="AG119" s="2"/>
      <c r="AH119" s="2"/>
      <c r="AI119" s="2"/>
      <c r="AJ119" s="2"/>
      <c r="AK119" s="2"/>
      <c r="AL119" s="2"/>
      <c r="AM119" s="2"/>
      <c r="AN119" s="2"/>
      <c r="AO119" s="2"/>
      <c r="AP119" s="2"/>
      <c r="AQ119" s="2"/>
      <c r="AR119" s="2"/>
      <c r="AS119" s="2"/>
      <c r="AT119" s="2"/>
    </row>
    <row r="120">
      <c r="A120" s="161"/>
      <c r="B120" s="161"/>
      <c r="C120" s="161"/>
      <c r="E120" s="341"/>
      <c r="F120" s="341"/>
      <c r="G120" s="341"/>
      <c r="H120" s="396" t="s">
        <v>307</v>
      </c>
      <c r="I120" s="418"/>
      <c r="J120" s="411">
        <f>P86 / J119 * (J119-1)</f>
        <v>0.875</v>
      </c>
      <c r="K120" s="412"/>
      <c r="L120" s="413"/>
      <c r="M120" s="413"/>
      <c r="N120" s="413"/>
      <c r="O120" s="412"/>
      <c r="P120" s="414"/>
      <c r="Q120" s="412"/>
      <c r="R120" s="2"/>
      <c r="S120" s="2"/>
      <c r="AG120" s="2"/>
      <c r="AH120" s="2"/>
      <c r="AI120" s="2"/>
      <c r="AJ120" s="2"/>
      <c r="AK120" s="2"/>
      <c r="AL120" s="2"/>
      <c r="AM120" s="2"/>
      <c r="AN120" s="2"/>
      <c r="AO120" s="2"/>
      <c r="AP120" s="2"/>
      <c r="AQ120" s="2"/>
      <c r="AR120" s="2"/>
      <c r="AS120" s="2"/>
      <c r="AT120" s="2"/>
    </row>
    <row r="121">
      <c r="A121" s="161"/>
      <c r="B121" s="161"/>
      <c r="C121" s="161"/>
      <c r="E121" s="341"/>
      <c r="F121" s="341"/>
      <c r="G121" s="341"/>
      <c r="H121" s="396" t="s">
        <v>308</v>
      </c>
      <c r="I121" s="418"/>
      <c r="J121" s="411">
        <f>J120*J119</f>
        <v>1.75</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341"/>
      <c r="H122" s="396" t="s">
        <v>311</v>
      </c>
      <c r="I122" s="418"/>
      <c r="J122" s="421">
        <f>ALL_GATHER_CORE2CORE_TIME_MS(J121)</f>
        <v>0.001424153646</v>
      </c>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52"/>
      <c r="H123" s="394" t="s">
        <v>315</v>
      </c>
      <c r="I123" s="11"/>
      <c r="J123" s="421">
        <f>J122/J113</f>
        <v>0.0001780192057</v>
      </c>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02" t="s">
        <v>316</v>
      </c>
      <c r="H124" s="422">
        <f>J118+J123</f>
        <v>0.1995595296</v>
      </c>
      <c r="I124" s="11"/>
      <c r="J124" s="417"/>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94"/>
      <c r="H125" s="422"/>
      <c r="I125" s="11"/>
      <c r="J125" s="417"/>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43" t="s">
        <v>322</v>
      </c>
      <c r="H126" s="882" t="s">
        <v>323</v>
      </c>
      <c r="I126" s="445"/>
      <c r="J126" s="445"/>
      <c r="K126" s="382"/>
      <c r="L126" s="383"/>
      <c r="M126" s="383"/>
      <c r="N126" s="383"/>
      <c r="O126" s="382"/>
      <c r="P126" s="384"/>
      <c r="Q126" s="382"/>
      <c r="R126" s="420"/>
      <c r="S126" s="420"/>
      <c r="AG126" s="2"/>
      <c r="AH126" s="2"/>
      <c r="AI126" s="2"/>
      <c r="AJ126" s="2"/>
      <c r="AK126" s="2"/>
      <c r="AL126" s="2"/>
      <c r="AM126" s="2"/>
      <c r="AN126" s="2"/>
      <c r="AO126" s="2"/>
      <c r="AP126" s="2"/>
      <c r="AQ126" s="2"/>
      <c r="AR126" s="2"/>
      <c r="AS126" s="2"/>
      <c r="AT126" s="2"/>
    </row>
    <row r="127">
      <c r="A127" s="161"/>
      <c r="B127" s="161"/>
      <c r="C127" s="161"/>
      <c r="E127" s="341"/>
      <c r="F127" s="352"/>
      <c r="G127" s="446" t="s">
        <v>340</v>
      </c>
      <c r="H127" s="447">
        <f>IFS(H126=G104,H110,
H126=G112,H124 ,
TRUE,0)</f>
        <v>0</v>
      </c>
      <c r="I127" s="448"/>
      <c r="J127" s="448"/>
      <c r="K127" s="448"/>
      <c r="L127" s="449"/>
      <c r="M127" s="449"/>
      <c r="N127" s="449"/>
      <c r="O127" s="450"/>
      <c r="P127" s="451"/>
      <c r="Q127" s="450"/>
      <c r="AG127" s="2"/>
      <c r="AH127" s="2"/>
      <c r="AI127" s="2"/>
      <c r="AJ127" s="2"/>
      <c r="AK127" s="2"/>
      <c r="AL127" s="2"/>
      <c r="AM127" s="2"/>
      <c r="AN127" s="2"/>
      <c r="AO127" s="2"/>
      <c r="AP127" s="2"/>
      <c r="AQ127" s="2"/>
      <c r="AR127" s="2"/>
      <c r="AS127" s="2"/>
      <c r="AT127" s="2"/>
    </row>
    <row r="128">
      <c r="A128" s="161"/>
      <c r="B128" s="161"/>
      <c r="C128" s="161"/>
      <c r="E128" s="341"/>
      <c r="F128" s="458" t="s">
        <v>327</v>
      </c>
      <c r="G128" s="459" t="s">
        <v>328</v>
      </c>
      <c r="H128" s="455" t="str">
        <f>VLOOKUP(O87&amp;","&amp;O91,$T$2:$W$11,4, FALSE)</f>
        <v>fp8</v>
      </c>
      <c r="I128" s="460"/>
      <c r="J128" s="454"/>
      <c r="K128" s="454"/>
      <c r="L128" s="455"/>
      <c r="M128" s="455"/>
      <c r="N128" s="455"/>
      <c r="O128" s="454"/>
      <c r="P128" s="457"/>
      <c r="Q128" s="11"/>
      <c r="AG128" s="2"/>
      <c r="AH128" s="2"/>
      <c r="AI128" s="2"/>
      <c r="AJ128" s="2"/>
      <c r="AK128" s="2"/>
      <c r="AL128" s="2"/>
      <c r="AM128" s="2"/>
      <c r="AN128" s="2"/>
      <c r="AO128" s="2"/>
      <c r="AP128" s="2"/>
      <c r="AQ128" s="2"/>
      <c r="AR128" s="2"/>
      <c r="AS128" s="2"/>
      <c r="AT128" s="2"/>
    </row>
    <row r="129">
      <c r="A129" s="161"/>
      <c r="B129" s="161"/>
      <c r="C129" s="161"/>
      <c r="E129" s="341"/>
      <c r="F129" s="341"/>
      <c r="G129" s="459" t="s">
        <v>329</v>
      </c>
      <c r="H129" s="461" t="str">
        <f>CALCULATE_FLOPS(J90:M90,J94:M94,L94,1,H128)</f>
        <v>#N/A</v>
      </c>
      <c r="I129" s="460"/>
      <c r="J129" s="454"/>
      <c r="K129" s="454"/>
      <c r="L129" s="455"/>
      <c r="M129" s="455"/>
      <c r="N129" s="455"/>
      <c r="O129" s="454"/>
      <c r="P129" s="457"/>
      <c r="Q129" s="11"/>
      <c r="AG129" s="2"/>
      <c r="AH129" s="2"/>
      <c r="AI129" s="2"/>
      <c r="AJ129" s="2"/>
      <c r="AK129" s="2"/>
      <c r="AL129" s="2"/>
      <c r="AM129" s="2"/>
      <c r="AN129" s="2"/>
      <c r="AO129" s="2"/>
      <c r="AP129" s="2"/>
      <c r="AQ129" s="2"/>
      <c r="AR129" s="2"/>
      <c r="AS129" s="2"/>
      <c r="AT129" s="2"/>
    </row>
    <row r="130">
      <c r="A130" s="161"/>
      <c r="B130" s="161"/>
      <c r="C130" s="161"/>
      <c r="E130" s="341"/>
      <c r="F130" s="352"/>
      <c r="G130" s="462" t="s">
        <v>330</v>
      </c>
      <c r="H130" s="463" t="str">
        <f>COMPUTE_TIME_MS(H129, H128)</f>
        <v>#N/A</v>
      </c>
      <c r="I130" s="464"/>
      <c r="J130" s="465"/>
      <c r="K130" s="465"/>
      <c r="L130" s="466"/>
      <c r="M130" s="466"/>
      <c r="N130" s="466"/>
      <c r="O130" s="465"/>
      <c r="P130" s="467"/>
      <c r="Q130" s="11"/>
      <c r="AG130" s="2"/>
      <c r="AH130" s="2"/>
      <c r="AI130" s="2"/>
      <c r="AJ130" s="2"/>
      <c r="AK130" s="2"/>
      <c r="AL130" s="2"/>
      <c r="AM130" s="2"/>
      <c r="AN130" s="2"/>
      <c r="AO130" s="2"/>
      <c r="AP130" s="2"/>
      <c r="AQ130" s="2"/>
      <c r="AR130" s="2"/>
      <c r="AS130" s="2"/>
      <c r="AT130" s="2"/>
    </row>
    <row r="131">
      <c r="A131" s="161"/>
      <c r="B131" s="161"/>
      <c r="C131" s="161"/>
      <c r="E131" s="341"/>
      <c r="F131" s="458" t="s">
        <v>331</v>
      </c>
      <c r="G131" s="455" t="s">
        <v>332</v>
      </c>
      <c r="H131" s="468">
        <f>IF(Q87,0,P90)+IF(Q91,0,P94)+IF(Q95,0,P98)</f>
        <v>13</v>
      </c>
      <c r="I131" s="454"/>
      <c r="J131" s="454"/>
      <c r="K131" s="454"/>
      <c r="L131" s="455"/>
      <c r="M131" s="455"/>
      <c r="N131" s="455"/>
      <c r="O131" s="454"/>
      <c r="P131" s="457"/>
      <c r="Q131" s="11"/>
      <c r="AG131" s="2"/>
      <c r="AH131" s="2"/>
      <c r="AI131" s="2"/>
      <c r="AJ131" s="2"/>
      <c r="AK131" s="2"/>
      <c r="AL131" s="2"/>
      <c r="AM131" s="2"/>
      <c r="AN131" s="2"/>
      <c r="AO131" s="2"/>
      <c r="AP131" s="2"/>
      <c r="AQ131" s="2"/>
      <c r="AR131" s="2"/>
      <c r="AS131" s="2"/>
      <c r="AT131" s="2"/>
    </row>
    <row r="132">
      <c r="A132" s="161"/>
      <c r="B132" s="161"/>
      <c r="C132" s="161"/>
      <c r="E132" s="352"/>
      <c r="F132" s="352"/>
      <c r="G132" s="469" t="s">
        <v>333</v>
      </c>
      <c r="H132" s="470">
        <f>HBM_TIME_MS(H131)</f>
        <v>0.004338794429</v>
      </c>
      <c r="I132" s="465"/>
      <c r="J132" s="465"/>
      <c r="K132" s="465"/>
      <c r="L132" s="466"/>
      <c r="M132" s="466"/>
      <c r="N132" s="466"/>
      <c r="O132" s="465"/>
      <c r="P132" s="467"/>
      <c r="Q132" s="11"/>
      <c r="AH132" s="471"/>
      <c r="AI132" s="471"/>
      <c r="AJ132" s="471"/>
      <c r="AK132" s="2"/>
      <c r="AL132" s="2"/>
      <c r="AM132" s="2"/>
      <c r="AN132" s="2"/>
      <c r="AO132" s="2"/>
      <c r="AP132" s="2"/>
      <c r="AQ132" s="2"/>
      <c r="AR132" s="2"/>
      <c r="AS132" s="2"/>
      <c r="AT132" s="2"/>
    </row>
    <row r="133">
      <c r="E133" s="333" t="s">
        <v>334</v>
      </c>
      <c r="F133" s="357" t="s">
        <v>292</v>
      </c>
      <c r="G133" s="335"/>
      <c r="H133" s="364" t="s">
        <v>281</v>
      </c>
      <c r="I133" s="364" t="s">
        <v>282</v>
      </c>
      <c r="J133" s="364"/>
      <c r="K133" s="273" t="s">
        <v>104</v>
      </c>
      <c r="L133" s="273" t="s">
        <v>102</v>
      </c>
      <c r="M133" s="472" t="s">
        <v>195</v>
      </c>
      <c r="N133" s="364" t="s">
        <v>283</v>
      </c>
      <c r="O133" s="365" t="s">
        <v>125</v>
      </c>
      <c r="P133" s="366"/>
      <c r="Q133" s="365" t="b">
        <v>0</v>
      </c>
      <c r="R133" s="2"/>
      <c r="S133" s="2"/>
      <c r="AH133" s="471"/>
      <c r="AI133" s="471"/>
      <c r="AJ133" s="471"/>
      <c r="AK133" s="2"/>
      <c r="AL133" s="2"/>
      <c r="AM133" s="2"/>
      <c r="AN133" s="2"/>
      <c r="AO133" s="2"/>
      <c r="AP133" s="2"/>
      <c r="AQ133" s="2"/>
      <c r="AR133" s="2"/>
      <c r="AS133" s="2"/>
      <c r="AT133" s="2"/>
    </row>
    <row r="134">
      <c r="E134" s="341"/>
      <c r="F134" s="342"/>
      <c r="G134" s="343"/>
      <c r="H134" s="273" t="s">
        <v>285</v>
      </c>
      <c r="I134" s="364" t="s">
        <v>282</v>
      </c>
      <c r="J134" s="363"/>
      <c r="K134" s="363">
        <f t="shared" ref="K134:M134" si="18">PARAMS(K133)</f>
        <v>4096</v>
      </c>
      <c r="L134" s="364">
        <f t="shared" si="18"/>
        <v>1</v>
      </c>
      <c r="M134" s="364">
        <f t="shared" si="18"/>
        <v>1536</v>
      </c>
      <c r="N134" s="364" t="s">
        <v>283</v>
      </c>
      <c r="O134" s="341"/>
      <c r="P134" s="366">
        <f>SIZEOF_IN_MIB(J134:M134, $O133)</f>
        <v>6</v>
      </c>
      <c r="Q134" s="341"/>
      <c r="R134" s="2"/>
      <c r="S134" s="2"/>
      <c r="AH134" s="471"/>
      <c r="AI134" s="471"/>
      <c r="AJ134" s="471"/>
      <c r="AK134" s="2"/>
      <c r="AL134" s="2"/>
      <c r="AM134" s="2"/>
      <c r="AN134" s="2"/>
      <c r="AO134" s="2"/>
      <c r="AP134" s="2"/>
      <c r="AQ134" s="2"/>
      <c r="AR134" s="2"/>
      <c r="AS134" s="2"/>
      <c r="AT134" s="2"/>
    </row>
    <row r="135">
      <c r="E135" s="341"/>
      <c r="F135" s="342"/>
      <c r="G135" s="343"/>
      <c r="H135" s="363" t="s">
        <v>287</v>
      </c>
      <c r="I135" s="363" t="s">
        <v>282</v>
      </c>
      <c r="J135" s="364"/>
      <c r="K135" s="273" t="s">
        <v>196</v>
      </c>
      <c r="L135" s="273"/>
      <c r="M135" s="363"/>
      <c r="N135" s="363" t="s">
        <v>283</v>
      </c>
      <c r="O135" s="341"/>
      <c r="P135" s="366"/>
      <c r="Q135" s="341"/>
      <c r="R135" s="2"/>
      <c r="S135" s="2"/>
      <c r="AH135" s="471"/>
      <c r="AI135" s="471"/>
      <c r="AJ135" s="471"/>
      <c r="AK135" s="2"/>
      <c r="AL135" s="2"/>
      <c r="AM135" s="2"/>
      <c r="AN135" s="2"/>
      <c r="AO135" s="2"/>
      <c r="AP135" s="2"/>
      <c r="AQ135" s="2"/>
      <c r="AR135" s="2"/>
      <c r="AS135" s="2"/>
      <c r="AT135" s="2"/>
    </row>
    <row r="136">
      <c r="E136" s="341"/>
      <c r="F136" s="353"/>
      <c r="G136" s="354"/>
      <c r="H136" s="273" t="s">
        <v>289</v>
      </c>
      <c r="I136" s="363" t="s">
        <v>282</v>
      </c>
      <c r="J136" s="364"/>
      <c r="K136" s="363">
        <f t="shared" ref="K136:M136" si="19">K134/SHARDING(K135)</f>
        <v>256</v>
      </c>
      <c r="L136" s="363">
        <f t="shared" si="19"/>
        <v>1</v>
      </c>
      <c r="M136" s="363">
        <f t="shared" si="19"/>
        <v>1536</v>
      </c>
      <c r="N136" s="363" t="s">
        <v>283</v>
      </c>
      <c r="O136" s="352"/>
      <c r="P136" s="366">
        <f>SIZEOF_IN_MIB(J136:M136, $O133)</f>
        <v>0.375</v>
      </c>
      <c r="Q136" s="352"/>
      <c r="R136" s="2"/>
      <c r="S136" s="2"/>
      <c r="AK136" s="2"/>
      <c r="AL136" s="2"/>
      <c r="AM136" s="2"/>
      <c r="AN136" s="2"/>
      <c r="AO136" s="2"/>
      <c r="AP136" s="2"/>
      <c r="AQ136" s="2"/>
      <c r="AR136" s="2"/>
      <c r="AS136" s="2"/>
      <c r="AT136" s="2"/>
    </row>
    <row r="137">
      <c r="E137" s="341"/>
      <c r="F137" s="334" t="s">
        <v>296</v>
      </c>
      <c r="G137" s="335"/>
      <c r="H137" s="363" t="s">
        <v>281</v>
      </c>
      <c r="I137" s="363" t="s">
        <v>282</v>
      </c>
      <c r="J137" s="364"/>
      <c r="K137" s="472" t="s">
        <v>195</v>
      </c>
      <c r="L137" s="273" t="s">
        <v>207</v>
      </c>
      <c r="M137" s="273" t="s">
        <v>209</v>
      </c>
      <c r="N137" s="363" t="s">
        <v>283</v>
      </c>
      <c r="O137" s="365" t="s">
        <v>125</v>
      </c>
      <c r="P137" s="366"/>
      <c r="Q137" s="365" t="b">
        <v>0</v>
      </c>
      <c r="R137" s="2"/>
      <c r="S137" s="2"/>
      <c r="AK137" s="2"/>
      <c r="AL137" s="2"/>
      <c r="AM137" s="2"/>
      <c r="AN137" s="2"/>
      <c r="AO137" s="2"/>
      <c r="AP137" s="2"/>
      <c r="AQ137" s="2"/>
      <c r="AR137" s="2"/>
      <c r="AS137" s="2"/>
      <c r="AT137" s="2"/>
    </row>
    <row r="138">
      <c r="E138" s="341"/>
      <c r="F138" s="342"/>
      <c r="G138" s="343"/>
      <c r="H138" s="273" t="s">
        <v>285</v>
      </c>
      <c r="I138" s="363" t="s">
        <v>282</v>
      </c>
      <c r="J138" s="364"/>
      <c r="K138" s="363">
        <f t="shared" ref="K138:M138" si="20">PARAMS(K137)</f>
        <v>1536</v>
      </c>
      <c r="L138" s="363">
        <f t="shared" si="20"/>
        <v>128</v>
      </c>
      <c r="M138" s="363">
        <f t="shared" si="20"/>
        <v>192</v>
      </c>
      <c r="N138" s="363" t="s">
        <v>283</v>
      </c>
      <c r="O138" s="341"/>
      <c r="P138" s="366">
        <f>SIZEOF_IN_MIB(J138:M138, $O137)</f>
        <v>36</v>
      </c>
      <c r="Q138" s="341"/>
      <c r="R138" s="2"/>
      <c r="S138" s="2"/>
      <c r="AK138" s="2"/>
      <c r="AL138" s="2"/>
      <c r="AM138" s="2"/>
      <c r="AN138" s="2"/>
      <c r="AO138" s="2"/>
      <c r="AP138" s="2"/>
      <c r="AQ138" s="2"/>
      <c r="AR138" s="2"/>
      <c r="AS138" s="2"/>
      <c r="AT138" s="2"/>
    </row>
    <row r="139">
      <c r="E139" s="341"/>
      <c r="F139" s="342"/>
      <c r="G139" s="343"/>
      <c r="H139" s="363" t="s">
        <v>287</v>
      </c>
      <c r="I139" s="363" t="s">
        <v>282</v>
      </c>
      <c r="J139" s="364"/>
      <c r="K139" s="364"/>
      <c r="L139" s="363"/>
      <c r="M139" s="363"/>
      <c r="N139" s="363" t="s">
        <v>283</v>
      </c>
      <c r="O139" s="341"/>
      <c r="P139" s="366"/>
      <c r="Q139" s="341"/>
      <c r="R139" s="2"/>
      <c r="S139" s="2"/>
      <c r="AK139" s="2"/>
      <c r="AL139" s="2"/>
      <c r="AM139" s="2"/>
      <c r="AN139" s="2"/>
      <c r="AO139" s="2"/>
      <c r="AP139" s="2"/>
      <c r="AQ139" s="2"/>
      <c r="AR139" s="2"/>
      <c r="AS139" s="2"/>
      <c r="AT139" s="2"/>
    </row>
    <row r="140">
      <c r="E140" s="341"/>
      <c r="F140" s="353"/>
      <c r="G140" s="354"/>
      <c r="H140" s="349" t="s">
        <v>289</v>
      </c>
      <c r="I140" s="349" t="s">
        <v>282</v>
      </c>
      <c r="J140" s="336"/>
      <c r="K140" s="349">
        <f t="shared" ref="K140:M140" si="21">K138/SHARDING(K139)</f>
        <v>1536</v>
      </c>
      <c r="L140" s="349">
        <f t="shared" si="21"/>
        <v>128</v>
      </c>
      <c r="M140" s="349">
        <f t="shared" si="21"/>
        <v>192</v>
      </c>
      <c r="N140" s="349" t="s">
        <v>283</v>
      </c>
      <c r="O140" s="316"/>
      <c r="P140" s="351">
        <f>SIZEOF_IN_MIB(J140:M140, $O137)</f>
        <v>36</v>
      </c>
      <c r="Q140" s="316"/>
      <c r="R140" s="2"/>
      <c r="S140" s="2"/>
      <c r="AK140" s="2"/>
      <c r="AL140" s="2"/>
      <c r="AM140" s="2"/>
      <c r="AN140" s="2"/>
      <c r="AO140" s="2"/>
      <c r="AP140" s="2"/>
      <c r="AQ140" s="2"/>
      <c r="AR140" s="2"/>
      <c r="AS140" s="2"/>
      <c r="AT140" s="2"/>
    </row>
    <row r="141">
      <c r="E141" s="341"/>
      <c r="F141" s="334" t="s">
        <v>56</v>
      </c>
      <c r="G141" s="335"/>
      <c r="H141" s="346" t="s">
        <v>281</v>
      </c>
      <c r="I141" s="346" t="s">
        <v>282</v>
      </c>
      <c r="J141" s="344" t="s">
        <v>104</v>
      </c>
      <c r="K141" s="344" t="s">
        <v>102</v>
      </c>
      <c r="L141" s="344" t="s">
        <v>207</v>
      </c>
      <c r="M141" s="344" t="s">
        <v>209</v>
      </c>
      <c r="N141" s="346" t="s">
        <v>283</v>
      </c>
      <c r="O141" s="473" t="s">
        <v>133</v>
      </c>
      <c r="P141" s="348"/>
      <c r="Q141" s="473" t="b">
        <v>0</v>
      </c>
      <c r="R141" s="2"/>
      <c r="S141" s="2"/>
      <c r="AK141" s="2"/>
      <c r="AL141" s="2"/>
      <c r="AM141" s="2"/>
      <c r="AN141" s="2"/>
      <c r="AO141" s="2"/>
      <c r="AP141" s="2"/>
      <c r="AQ141" s="2"/>
      <c r="AR141" s="2"/>
      <c r="AS141" s="2"/>
      <c r="AT141" s="2"/>
    </row>
    <row r="142">
      <c r="E142" s="341"/>
      <c r="F142" s="342"/>
      <c r="G142" s="343"/>
      <c r="H142" s="337" t="s">
        <v>285</v>
      </c>
      <c r="I142" s="349" t="s">
        <v>282</v>
      </c>
      <c r="J142" s="349">
        <f t="shared" ref="J142:M142" si="22">PARAMS(J141)</f>
        <v>4096</v>
      </c>
      <c r="K142" s="349">
        <f t="shared" si="22"/>
        <v>1</v>
      </c>
      <c r="L142" s="349">
        <f t="shared" si="22"/>
        <v>128</v>
      </c>
      <c r="M142" s="349">
        <f t="shared" si="22"/>
        <v>192</v>
      </c>
      <c r="N142" s="349" t="s">
        <v>283</v>
      </c>
      <c r="O142" s="350"/>
      <c r="P142" s="351">
        <f>SIZEOF_IN_MIB(J142:M142, $O141)</f>
        <v>192</v>
      </c>
      <c r="Q142" s="350"/>
      <c r="R142" s="2"/>
      <c r="S142" s="2"/>
      <c r="AK142" s="2"/>
      <c r="AL142" s="2"/>
      <c r="AM142" s="2"/>
      <c r="AN142" s="2"/>
      <c r="AO142" s="2"/>
      <c r="AP142" s="2"/>
      <c r="AQ142" s="2"/>
      <c r="AR142" s="2"/>
      <c r="AS142" s="2"/>
      <c r="AT142" s="2"/>
    </row>
    <row r="143">
      <c r="E143" s="341"/>
      <c r="F143" s="342"/>
      <c r="G143" s="343"/>
      <c r="H143" s="346" t="s">
        <v>287</v>
      </c>
      <c r="I143" s="346" t="s">
        <v>282</v>
      </c>
      <c r="J143" s="344" t="s">
        <v>196</v>
      </c>
      <c r="K143" s="344"/>
      <c r="L143" s="344"/>
      <c r="M143" s="346"/>
      <c r="N143" s="346" t="s">
        <v>283</v>
      </c>
      <c r="O143" s="347"/>
      <c r="P143" s="348"/>
      <c r="Q143" s="347"/>
      <c r="R143" s="2"/>
      <c r="S143" s="2"/>
      <c r="AK143" s="2"/>
      <c r="AL143" s="2"/>
      <c r="AM143" s="2"/>
      <c r="AN143" s="2"/>
      <c r="AO143" s="2"/>
      <c r="AP143" s="2"/>
      <c r="AQ143" s="2"/>
      <c r="AR143" s="2"/>
      <c r="AS143" s="2"/>
      <c r="AT143" s="2"/>
    </row>
    <row r="144">
      <c r="E144" s="341"/>
      <c r="F144" s="353"/>
      <c r="G144" s="354"/>
      <c r="H144" s="349" t="s">
        <v>289</v>
      </c>
      <c r="I144" s="349" t="s">
        <v>282</v>
      </c>
      <c r="J144" s="349">
        <f t="shared" ref="J144:M144" si="23">J142/SHARDING(J143)</f>
        <v>256</v>
      </c>
      <c r="K144" s="349">
        <f t="shared" si="23"/>
        <v>1</v>
      </c>
      <c r="L144" s="349">
        <f t="shared" si="23"/>
        <v>128</v>
      </c>
      <c r="M144" s="349">
        <f t="shared" si="23"/>
        <v>192</v>
      </c>
      <c r="N144" s="349" t="s">
        <v>283</v>
      </c>
      <c r="O144" s="316"/>
      <c r="P144" s="351">
        <f>SIZEOF_IN_MIB(J144:M144, $O141)</f>
        <v>12</v>
      </c>
      <c r="Q144" s="316"/>
      <c r="R144" s="2"/>
      <c r="S144" s="2"/>
      <c r="AK144" s="2"/>
      <c r="AL144" s="2"/>
      <c r="AM144" s="2"/>
      <c r="AN144" s="2"/>
      <c r="AO144" s="2"/>
      <c r="AP144" s="2"/>
      <c r="AQ144" s="2"/>
      <c r="AR144" s="2"/>
      <c r="AS144" s="2"/>
      <c r="AT144" s="2"/>
    </row>
    <row r="145">
      <c r="E145" s="341"/>
      <c r="F145" s="474" t="s">
        <v>335</v>
      </c>
      <c r="G145" s="459" t="s">
        <v>109</v>
      </c>
      <c r="H145" s="497"/>
      <c r="I145" s="498"/>
      <c r="J145" s="345"/>
      <c r="K145" s="345"/>
      <c r="L145" s="346"/>
      <c r="M145" s="346"/>
      <c r="N145" s="346"/>
      <c r="O145" s="345"/>
      <c r="P145" s="348"/>
      <c r="Q145" s="379"/>
      <c r="R145" s="2"/>
      <c r="S145" s="2"/>
      <c r="AK145" s="2"/>
      <c r="AL145" s="2"/>
      <c r="AM145" s="2"/>
      <c r="AN145" s="2"/>
      <c r="AO145" s="2"/>
      <c r="AP145" s="2"/>
      <c r="AQ145" s="2"/>
      <c r="AR145" s="2"/>
      <c r="AS145" s="2"/>
      <c r="AT145" s="2"/>
    </row>
    <row r="146">
      <c r="E146" s="341"/>
      <c r="F146" s="352"/>
      <c r="G146" s="459"/>
      <c r="H146" s="349"/>
      <c r="I146" s="492"/>
      <c r="J146" s="336"/>
      <c r="K146" s="336"/>
      <c r="L146" s="349"/>
      <c r="M146" s="349"/>
      <c r="N146" s="349"/>
      <c r="O146" s="336"/>
      <c r="P146" s="351"/>
      <c r="Q146" s="298"/>
      <c r="R146" s="2"/>
      <c r="S146" s="2"/>
      <c r="AK146" s="2"/>
      <c r="AL146" s="2"/>
      <c r="AM146" s="2"/>
      <c r="AN146" s="2"/>
      <c r="AO146" s="2"/>
      <c r="AP146" s="2"/>
      <c r="AQ146" s="2"/>
      <c r="AR146" s="2"/>
      <c r="AS146" s="2"/>
      <c r="AT146" s="2"/>
    </row>
    <row r="147">
      <c r="E147" s="341"/>
      <c r="F147" s="458" t="s">
        <v>327</v>
      </c>
      <c r="G147" s="459" t="s">
        <v>328</v>
      </c>
      <c r="H147" s="346" t="str">
        <f>VLOOKUP(O133&amp;","&amp;O137,$T$2:$W$11,4, FALSE)</f>
        <v>fp8</v>
      </c>
      <c r="I147" s="493"/>
      <c r="J147" s="345"/>
      <c r="K147" s="345"/>
      <c r="L147" s="346"/>
      <c r="M147" s="346"/>
      <c r="N147" s="346"/>
      <c r="O147" s="345"/>
      <c r="P147" s="348"/>
      <c r="Q147" s="379"/>
      <c r="R147" s="2"/>
      <c r="S147" s="2"/>
      <c r="AK147" s="2"/>
      <c r="AL147" s="2"/>
      <c r="AM147" s="2"/>
      <c r="AN147" s="2"/>
      <c r="AO147" s="2"/>
      <c r="AP147" s="2"/>
      <c r="AQ147" s="2"/>
      <c r="AR147" s="2"/>
      <c r="AS147" s="2"/>
      <c r="AT147" s="2"/>
    </row>
    <row r="148">
      <c r="E148" s="341"/>
      <c r="F148" s="341"/>
      <c r="G148" s="455" t="s">
        <v>341</v>
      </c>
      <c r="H148" s="494" t="str">
        <f>CALCULATE_FLOPS(K136:M136,K140:M140,K140,1,H147)</f>
        <v>#N/A</v>
      </c>
      <c r="I148" s="492"/>
      <c r="J148" s="336"/>
      <c r="K148" s="336"/>
      <c r="L148" s="349"/>
      <c r="M148" s="349"/>
      <c r="N148" s="349"/>
      <c r="O148" s="336"/>
      <c r="P148" s="351"/>
      <c r="Q148" s="298"/>
      <c r="R148" s="2"/>
      <c r="S148" s="2"/>
      <c r="AK148" s="2"/>
      <c r="AL148" s="2"/>
      <c r="AM148" s="2"/>
      <c r="AN148" s="2"/>
      <c r="AO148" s="2"/>
      <c r="AP148" s="2"/>
      <c r="AQ148" s="2"/>
      <c r="AR148" s="2"/>
      <c r="AS148" s="2"/>
      <c r="AT148" s="2"/>
    </row>
    <row r="149">
      <c r="A149" s="207"/>
      <c r="B149" s="2"/>
      <c r="C149" s="2"/>
      <c r="D149" s="2"/>
      <c r="E149" s="341"/>
      <c r="F149" s="352"/>
      <c r="G149" s="462" t="s">
        <v>330</v>
      </c>
      <c r="H149" s="495" t="str">
        <f>COMPUTE_TIME_MS(H148, H147)</f>
        <v>#N/A</v>
      </c>
      <c r="I149" s="464"/>
      <c r="J149" s="465"/>
      <c r="K149" s="465"/>
      <c r="L149" s="466"/>
      <c r="M149" s="466"/>
      <c r="N149" s="466"/>
      <c r="O149" s="465"/>
      <c r="P149" s="467"/>
      <c r="Q149" s="379"/>
      <c r="R149" s="2"/>
      <c r="S149" s="2"/>
      <c r="AK149" s="2"/>
      <c r="AL149" s="2"/>
      <c r="AM149" s="2"/>
      <c r="AN149" s="2"/>
      <c r="AO149" s="2"/>
      <c r="AP149" s="2"/>
      <c r="AQ149" s="2"/>
      <c r="AR149" s="2"/>
      <c r="AS149" s="2"/>
      <c r="AT149" s="2"/>
    </row>
    <row r="150">
      <c r="A150" s="207"/>
      <c r="B150" s="2"/>
      <c r="C150" s="2"/>
      <c r="D150" s="2"/>
      <c r="E150" s="341"/>
      <c r="F150" s="458" t="s">
        <v>331</v>
      </c>
      <c r="G150" s="455" t="s">
        <v>332</v>
      </c>
      <c r="H150" s="377">
        <f>IF(Q133,0,P136)+IF(Q137,0,P140)+IF(Q141,0,P144)</f>
        <v>48.375</v>
      </c>
      <c r="I150" s="336"/>
      <c r="J150" s="336"/>
      <c r="K150" s="336"/>
      <c r="L150" s="349"/>
      <c r="M150" s="349"/>
      <c r="N150" s="349"/>
      <c r="O150" s="336"/>
      <c r="P150" s="351"/>
      <c r="Q150" s="298"/>
      <c r="R150" s="2"/>
      <c r="S150" s="2"/>
      <c r="AK150" s="2"/>
      <c r="AL150" s="2"/>
      <c r="AM150" s="2"/>
      <c r="AN150" s="2"/>
      <c r="AO150" s="2"/>
      <c r="AP150" s="2"/>
      <c r="AQ150" s="2"/>
      <c r="AR150" s="2"/>
      <c r="AS150" s="2"/>
      <c r="AT150" s="2"/>
    </row>
    <row r="151">
      <c r="A151" s="2"/>
      <c r="B151" s="2"/>
      <c r="C151" s="2"/>
      <c r="D151" s="2"/>
      <c r="E151" s="352"/>
      <c r="F151" s="352"/>
      <c r="G151" s="469" t="s">
        <v>333</v>
      </c>
      <c r="H151" s="496">
        <f>HBM_TIME_MS(H150)</f>
        <v>0.01614532158</v>
      </c>
      <c r="I151" s="465"/>
      <c r="J151" s="465"/>
      <c r="K151" s="465"/>
      <c r="L151" s="466"/>
      <c r="M151" s="466"/>
      <c r="N151" s="466"/>
      <c r="O151" s="465"/>
      <c r="P151" s="467"/>
      <c r="Q151" s="379"/>
      <c r="R151" s="2"/>
      <c r="S151" s="2"/>
      <c r="AK151" s="2"/>
      <c r="AL151" s="2"/>
      <c r="AM151" s="2"/>
      <c r="AN151" s="2"/>
      <c r="AO151" s="2"/>
      <c r="AP151" s="2"/>
      <c r="AQ151" s="2"/>
      <c r="AR151" s="2"/>
      <c r="AS151" s="2"/>
      <c r="AT151" s="2"/>
    </row>
    <row r="152">
      <c r="A152" s="161"/>
      <c r="B152" s="161"/>
      <c r="C152" s="161"/>
      <c r="D152" s="161"/>
      <c r="E152" s="333" t="s">
        <v>342</v>
      </c>
      <c r="F152" s="357" t="s">
        <v>292</v>
      </c>
      <c r="G152" s="335"/>
      <c r="H152" s="364" t="s">
        <v>281</v>
      </c>
      <c r="I152" s="364" t="s">
        <v>282</v>
      </c>
      <c r="J152" s="273" t="s">
        <v>104</v>
      </c>
      <c r="K152" s="273" t="s">
        <v>102</v>
      </c>
      <c r="L152" s="273" t="s">
        <v>207</v>
      </c>
      <c r="M152" s="472" t="s">
        <v>201</v>
      </c>
      <c r="N152" s="364" t="s">
        <v>283</v>
      </c>
      <c r="O152" s="365" t="s">
        <v>125</v>
      </c>
      <c r="P152" s="366"/>
      <c r="Q152" s="365" t="b">
        <v>0</v>
      </c>
      <c r="R152" s="2"/>
      <c r="S152" s="2"/>
      <c r="AK152" s="2"/>
      <c r="AL152" s="2"/>
      <c r="AM152" s="2"/>
      <c r="AN152" s="2"/>
      <c r="AO152" s="2"/>
      <c r="AP152" s="2"/>
      <c r="AQ152" s="2"/>
      <c r="AR152" s="2"/>
      <c r="AS152" s="2"/>
      <c r="AT152" s="2"/>
    </row>
    <row r="153">
      <c r="A153" s="161"/>
      <c r="B153" s="161"/>
      <c r="C153" s="161"/>
      <c r="D153" s="161"/>
      <c r="E153" s="341"/>
      <c r="F153" s="342"/>
      <c r="G153" s="343"/>
      <c r="H153" s="273" t="s">
        <v>285</v>
      </c>
      <c r="I153" s="364" t="s">
        <v>282</v>
      </c>
      <c r="J153" s="363">
        <f t="shared" ref="J153:M153" si="24">PARAMS(J152)</f>
        <v>4096</v>
      </c>
      <c r="K153" s="364">
        <f t="shared" si="24"/>
        <v>1</v>
      </c>
      <c r="L153" s="364">
        <f t="shared" si="24"/>
        <v>128</v>
      </c>
      <c r="M153" s="364">
        <f t="shared" si="24"/>
        <v>128</v>
      </c>
      <c r="N153" s="364" t="s">
        <v>283</v>
      </c>
      <c r="O153" s="341"/>
      <c r="P153" s="366">
        <f>SIZEOF_IN_MIB(J153:M153, $O152)</f>
        <v>64</v>
      </c>
      <c r="Q153" s="341"/>
      <c r="R153" s="2"/>
      <c r="S153" s="2"/>
      <c r="AK153" s="2"/>
      <c r="AL153" s="2"/>
      <c r="AM153" s="2"/>
      <c r="AN153" s="2"/>
      <c r="AO153" s="2"/>
      <c r="AP153" s="2"/>
      <c r="AQ153" s="2"/>
      <c r="AR153" s="2"/>
      <c r="AS153" s="2"/>
      <c r="AT153" s="2"/>
    </row>
    <row r="154">
      <c r="A154" s="161"/>
      <c r="B154" s="161"/>
      <c r="C154" s="161"/>
      <c r="D154" s="161"/>
      <c r="E154" s="341"/>
      <c r="F154" s="342"/>
      <c r="G154" s="343"/>
      <c r="H154" s="363" t="s">
        <v>287</v>
      </c>
      <c r="I154" s="363" t="s">
        <v>282</v>
      </c>
      <c r="J154" s="273" t="s">
        <v>196</v>
      </c>
      <c r="K154" s="273"/>
      <c r="L154" s="273"/>
      <c r="M154" s="363"/>
      <c r="N154" s="363" t="s">
        <v>283</v>
      </c>
      <c r="O154" s="341"/>
      <c r="P154" s="366"/>
      <c r="Q154" s="341"/>
      <c r="R154" s="2"/>
      <c r="S154" s="2"/>
      <c r="AG154" s="2"/>
      <c r="AH154" s="2"/>
      <c r="AI154" s="2"/>
      <c r="AJ154" s="2"/>
      <c r="AK154" s="2"/>
      <c r="AL154" s="2"/>
      <c r="AM154" s="2"/>
      <c r="AN154" s="2"/>
      <c r="AO154" s="2"/>
      <c r="AP154" s="2"/>
      <c r="AQ154" s="2"/>
      <c r="AR154" s="2"/>
      <c r="AS154" s="2"/>
      <c r="AT154" s="2"/>
    </row>
    <row r="155">
      <c r="A155" s="161"/>
      <c r="B155" s="161"/>
      <c r="C155" s="161"/>
      <c r="D155" s="161"/>
      <c r="E155" s="341"/>
      <c r="F155" s="353"/>
      <c r="G155" s="354"/>
      <c r="H155" s="273" t="s">
        <v>289</v>
      </c>
      <c r="I155" s="363" t="s">
        <v>282</v>
      </c>
      <c r="J155" s="363">
        <f t="shared" ref="J155:M155" si="25">J153/SHARDING(J154)</f>
        <v>256</v>
      </c>
      <c r="K155" s="363">
        <f t="shared" si="25"/>
        <v>1</v>
      </c>
      <c r="L155" s="363">
        <f t="shared" si="25"/>
        <v>128</v>
      </c>
      <c r="M155" s="363">
        <f t="shared" si="25"/>
        <v>128</v>
      </c>
      <c r="N155" s="363" t="s">
        <v>283</v>
      </c>
      <c r="O155" s="352"/>
      <c r="P155" s="366">
        <f>SIZEOF_IN_MIB(J155:M155, $O152)</f>
        <v>4</v>
      </c>
      <c r="Q155" s="352"/>
      <c r="R155" s="2"/>
      <c r="S155" s="2"/>
      <c r="AG155" s="2"/>
      <c r="AH155" s="2"/>
      <c r="AI155" s="2"/>
      <c r="AJ155" s="2"/>
      <c r="AK155" s="2"/>
      <c r="AL155" s="2"/>
      <c r="AM155" s="2"/>
      <c r="AN155" s="2"/>
      <c r="AO155" s="2"/>
      <c r="AP155" s="2"/>
      <c r="AQ155" s="2"/>
      <c r="AR155" s="2"/>
      <c r="AS155" s="2"/>
      <c r="AT155" s="2"/>
    </row>
    <row r="156">
      <c r="A156" s="161"/>
      <c r="B156" s="161"/>
      <c r="C156" s="161"/>
      <c r="D156" s="161"/>
      <c r="E156" s="341"/>
      <c r="F156" s="334" t="s">
        <v>296</v>
      </c>
      <c r="G156" s="335"/>
      <c r="H156" s="363" t="s">
        <v>281</v>
      </c>
      <c r="I156" s="363" t="s">
        <v>282</v>
      </c>
      <c r="J156" s="364"/>
      <c r="K156" s="273" t="s">
        <v>207</v>
      </c>
      <c r="L156" s="472" t="s">
        <v>201</v>
      </c>
      <c r="M156" s="273" t="s">
        <v>198</v>
      </c>
      <c r="N156" s="363" t="s">
        <v>283</v>
      </c>
      <c r="O156" s="365" t="s">
        <v>125</v>
      </c>
      <c r="P156" s="366"/>
      <c r="Q156" s="365" t="b">
        <v>0</v>
      </c>
      <c r="R156" s="2"/>
      <c r="S156" s="2"/>
      <c r="AG156" s="2"/>
      <c r="AH156" s="2"/>
      <c r="AI156" s="2"/>
      <c r="AJ156" s="2"/>
      <c r="AK156" s="2"/>
      <c r="AL156" s="2"/>
      <c r="AM156" s="2"/>
      <c r="AN156" s="2"/>
      <c r="AO156" s="2"/>
      <c r="AP156" s="2"/>
      <c r="AQ156" s="2"/>
      <c r="AR156" s="2"/>
      <c r="AS156" s="2"/>
      <c r="AT156" s="2"/>
    </row>
    <row r="157">
      <c r="A157" s="161"/>
      <c r="B157" s="161"/>
      <c r="C157" s="161"/>
      <c r="D157" s="161"/>
      <c r="E157" s="341"/>
      <c r="F157" s="342"/>
      <c r="G157" s="343"/>
      <c r="H157" s="273" t="s">
        <v>285</v>
      </c>
      <c r="I157" s="363" t="s">
        <v>282</v>
      </c>
      <c r="J157" s="364"/>
      <c r="K157" s="363">
        <f t="shared" ref="K157:M157" si="26">PARAMS(K156)</f>
        <v>128</v>
      </c>
      <c r="L157" s="363">
        <f t="shared" si="26"/>
        <v>128</v>
      </c>
      <c r="M157" s="363">
        <f t="shared" si="26"/>
        <v>512</v>
      </c>
      <c r="N157" s="363" t="s">
        <v>283</v>
      </c>
      <c r="O157" s="341"/>
      <c r="P157" s="366">
        <f>SIZEOF_IN_MIB(J157:M157, $O156)</f>
        <v>8</v>
      </c>
      <c r="Q157" s="341"/>
      <c r="R157" s="2"/>
      <c r="S157" s="2"/>
      <c r="AG157" s="2"/>
      <c r="AH157" s="2"/>
      <c r="AI157" s="2"/>
      <c r="AJ157" s="2"/>
      <c r="AK157" s="2"/>
      <c r="AL157" s="2"/>
      <c r="AM157" s="2"/>
      <c r="AN157" s="2"/>
      <c r="AO157" s="2"/>
      <c r="AP157" s="2"/>
      <c r="AQ157" s="2"/>
      <c r="AR157" s="2"/>
      <c r="AS157" s="2"/>
      <c r="AT157" s="2"/>
    </row>
    <row r="158">
      <c r="A158" s="161"/>
      <c r="B158" s="161"/>
      <c r="C158" s="161"/>
      <c r="D158" s="161"/>
      <c r="E158" s="341"/>
      <c r="F158" s="342"/>
      <c r="G158" s="343"/>
      <c r="H158" s="363" t="s">
        <v>287</v>
      </c>
      <c r="I158" s="363" t="s">
        <v>282</v>
      </c>
      <c r="J158" s="364"/>
      <c r="K158" s="364"/>
      <c r="L158" s="363"/>
      <c r="M158" s="363"/>
      <c r="N158" s="363" t="s">
        <v>283</v>
      </c>
      <c r="O158" s="341"/>
      <c r="P158" s="366"/>
      <c r="Q158" s="341"/>
      <c r="R158" s="2"/>
      <c r="S158" s="2"/>
      <c r="AG158" s="2"/>
      <c r="AH158" s="2"/>
      <c r="AI158" s="2"/>
      <c r="AJ158" s="2"/>
      <c r="AK158" s="2"/>
      <c r="AL158" s="2"/>
      <c r="AM158" s="2"/>
      <c r="AN158" s="2"/>
      <c r="AO158" s="2"/>
      <c r="AP158" s="2"/>
      <c r="AQ158" s="2"/>
      <c r="AR158" s="2"/>
      <c r="AS158" s="2"/>
      <c r="AT158" s="2"/>
    </row>
    <row r="159">
      <c r="A159" s="161"/>
      <c r="B159" s="161"/>
      <c r="C159" s="161"/>
      <c r="D159" s="161"/>
      <c r="E159" s="341"/>
      <c r="F159" s="353"/>
      <c r="G159" s="354"/>
      <c r="H159" s="349" t="s">
        <v>289</v>
      </c>
      <c r="I159" s="349" t="s">
        <v>282</v>
      </c>
      <c r="J159" s="336"/>
      <c r="K159" s="349">
        <f t="shared" ref="K159:M159" si="27">K157/SHARDING(K158)</f>
        <v>128</v>
      </c>
      <c r="L159" s="349">
        <f t="shared" si="27"/>
        <v>128</v>
      </c>
      <c r="M159" s="349">
        <f t="shared" si="27"/>
        <v>512</v>
      </c>
      <c r="N159" s="349" t="s">
        <v>283</v>
      </c>
      <c r="O159" s="316"/>
      <c r="P159" s="351">
        <f>SIZEOF_IN_MIB(J159:M159, $O156)</f>
        <v>8</v>
      </c>
      <c r="Q159" s="316"/>
      <c r="R159" s="2"/>
      <c r="S159" s="2"/>
      <c r="T159" s="284"/>
      <c r="U159" s="284"/>
      <c r="V159" s="284"/>
      <c r="W159" s="284"/>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61"/>
      <c r="B160" s="161"/>
      <c r="C160" s="161"/>
      <c r="D160" s="161"/>
      <c r="E160" s="341"/>
      <c r="F160" s="334" t="s">
        <v>56</v>
      </c>
      <c r="G160" s="335"/>
      <c r="H160" s="346" t="s">
        <v>281</v>
      </c>
      <c r="I160" s="346" t="s">
        <v>282</v>
      </c>
      <c r="J160" s="344" t="s">
        <v>104</v>
      </c>
      <c r="K160" s="344" t="s">
        <v>102</v>
      </c>
      <c r="L160" s="344" t="s">
        <v>207</v>
      </c>
      <c r="M160" s="344" t="s">
        <v>198</v>
      </c>
      <c r="N160" s="346" t="s">
        <v>283</v>
      </c>
      <c r="O160" s="473" t="s">
        <v>133</v>
      </c>
      <c r="P160" s="348"/>
      <c r="Q160" s="473" t="b">
        <v>0</v>
      </c>
      <c r="R160" s="2"/>
      <c r="S160" s="2"/>
      <c r="T160" s="284"/>
      <c r="U160" s="284"/>
      <c r="V160" s="284"/>
      <c r="W160" s="284"/>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61"/>
      <c r="B161" s="161"/>
      <c r="C161" s="161"/>
      <c r="D161" s="161"/>
      <c r="E161" s="341"/>
      <c r="F161" s="342"/>
      <c r="G161" s="343"/>
      <c r="H161" s="337" t="s">
        <v>285</v>
      </c>
      <c r="I161" s="349" t="s">
        <v>282</v>
      </c>
      <c r="J161" s="349">
        <f t="shared" ref="J161:M161" si="28">PARAMS(J160)</f>
        <v>4096</v>
      </c>
      <c r="K161" s="349">
        <f t="shared" si="28"/>
        <v>1</v>
      </c>
      <c r="L161" s="349">
        <f t="shared" si="28"/>
        <v>128</v>
      </c>
      <c r="M161" s="349">
        <f t="shared" si="28"/>
        <v>512</v>
      </c>
      <c r="N161" s="349" t="s">
        <v>283</v>
      </c>
      <c r="O161" s="350"/>
      <c r="P161" s="351">
        <f>SIZEOF_IN_MIB(J161:M161, $O160)</f>
        <v>512</v>
      </c>
      <c r="Q161" s="350"/>
      <c r="R161" s="2"/>
      <c r="S161" s="2"/>
      <c r="T161" s="284"/>
      <c r="U161" s="284"/>
      <c r="V161" s="284"/>
      <c r="W161" s="284"/>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161"/>
      <c r="B162" s="161"/>
      <c r="C162" s="161"/>
      <c r="D162" s="161"/>
      <c r="E162" s="341"/>
      <c r="F162" s="342"/>
      <c r="G162" s="343"/>
      <c r="H162" s="346" t="s">
        <v>287</v>
      </c>
      <c r="I162" s="346" t="s">
        <v>282</v>
      </c>
      <c r="J162" s="344" t="s">
        <v>196</v>
      </c>
      <c r="K162" s="344"/>
      <c r="L162" s="344"/>
      <c r="M162" s="346"/>
      <c r="N162" s="346" t="s">
        <v>283</v>
      </c>
      <c r="O162" s="347"/>
      <c r="P162" s="348"/>
      <c r="Q162" s="347"/>
      <c r="R162" s="2"/>
      <c r="S162" s="2"/>
      <c r="T162" s="284"/>
      <c r="U162" s="284"/>
      <c r="V162" s="284"/>
      <c r="W162" s="284"/>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161"/>
      <c r="B163" s="161"/>
      <c r="C163" s="161"/>
      <c r="D163" s="161"/>
      <c r="E163" s="341"/>
      <c r="F163" s="353"/>
      <c r="G163" s="354"/>
      <c r="H163" s="349" t="s">
        <v>289</v>
      </c>
      <c r="I163" s="349" t="s">
        <v>282</v>
      </c>
      <c r="J163" s="349">
        <f t="shared" ref="J163:M163" si="29">J161/SHARDING(J162)</f>
        <v>256</v>
      </c>
      <c r="K163" s="349">
        <f t="shared" si="29"/>
        <v>1</v>
      </c>
      <c r="L163" s="349">
        <f t="shared" si="29"/>
        <v>128</v>
      </c>
      <c r="M163" s="349">
        <f t="shared" si="29"/>
        <v>512</v>
      </c>
      <c r="N163" s="349" t="s">
        <v>283</v>
      </c>
      <c r="O163" s="316"/>
      <c r="P163" s="351">
        <f>SIZEOF_IN_MIB(J163:M163, $O160)</f>
        <v>32</v>
      </c>
      <c r="Q163" s="316"/>
      <c r="R163" s="2"/>
      <c r="S163" s="2"/>
      <c r="T163" s="284"/>
      <c r="U163" s="284"/>
      <c r="V163" s="284"/>
      <c r="W163" s="284"/>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161"/>
      <c r="B164" s="161"/>
      <c r="C164" s="161"/>
      <c r="D164" s="161"/>
      <c r="E164" s="341"/>
      <c r="F164" s="474" t="s">
        <v>335</v>
      </c>
      <c r="G164" s="459" t="s">
        <v>109</v>
      </c>
      <c r="H164" s="497"/>
      <c r="I164" s="498"/>
      <c r="J164" s="345"/>
      <c r="K164" s="345"/>
      <c r="L164" s="346"/>
      <c r="M164" s="346"/>
      <c r="N164" s="346"/>
      <c r="O164" s="345"/>
      <c r="P164" s="348"/>
      <c r="Q164" s="379"/>
      <c r="T164" s="4"/>
      <c r="U164" s="4"/>
      <c r="V164" s="4"/>
      <c r="W164" s="4"/>
    </row>
    <row r="165">
      <c r="A165" s="161"/>
      <c r="B165" s="2"/>
      <c r="C165" s="2"/>
      <c r="D165" s="2"/>
      <c r="E165" s="341"/>
      <c r="F165" s="352"/>
      <c r="G165" s="459"/>
      <c r="H165" s="349"/>
      <c r="I165" s="492"/>
      <c r="J165" s="336"/>
      <c r="K165" s="336"/>
      <c r="L165" s="349"/>
      <c r="M165" s="349"/>
      <c r="N165" s="349"/>
      <c r="O165" s="336"/>
      <c r="P165" s="351"/>
      <c r="Q165" s="298"/>
      <c r="T165" s="4"/>
      <c r="U165" s="4"/>
      <c r="V165" s="4"/>
      <c r="W165" s="4"/>
    </row>
    <row r="166">
      <c r="A166" s="2"/>
      <c r="B166" s="2"/>
      <c r="C166" s="2"/>
      <c r="D166" s="2"/>
      <c r="E166" s="341"/>
      <c r="F166" s="458" t="s">
        <v>327</v>
      </c>
      <c r="G166" s="459" t="s">
        <v>328</v>
      </c>
      <c r="H166" s="346" t="str">
        <f>VLOOKUP(O152&amp;","&amp;O156,$T$2:$W$11,4, FALSE)</f>
        <v>fp8</v>
      </c>
      <c r="I166" s="493"/>
      <c r="J166" s="345"/>
      <c r="K166" s="345"/>
      <c r="L166" s="346"/>
      <c r="M166" s="346"/>
      <c r="N166" s="346"/>
      <c r="O166" s="345"/>
      <c r="P166" s="348"/>
      <c r="Q166" s="379"/>
      <c r="T166" s="4"/>
      <c r="U166" s="4"/>
      <c r="V166" s="4"/>
      <c r="W166" s="4"/>
    </row>
    <row r="167">
      <c r="A167" s="161"/>
      <c r="B167" s="161"/>
      <c r="C167" s="161"/>
      <c r="D167" s="161"/>
      <c r="E167" s="341"/>
      <c r="F167" s="341"/>
      <c r="G167" s="455" t="s">
        <v>341</v>
      </c>
      <c r="H167" s="494" t="str">
        <f>CALCULATE_FLOPS(J155:M155,J159:M159,L159,K159,H166)</f>
        <v>#N/A</v>
      </c>
      <c r="I167" s="492"/>
      <c r="J167" s="336"/>
      <c r="K167" s="336"/>
      <c r="L167" s="349"/>
      <c r="M167" s="349"/>
      <c r="N167" s="349"/>
      <c r="O167" s="336"/>
      <c r="P167" s="351"/>
      <c r="Q167" s="298"/>
      <c r="T167" s="4"/>
      <c r="U167" s="4"/>
      <c r="V167" s="4"/>
      <c r="W167" s="4"/>
    </row>
    <row r="168">
      <c r="A168" s="161"/>
      <c r="B168" s="161"/>
      <c r="C168" s="161"/>
      <c r="D168" s="161"/>
      <c r="E168" s="341"/>
      <c r="F168" s="352"/>
      <c r="G168" s="462" t="s">
        <v>330</v>
      </c>
      <c r="H168" s="463" t="str">
        <f>COMPUTE_TIME_MS(H167, H166)</f>
        <v>#N/A</v>
      </c>
      <c r="I168" s="464"/>
      <c r="J168" s="465"/>
      <c r="K168" s="465"/>
      <c r="L168" s="466"/>
      <c r="M168" s="466"/>
      <c r="N168" s="466"/>
      <c r="O168" s="465"/>
      <c r="P168" s="467"/>
      <c r="Q168" s="379"/>
      <c r="T168" s="4"/>
      <c r="U168" s="4"/>
      <c r="V168" s="4"/>
      <c r="W168" s="4"/>
    </row>
    <row r="169">
      <c r="A169" s="161"/>
      <c r="B169" s="161"/>
      <c r="C169" s="161"/>
      <c r="D169" s="161"/>
      <c r="E169" s="341"/>
      <c r="F169" s="458" t="s">
        <v>331</v>
      </c>
      <c r="G169" s="455" t="s">
        <v>332</v>
      </c>
      <c r="H169" s="377">
        <f>IF(Q152,0,P155)+IF(Q156,0,P159)+IF(Q160,0,P163)</f>
        <v>44</v>
      </c>
      <c r="I169" s="336"/>
      <c r="J169" s="336"/>
      <c r="K169" s="336"/>
      <c r="L169" s="349"/>
      <c r="M169" s="349"/>
      <c r="N169" s="349"/>
      <c r="O169" s="336"/>
      <c r="P169" s="351"/>
      <c r="Q169" s="298"/>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52"/>
      <c r="F170" s="352"/>
      <c r="G170" s="469" t="s">
        <v>333</v>
      </c>
      <c r="H170" s="496">
        <f>HBM_TIME_MS(H169)</f>
        <v>0.01468515038</v>
      </c>
      <c r="I170" s="465"/>
      <c r="J170" s="465"/>
      <c r="K170" s="465"/>
      <c r="L170" s="466"/>
      <c r="M170" s="466"/>
      <c r="N170" s="466"/>
      <c r="O170" s="465"/>
      <c r="P170" s="467"/>
      <c r="Q170" s="379"/>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33" t="s">
        <v>343</v>
      </c>
      <c r="F171" s="357" t="s">
        <v>292</v>
      </c>
      <c r="G171" s="335"/>
      <c r="H171" s="336" t="s">
        <v>281</v>
      </c>
      <c r="I171" s="336" t="s">
        <v>282</v>
      </c>
      <c r="J171" s="337"/>
      <c r="K171" s="337" t="s">
        <v>104</v>
      </c>
      <c r="L171" s="337" t="s">
        <v>102</v>
      </c>
      <c r="M171" s="499" t="s">
        <v>178</v>
      </c>
      <c r="N171" s="336" t="s">
        <v>283</v>
      </c>
      <c r="O171" s="338" t="s">
        <v>125</v>
      </c>
      <c r="P171" s="351"/>
      <c r="Q171" s="338" t="b">
        <v>0</v>
      </c>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42"/>
      <c r="G172" s="343"/>
      <c r="H172" s="273" t="s">
        <v>285</v>
      </c>
      <c r="I172" s="364" t="s">
        <v>282</v>
      </c>
      <c r="J172" s="363"/>
      <c r="K172" s="363">
        <f t="shared" ref="K172:M172" si="30">PARAMS(K171)</f>
        <v>4096</v>
      </c>
      <c r="L172" s="364">
        <f t="shared" si="30"/>
        <v>1</v>
      </c>
      <c r="M172" s="364">
        <f t="shared" si="30"/>
        <v>7168</v>
      </c>
      <c r="N172" s="364" t="s">
        <v>283</v>
      </c>
      <c r="O172" s="341"/>
      <c r="P172" s="366">
        <f>SIZEOF_IN_MIB(J172:M172, $O171)</f>
        <v>28</v>
      </c>
      <c r="Q172" s="341"/>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342"/>
      <c r="G173" s="343"/>
      <c r="H173" s="363" t="s">
        <v>287</v>
      </c>
      <c r="I173" s="363" t="s">
        <v>282</v>
      </c>
      <c r="J173" s="364"/>
      <c r="K173" s="273" t="s">
        <v>196</v>
      </c>
      <c r="L173" s="273"/>
      <c r="M173" s="363"/>
      <c r="N173" s="363" t="s">
        <v>283</v>
      </c>
      <c r="O173" s="341"/>
      <c r="P173" s="366"/>
      <c r="Q173" s="341"/>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61"/>
      <c r="B174" s="161"/>
      <c r="C174" s="161"/>
      <c r="D174" s="161"/>
      <c r="E174" s="341"/>
      <c r="F174" s="353"/>
      <c r="G174" s="354"/>
      <c r="H174" s="273" t="s">
        <v>289</v>
      </c>
      <c r="I174" s="363" t="s">
        <v>282</v>
      </c>
      <c r="J174" s="364"/>
      <c r="K174" s="363">
        <f t="shared" ref="K174:M174" si="31">K172/SHARDING(K173)</f>
        <v>256</v>
      </c>
      <c r="L174" s="363">
        <f t="shared" si="31"/>
        <v>1</v>
      </c>
      <c r="M174" s="363">
        <f t="shared" si="31"/>
        <v>7168</v>
      </c>
      <c r="N174" s="363" t="s">
        <v>283</v>
      </c>
      <c r="O174" s="352"/>
      <c r="P174" s="366">
        <f>SIZEOF_IN_MIB(J174:M174, $O171)</f>
        <v>1.75</v>
      </c>
      <c r="Q174" s="35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161"/>
      <c r="B175" s="161"/>
      <c r="C175" s="161"/>
      <c r="D175" s="161"/>
      <c r="E175" s="341"/>
      <c r="F175" s="334" t="s">
        <v>296</v>
      </c>
      <c r="G175" s="335"/>
      <c r="H175" s="363" t="s">
        <v>281</v>
      </c>
      <c r="I175" s="363" t="s">
        <v>282</v>
      </c>
      <c r="J175" s="364"/>
      <c r="K175" s="273"/>
      <c r="L175" s="472" t="s">
        <v>178</v>
      </c>
      <c r="M175" s="273" t="s">
        <v>210</v>
      </c>
      <c r="N175" s="363" t="s">
        <v>283</v>
      </c>
      <c r="O175" s="365" t="s">
        <v>125</v>
      </c>
      <c r="P175" s="366"/>
      <c r="Q175" s="365" t="b">
        <v>0</v>
      </c>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161"/>
      <c r="B176" s="161"/>
      <c r="C176" s="161"/>
      <c r="D176" s="161"/>
      <c r="E176" s="341"/>
      <c r="F176" s="342"/>
      <c r="G176" s="343"/>
      <c r="H176" s="273" t="s">
        <v>285</v>
      </c>
      <c r="I176" s="363" t="s">
        <v>282</v>
      </c>
      <c r="J176" s="364"/>
      <c r="K176" s="363"/>
      <c r="L176" s="363">
        <f t="shared" ref="L176:M176" si="32">PARAMS(L175)</f>
        <v>7168</v>
      </c>
      <c r="M176" s="363">
        <f t="shared" si="32"/>
        <v>576</v>
      </c>
      <c r="N176" s="363" t="s">
        <v>283</v>
      </c>
      <c r="O176" s="341"/>
      <c r="P176" s="366">
        <f>SIZEOF_IN_MIB(J176:M176, $O175)</f>
        <v>3.9375</v>
      </c>
      <c r="Q176" s="341"/>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42"/>
      <c r="G177" s="343"/>
      <c r="H177" s="363" t="s">
        <v>287</v>
      </c>
      <c r="I177" s="363" t="s">
        <v>282</v>
      </c>
      <c r="J177" s="364"/>
      <c r="K177" s="364"/>
      <c r="L177" s="363"/>
      <c r="M177" s="363"/>
      <c r="N177" s="363" t="s">
        <v>283</v>
      </c>
      <c r="O177" s="341"/>
      <c r="P177" s="366"/>
      <c r="Q177" s="341"/>
    </row>
    <row r="178">
      <c r="A178" s="161"/>
      <c r="B178" s="161"/>
      <c r="C178" s="161"/>
      <c r="D178" s="161"/>
      <c r="E178" s="341"/>
      <c r="F178" s="353"/>
      <c r="G178" s="354"/>
      <c r="H178" s="349" t="s">
        <v>289</v>
      </c>
      <c r="I178" s="349" t="s">
        <v>282</v>
      </c>
      <c r="J178" s="336"/>
      <c r="K178" s="349"/>
      <c r="L178" s="349">
        <f t="shared" ref="L178:M178" si="33">L176/SHARDING(L177)</f>
        <v>7168</v>
      </c>
      <c r="M178" s="349">
        <f t="shared" si="33"/>
        <v>576</v>
      </c>
      <c r="N178" s="349" t="s">
        <v>283</v>
      </c>
      <c r="O178" s="316"/>
      <c r="P178" s="351">
        <f>SIZEOF_IN_MIB(J178:M178, $O175)</f>
        <v>3.9375</v>
      </c>
      <c r="Q178" s="316"/>
    </row>
    <row r="179">
      <c r="A179" s="161"/>
      <c r="B179" s="161"/>
      <c r="C179" s="161"/>
      <c r="D179" s="161"/>
      <c r="E179" s="341"/>
      <c r="F179" s="334" t="s">
        <v>56</v>
      </c>
      <c r="G179" s="335"/>
      <c r="H179" s="346" t="s">
        <v>281</v>
      </c>
      <c r="I179" s="346" t="s">
        <v>282</v>
      </c>
      <c r="J179" s="345"/>
      <c r="K179" s="344" t="s">
        <v>104</v>
      </c>
      <c r="L179" s="344" t="s">
        <v>102</v>
      </c>
      <c r="M179" s="344" t="s">
        <v>210</v>
      </c>
      <c r="N179" s="346" t="s">
        <v>283</v>
      </c>
      <c r="O179" s="473" t="s">
        <v>133</v>
      </c>
      <c r="P179" s="348"/>
      <c r="Q179" s="473" t="b">
        <v>0</v>
      </c>
    </row>
    <row r="180">
      <c r="A180" s="161"/>
      <c r="B180" s="2"/>
      <c r="C180" s="2"/>
      <c r="D180" s="2"/>
      <c r="E180" s="341"/>
      <c r="F180" s="342"/>
      <c r="G180" s="343"/>
      <c r="H180" s="337" t="s">
        <v>285</v>
      </c>
      <c r="I180" s="349" t="s">
        <v>282</v>
      </c>
      <c r="J180" s="336"/>
      <c r="K180" s="349">
        <f t="shared" ref="K180:M180" si="34">PARAMS(K179)</f>
        <v>4096</v>
      </c>
      <c r="L180" s="349">
        <f t="shared" si="34"/>
        <v>1</v>
      </c>
      <c r="M180" s="349">
        <f t="shared" si="34"/>
        <v>576</v>
      </c>
      <c r="N180" s="349" t="s">
        <v>283</v>
      </c>
      <c r="O180" s="350"/>
      <c r="P180" s="351">
        <f>SIZEOF_IN_MIB(K180:M180, $O179)</f>
        <v>4.5</v>
      </c>
      <c r="Q180" s="350"/>
    </row>
    <row r="181">
      <c r="A181" s="2"/>
      <c r="B181" s="2"/>
      <c r="C181" s="2"/>
      <c r="D181" s="2"/>
      <c r="E181" s="341"/>
      <c r="F181" s="342"/>
      <c r="G181" s="343"/>
      <c r="H181" s="346" t="s">
        <v>287</v>
      </c>
      <c r="I181" s="346" t="s">
        <v>282</v>
      </c>
      <c r="J181" s="345"/>
      <c r="K181" s="344" t="s">
        <v>196</v>
      </c>
      <c r="L181" s="344"/>
      <c r="M181" s="346"/>
      <c r="N181" s="346" t="s">
        <v>283</v>
      </c>
      <c r="O181" s="347"/>
      <c r="P181" s="348"/>
      <c r="Q181" s="347"/>
    </row>
    <row r="182">
      <c r="A182" s="161"/>
      <c r="B182" s="161"/>
      <c r="C182" s="161"/>
      <c r="D182" s="161"/>
      <c r="E182" s="341"/>
      <c r="F182" s="353"/>
      <c r="G182" s="354"/>
      <c r="H182" s="349" t="s">
        <v>289</v>
      </c>
      <c r="I182" s="349" t="s">
        <v>282</v>
      </c>
      <c r="J182" s="349"/>
      <c r="K182" s="349">
        <f t="shared" ref="K182:M182" si="35">K180/SHARDING(K181)</f>
        <v>256</v>
      </c>
      <c r="L182" s="349">
        <f t="shared" si="35"/>
        <v>1</v>
      </c>
      <c r="M182" s="349">
        <f t="shared" si="35"/>
        <v>576</v>
      </c>
      <c r="N182" s="349" t="s">
        <v>283</v>
      </c>
      <c r="O182" s="316"/>
      <c r="P182" s="351">
        <f>SIZEOF_IN_MIB(K182:M182, $O179)</f>
        <v>0.28125</v>
      </c>
      <c r="Q182" s="316"/>
    </row>
    <row r="183">
      <c r="A183" s="161"/>
      <c r="B183" s="161"/>
      <c r="C183" s="161"/>
      <c r="D183" s="161"/>
      <c r="E183" s="341"/>
      <c r="F183" s="474" t="s">
        <v>335</v>
      </c>
      <c r="G183" s="459" t="s">
        <v>109</v>
      </c>
      <c r="H183" s="497"/>
      <c r="I183" s="498"/>
      <c r="J183" s="345"/>
      <c r="K183" s="345"/>
      <c r="L183" s="346"/>
      <c r="M183" s="346"/>
      <c r="N183" s="346"/>
      <c r="O183" s="345"/>
      <c r="P183" s="348"/>
      <c r="Q183" s="379"/>
    </row>
    <row r="184">
      <c r="A184" s="161"/>
      <c r="B184" s="161"/>
      <c r="C184" s="161"/>
      <c r="D184" s="161"/>
      <c r="E184" s="341"/>
      <c r="F184" s="352"/>
      <c r="G184" s="459"/>
      <c r="H184" s="349"/>
      <c r="I184" s="492"/>
      <c r="J184" s="336"/>
      <c r="K184" s="336"/>
      <c r="L184" s="349"/>
      <c r="M184" s="349"/>
      <c r="N184" s="349"/>
      <c r="O184" s="336"/>
      <c r="P184" s="351"/>
      <c r="Q184" s="298"/>
    </row>
    <row r="185">
      <c r="A185" s="161"/>
      <c r="B185" s="161"/>
      <c r="C185" s="161"/>
      <c r="D185" s="161"/>
      <c r="E185" s="341"/>
      <c r="F185" s="458" t="s">
        <v>327</v>
      </c>
      <c r="G185" s="459" t="s">
        <v>328</v>
      </c>
      <c r="H185" s="346" t="str">
        <f>VLOOKUP(O171&amp;","&amp;O175,$T$2:$W$11,4, FALSE)</f>
        <v>fp8</v>
      </c>
      <c r="I185" s="493"/>
      <c r="J185" s="345"/>
      <c r="K185" s="345"/>
      <c r="L185" s="346"/>
      <c r="M185" s="346"/>
      <c r="N185" s="346"/>
      <c r="O185" s="345"/>
      <c r="P185" s="348"/>
      <c r="Q185" s="379"/>
    </row>
    <row r="186">
      <c r="A186" s="161"/>
      <c r="B186" s="161"/>
      <c r="C186" s="161"/>
      <c r="D186" s="161"/>
      <c r="E186" s="341"/>
      <c r="F186" s="341"/>
      <c r="G186" s="455" t="s">
        <v>341</v>
      </c>
      <c r="H186" s="494" t="str">
        <f>CALCULATE_FLOPS(J174:M174,J178:M178,L178,1,H185)</f>
        <v>#N/A</v>
      </c>
      <c r="I186" s="492"/>
      <c r="J186" s="336"/>
      <c r="K186" s="336"/>
      <c r="L186" s="349"/>
      <c r="M186" s="349"/>
      <c r="N186" s="349"/>
      <c r="O186" s="336"/>
      <c r="P186" s="351"/>
      <c r="Q186" s="298"/>
    </row>
    <row r="187">
      <c r="A187" s="161"/>
      <c r="B187" s="161"/>
      <c r="C187" s="161"/>
      <c r="D187" s="161"/>
      <c r="E187" s="341"/>
      <c r="F187" s="352"/>
      <c r="G187" s="462" t="s">
        <v>330</v>
      </c>
      <c r="H187" s="495" t="str">
        <f>COMPUTE_TIME_MS(H186, H185)</f>
        <v>#N/A</v>
      </c>
      <c r="I187" s="464"/>
      <c r="J187" s="465"/>
      <c r="K187" s="465"/>
      <c r="L187" s="466"/>
      <c r="M187" s="466"/>
      <c r="N187" s="466"/>
      <c r="O187" s="465"/>
      <c r="P187" s="467"/>
      <c r="Q187" s="379"/>
    </row>
    <row r="188">
      <c r="A188" s="161"/>
      <c r="B188" s="161"/>
      <c r="C188" s="161"/>
      <c r="D188" s="161"/>
      <c r="E188" s="341"/>
      <c r="F188" s="458" t="s">
        <v>331</v>
      </c>
      <c r="G188" s="455" t="s">
        <v>332</v>
      </c>
      <c r="H188" s="377">
        <f>IF(Q171,0,P174)+IF(Q175,0,P178)+IF(Q179,0,P182)</f>
        <v>5.96875</v>
      </c>
      <c r="I188" s="336"/>
      <c r="J188" s="336"/>
      <c r="K188" s="336"/>
      <c r="L188" s="349"/>
      <c r="M188" s="349"/>
      <c r="N188" s="349"/>
      <c r="O188" s="336"/>
      <c r="P188" s="351"/>
      <c r="Q188" s="298"/>
    </row>
    <row r="189">
      <c r="A189" s="161"/>
      <c r="B189" s="161"/>
      <c r="C189" s="161"/>
      <c r="D189" s="161"/>
      <c r="E189" s="352"/>
      <c r="F189" s="352"/>
      <c r="G189" s="469" t="s">
        <v>333</v>
      </c>
      <c r="H189" s="500">
        <f>HBM_TIME_MS(H188)</f>
        <v>0.001992090712</v>
      </c>
      <c r="I189" s="465"/>
      <c r="J189" s="465"/>
      <c r="K189" s="465"/>
      <c r="L189" s="466"/>
      <c r="M189" s="466"/>
      <c r="N189" s="466"/>
      <c r="O189" s="465"/>
      <c r="P189" s="467"/>
      <c r="Q189" s="379"/>
    </row>
    <row r="190">
      <c r="A190" s="161"/>
      <c r="B190" s="161"/>
      <c r="C190" s="161"/>
      <c r="D190" s="161"/>
      <c r="E190" s="333" t="s">
        <v>347</v>
      </c>
      <c r="F190" s="357" t="s">
        <v>292</v>
      </c>
      <c r="G190" s="335"/>
      <c r="H190" s="364" t="s">
        <v>281</v>
      </c>
      <c r="I190" s="364" t="s">
        <v>282</v>
      </c>
      <c r="J190" s="273" t="s">
        <v>104</v>
      </c>
      <c r="K190" s="273" t="s">
        <v>102</v>
      </c>
      <c r="L190" s="273" t="s">
        <v>207</v>
      </c>
      <c r="M190" s="472" t="s">
        <v>198</v>
      </c>
      <c r="N190" s="364" t="s">
        <v>283</v>
      </c>
      <c r="O190" s="365" t="s">
        <v>133</v>
      </c>
      <c r="P190" s="366"/>
      <c r="Q190" s="365" t="b">
        <v>0</v>
      </c>
    </row>
    <row r="191">
      <c r="A191" s="161"/>
      <c r="B191" s="161"/>
      <c r="C191" s="161"/>
      <c r="D191" s="161"/>
      <c r="E191" s="341"/>
      <c r="F191" s="342"/>
      <c r="G191" s="343"/>
      <c r="H191" s="273" t="s">
        <v>285</v>
      </c>
      <c r="I191" s="364" t="s">
        <v>282</v>
      </c>
      <c r="J191" s="363">
        <f t="shared" ref="J191:M191" si="36">PARAMS(J190)</f>
        <v>4096</v>
      </c>
      <c r="K191" s="364">
        <f t="shared" si="36"/>
        <v>1</v>
      </c>
      <c r="L191" s="364">
        <f t="shared" si="36"/>
        <v>128</v>
      </c>
      <c r="M191" s="364">
        <f t="shared" si="36"/>
        <v>512</v>
      </c>
      <c r="N191" s="364" t="s">
        <v>283</v>
      </c>
      <c r="O191" s="341"/>
      <c r="P191" s="366">
        <f>SIZEOF_IN_MIB(J191:M191, $O190)</f>
        <v>512</v>
      </c>
      <c r="Q191" s="341"/>
    </row>
    <row r="192">
      <c r="A192" s="161"/>
      <c r="B192" s="161"/>
      <c r="C192" s="161"/>
      <c r="D192" s="161"/>
      <c r="E192" s="341"/>
      <c r="F192" s="342"/>
      <c r="G192" s="343"/>
      <c r="H192" s="363" t="s">
        <v>287</v>
      </c>
      <c r="I192" s="363" t="s">
        <v>282</v>
      </c>
      <c r="J192" s="273" t="s">
        <v>196</v>
      </c>
      <c r="K192" s="273"/>
      <c r="L192" s="273"/>
      <c r="M192" s="363"/>
      <c r="N192" s="363" t="s">
        <v>283</v>
      </c>
      <c r="O192" s="341"/>
      <c r="P192" s="366"/>
      <c r="Q192" s="341"/>
    </row>
    <row r="193">
      <c r="A193" s="161"/>
      <c r="B193" s="161"/>
      <c r="C193" s="161"/>
      <c r="D193" s="161"/>
      <c r="E193" s="341"/>
      <c r="F193" s="353"/>
      <c r="G193" s="354"/>
      <c r="H193" s="273" t="s">
        <v>289</v>
      </c>
      <c r="I193" s="363" t="s">
        <v>282</v>
      </c>
      <c r="J193" s="363">
        <f t="shared" ref="J193:M193" si="37">J191/SHARDING(J192)</f>
        <v>256</v>
      </c>
      <c r="K193" s="363">
        <f t="shared" si="37"/>
        <v>1</v>
      </c>
      <c r="L193" s="363">
        <f t="shared" si="37"/>
        <v>128</v>
      </c>
      <c r="M193" s="363">
        <f t="shared" si="37"/>
        <v>512</v>
      </c>
      <c r="N193" s="363" t="s">
        <v>283</v>
      </c>
      <c r="O193" s="352"/>
      <c r="P193" s="366">
        <f>SIZEOF_IN_MIB(J193:M193, $O190)</f>
        <v>32</v>
      </c>
      <c r="Q193" s="352"/>
    </row>
    <row r="194">
      <c r="A194" s="161"/>
      <c r="B194" s="161"/>
      <c r="C194" s="161"/>
      <c r="D194" s="161"/>
      <c r="E194" s="341"/>
      <c r="F194" s="334" t="s">
        <v>296</v>
      </c>
      <c r="G194" s="335"/>
      <c r="H194" s="363" t="s">
        <v>281</v>
      </c>
      <c r="I194" s="363" t="s">
        <v>282</v>
      </c>
      <c r="J194" s="364"/>
      <c r="K194" s="273" t="s">
        <v>104</v>
      </c>
      <c r="L194" s="273" t="s">
        <v>106</v>
      </c>
      <c r="M194" s="472" t="s">
        <v>198</v>
      </c>
      <c r="N194" s="363" t="s">
        <v>283</v>
      </c>
      <c r="O194" s="365" t="s">
        <v>133</v>
      </c>
      <c r="P194" s="366"/>
      <c r="Q194" s="365" t="b">
        <v>0</v>
      </c>
    </row>
    <row r="195">
      <c r="E195" s="341"/>
      <c r="F195" s="342"/>
      <c r="G195" s="343"/>
      <c r="H195" s="273" t="s">
        <v>285</v>
      </c>
      <c r="I195" s="363" t="s">
        <v>282</v>
      </c>
      <c r="J195" s="364"/>
      <c r="K195" s="363">
        <f t="shared" ref="K195:M195" si="38">PARAMS(K194)</f>
        <v>4096</v>
      </c>
      <c r="L195" s="363">
        <f t="shared" si="38"/>
        <v>5120</v>
      </c>
      <c r="M195" s="363">
        <f t="shared" si="38"/>
        <v>512</v>
      </c>
      <c r="N195" s="363" t="s">
        <v>283</v>
      </c>
      <c r="O195" s="341"/>
      <c r="P195" s="366">
        <f>SIZEOF_IN_MIB(J195:M195, $O194)</f>
        <v>20480</v>
      </c>
      <c r="Q195" s="341"/>
    </row>
    <row r="196">
      <c r="E196" s="341"/>
      <c r="F196" s="342"/>
      <c r="G196" s="343"/>
      <c r="H196" s="363" t="s">
        <v>287</v>
      </c>
      <c r="I196" s="363" t="s">
        <v>282</v>
      </c>
      <c r="J196" s="364"/>
      <c r="K196" s="273" t="s">
        <v>196</v>
      </c>
      <c r="L196" s="363"/>
      <c r="M196" s="363"/>
      <c r="N196" s="363" t="s">
        <v>283</v>
      </c>
      <c r="O196" s="341"/>
      <c r="P196" s="366"/>
      <c r="Q196" s="341"/>
    </row>
    <row r="197">
      <c r="E197" s="341"/>
      <c r="F197" s="353"/>
      <c r="G197" s="354"/>
      <c r="H197" s="349" t="s">
        <v>289</v>
      </c>
      <c r="I197" s="349" t="s">
        <v>282</v>
      </c>
      <c r="J197" s="336"/>
      <c r="K197" s="349">
        <f t="shared" ref="K197:M197" si="39">K195/SHARDING(K196)</f>
        <v>256</v>
      </c>
      <c r="L197" s="349">
        <f t="shared" si="39"/>
        <v>5120</v>
      </c>
      <c r="M197" s="349">
        <f t="shared" si="39"/>
        <v>512</v>
      </c>
      <c r="N197" s="349" t="s">
        <v>283</v>
      </c>
      <c r="O197" s="316"/>
      <c r="P197" s="351">
        <f>SIZEOF_IN_MIB(J197:M197, $O194)</f>
        <v>1280</v>
      </c>
      <c r="Q197" s="316"/>
    </row>
    <row r="198">
      <c r="E198" s="341"/>
      <c r="F198" s="334" t="s">
        <v>56</v>
      </c>
      <c r="G198" s="335"/>
      <c r="H198" s="346" t="s">
        <v>281</v>
      </c>
      <c r="I198" s="346" t="s">
        <v>282</v>
      </c>
      <c r="J198" s="344" t="s">
        <v>104</v>
      </c>
      <c r="K198" s="344" t="s">
        <v>102</v>
      </c>
      <c r="L198" s="344" t="s">
        <v>106</v>
      </c>
      <c r="M198" s="344" t="s">
        <v>207</v>
      </c>
      <c r="N198" s="346" t="s">
        <v>283</v>
      </c>
      <c r="O198" s="473" t="s">
        <v>133</v>
      </c>
      <c r="P198" s="348"/>
      <c r="Q198" s="473" t="b">
        <v>1</v>
      </c>
    </row>
    <row r="199">
      <c r="E199" s="341"/>
      <c r="F199" s="342"/>
      <c r="G199" s="343"/>
      <c r="H199" s="337" t="s">
        <v>285</v>
      </c>
      <c r="I199" s="349" t="s">
        <v>282</v>
      </c>
      <c r="J199" s="349">
        <f t="shared" ref="J199:M199" si="40">PARAMS(J198)</f>
        <v>4096</v>
      </c>
      <c r="K199" s="349">
        <f t="shared" si="40"/>
        <v>1</v>
      </c>
      <c r="L199" s="349">
        <f t="shared" si="40"/>
        <v>5120</v>
      </c>
      <c r="M199" s="349">
        <f t="shared" si="40"/>
        <v>128</v>
      </c>
      <c r="N199" s="349" t="s">
        <v>283</v>
      </c>
      <c r="O199" s="350"/>
      <c r="P199" s="351">
        <f>SIZEOF_IN_MIB(J199:M199, $O198)</f>
        <v>5120</v>
      </c>
      <c r="Q199" s="350"/>
    </row>
    <row r="200">
      <c r="E200" s="341"/>
      <c r="F200" s="342"/>
      <c r="G200" s="343"/>
      <c r="H200" s="346" t="s">
        <v>287</v>
      </c>
      <c r="I200" s="346" t="s">
        <v>282</v>
      </c>
      <c r="J200" s="344" t="s">
        <v>196</v>
      </c>
      <c r="K200" s="344"/>
      <c r="L200" s="344"/>
      <c r="M200" s="346"/>
      <c r="N200" s="346" t="s">
        <v>283</v>
      </c>
      <c r="O200" s="347"/>
      <c r="P200" s="348"/>
      <c r="Q200" s="347"/>
    </row>
    <row r="201">
      <c r="E201" s="341"/>
      <c r="F201" s="353"/>
      <c r="G201" s="354"/>
      <c r="H201" s="349" t="s">
        <v>289</v>
      </c>
      <c r="I201" s="349" t="s">
        <v>282</v>
      </c>
      <c r="J201" s="349">
        <f t="shared" ref="J201:M201" si="41">J199/SHARDING(J200)</f>
        <v>256</v>
      </c>
      <c r="K201" s="349">
        <f t="shared" si="41"/>
        <v>1</v>
      </c>
      <c r="L201" s="349">
        <f t="shared" si="41"/>
        <v>5120</v>
      </c>
      <c r="M201" s="349">
        <f t="shared" si="41"/>
        <v>128</v>
      </c>
      <c r="N201" s="349" t="s">
        <v>283</v>
      </c>
      <c r="O201" s="316"/>
      <c r="P201" s="351">
        <f>SIZEOF_IN_MIB(J201:M201, $O198)</f>
        <v>320</v>
      </c>
      <c r="Q201" s="316"/>
    </row>
    <row r="202">
      <c r="E202" s="341"/>
      <c r="F202" s="474" t="s">
        <v>335</v>
      </c>
      <c r="G202" s="459" t="s">
        <v>109</v>
      </c>
      <c r="H202" s="544" t="s">
        <v>348</v>
      </c>
      <c r="I202" s="345"/>
      <c r="J202" s="345"/>
      <c r="K202" s="345"/>
      <c r="L202" s="346"/>
      <c r="M202" s="346"/>
      <c r="N202" s="346"/>
      <c r="O202" s="545"/>
      <c r="P202" s="348"/>
      <c r="Q202" s="545"/>
    </row>
    <row r="203">
      <c r="E203" s="341"/>
      <c r="F203" s="352"/>
      <c r="G203" s="459"/>
      <c r="H203" s="349"/>
      <c r="I203" s="492"/>
      <c r="J203" s="336"/>
      <c r="K203" s="336"/>
      <c r="L203" s="349"/>
      <c r="M203" s="349"/>
      <c r="N203" s="349"/>
      <c r="O203" s="336"/>
      <c r="P203" s="351"/>
      <c r="Q203" s="298"/>
    </row>
    <row r="204">
      <c r="E204" s="341"/>
      <c r="F204" s="458" t="s">
        <v>327</v>
      </c>
      <c r="G204" s="459" t="s">
        <v>328</v>
      </c>
      <c r="H204" s="346" t="str">
        <f>VLOOKUP(O190&amp;","&amp;O194,$T$2:$W$11,4, FALSE)</f>
        <v>bf16</v>
      </c>
      <c r="I204" s="493"/>
      <c r="J204" s="345"/>
      <c r="K204" s="345"/>
      <c r="L204" s="346"/>
      <c r="M204" s="346"/>
      <c r="N204" s="346"/>
      <c r="O204" s="345"/>
      <c r="P204" s="348"/>
      <c r="Q204" s="379"/>
    </row>
    <row r="205">
      <c r="E205" s="341"/>
      <c r="F205" s="341"/>
      <c r="G205" s="455" t="s">
        <v>341</v>
      </c>
      <c r="H205" s="494" t="str">
        <f>CALCULATE_FLOPS(J193:M193,J197:M197,M197,K197,H204)</f>
        <v>#N/A</v>
      </c>
      <c r="I205" s="492"/>
      <c r="J205" s="336"/>
      <c r="K205" s="336"/>
      <c r="L205" s="349"/>
      <c r="M205" s="349"/>
      <c r="N205" s="349"/>
      <c r="O205" s="336"/>
      <c r="P205" s="351"/>
      <c r="Q205" s="298"/>
    </row>
    <row r="206">
      <c r="E206" s="341"/>
      <c r="F206" s="352"/>
      <c r="G206" s="462" t="s">
        <v>330</v>
      </c>
      <c r="H206" s="463" t="str">
        <f>COMPUTE_TIME_MS(H205, H204)</f>
        <v>#N/A</v>
      </c>
      <c r="I206" s="464"/>
      <c r="J206" s="465"/>
      <c r="K206" s="465"/>
      <c r="L206" s="466"/>
      <c r="M206" s="466"/>
      <c r="N206" s="466"/>
      <c r="O206" s="465"/>
      <c r="P206" s="467"/>
      <c r="Q206" s="379"/>
    </row>
    <row r="207">
      <c r="E207" s="341"/>
      <c r="F207" s="458" t="s">
        <v>331</v>
      </c>
      <c r="G207" s="455" t="s">
        <v>332</v>
      </c>
      <c r="H207" s="377">
        <f>IF(Q190,0,P193)+IF(Q194,0,P197)+IF(Q198,0,P201)</f>
        <v>1312</v>
      </c>
      <c r="I207" s="336"/>
      <c r="J207" s="336"/>
      <c r="K207" s="336"/>
      <c r="L207" s="349"/>
      <c r="M207" s="349"/>
      <c r="N207" s="349"/>
      <c r="O207" s="336"/>
      <c r="P207" s="351"/>
      <c r="Q207" s="298"/>
    </row>
    <row r="208">
      <c r="E208" s="352"/>
      <c r="F208" s="352"/>
      <c r="G208" s="469" t="s">
        <v>333</v>
      </c>
      <c r="H208" s="500">
        <f>HBM_TIME_MS(H207)</f>
        <v>0.4378844839</v>
      </c>
      <c r="I208" s="465"/>
      <c r="J208" s="465"/>
      <c r="K208" s="465"/>
      <c r="L208" s="466"/>
      <c r="M208" s="466"/>
      <c r="N208" s="466"/>
      <c r="O208" s="465"/>
      <c r="P208" s="467"/>
      <c r="Q208" s="379"/>
    </row>
    <row r="209">
      <c r="E209" s="333" t="s">
        <v>349</v>
      </c>
      <c r="F209" s="357" t="s">
        <v>292</v>
      </c>
      <c r="G209" s="335"/>
      <c r="H209" s="364" t="s">
        <v>281</v>
      </c>
      <c r="I209" s="364" t="s">
        <v>282</v>
      </c>
      <c r="J209" s="273" t="s">
        <v>104</v>
      </c>
      <c r="K209" s="273" t="s">
        <v>102</v>
      </c>
      <c r="L209" s="273" t="s">
        <v>207</v>
      </c>
      <c r="M209" s="472" t="s">
        <v>204</v>
      </c>
      <c r="N209" s="364" t="s">
        <v>283</v>
      </c>
      <c r="O209" s="365" t="s">
        <v>133</v>
      </c>
      <c r="P209" s="366"/>
      <c r="Q209" s="365" t="b">
        <v>0</v>
      </c>
    </row>
    <row r="210">
      <c r="E210" s="341"/>
      <c r="F210" s="342"/>
      <c r="G210" s="343"/>
      <c r="H210" s="273" t="s">
        <v>285</v>
      </c>
      <c r="I210" s="364" t="s">
        <v>282</v>
      </c>
      <c r="J210" s="363">
        <f t="shared" ref="J210:M210" si="42">PARAMS(J209)</f>
        <v>4096</v>
      </c>
      <c r="K210" s="364">
        <f t="shared" si="42"/>
        <v>1</v>
      </c>
      <c r="L210" s="364">
        <f t="shared" si="42"/>
        <v>128</v>
      </c>
      <c r="M210" s="364">
        <f t="shared" si="42"/>
        <v>64</v>
      </c>
      <c r="N210" s="364" t="s">
        <v>283</v>
      </c>
      <c r="O210" s="341"/>
      <c r="P210" s="366">
        <f>SIZEOF_IN_MIB(J210:M210, $O209)</f>
        <v>64</v>
      </c>
      <c r="Q210" s="341"/>
    </row>
    <row r="211">
      <c r="E211" s="341"/>
      <c r="F211" s="342"/>
      <c r="G211" s="343"/>
      <c r="H211" s="363" t="s">
        <v>287</v>
      </c>
      <c r="I211" s="363" t="s">
        <v>282</v>
      </c>
      <c r="J211" s="273" t="s">
        <v>196</v>
      </c>
      <c r="K211" s="273"/>
      <c r="L211" s="273"/>
      <c r="M211" s="363"/>
      <c r="N211" s="363" t="s">
        <v>283</v>
      </c>
      <c r="O211" s="341"/>
      <c r="P211" s="366"/>
      <c r="Q211" s="341"/>
    </row>
    <row r="212">
      <c r="E212" s="341"/>
      <c r="F212" s="353"/>
      <c r="G212" s="354"/>
      <c r="H212" s="273" t="s">
        <v>289</v>
      </c>
      <c r="I212" s="363" t="s">
        <v>282</v>
      </c>
      <c r="J212" s="363">
        <f t="shared" ref="J212:M212" si="43">J210/SHARDING(J211)</f>
        <v>256</v>
      </c>
      <c r="K212" s="363">
        <f t="shared" si="43"/>
        <v>1</v>
      </c>
      <c r="L212" s="363">
        <f t="shared" si="43"/>
        <v>128</v>
      </c>
      <c r="M212" s="363">
        <f t="shared" si="43"/>
        <v>64</v>
      </c>
      <c r="N212" s="363" t="s">
        <v>283</v>
      </c>
      <c r="O212" s="352"/>
      <c r="P212" s="366">
        <f>SIZEOF_IN_MIB(J212:M212, $O209)</f>
        <v>4</v>
      </c>
      <c r="Q212" s="352"/>
    </row>
    <row r="213">
      <c r="E213" s="341"/>
      <c r="F213" s="334" t="s">
        <v>296</v>
      </c>
      <c r="G213" s="335"/>
      <c r="H213" s="363" t="s">
        <v>281</v>
      </c>
      <c r="I213" s="363" t="s">
        <v>282</v>
      </c>
      <c r="J213" s="364"/>
      <c r="K213" s="273" t="s">
        <v>104</v>
      </c>
      <c r="L213" s="273" t="s">
        <v>106</v>
      </c>
      <c r="M213" s="472" t="s">
        <v>204</v>
      </c>
      <c r="N213" s="363" t="s">
        <v>283</v>
      </c>
      <c r="O213" s="365" t="s">
        <v>133</v>
      </c>
      <c r="P213" s="366"/>
      <c r="Q213" s="365" t="b">
        <v>0</v>
      </c>
    </row>
    <row r="214">
      <c r="E214" s="341"/>
      <c r="F214" s="342"/>
      <c r="G214" s="343"/>
      <c r="H214" s="273" t="s">
        <v>285</v>
      </c>
      <c r="I214" s="363" t="s">
        <v>282</v>
      </c>
      <c r="J214" s="364"/>
      <c r="K214" s="363">
        <f t="shared" ref="K214:M214" si="44">PARAMS(K213)</f>
        <v>4096</v>
      </c>
      <c r="L214" s="363">
        <f t="shared" si="44"/>
        <v>5120</v>
      </c>
      <c r="M214" s="363">
        <f t="shared" si="44"/>
        <v>64</v>
      </c>
      <c r="N214" s="363" t="s">
        <v>283</v>
      </c>
      <c r="O214" s="341"/>
      <c r="P214" s="366">
        <f>SIZEOF_IN_MIB(J214:M214, $O213)</f>
        <v>2560</v>
      </c>
      <c r="Q214" s="341"/>
    </row>
    <row r="215">
      <c r="E215" s="341"/>
      <c r="F215" s="342"/>
      <c r="G215" s="343"/>
      <c r="H215" s="363" t="s">
        <v>287</v>
      </c>
      <c r="I215" s="363" t="s">
        <v>282</v>
      </c>
      <c r="J215" s="364"/>
      <c r="K215" s="273" t="s">
        <v>196</v>
      </c>
      <c r="L215" s="363"/>
      <c r="M215" s="363"/>
      <c r="N215" s="363" t="s">
        <v>283</v>
      </c>
      <c r="O215" s="341"/>
      <c r="P215" s="366"/>
      <c r="Q215" s="341"/>
    </row>
    <row r="216">
      <c r="E216" s="341"/>
      <c r="F216" s="353"/>
      <c r="G216" s="354"/>
      <c r="H216" s="349" t="s">
        <v>289</v>
      </c>
      <c r="I216" s="349" t="s">
        <v>282</v>
      </c>
      <c r="J216" s="336"/>
      <c r="K216" s="349">
        <f t="shared" ref="K216:M216" si="45">K214/SHARDING(K215)</f>
        <v>256</v>
      </c>
      <c r="L216" s="349">
        <f t="shared" si="45"/>
        <v>5120</v>
      </c>
      <c r="M216" s="349">
        <f t="shared" si="45"/>
        <v>64</v>
      </c>
      <c r="N216" s="349" t="s">
        <v>283</v>
      </c>
      <c r="O216" s="316"/>
      <c r="P216" s="351">
        <f>SIZEOF_IN_MIB(J216:M216, $O213)</f>
        <v>160</v>
      </c>
      <c r="Q216" s="316"/>
    </row>
    <row r="217">
      <c r="E217" s="341"/>
      <c r="F217" s="334" t="s">
        <v>56</v>
      </c>
      <c r="G217" s="335"/>
      <c r="H217" s="346" t="s">
        <v>281</v>
      </c>
      <c r="I217" s="346" t="s">
        <v>282</v>
      </c>
      <c r="J217" s="344" t="s">
        <v>104</v>
      </c>
      <c r="K217" s="344" t="s">
        <v>102</v>
      </c>
      <c r="L217" s="344" t="s">
        <v>106</v>
      </c>
      <c r="M217" s="344" t="s">
        <v>207</v>
      </c>
      <c r="N217" s="346" t="s">
        <v>283</v>
      </c>
      <c r="O217" s="546" t="s">
        <v>133</v>
      </c>
      <c r="P217" s="348"/>
      <c r="Q217" s="473" t="b">
        <v>1</v>
      </c>
    </row>
    <row r="218">
      <c r="E218" s="341"/>
      <c r="F218" s="342"/>
      <c r="G218" s="343"/>
      <c r="H218" s="337" t="s">
        <v>285</v>
      </c>
      <c r="I218" s="349" t="s">
        <v>282</v>
      </c>
      <c r="J218" s="349">
        <f t="shared" ref="J218:M218" si="46">PARAMS(J217)</f>
        <v>4096</v>
      </c>
      <c r="K218" s="349">
        <f t="shared" si="46"/>
        <v>1</v>
      </c>
      <c r="L218" s="349">
        <f t="shared" si="46"/>
        <v>5120</v>
      </c>
      <c r="M218" s="349">
        <f t="shared" si="46"/>
        <v>128</v>
      </c>
      <c r="N218" s="349" t="s">
        <v>283</v>
      </c>
      <c r="O218" s="350"/>
      <c r="P218" s="351">
        <f>SIZEOF_IN_MIB(J218:M218, $O217)</f>
        <v>5120</v>
      </c>
      <c r="Q218" s="350"/>
    </row>
    <row r="219">
      <c r="E219" s="341"/>
      <c r="F219" s="342"/>
      <c r="G219" s="343"/>
      <c r="H219" s="346" t="s">
        <v>287</v>
      </c>
      <c r="I219" s="346" t="s">
        <v>282</v>
      </c>
      <c r="J219" s="344" t="s">
        <v>196</v>
      </c>
      <c r="K219" s="344"/>
      <c r="L219" s="344"/>
      <c r="M219" s="346"/>
      <c r="N219" s="346" t="s">
        <v>283</v>
      </c>
      <c r="O219" s="347"/>
      <c r="P219" s="348"/>
      <c r="Q219" s="347"/>
    </row>
    <row r="220">
      <c r="E220" s="341"/>
      <c r="F220" s="353"/>
      <c r="G220" s="354"/>
      <c r="H220" s="349" t="s">
        <v>289</v>
      </c>
      <c r="I220" s="349" t="s">
        <v>282</v>
      </c>
      <c r="J220" s="349">
        <f t="shared" ref="J220:M220" si="47">J218/SHARDING(J219)</f>
        <v>256</v>
      </c>
      <c r="K220" s="349">
        <f t="shared" si="47"/>
        <v>1</v>
      </c>
      <c r="L220" s="349">
        <f t="shared" si="47"/>
        <v>5120</v>
      </c>
      <c r="M220" s="349">
        <f t="shared" si="47"/>
        <v>128</v>
      </c>
      <c r="N220" s="349" t="s">
        <v>283</v>
      </c>
      <c r="O220" s="316"/>
      <c r="P220" s="351">
        <f>SIZEOF_IN_MIB(J220:M220, $O217)</f>
        <v>320</v>
      </c>
      <c r="Q220" s="316"/>
    </row>
    <row r="221">
      <c r="E221" s="341"/>
      <c r="F221" s="474" t="s">
        <v>335</v>
      </c>
      <c r="G221" s="459" t="s">
        <v>109</v>
      </c>
      <c r="H221" s="497"/>
      <c r="I221" s="498"/>
      <c r="J221" s="345"/>
      <c r="K221" s="345"/>
      <c r="L221" s="346"/>
      <c r="M221" s="346"/>
      <c r="N221" s="346"/>
      <c r="O221" s="345"/>
      <c r="P221" s="348"/>
      <c r="Q221" s="379"/>
    </row>
    <row r="222">
      <c r="E222" s="341"/>
      <c r="F222" s="352"/>
      <c r="G222" s="459"/>
      <c r="H222" s="349"/>
      <c r="I222" s="492"/>
      <c r="J222" s="336"/>
      <c r="K222" s="336"/>
      <c r="L222" s="349"/>
      <c r="M222" s="349"/>
      <c r="N222" s="349"/>
      <c r="O222" s="336"/>
      <c r="P222" s="351"/>
      <c r="Q222" s="298"/>
    </row>
    <row r="223">
      <c r="E223" s="341"/>
      <c r="F223" s="458" t="s">
        <v>327</v>
      </c>
      <c r="G223" s="459" t="s">
        <v>328</v>
      </c>
      <c r="H223" s="346" t="str">
        <f>VLOOKUP(O209&amp;","&amp;O213,$T$2:$W$11,4, FALSE)</f>
        <v>bf16</v>
      </c>
      <c r="I223" s="493"/>
      <c r="J223" s="345"/>
      <c r="K223" s="345"/>
      <c r="L223" s="346"/>
      <c r="M223" s="346"/>
      <c r="N223" s="346"/>
      <c r="O223" s="345"/>
      <c r="P223" s="348"/>
      <c r="Q223" s="379"/>
    </row>
    <row r="224">
      <c r="E224" s="341"/>
      <c r="F224" s="341"/>
      <c r="G224" s="455" t="s">
        <v>341</v>
      </c>
      <c r="H224" s="494" t="str">
        <f>CALCULATE_FLOPS(J212:M212,J216:M216,M216,K216,H223)</f>
        <v>#N/A</v>
      </c>
      <c r="I224" s="492"/>
      <c r="J224" s="336"/>
      <c r="K224" s="336"/>
      <c r="L224" s="349"/>
      <c r="M224" s="349"/>
      <c r="N224" s="349"/>
      <c r="O224" s="336"/>
      <c r="P224" s="351"/>
      <c r="Q224" s="298"/>
    </row>
    <row r="225">
      <c r="E225" s="341"/>
      <c r="F225" s="352"/>
      <c r="G225" s="462" t="s">
        <v>330</v>
      </c>
      <c r="H225" s="495" t="str">
        <f>COMPUTE_TIME_MS(H224, H223)</f>
        <v>#N/A</v>
      </c>
      <c r="I225" s="464"/>
      <c r="J225" s="465"/>
      <c r="K225" s="465"/>
      <c r="L225" s="466"/>
      <c r="M225" s="466"/>
      <c r="N225" s="466"/>
      <c r="O225" s="465"/>
      <c r="P225" s="467"/>
      <c r="Q225" s="379"/>
    </row>
    <row r="226">
      <c r="E226" s="341"/>
      <c r="F226" s="458" t="s">
        <v>331</v>
      </c>
      <c r="G226" s="455" t="s">
        <v>332</v>
      </c>
      <c r="H226" s="377">
        <f>IF(Q209,0,P212)+IF(Q213,0,P216)+IF(Q217,0,P220)</f>
        <v>164</v>
      </c>
      <c r="I226" s="336"/>
      <c r="J226" s="336"/>
      <c r="K226" s="336"/>
      <c r="L226" s="349"/>
      <c r="M226" s="349"/>
      <c r="N226" s="349"/>
      <c r="O226" s="336"/>
      <c r="P226" s="351"/>
      <c r="Q226" s="298"/>
    </row>
    <row r="227">
      <c r="E227" s="352"/>
      <c r="F227" s="352"/>
      <c r="G227" s="469" t="s">
        <v>333</v>
      </c>
      <c r="H227" s="500">
        <f>HBM_TIME_MS(H226)</f>
        <v>0.05473556049</v>
      </c>
      <c r="I227" s="465"/>
      <c r="J227" s="465"/>
      <c r="K227" s="465"/>
      <c r="L227" s="466"/>
      <c r="M227" s="466"/>
      <c r="N227" s="466"/>
      <c r="O227" s="465"/>
      <c r="P227" s="467"/>
      <c r="Q227" s="379"/>
    </row>
    <row r="228">
      <c r="E228" s="333" t="s">
        <v>350</v>
      </c>
      <c r="F228" s="357" t="s">
        <v>292</v>
      </c>
      <c r="G228" s="335"/>
      <c r="H228" s="364" t="s">
        <v>281</v>
      </c>
      <c r="I228" s="364" t="s">
        <v>282</v>
      </c>
      <c r="J228" s="273" t="s">
        <v>104</v>
      </c>
      <c r="K228" s="273" t="s">
        <v>102</v>
      </c>
      <c r="L228" s="472" t="s">
        <v>106</v>
      </c>
      <c r="M228" s="273" t="s">
        <v>207</v>
      </c>
      <c r="N228" s="364" t="s">
        <v>283</v>
      </c>
      <c r="O228" s="365" t="s">
        <v>133</v>
      </c>
      <c r="P228" s="366"/>
      <c r="Q228" s="365" t="b">
        <v>1</v>
      </c>
    </row>
    <row r="229">
      <c r="E229" s="341"/>
      <c r="F229" s="342"/>
      <c r="G229" s="343"/>
      <c r="H229" s="273" t="s">
        <v>285</v>
      </c>
      <c r="I229" s="364" t="s">
        <v>282</v>
      </c>
      <c r="J229" s="363">
        <f t="shared" ref="J229:M229" si="48">PARAMS(J228)</f>
        <v>4096</v>
      </c>
      <c r="K229" s="364">
        <f t="shared" si="48"/>
        <v>1</v>
      </c>
      <c r="L229" s="364">
        <f t="shared" si="48"/>
        <v>5120</v>
      </c>
      <c r="M229" s="364">
        <f t="shared" si="48"/>
        <v>128</v>
      </c>
      <c r="N229" s="364" t="s">
        <v>283</v>
      </c>
      <c r="O229" s="341"/>
      <c r="P229" s="366">
        <f>SIZEOF_IN_MIB(J229:M229, $O228)</f>
        <v>5120</v>
      </c>
      <c r="Q229" s="341"/>
    </row>
    <row r="230">
      <c r="E230" s="341"/>
      <c r="F230" s="342"/>
      <c r="G230" s="343"/>
      <c r="H230" s="363" t="s">
        <v>287</v>
      </c>
      <c r="I230" s="363" t="s">
        <v>282</v>
      </c>
      <c r="J230" s="273" t="s">
        <v>196</v>
      </c>
      <c r="K230" s="273"/>
      <c r="L230" s="273"/>
      <c r="M230" s="363"/>
      <c r="N230" s="363" t="s">
        <v>283</v>
      </c>
      <c r="O230" s="341"/>
      <c r="P230" s="366"/>
      <c r="Q230" s="341"/>
    </row>
    <row r="231">
      <c r="E231" s="341"/>
      <c r="F231" s="353"/>
      <c r="G231" s="354"/>
      <c r="H231" s="273" t="s">
        <v>289</v>
      </c>
      <c r="I231" s="363" t="s">
        <v>282</v>
      </c>
      <c r="J231" s="363">
        <f t="shared" ref="J231:M231" si="49">J229/SHARDING(J230)</f>
        <v>256</v>
      </c>
      <c r="K231" s="363">
        <f t="shared" si="49"/>
        <v>1</v>
      </c>
      <c r="L231" s="363">
        <f t="shared" si="49"/>
        <v>5120</v>
      </c>
      <c r="M231" s="363">
        <f t="shared" si="49"/>
        <v>128</v>
      </c>
      <c r="N231" s="363" t="s">
        <v>283</v>
      </c>
      <c r="O231" s="352"/>
      <c r="P231" s="366">
        <f>SIZEOF_IN_MIB(J231:M231, $O228)</f>
        <v>320</v>
      </c>
      <c r="Q231" s="352"/>
    </row>
    <row r="232">
      <c r="E232" s="341"/>
      <c r="F232" s="334" t="s">
        <v>296</v>
      </c>
      <c r="G232" s="335"/>
      <c r="H232" s="363" t="s">
        <v>281</v>
      </c>
      <c r="I232" s="363" t="s">
        <v>282</v>
      </c>
      <c r="J232" s="273" t="s">
        <v>104</v>
      </c>
      <c r="K232" s="273"/>
      <c r="L232" s="472" t="s">
        <v>106</v>
      </c>
      <c r="M232" s="273" t="s">
        <v>198</v>
      </c>
      <c r="N232" s="363" t="s">
        <v>283</v>
      </c>
      <c r="O232" s="365" t="s">
        <v>133</v>
      </c>
      <c r="P232" s="366"/>
      <c r="Q232" s="365" t="b">
        <v>1</v>
      </c>
    </row>
    <row r="233">
      <c r="E233" s="341"/>
      <c r="F233" s="342"/>
      <c r="G233" s="343"/>
      <c r="H233" s="273" t="s">
        <v>285</v>
      </c>
      <c r="I233" s="363" t="s">
        <v>282</v>
      </c>
      <c r="J233" s="363">
        <f>PARAMS(J232)</f>
        <v>4096</v>
      </c>
      <c r="K233" s="363"/>
      <c r="L233" s="363">
        <f t="shared" ref="L233:M233" si="50">PARAMS(L232)</f>
        <v>5120</v>
      </c>
      <c r="M233" s="363">
        <f t="shared" si="50"/>
        <v>512</v>
      </c>
      <c r="N233" s="363" t="s">
        <v>283</v>
      </c>
      <c r="O233" s="341"/>
      <c r="P233" s="366">
        <f>SIZEOF_IN_MIB(J233:M233, $O232)</f>
        <v>20480</v>
      </c>
      <c r="Q233" s="341"/>
    </row>
    <row r="234">
      <c r="E234" s="341"/>
      <c r="F234" s="342"/>
      <c r="G234" s="343"/>
      <c r="H234" s="363" t="s">
        <v>287</v>
      </c>
      <c r="I234" s="363" t="s">
        <v>282</v>
      </c>
      <c r="J234" s="273" t="s">
        <v>196</v>
      </c>
      <c r="K234" s="364"/>
      <c r="L234" s="363"/>
      <c r="M234" s="363"/>
      <c r="N234" s="363" t="s">
        <v>283</v>
      </c>
      <c r="O234" s="341"/>
      <c r="P234" s="366"/>
      <c r="Q234" s="341"/>
    </row>
    <row r="235">
      <c r="E235" s="341"/>
      <c r="F235" s="353"/>
      <c r="G235" s="354"/>
      <c r="H235" s="349" t="s">
        <v>289</v>
      </c>
      <c r="I235" s="349" t="s">
        <v>282</v>
      </c>
      <c r="J235" s="349">
        <f>J233/SHARDING(J234)</f>
        <v>256</v>
      </c>
      <c r="K235" s="349"/>
      <c r="L235" s="349">
        <f t="shared" ref="L235:M235" si="51">L233/SHARDING(L234)</f>
        <v>5120</v>
      </c>
      <c r="M235" s="349">
        <f t="shared" si="51"/>
        <v>512</v>
      </c>
      <c r="N235" s="349" t="s">
        <v>283</v>
      </c>
      <c r="O235" s="316"/>
      <c r="P235" s="351">
        <f>SIZEOF_IN_MIB(J235:M235, $O232)</f>
        <v>1280</v>
      </c>
      <c r="Q235" s="316"/>
    </row>
    <row r="236">
      <c r="E236" s="341"/>
      <c r="F236" s="334" t="s">
        <v>56</v>
      </c>
      <c r="G236" s="335"/>
      <c r="H236" s="346" t="s">
        <v>281</v>
      </c>
      <c r="I236" s="346" t="s">
        <v>282</v>
      </c>
      <c r="J236" s="344" t="s">
        <v>104</v>
      </c>
      <c r="K236" s="344" t="s">
        <v>102</v>
      </c>
      <c r="L236" s="344" t="s">
        <v>207</v>
      </c>
      <c r="M236" s="344" t="s">
        <v>198</v>
      </c>
      <c r="N236" s="346" t="s">
        <v>283</v>
      </c>
      <c r="O236" s="546" t="s">
        <v>133</v>
      </c>
      <c r="P236" s="348"/>
      <c r="Q236" s="473" t="b">
        <v>0</v>
      </c>
    </row>
    <row r="237">
      <c r="E237" s="341"/>
      <c r="F237" s="342"/>
      <c r="G237" s="343"/>
      <c r="H237" s="337" t="s">
        <v>285</v>
      </c>
      <c r="I237" s="349" t="s">
        <v>282</v>
      </c>
      <c r="J237" s="349">
        <f t="shared" ref="J237:M237" si="52">PARAMS(J236)</f>
        <v>4096</v>
      </c>
      <c r="K237" s="349">
        <f t="shared" si="52"/>
        <v>1</v>
      </c>
      <c r="L237" s="349">
        <f t="shared" si="52"/>
        <v>128</v>
      </c>
      <c r="M237" s="349">
        <f t="shared" si="52"/>
        <v>512</v>
      </c>
      <c r="N237" s="349" t="s">
        <v>283</v>
      </c>
      <c r="O237" s="350"/>
      <c r="P237" s="351">
        <f>SIZEOF_IN_MIB(J237:M237, $O236)</f>
        <v>512</v>
      </c>
      <c r="Q237" s="350"/>
    </row>
    <row r="238">
      <c r="E238" s="341"/>
      <c r="F238" s="342"/>
      <c r="G238" s="343"/>
      <c r="H238" s="346" t="s">
        <v>287</v>
      </c>
      <c r="I238" s="346" t="s">
        <v>282</v>
      </c>
      <c r="J238" s="344" t="s">
        <v>196</v>
      </c>
      <c r="K238" s="344"/>
      <c r="L238" s="344"/>
      <c r="M238" s="346"/>
      <c r="N238" s="346" t="s">
        <v>283</v>
      </c>
      <c r="O238" s="347"/>
      <c r="P238" s="348"/>
      <c r="Q238" s="347"/>
    </row>
    <row r="239">
      <c r="E239" s="341"/>
      <c r="F239" s="353"/>
      <c r="G239" s="354"/>
      <c r="H239" s="349" t="s">
        <v>289</v>
      </c>
      <c r="I239" s="349" t="s">
        <v>282</v>
      </c>
      <c r="J239" s="349">
        <f t="shared" ref="J239:M239" si="53">J237/SHARDING(J238)</f>
        <v>256</v>
      </c>
      <c r="K239" s="349">
        <f t="shared" si="53"/>
        <v>1</v>
      </c>
      <c r="L239" s="349">
        <f t="shared" si="53"/>
        <v>128</v>
      </c>
      <c r="M239" s="349">
        <f t="shared" si="53"/>
        <v>512</v>
      </c>
      <c r="N239" s="349" t="s">
        <v>283</v>
      </c>
      <c r="O239" s="316"/>
      <c r="P239" s="351">
        <f>SIZEOF_IN_MIB(J239:M239, $O236)</f>
        <v>32</v>
      </c>
      <c r="Q239" s="316"/>
    </row>
    <row r="240">
      <c r="E240" s="341"/>
      <c r="F240" s="474" t="s">
        <v>335</v>
      </c>
      <c r="G240" s="459" t="s">
        <v>109</v>
      </c>
      <c r="H240" s="497"/>
      <c r="I240" s="498"/>
      <c r="J240" s="345"/>
      <c r="K240" s="345"/>
      <c r="L240" s="346"/>
      <c r="M240" s="346"/>
      <c r="N240" s="346"/>
      <c r="O240" s="345"/>
      <c r="P240" s="348"/>
      <c r="Q240" s="379"/>
    </row>
    <row r="241">
      <c r="E241" s="341"/>
      <c r="F241" s="352"/>
      <c r="G241" s="459"/>
      <c r="H241" s="349"/>
      <c r="I241" s="492"/>
      <c r="J241" s="336"/>
      <c r="K241" s="336"/>
      <c r="L241" s="349"/>
      <c r="M241" s="349"/>
      <c r="N241" s="349"/>
      <c r="O241" s="336"/>
      <c r="P241" s="351"/>
      <c r="Q241" s="298"/>
    </row>
    <row r="242">
      <c r="E242" s="341"/>
      <c r="F242" s="458" t="s">
        <v>327</v>
      </c>
      <c r="G242" s="459" t="s">
        <v>328</v>
      </c>
      <c r="H242" s="346" t="str">
        <f>VLOOKUP(O228&amp;","&amp;O232,$T$2:$W$11,4, FALSE)</f>
        <v>bf16</v>
      </c>
      <c r="I242" s="493"/>
      <c r="J242" s="345"/>
      <c r="K242" s="345"/>
      <c r="L242" s="346"/>
      <c r="M242" s="346"/>
      <c r="N242" s="346"/>
      <c r="O242" s="345"/>
      <c r="P242" s="348"/>
      <c r="Q242" s="379"/>
    </row>
    <row r="243">
      <c r="E243" s="341"/>
      <c r="F243" s="341"/>
      <c r="G243" s="455" t="s">
        <v>341</v>
      </c>
      <c r="H243" s="494" t="str">
        <f>CALCULATE_FLOPS(J231:M231,J235:M235,L235,J235,H242)</f>
        <v>#N/A</v>
      </c>
      <c r="I243" s="492"/>
      <c r="J243" s="336"/>
      <c r="K243" s="336"/>
      <c r="L243" s="349"/>
      <c r="M243" s="349"/>
      <c r="N243" s="349"/>
      <c r="O243" s="336"/>
      <c r="P243" s="351"/>
      <c r="Q243" s="298"/>
    </row>
    <row r="244">
      <c r="E244" s="341"/>
      <c r="F244" s="352"/>
      <c r="G244" s="462" t="s">
        <v>330</v>
      </c>
      <c r="H244" s="495" t="str">
        <f>COMPUTE_TIME_MS(H243, H242)</f>
        <v>#N/A</v>
      </c>
      <c r="I244" s="464"/>
      <c r="J244" s="465"/>
      <c r="K244" s="465"/>
      <c r="L244" s="466"/>
      <c r="M244" s="466"/>
      <c r="N244" s="466"/>
      <c r="O244" s="465"/>
      <c r="P244" s="467"/>
      <c r="Q244" s="379"/>
    </row>
    <row r="245">
      <c r="E245" s="341"/>
      <c r="F245" s="458" t="s">
        <v>331</v>
      </c>
      <c r="G245" s="455" t="s">
        <v>332</v>
      </c>
      <c r="H245" s="377">
        <f>IF(Q228,0,P231)+IF(Q232,0,P235)+IF(Q236,0,P239)</f>
        <v>32</v>
      </c>
      <c r="I245" s="336"/>
      <c r="J245" s="336"/>
      <c r="K245" s="336"/>
      <c r="L245" s="349"/>
      <c r="M245" s="349"/>
      <c r="N245" s="349"/>
      <c r="O245" s="336"/>
      <c r="P245" s="351"/>
      <c r="Q245" s="298"/>
    </row>
    <row r="246">
      <c r="E246" s="352"/>
      <c r="F246" s="352"/>
      <c r="G246" s="469" t="s">
        <v>333</v>
      </c>
      <c r="H246" s="547">
        <f>HBM_TIME_MS(H245)</f>
        <v>0.01068010936</v>
      </c>
      <c r="I246" s="465"/>
      <c r="J246" s="465"/>
      <c r="K246" s="465"/>
      <c r="L246" s="466"/>
      <c r="M246" s="466"/>
      <c r="N246" s="466"/>
      <c r="O246" s="465"/>
      <c r="P246" s="467"/>
      <c r="Q246" s="379"/>
    </row>
    <row r="247">
      <c r="E247" s="333" t="s">
        <v>351</v>
      </c>
      <c r="F247" s="357" t="s">
        <v>292</v>
      </c>
      <c r="G247" s="335"/>
      <c r="H247" s="336" t="s">
        <v>281</v>
      </c>
      <c r="I247" s="336" t="s">
        <v>282</v>
      </c>
      <c r="J247" s="337" t="s">
        <v>104</v>
      </c>
      <c r="K247" s="337" t="s">
        <v>102</v>
      </c>
      <c r="L247" s="337" t="s">
        <v>207</v>
      </c>
      <c r="M247" s="499" t="s">
        <v>198</v>
      </c>
      <c r="N247" s="336" t="s">
        <v>283</v>
      </c>
      <c r="O247" s="338" t="s">
        <v>125</v>
      </c>
      <c r="P247" s="351"/>
      <c r="Q247" s="338" t="b">
        <v>0</v>
      </c>
    </row>
    <row r="248">
      <c r="E248" s="341"/>
      <c r="F248" s="342"/>
      <c r="G248" s="343"/>
      <c r="H248" s="344" t="s">
        <v>285</v>
      </c>
      <c r="I248" s="345" t="s">
        <v>282</v>
      </c>
      <c r="J248" s="346">
        <f t="shared" ref="J248:M248" si="54">PARAMS(J247)</f>
        <v>4096</v>
      </c>
      <c r="K248" s="345">
        <f t="shared" si="54"/>
        <v>1</v>
      </c>
      <c r="L248" s="345">
        <f t="shared" si="54"/>
        <v>128</v>
      </c>
      <c r="M248" s="345">
        <f t="shared" si="54"/>
        <v>512</v>
      </c>
      <c r="N248" s="345" t="s">
        <v>283</v>
      </c>
      <c r="O248" s="347"/>
      <c r="P248" s="348">
        <f>SIZEOF_IN_MIB(J248:M248, $O247)</f>
        <v>256</v>
      </c>
      <c r="Q248" s="347"/>
    </row>
    <row r="249">
      <c r="E249" s="341"/>
      <c r="F249" s="342"/>
      <c r="G249" s="343"/>
      <c r="H249" s="349" t="s">
        <v>287</v>
      </c>
      <c r="I249" s="349" t="s">
        <v>282</v>
      </c>
      <c r="J249" s="337" t="s">
        <v>196</v>
      </c>
      <c r="K249" s="337"/>
      <c r="L249" s="337"/>
      <c r="M249" s="349"/>
      <c r="N249" s="349" t="s">
        <v>283</v>
      </c>
      <c r="O249" s="350"/>
      <c r="P249" s="351"/>
      <c r="Q249" s="350"/>
    </row>
    <row r="250">
      <c r="E250" s="341"/>
      <c r="F250" s="353"/>
      <c r="G250" s="354"/>
      <c r="H250" s="344" t="s">
        <v>289</v>
      </c>
      <c r="I250" s="346" t="s">
        <v>282</v>
      </c>
      <c r="J250" s="346">
        <f t="shared" ref="J250:M250" si="55">J248/SHARDING(J249)</f>
        <v>256</v>
      </c>
      <c r="K250" s="346">
        <f t="shared" si="55"/>
        <v>1</v>
      </c>
      <c r="L250" s="346">
        <f t="shared" si="55"/>
        <v>128</v>
      </c>
      <c r="M250" s="346">
        <f t="shared" si="55"/>
        <v>512</v>
      </c>
      <c r="N250" s="346" t="s">
        <v>283</v>
      </c>
      <c r="O250" s="355"/>
      <c r="P250" s="348">
        <f>SIZEOF_IN_MIB(J250:M250, $O247)</f>
        <v>16</v>
      </c>
      <c r="Q250" s="355"/>
    </row>
    <row r="251">
      <c r="E251" s="341"/>
      <c r="F251" s="334" t="s">
        <v>296</v>
      </c>
      <c r="G251" s="335"/>
      <c r="H251" s="349" t="s">
        <v>281</v>
      </c>
      <c r="I251" s="349" t="s">
        <v>282</v>
      </c>
      <c r="J251" s="336"/>
      <c r="K251" s="337" t="s">
        <v>207</v>
      </c>
      <c r="L251" s="337" t="s">
        <v>201</v>
      </c>
      <c r="M251" s="499" t="s">
        <v>198</v>
      </c>
      <c r="N251" s="349" t="s">
        <v>283</v>
      </c>
      <c r="O251" s="338" t="s">
        <v>125</v>
      </c>
      <c r="P251" s="351"/>
      <c r="Q251" s="338" t="b">
        <v>0</v>
      </c>
    </row>
    <row r="252">
      <c r="E252" s="341"/>
      <c r="F252" s="342"/>
      <c r="G252" s="343"/>
      <c r="H252" s="344" t="s">
        <v>285</v>
      </c>
      <c r="I252" s="346" t="s">
        <v>282</v>
      </c>
      <c r="J252" s="345"/>
      <c r="K252" s="346">
        <f t="shared" ref="K252:M252" si="56">PARAMS(K251)</f>
        <v>128</v>
      </c>
      <c r="L252" s="346">
        <f t="shared" si="56"/>
        <v>128</v>
      </c>
      <c r="M252" s="346">
        <f t="shared" si="56"/>
        <v>512</v>
      </c>
      <c r="N252" s="346" t="s">
        <v>283</v>
      </c>
      <c r="O252" s="347"/>
      <c r="P252" s="348">
        <f>SIZEOF_IN_MIB(J252:M252, $O251)</f>
        <v>8</v>
      </c>
      <c r="Q252" s="347"/>
    </row>
    <row r="253">
      <c r="E253" s="341"/>
      <c r="F253" s="342"/>
      <c r="G253" s="343"/>
      <c r="H253" s="349" t="s">
        <v>287</v>
      </c>
      <c r="I253" s="349" t="s">
        <v>282</v>
      </c>
      <c r="J253" s="336"/>
      <c r="K253" s="336"/>
      <c r="L253" s="349"/>
      <c r="M253" s="349"/>
      <c r="N253" s="349" t="s">
        <v>283</v>
      </c>
      <c r="O253" s="350"/>
      <c r="P253" s="351"/>
      <c r="Q253" s="350"/>
    </row>
    <row r="254">
      <c r="E254" s="341"/>
      <c r="F254" s="353"/>
      <c r="G254" s="354"/>
      <c r="H254" s="346" t="s">
        <v>289</v>
      </c>
      <c r="I254" s="346" t="s">
        <v>282</v>
      </c>
      <c r="J254" s="345"/>
      <c r="K254" s="346">
        <f t="shared" ref="K254:M254" si="57">K252/SHARDING(K253)</f>
        <v>128</v>
      </c>
      <c r="L254" s="346">
        <f t="shared" si="57"/>
        <v>128</v>
      </c>
      <c r="M254" s="346">
        <f t="shared" si="57"/>
        <v>512</v>
      </c>
      <c r="N254" s="346" t="s">
        <v>283</v>
      </c>
      <c r="O254" s="355"/>
      <c r="P254" s="348">
        <f>SIZEOF_IN_MIB(J254:M254, $O251)</f>
        <v>8</v>
      </c>
      <c r="Q254" s="355"/>
    </row>
    <row r="255">
      <c r="E255" s="341"/>
      <c r="F255" s="334" t="s">
        <v>56</v>
      </c>
      <c r="G255" s="335"/>
      <c r="H255" s="349" t="s">
        <v>281</v>
      </c>
      <c r="I255" s="349" t="s">
        <v>282</v>
      </c>
      <c r="J255" s="337" t="s">
        <v>104</v>
      </c>
      <c r="K255" s="337" t="s">
        <v>102</v>
      </c>
      <c r="L255" s="337" t="s">
        <v>207</v>
      </c>
      <c r="M255" s="337" t="s">
        <v>201</v>
      </c>
      <c r="N255" s="349" t="s">
        <v>283</v>
      </c>
      <c r="O255" s="338" t="s">
        <v>133</v>
      </c>
      <c r="P255" s="351"/>
      <c r="Q255" s="338" t="b">
        <v>0</v>
      </c>
    </row>
    <row r="256">
      <c r="E256" s="341"/>
      <c r="F256" s="342"/>
      <c r="G256" s="343"/>
      <c r="H256" s="344" t="s">
        <v>285</v>
      </c>
      <c r="I256" s="346" t="s">
        <v>282</v>
      </c>
      <c r="J256" s="346">
        <f t="shared" ref="J256:M256" si="58">PARAMS(J255)</f>
        <v>4096</v>
      </c>
      <c r="K256" s="346">
        <f t="shared" si="58"/>
        <v>1</v>
      </c>
      <c r="L256" s="346">
        <f t="shared" si="58"/>
        <v>128</v>
      </c>
      <c r="M256" s="346">
        <f t="shared" si="58"/>
        <v>128</v>
      </c>
      <c r="N256" s="346" t="s">
        <v>283</v>
      </c>
      <c r="O256" s="347"/>
      <c r="P256" s="348">
        <f>SIZEOF_IN_MIB(J256:M256, $O255)</f>
        <v>128</v>
      </c>
      <c r="Q256" s="347"/>
    </row>
    <row r="257">
      <c r="E257" s="341"/>
      <c r="F257" s="342"/>
      <c r="G257" s="343"/>
      <c r="H257" s="349" t="s">
        <v>287</v>
      </c>
      <c r="I257" s="349" t="s">
        <v>282</v>
      </c>
      <c r="J257" s="337" t="s">
        <v>196</v>
      </c>
      <c r="K257" s="337"/>
      <c r="L257" s="337"/>
      <c r="M257" s="349"/>
      <c r="N257" s="349" t="s">
        <v>283</v>
      </c>
      <c r="O257" s="350"/>
      <c r="P257" s="351"/>
      <c r="Q257" s="350"/>
    </row>
    <row r="258">
      <c r="E258" s="341"/>
      <c r="F258" s="353"/>
      <c r="G258" s="354"/>
      <c r="H258" s="346" t="s">
        <v>289</v>
      </c>
      <c r="I258" s="346" t="s">
        <v>282</v>
      </c>
      <c r="J258" s="346">
        <f t="shared" ref="J258:M258" si="59">J256/SHARDING(J257)</f>
        <v>256</v>
      </c>
      <c r="K258" s="346">
        <f t="shared" si="59"/>
        <v>1</v>
      </c>
      <c r="L258" s="346">
        <f t="shared" si="59"/>
        <v>128</v>
      </c>
      <c r="M258" s="346">
        <f t="shared" si="59"/>
        <v>128</v>
      </c>
      <c r="N258" s="346" t="s">
        <v>283</v>
      </c>
      <c r="O258" s="355"/>
      <c r="P258" s="348">
        <f>SIZEOF_IN_MIB(J258:M258, $O255)</f>
        <v>8</v>
      </c>
      <c r="Q258" s="355"/>
    </row>
    <row r="259">
      <c r="E259" s="341"/>
      <c r="F259" s="474" t="s">
        <v>335</v>
      </c>
      <c r="G259" s="459" t="s">
        <v>109</v>
      </c>
      <c r="H259" s="548"/>
      <c r="I259" s="549"/>
      <c r="J259" s="336"/>
      <c r="K259" s="336"/>
      <c r="L259" s="349"/>
      <c r="M259" s="349"/>
      <c r="N259" s="349"/>
      <c r="O259" s="336"/>
      <c r="P259" s="351"/>
      <c r="Q259" s="298"/>
    </row>
    <row r="260">
      <c r="E260" s="341"/>
      <c r="F260" s="352"/>
      <c r="G260" s="459"/>
      <c r="H260" s="346"/>
      <c r="I260" s="493"/>
      <c r="J260" s="345"/>
      <c r="K260" s="345"/>
      <c r="L260" s="346"/>
      <c r="M260" s="346"/>
      <c r="N260" s="346"/>
      <c r="O260" s="345"/>
      <c r="P260" s="348"/>
      <c r="Q260" s="379"/>
    </row>
    <row r="261">
      <c r="E261" s="341"/>
      <c r="F261" s="458" t="s">
        <v>327</v>
      </c>
      <c r="G261" s="459" t="s">
        <v>328</v>
      </c>
      <c r="H261" s="349" t="str">
        <f>VLOOKUP(O247&amp;","&amp;O251,$T$2:$W$11,4, FALSE)</f>
        <v>fp8</v>
      </c>
      <c r="I261" s="492"/>
      <c r="J261" s="336"/>
      <c r="K261" s="336"/>
      <c r="L261" s="349"/>
      <c r="M261" s="349"/>
      <c r="N261" s="349"/>
      <c r="O261" s="336"/>
      <c r="P261" s="351"/>
      <c r="Q261" s="298"/>
    </row>
    <row r="262">
      <c r="E262" s="341"/>
      <c r="F262" s="341"/>
      <c r="G262" s="455" t="s">
        <v>341</v>
      </c>
      <c r="H262" s="550" t="str">
        <f>CALCULATE_FLOPS(J250:M250,J254:M254,M254,K254,H261)</f>
        <v>#N/A</v>
      </c>
      <c r="I262" s="493"/>
      <c r="J262" s="345"/>
      <c r="K262" s="345"/>
      <c r="L262" s="346"/>
      <c r="M262" s="346"/>
      <c r="N262" s="346"/>
      <c r="O262" s="345"/>
      <c r="P262" s="348"/>
      <c r="Q262" s="379"/>
    </row>
    <row r="263">
      <c r="E263" s="341"/>
      <c r="F263" s="352"/>
      <c r="G263" s="462" t="s">
        <v>330</v>
      </c>
      <c r="H263" s="495" t="str">
        <f>COMPUTE_TIME_MS(H262, H261)</f>
        <v>#N/A</v>
      </c>
      <c r="I263" s="464"/>
      <c r="J263" s="465"/>
      <c r="K263" s="465"/>
      <c r="L263" s="466"/>
      <c r="M263" s="466"/>
      <c r="N263" s="466"/>
      <c r="O263" s="465"/>
      <c r="P263" s="467"/>
      <c r="Q263" s="298"/>
    </row>
    <row r="264">
      <c r="E264" s="341"/>
      <c r="F264" s="458" t="s">
        <v>331</v>
      </c>
      <c r="G264" s="455" t="s">
        <v>332</v>
      </c>
      <c r="H264" s="509">
        <f>IF(Q247,0,P250)+IF(Q251,0,P254)+IF(Q255,0,P258)</f>
        <v>32</v>
      </c>
      <c r="I264" s="345"/>
      <c r="J264" s="345"/>
      <c r="K264" s="345"/>
      <c r="L264" s="346"/>
      <c r="M264" s="346"/>
      <c r="N264" s="346"/>
      <c r="O264" s="345"/>
      <c r="P264" s="348"/>
      <c r="Q264" s="379"/>
    </row>
    <row r="265">
      <c r="E265" s="352"/>
      <c r="F265" s="352"/>
      <c r="G265" s="469" t="s">
        <v>333</v>
      </c>
      <c r="H265" s="500">
        <f>HBM_TIME_MS(H264)</f>
        <v>0.01068010936</v>
      </c>
      <c r="I265" s="465"/>
      <c r="J265" s="465"/>
      <c r="K265" s="465"/>
      <c r="L265" s="466"/>
      <c r="M265" s="466"/>
      <c r="N265" s="466"/>
      <c r="O265" s="465"/>
      <c r="P265" s="467"/>
      <c r="Q265" s="298"/>
    </row>
    <row r="266">
      <c r="E266" s="333" t="s">
        <v>355</v>
      </c>
      <c r="F266" s="357" t="s">
        <v>292</v>
      </c>
      <c r="G266" s="335"/>
      <c r="H266" s="345" t="s">
        <v>281</v>
      </c>
      <c r="I266" s="345" t="s">
        <v>282</v>
      </c>
      <c r="J266" s="344" t="s">
        <v>104</v>
      </c>
      <c r="K266" s="344" t="s">
        <v>102</v>
      </c>
      <c r="L266" s="556" t="s">
        <v>207</v>
      </c>
      <c r="M266" s="556" t="s">
        <v>201</v>
      </c>
      <c r="N266" s="345" t="s">
        <v>283</v>
      </c>
      <c r="O266" s="473" t="s">
        <v>125</v>
      </c>
      <c r="P266" s="348"/>
      <c r="Q266" s="473" t="b">
        <v>0</v>
      </c>
    </row>
    <row r="267">
      <c r="E267" s="341"/>
      <c r="F267" s="342"/>
      <c r="G267" s="343"/>
      <c r="H267" s="337" t="s">
        <v>285</v>
      </c>
      <c r="I267" s="336" t="s">
        <v>282</v>
      </c>
      <c r="J267" s="349">
        <f t="shared" ref="J267:M267" si="60">PARAMS(J266)</f>
        <v>4096</v>
      </c>
      <c r="K267" s="336">
        <f t="shared" si="60"/>
        <v>1</v>
      </c>
      <c r="L267" s="336">
        <f t="shared" si="60"/>
        <v>128</v>
      </c>
      <c r="M267" s="336">
        <f t="shared" si="60"/>
        <v>128</v>
      </c>
      <c r="N267" s="336" t="s">
        <v>283</v>
      </c>
      <c r="O267" s="350"/>
      <c r="P267" s="351">
        <f>SIZEOF_IN_MIB(J267:M267, $O266)</f>
        <v>64</v>
      </c>
      <c r="Q267" s="350"/>
    </row>
    <row r="268">
      <c r="E268" s="341"/>
      <c r="F268" s="342"/>
      <c r="G268" s="343"/>
      <c r="H268" s="346" t="s">
        <v>287</v>
      </c>
      <c r="I268" s="346" t="s">
        <v>282</v>
      </c>
      <c r="J268" s="344" t="s">
        <v>196</v>
      </c>
      <c r="K268" s="344"/>
      <c r="L268" s="344"/>
      <c r="M268" s="346"/>
      <c r="N268" s="346" t="s">
        <v>283</v>
      </c>
      <c r="O268" s="347"/>
      <c r="P268" s="348"/>
      <c r="Q268" s="347"/>
    </row>
    <row r="269">
      <c r="E269" s="341"/>
      <c r="F269" s="353"/>
      <c r="G269" s="354"/>
      <c r="H269" s="337" t="s">
        <v>289</v>
      </c>
      <c r="I269" s="349" t="s">
        <v>282</v>
      </c>
      <c r="J269" s="349">
        <f t="shared" ref="J269:M269" si="61">J267/SHARDING(J268)</f>
        <v>256</v>
      </c>
      <c r="K269" s="349">
        <f t="shared" si="61"/>
        <v>1</v>
      </c>
      <c r="L269" s="349">
        <f t="shared" si="61"/>
        <v>128</v>
      </c>
      <c r="M269" s="349">
        <f t="shared" si="61"/>
        <v>128</v>
      </c>
      <c r="N269" s="349" t="s">
        <v>283</v>
      </c>
      <c r="O269" s="316"/>
      <c r="P269" s="351">
        <f>SIZEOF_IN_MIB(J269:M269, $O266)</f>
        <v>4</v>
      </c>
      <c r="Q269" s="316"/>
    </row>
    <row r="270">
      <c r="E270" s="341"/>
      <c r="F270" s="334" t="s">
        <v>296</v>
      </c>
      <c r="G270" s="335"/>
      <c r="H270" s="346" t="s">
        <v>281</v>
      </c>
      <c r="I270" s="346" t="s">
        <v>282</v>
      </c>
      <c r="J270" s="345"/>
      <c r="K270" s="556" t="s">
        <v>207</v>
      </c>
      <c r="L270" s="556" t="s">
        <v>201</v>
      </c>
      <c r="M270" s="344" t="s">
        <v>178</v>
      </c>
      <c r="N270" s="346" t="s">
        <v>283</v>
      </c>
      <c r="O270" s="473" t="s">
        <v>125</v>
      </c>
      <c r="P270" s="348"/>
      <c r="Q270" s="473" t="b">
        <v>0</v>
      </c>
    </row>
    <row r="271">
      <c r="E271" s="341"/>
      <c r="F271" s="342"/>
      <c r="G271" s="343"/>
      <c r="H271" s="337" t="s">
        <v>285</v>
      </c>
      <c r="I271" s="349" t="s">
        <v>282</v>
      </c>
      <c r="J271" s="336"/>
      <c r="K271" s="349">
        <f t="shared" ref="K271:M271" si="62">PARAMS(K270)</f>
        <v>128</v>
      </c>
      <c r="L271" s="349">
        <f t="shared" si="62"/>
        <v>128</v>
      </c>
      <c r="M271" s="349">
        <f t="shared" si="62"/>
        <v>7168</v>
      </c>
      <c r="N271" s="349" t="s">
        <v>283</v>
      </c>
      <c r="O271" s="350"/>
      <c r="P271" s="351">
        <f>SIZEOF_IN_MIB(J271:M271, $O270)</f>
        <v>112</v>
      </c>
      <c r="Q271" s="350"/>
    </row>
    <row r="272">
      <c r="E272" s="341"/>
      <c r="F272" s="342"/>
      <c r="G272" s="343"/>
      <c r="H272" s="346" t="s">
        <v>287</v>
      </c>
      <c r="I272" s="346" t="s">
        <v>282</v>
      </c>
      <c r="J272" s="345"/>
      <c r="K272" s="345"/>
      <c r="L272" s="346"/>
      <c r="M272" s="346"/>
      <c r="N272" s="346" t="s">
        <v>283</v>
      </c>
      <c r="O272" s="347"/>
      <c r="P272" s="348"/>
      <c r="Q272" s="347"/>
    </row>
    <row r="273">
      <c r="E273" s="341"/>
      <c r="F273" s="353"/>
      <c r="G273" s="354"/>
      <c r="H273" s="349" t="s">
        <v>289</v>
      </c>
      <c r="I273" s="349" t="s">
        <v>282</v>
      </c>
      <c r="J273" s="336"/>
      <c r="K273" s="349">
        <f t="shared" ref="K273:M273" si="63">K271/SHARDING(K272)</f>
        <v>128</v>
      </c>
      <c r="L273" s="349">
        <f t="shared" si="63"/>
        <v>128</v>
      </c>
      <c r="M273" s="349">
        <f t="shared" si="63"/>
        <v>7168</v>
      </c>
      <c r="N273" s="349" t="s">
        <v>283</v>
      </c>
      <c r="O273" s="316"/>
      <c r="P273" s="351">
        <f>SIZEOF_IN_MIB(J273:M273, $O270)</f>
        <v>112</v>
      </c>
      <c r="Q273" s="316"/>
    </row>
    <row r="274">
      <c r="E274" s="341"/>
      <c r="F274" s="334" t="s">
        <v>56</v>
      </c>
      <c r="G274" s="335"/>
      <c r="H274" s="346" t="s">
        <v>281</v>
      </c>
      <c r="I274" s="346" t="s">
        <v>282</v>
      </c>
      <c r="J274" s="345"/>
      <c r="K274" s="344" t="s">
        <v>104</v>
      </c>
      <c r="L274" s="344" t="s">
        <v>102</v>
      </c>
      <c r="M274" s="344" t="s">
        <v>178</v>
      </c>
      <c r="N274" s="346" t="s">
        <v>283</v>
      </c>
      <c r="O274" s="473" t="s">
        <v>133</v>
      </c>
      <c r="P274" s="348"/>
      <c r="Q274" s="473" t="b">
        <v>0</v>
      </c>
    </row>
    <row r="275">
      <c r="E275" s="341"/>
      <c r="F275" s="342"/>
      <c r="G275" s="343"/>
      <c r="H275" s="337" t="s">
        <v>285</v>
      </c>
      <c r="I275" s="349" t="s">
        <v>282</v>
      </c>
      <c r="J275" s="336"/>
      <c r="K275" s="349">
        <f t="shared" ref="K275:M275" si="64">PARAMS(K274)</f>
        <v>4096</v>
      </c>
      <c r="L275" s="349">
        <f t="shared" si="64"/>
        <v>1</v>
      </c>
      <c r="M275" s="349">
        <f t="shared" si="64"/>
        <v>7168</v>
      </c>
      <c r="N275" s="349" t="s">
        <v>283</v>
      </c>
      <c r="O275" s="350"/>
      <c r="P275" s="351">
        <f>SIZEOF_IN_MIB(K275:M275, $O274)</f>
        <v>56</v>
      </c>
      <c r="Q275" s="350"/>
    </row>
    <row r="276">
      <c r="E276" s="341"/>
      <c r="F276" s="342"/>
      <c r="G276" s="343"/>
      <c r="H276" s="346" t="s">
        <v>287</v>
      </c>
      <c r="I276" s="346" t="s">
        <v>282</v>
      </c>
      <c r="J276" s="345"/>
      <c r="K276" s="344" t="s">
        <v>196</v>
      </c>
      <c r="L276" s="344"/>
      <c r="M276" s="346"/>
      <c r="N276" s="346" t="s">
        <v>283</v>
      </c>
      <c r="O276" s="347"/>
      <c r="P276" s="348"/>
      <c r="Q276" s="347"/>
    </row>
    <row r="277">
      <c r="E277" s="341"/>
      <c r="F277" s="353"/>
      <c r="G277" s="354"/>
      <c r="H277" s="349" t="s">
        <v>289</v>
      </c>
      <c r="I277" s="349" t="s">
        <v>282</v>
      </c>
      <c r="J277" s="349"/>
      <c r="K277" s="349">
        <f t="shared" ref="K277:M277" si="65">K275/SHARDING(K276)</f>
        <v>256</v>
      </c>
      <c r="L277" s="349">
        <f t="shared" si="65"/>
        <v>1</v>
      </c>
      <c r="M277" s="349">
        <f t="shared" si="65"/>
        <v>7168</v>
      </c>
      <c r="N277" s="349" t="s">
        <v>283</v>
      </c>
      <c r="O277" s="316"/>
      <c r="P277" s="351">
        <f>SIZEOF_IN_MIB(K277:M277, $O274)</f>
        <v>3.5</v>
      </c>
      <c r="Q277" s="316"/>
    </row>
    <row r="278">
      <c r="E278" s="341"/>
      <c r="F278" s="474" t="s">
        <v>335</v>
      </c>
      <c r="G278" s="459" t="s">
        <v>109</v>
      </c>
      <c r="H278" s="497"/>
      <c r="I278" s="498"/>
      <c r="J278" s="345"/>
      <c r="K278" s="345"/>
      <c r="L278" s="346"/>
      <c r="M278" s="346"/>
      <c r="N278" s="346"/>
      <c r="O278" s="345"/>
      <c r="P278" s="348"/>
      <c r="Q278" s="379"/>
    </row>
    <row r="279">
      <c r="E279" s="341"/>
      <c r="F279" s="352"/>
      <c r="G279" s="459"/>
      <c r="H279" s="349"/>
      <c r="I279" s="492"/>
      <c r="J279" s="336"/>
      <c r="K279" s="336"/>
      <c r="L279" s="349"/>
      <c r="M279" s="349"/>
      <c r="N279" s="349"/>
      <c r="O279" s="336"/>
      <c r="P279" s="339"/>
      <c r="Q279" s="298"/>
    </row>
    <row r="280">
      <c r="E280" s="341"/>
      <c r="F280" s="458" t="s">
        <v>327</v>
      </c>
      <c r="G280" s="459" t="s">
        <v>328</v>
      </c>
      <c r="H280" s="346" t="str">
        <f>VLOOKUP(O266&amp;","&amp;O270,$T$2:$W$11,4, FALSE)</f>
        <v>fp8</v>
      </c>
      <c r="I280" s="493"/>
      <c r="J280" s="345"/>
      <c r="K280" s="345"/>
      <c r="L280" s="346"/>
      <c r="M280" s="346"/>
      <c r="N280" s="346"/>
      <c r="O280" s="345"/>
      <c r="P280" s="578"/>
      <c r="Q280" s="379"/>
    </row>
    <row r="281">
      <c r="E281" s="341"/>
      <c r="F281" s="341"/>
      <c r="G281" s="455" t="s">
        <v>341</v>
      </c>
      <c r="H281" s="494" t="str">
        <f>CALCULATE_FLOPS(J269:M269,J273:M273,K273:L273,1,H280)</f>
        <v>#N/A</v>
      </c>
      <c r="I281" s="883" t="s">
        <v>359</v>
      </c>
      <c r="J281" s="336"/>
      <c r="K281" s="336"/>
      <c r="L281" s="349"/>
      <c r="M281" s="349"/>
      <c r="N281" s="349"/>
      <c r="O281" s="336"/>
      <c r="P281" s="339"/>
      <c r="Q281" s="298"/>
    </row>
    <row r="282">
      <c r="E282" s="341"/>
      <c r="F282" s="352"/>
      <c r="G282" s="462" t="s">
        <v>330</v>
      </c>
      <c r="H282" s="585" t="str">
        <f>COMPUTE_TIME_MS(H281, H280)</f>
        <v>#N/A</v>
      </c>
      <c r="I282" s="464"/>
      <c r="J282" s="465"/>
      <c r="K282" s="465"/>
      <c r="L282" s="466"/>
      <c r="M282" s="466"/>
      <c r="N282" s="466"/>
      <c r="O282" s="465"/>
      <c r="P282" s="586"/>
      <c r="Q282" s="379"/>
    </row>
    <row r="283">
      <c r="E283" s="341"/>
      <c r="F283" s="458" t="s">
        <v>331</v>
      </c>
      <c r="G283" s="455" t="s">
        <v>332</v>
      </c>
      <c r="H283" s="377">
        <f>IF(Q266,0,P269)+IF(Q270,0,P273)+IF(Q274,0,P277)</f>
        <v>119.5</v>
      </c>
      <c r="I283" s="336"/>
      <c r="J283" s="336"/>
      <c r="K283" s="336"/>
      <c r="L283" s="349"/>
      <c r="M283" s="349"/>
      <c r="N283" s="349"/>
      <c r="O283" s="336"/>
      <c r="P283" s="339"/>
      <c r="Q283" s="298"/>
    </row>
    <row r="284">
      <c r="E284" s="352"/>
      <c r="F284" s="352"/>
      <c r="G284" s="469" t="s">
        <v>333</v>
      </c>
      <c r="H284" s="547">
        <f>HBM_TIME_MS(H283)</f>
        <v>0.03988353341</v>
      </c>
      <c r="I284" s="465"/>
      <c r="J284" s="465"/>
      <c r="K284" s="465"/>
      <c r="L284" s="466"/>
      <c r="M284" s="466"/>
      <c r="N284" s="466"/>
      <c r="O284" s="465"/>
      <c r="P284" s="586"/>
      <c r="Q284" s="11"/>
    </row>
    <row r="288">
      <c r="E288" s="884" t="s">
        <v>360</v>
      </c>
      <c r="F288" s="11"/>
      <c r="G288" s="11"/>
      <c r="H288" s="11"/>
      <c r="I288" s="11"/>
      <c r="J288" s="11"/>
      <c r="K288" s="11"/>
      <c r="L288" s="11"/>
      <c r="M288" s="11"/>
      <c r="N288" s="11"/>
      <c r="O288" s="11"/>
      <c r="P288" s="11"/>
      <c r="Q288" s="11"/>
    </row>
    <row r="289">
      <c r="E289" s="324" t="s">
        <v>272</v>
      </c>
      <c r="F289" s="587" t="s">
        <v>273</v>
      </c>
      <c r="G289" s="326"/>
      <c r="H289" s="588"/>
      <c r="I289" s="325" t="s">
        <v>274</v>
      </c>
      <c r="J289" s="589"/>
      <c r="K289" s="589"/>
      <c r="L289" s="589"/>
      <c r="M289" s="589"/>
      <c r="N289" s="588"/>
      <c r="O289" s="328" t="s">
        <v>275</v>
      </c>
      <c r="P289" s="328" t="s">
        <v>361</v>
      </c>
      <c r="Q289" s="330" t="s">
        <v>277</v>
      </c>
    </row>
    <row r="290">
      <c r="E290" s="333" t="s">
        <v>362</v>
      </c>
      <c r="F290" s="590" t="s">
        <v>335</v>
      </c>
      <c r="G290" s="591" t="s">
        <v>363</v>
      </c>
      <c r="H290" s="592" t="s">
        <v>364</v>
      </c>
      <c r="I290" s="448"/>
      <c r="J290" s="448"/>
      <c r="K290" s="553"/>
      <c r="L290" s="553"/>
      <c r="M290" s="593"/>
      <c r="N290" s="448"/>
      <c r="O290" s="553"/>
      <c r="P290" s="448"/>
      <c r="Q290" s="553"/>
    </row>
    <row r="291">
      <c r="E291" s="341"/>
      <c r="F291" s="341"/>
      <c r="G291" s="371" t="s">
        <v>301</v>
      </c>
      <c r="H291" s="531" t="s">
        <v>281</v>
      </c>
      <c r="I291" s="336" t="s">
        <v>282</v>
      </c>
      <c r="J291" s="336"/>
      <c r="K291" s="337" t="s">
        <v>104</v>
      </c>
      <c r="L291" s="337" t="s">
        <v>212</v>
      </c>
      <c r="M291" s="358" t="s">
        <v>178</v>
      </c>
      <c r="N291" s="336" t="s">
        <v>283</v>
      </c>
      <c r="O291" s="338" t="s">
        <v>125</v>
      </c>
      <c r="P291" s="336"/>
      <c r="Q291" s="338"/>
    </row>
    <row r="292">
      <c r="E292" s="341"/>
      <c r="F292" s="341"/>
      <c r="G292" s="341"/>
      <c r="H292" s="378" t="s">
        <v>285</v>
      </c>
      <c r="I292" s="345" t="s">
        <v>282</v>
      </c>
      <c r="J292" s="346"/>
      <c r="K292" s="345">
        <f t="shared" ref="K292:M292" si="66">PARAMS(K291)</f>
        <v>4096</v>
      </c>
      <c r="L292" s="345">
        <f t="shared" si="66"/>
        <v>8</v>
      </c>
      <c r="M292" s="345">
        <f t="shared" si="66"/>
        <v>7168</v>
      </c>
      <c r="N292" s="345" t="s">
        <v>283</v>
      </c>
      <c r="O292" s="347"/>
      <c r="P292" s="509">
        <f>SIZEOF_IN_MIB(J292:M292, O291)</f>
        <v>224</v>
      </c>
      <c r="Q292" s="347"/>
    </row>
    <row r="293">
      <c r="E293" s="341"/>
      <c r="F293" s="341"/>
      <c r="G293" s="341"/>
      <c r="H293" s="376" t="s">
        <v>302</v>
      </c>
      <c r="I293" s="349" t="s">
        <v>282</v>
      </c>
      <c r="J293" s="336"/>
      <c r="K293" s="337" t="s">
        <v>196</v>
      </c>
      <c r="L293" s="337"/>
      <c r="M293" s="337"/>
      <c r="N293" s="349" t="s">
        <v>283</v>
      </c>
      <c r="O293" s="350"/>
      <c r="P293" s="377"/>
      <c r="Q293" s="350"/>
    </row>
    <row r="294">
      <c r="E294" s="341"/>
      <c r="F294" s="341"/>
      <c r="G294" s="341"/>
      <c r="H294" s="378" t="s">
        <v>303</v>
      </c>
      <c r="I294" s="346" t="s">
        <v>282</v>
      </c>
      <c r="J294" s="345"/>
      <c r="K294" s="346">
        <f t="shared" ref="K294:M294" si="67">K292/SHARDING(K293)</f>
        <v>256</v>
      </c>
      <c r="L294" s="346">
        <f t="shared" si="67"/>
        <v>8</v>
      </c>
      <c r="M294" s="346">
        <f t="shared" si="67"/>
        <v>7168</v>
      </c>
      <c r="N294" s="344" t="s">
        <v>283</v>
      </c>
      <c r="O294" s="347"/>
      <c r="P294" s="509"/>
      <c r="Q294" s="347"/>
    </row>
    <row r="295">
      <c r="E295" s="341"/>
      <c r="F295" s="341"/>
      <c r="G295" s="352"/>
      <c r="H295" s="376" t="s">
        <v>304</v>
      </c>
      <c r="I295" s="349" t="s">
        <v>282</v>
      </c>
      <c r="J295" s="336"/>
      <c r="K295" s="337" t="s">
        <v>196</v>
      </c>
      <c r="L295" s="337"/>
      <c r="M295" s="337"/>
      <c r="N295" s="349" t="s">
        <v>283</v>
      </c>
      <c r="O295" s="316"/>
      <c r="P295" s="377">
        <f>SIZEOF_IN_MIB(J294:M294, O291)</f>
        <v>14</v>
      </c>
      <c r="Q295" s="316"/>
    </row>
    <row r="296">
      <c r="E296" s="341"/>
      <c r="F296" s="341"/>
      <c r="G296" s="594" t="s">
        <v>608</v>
      </c>
      <c r="H296" s="715">
        <f>P292</f>
        <v>224</v>
      </c>
      <c r="I296" s="379"/>
      <c r="J296" s="379"/>
      <c r="K296" s="379"/>
      <c r="L296" s="379"/>
      <c r="M296" s="379"/>
      <c r="N296" s="379"/>
      <c r="O296" s="379"/>
      <c r="P296" s="596"/>
      <c r="Q296" s="379"/>
    </row>
    <row r="297">
      <c r="E297" s="341"/>
      <c r="F297" s="341"/>
      <c r="G297" s="599" t="s">
        <v>609</v>
      </c>
      <c r="H297" s="885" t="str">
        <f>ALL2ALL_CHIP2CHIP_TIME_MS(H296)</f>
        <v>#N/A</v>
      </c>
      <c r="I297" s="298"/>
      <c r="J297" s="298"/>
      <c r="K297" s="298"/>
      <c r="L297" s="298"/>
      <c r="M297" s="298"/>
      <c r="N297" s="298"/>
      <c r="O297" s="298"/>
      <c r="P297" s="598"/>
      <c r="Q297" s="298"/>
    </row>
    <row r="298">
      <c r="E298" s="341"/>
      <c r="F298" s="341"/>
      <c r="G298" s="601"/>
      <c r="H298" s="517"/>
      <c r="I298" s="346"/>
      <c r="J298" s="345"/>
      <c r="K298" s="344"/>
      <c r="L298" s="556"/>
      <c r="M298" s="344"/>
      <c r="N298" s="346"/>
      <c r="O298" s="344"/>
      <c r="P298" s="509"/>
      <c r="Q298" s="344"/>
    </row>
    <row r="299">
      <c r="E299" s="341"/>
      <c r="F299" s="341"/>
      <c r="G299" s="591" t="s">
        <v>368</v>
      </c>
      <c r="H299" s="603" t="s">
        <v>622</v>
      </c>
      <c r="I299" s="449"/>
      <c r="J299" s="448"/>
      <c r="K299" s="553"/>
      <c r="L299" s="446"/>
      <c r="M299" s="553"/>
      <c r="N299" s="449"/>
      <c r="O299" s="553"/>
      <c r="P299" s="604"/>
      <c r="Q299" s="553"/>
    </row>
    <row r="300">
      <c r="E300" s="341"/>
      <c r="F300" s="341"/>
      <c r="G300" s="371" t="s">
        <v>301</v>
      </c>
      <c r="H300" s="517" t="s">
        <v>281</v>
      </c>
      <c r="I300" s="346" t="s">
        <v>282</v>
      </c>
      <c r="J300" s="345"/>
      <c r="K300" s="344" t="s">
        <v>104</v>
      </c>
      <c r="L300" s="556" t="s">
        <v>102</v>
      </c>
      <c r="M300" s="344" t="s">
        <v>178</v>
      </c>
      <c r="N300" s="346" t="s">
        <v>283</v>
      </c>
      <c r="O300" s="473" t="s">
        <v>125</v>
      </c>
      <c r="P300" s="509"/>
      <c r="Q300" s="473"/>
    </row>
    <row r="301">
      <c r="E301" s="341"/>
      <c r="F301" s="341"/>
      <c r="G301" s="341"/>
      <c r="H301" s="376" t="s">
        <v>285</v>
      </c>
      <c r="I301" s="349" t="s">
        <v>282</v>
      </c>
      <c r="J301" s="336"/>
      <c r="K301" s="349">
        <f t="shared" ref="K301:M301" si="68">PARAMS(K300)</f>
        <v>4096</v>
      </c>
      <c r="L301" s="349">
        <f t="shared" si="68"/>
        <v>1</v>
      </c>
      <c r="M301" s="349">
        <f t="shared" si="68"/>
        <v>7168</v>
      </c>
      <c r="N301" s="349" t="s">
        <v>283</v>
      </c>
      <c r="O301" s="350"/>
      <c r="P301" s="377">
        <f>SIZEOF_IN_MIB(J301:M301, O300)</f>
        <v>28</v>
      </c>
      <c r="Q301" s="350"/>
    </row>
    <row r="302">
      <c r="E302" s="341"/>
      <c r="F302" s="341"/>
      <c r="G302" s="341"/>
      <c r="H302" s="378" t="s">
        <v>302</v>
      </c>
      <c r="I302" s="346" t="s">
        <v>282</v>
      </c>
      <c r="J302" s="345"/>
      <c r="K302" s="344" t="s">
        <v>196</v>
      </c>
      <c r="L302" s="344"/>
      <c r="M302" s="344"/>
      <c r="N302" s="346" t="s">
        <v>283</v>
      </c>
      <c r="O302" s="347"/>
      <c r="P302" s="509"/>
      <c r="Q302" s="347"/>
    </row>
    <row r="303">
      <c r="E303" s="341"/>
      <c r="F303" s="341"/>
      <c r="G303" s="341"/>
      <c r="H303" s="602" t="s">
        <v>289</v>
      </c>
      <c r="I303" s="349" t="s">
        <v>282</v>
      </c>
      <c r="J303" s="336"/>
      <c r="K303" s="349">
        <f t="shared" ref="K303:M303" si="69">K301/SHARDING(K302)</f>
        <v>256</v>
      </c>
      <c r="L303" s="349">
        <f t="shared" si="69"/>
        <v>1</v>
      </c>
      <c r="M303" s="349">
        <f t="shared" si="69"/>
        <v>7168</v>
      </c>
      <c r="N303" s="349" t="s">
        <v>283</v>
      </c>
      <c r="O303" s="350"/>
      <c r="P303" s="377">
        <f>SIZEOF_IN_MIB(J303:M303, O300)</f>
        <v>1.75</v>
      </c>
      <c r="Q303" s="316"/>
    </row>
    <row r="304">
      <c r="E304" s="341"/>
      <c r="F304" s="341"/>
      <c r="G304" s="352"/>
      <c r="H304" s="610" t="s">
        <v>304</v>
      </c>
      <c r="I304" s="346" t="s">
        <v>282</v>
      </c>
      <c r="J304" s="379"/>
      <c r="K304" s="379"/>
      <c r="L304" s="379"/>
      <c r="M304" s="344"/>
      <c r="N304" s="346" t="s">
        <v>283</v>
      </c>
      <c r="O304" s="355"/>
      <c r="P304" s="596"/>
      <c r="Q304" s="379"/>
    </row>
    <row r="305">
      <c r="E305" s="341"/>
      <c r="F305" s="341"/>
      <c r="G305" s="385" t="s">
        <v>306</v>
      </c>
      <c r="H305" s="886">
        <f>SHARDING(K302)</f>
        <v>16</v>
      </c>
      <c r="I305" s="298"/>
      <c r="J305" s="298"/>
      <c r="K305" s="298"/>
      <c r="L305" s="298"/>
      <c r="M305" s="298"/>
      <c r="N305" s="298"/>
      <c r="O305" s="298"/>
      <c r="P305" s="598"/>
      <c r="Q305" s="298"/>
    </row>
    <row r="306">
      <c r="E306" s="341"/>
      <c r="F306" s="341"/>
      <c r="G306" s="385" t="s">
        <v>307</v>
      </c>
      <c r="H306" s="395">
        <f>P303 * (H305-1)</f>
        <v>26.25</v>
      </c>
      <c r="I306" s="379"/>
      <c r="J306" s="379"/>
      <c r="K306" s="379"/>
      <c r="L306" s="379"/>
      <c r="M306" s="379"/>
      <c r="N306" s="379"/>
      <c r="O306" s="379"/>
      <c r="P306" s="596"/>
      <c r="Q306" s="379"/>
    </row>
    <row r="307">
      <c r="E307" s="341"/>
      <c r="F307" s="341"/>
      <c r="G307" s="394" t="s">
        <v>308</v>
      </c>
      <c r="H307" s="390">
        <f>H306*H305</f>
        <v>420</v>
      </c>
      <c r="I307" s="349"/>
      <c r="J307" s="336"/>
      <c r="K307" s="336"/>
      <c r="L307" s="337"/>
      <c r="M307" s="349"/>
      <c r="N307" s="349"/>
      <c r="O307" s="337"/>
      <c r="P307" s="377"/>
      <c r="Q307" s="337"/>
    </row>
    <row r="308">
      <c r="E308" s="341"/>
      <c r="F308" s="341"/>
      <c r="G308" s="396" t="s">
        <v>309</v>
      </c>
      <c r="H308" s="887" t="str">
        <f>IFS(H305=8,12,
H305=4,4,
H305=2,1,
H305=1,0,
TRUE,NA())</f>
        <v>#N/A</v>
      </c>
      <c r="I308" s="346"/>
      <c r="J308" s="345"/>
      <c r="K308" s="345"/>
      <c r="L308" s="344"/>
      <c r="M308" s="346"/>
      <c r="N308" s="346"/>
      <c r="O308" s="344"/>
      <c r="P308" s="509"/>
      <c r="Q308" s="344"/>
    </row>
    <row r="309">
      <c r="E309" s="341"/>
      <c r="F309" s="341"/>
      <c r="G309" s="9" t="s">
        <v>310</v>
      </c>
      <c r="H309" s="293">
        <v>1.0</v>
      </c>
      <c r="I309" s="349"/>
      <c r="J309" s="336"/>
      <c r="K309" s="336"/>
      <c r="L309" s="337"/>
      <c r="M309" s="349"/>
      <c r="N309" s="349"/>
      <c r="O309" s="337"/>
      <c r="P309" s="377"/>
      <c r="Q309" s="337"/>
    </row>
    <row r="310">
      <c r="E310" s="341"/>
      <c r="F310" s="341"/>
      <c r="G310" s="402" t="s">
        <v>311</v>
      </c>
      <c r="H310" s="608" t="str">
        <f>ALL_GATHER_CHIP2CHIP_TIME_MS2(H307 * H309, H308)</f>
        <v>#N/A</v>
      </c>
      <c r="I310" s="346"/>
      <c r="J310" s="345"/>
      <c r="K310" s="345"/>
      <c r="L310" s="344"/>
      <c r="M310" s="346"/>
      <c r="N310" s="346"/>
      <c r="O310" s="344"/>
      <c r="P310" s="509"/>
      <c r="Q310" s="344"/>
    </row>
    <row r="311">
      <c r="E311" s="341"/>
      <c r="F311" s="341"/>
      <c r="G311" s="601"/>
      <c r="H311" s="602"/>
      <c r="I311" s="349"/>
      <c r="J311" s="336"/>
      <c r="K311" s="337"/>
      <c r="L311" s="499"/>
      <c r="M311" s="337"/>
      <c r="N311" s="349"/>
      <c r="O311" s="337"/>
      <c r="P311" s="377"/>
      <c r="Q311" s="337"/>
    </row>
    <row r="312">
      <c r="E312" s="341"/>
      <c r="F312" s="341"/>
      <c r="G312" s="591" t="s">
        <v>117</v>
      </c>
      <c r="H312" s="592" t="s">
        <v>371</v>
      </c>
      <c r="I312" s="449"/>
      <c r="J312" s="448"/>
      <c r="K312" s="553"/>
      <c r="L312" s="446"/>
      <c r="M312" s="553"/>
      <c r="N312" s="449"/>
      <c r="O312" s="553"/>
      <c r="P312" s="604"/>
      <c r="Q312" s="553"/>
    </row>
    <row r="313">
      <c r="E313" s="341"/>
      <c r="F313" s="341"/>
      <c r="G313" s="609" t="s">
        <v>301</v>
      </c>
      <c r="H313" s="602" t="s">
        <v>281</v>
      </c>
      <c r="I313" s="349" t="s">
        <v>282</v>
      </c>
      <c r="J313" s="336"/>
      <c r="K313" s="337" t="s">
        <v>104</v>
      </c>
      <c r="L313" s="499" t="s">
        <v>102</v>
      </c>
      <c r="M313" s="337" t="s">
        <v>178</v>
      </c>
      <c r="N313" s="349" t="s">
        <v>283</v>
      </c>
      <c r="O313" s="338" t="s">
        <v>125</v>
      </c>
      <c r="P313" s="377"/>
      <c r="Q313" s="337"/>
    </row>
    <row r="314">
      <c r="E314" s="341"/>
      <c r="F314" s="341"/>
      <c r="G314" s="341"/>
      <c r="H314" s="378" t="s">
        <v>285</v>
      </c>
      <c r="I314" s="346" t="s">
        <v>282</v>
      </c>
      <c r="J314" s="345"/>
      <c r="K314" s="346">
        <f t="shared" ref="K314:M314" si="70">PARAMS(K313)</f>
        <v>4096</v>
      </c>
      <c r="L314" s="346">
        <f t="shared" si="70"/>
        <v>1</v>
      </c>
      <c r="M314" s="346">
        <f t="shared" si="70"/>
        <v>7168</v>
      </c>
      <c r="N314" s="346" t="s">
        <v>283</v>
      </c>
      <c r="O314" s="347"/>
      <c r="P314" s="509">
        <f>SIZEOF_IN_MIB(J314:M314, O313)</f>
        <v>28</v>
      </c>
      <c r="Q314" s="344"/>
    </row>
    <row r="315">
      <c r="E315" s="341"/>
      <c r="F315" s="341"/>
      <c r="G315" s="341"/>
      <c r="H315" s="376" t="s">
        <v>302</v>
      </c>
      <c r="I315" s="349" t="s">
        <v>282</v>
      </c>
      <c r="J315" s="336"/>
      <c r="K315" s="337" t="s">
        <v>196</v>
      </c>
      <c r="L315" s="337"/>
      <c r="M315" s="337"/>
      <c r="N315" s="349" t="s">
        <v>283</v>
      </c>
      <c r="O315" s="350"/>
      <c r="P315" s="377"/>
      <c r="Q315" s="337"/>
    </row>
    <row r="316">
      <c r="E316" s="341"/>
      <c r="F316" s="341"/>
      <c r="G316" s="341"/>
      <c r="H316" s="378" t="s">
        <v>303</v>
      </c>
      <c r="I316" s="346" t="s">
        <v>282</v>
      </c>
      <c r="J316" s="345"/>
      <c r="K316" s="346">
        <f t="shared" ref="K316:M316" si="71">K314/SHARDING(K315)</f>
        <v>256</v>
      </c>
      <c r="L316" s="346">
        <f t="shared" si="71"/>
        <v>1</v>
      </c>
      <c r="M316" s="346">
        <f t="shared" si="71"/>
        <v>7168</v>
      </c>
      <c r="N316" s="346" t="s">
        <v>283</v>
      </c>
      <c r="O316" s="347"/>
      <c r="P316" s="509">
        <f>SIZEOF_IN_MIB(J316:M316, O313)</f>
        <v>1.75</v>
      </c>
      <c r="Q316" s="344"/>
    </row>
    <row r="317">
      <c r="E317" s="341"/>
      <c r="F317" s="341"/>
      <c r="G317" s="352"/>
      <c r="H317" s="605" t="s">
        <v>304</v>
      </c>
      <c r="I317" s="349" t="s">
        <v>282</v>
      </c>
      <c r="J317" s="298"/>
      <c r="K317" s="298"/>
      <c r="L317" s="298"/>
      <c r="M317" s="337"/>
      <c r="N317" s="349" t="s">
        <v>283</v>
      </c>
      <c r="O317" s="316"/>
      <c r="P317" s="298"/>
      <c r="Q317" s="337"/>
    </row>
    <row r="318">
      <c r="E318" s="341"/>
      <c r="F318" s="341"/>
      <c r="G318" s="458" t="s">
        <v>372</v>
      </c>
      <c r="H318" s="610" t="s">
        <v>306</v>
      </c>
      <c r="I318" s="379"/>
      <c r="J318" s="410">
        <f>SHARDING(K315) / HW_SPEC("# of TensorCore per Chip")</f>
        <v>8</v>
      </c>
      <c r="K318" s="345"/>
      <c r="L318" s="344"/>
      <c r="M318" s="346"/>
      <c r="N318" s="346"/>
      <c r="O318" s="344"/>
      <c r="P318" s="509"/>
      <c r="Q318" s="344"/>
    </row>
    <row r="319">
      <c r="E319" s="341"/>
      <c r="F319" s="341"/>
      <c r="G319" s="341"/>
      <c r="H319" s="605" t="s">
        <v>307</v>
      </c>
      <c r="I319" s="298"/>
      <c r="J319" s="390">
        <f>P316 * HW_SPEC("# of TensorCore per Chip") * (J318-1)</f>
        <v>24.5</v>
      </c>
      <c r="K319" s="336"/>
      <c r="L319" s="337"/>
      <c r="M319" s="349"/>
      <c r="N319" s="349"/>
      <c r="O319" s="337"/>
      <c r="P319" s="377"/>
      <c r="Q319" s="337"/>
    </row>
    <row r="320">
      <c r="E320" s="341"/>
      <c r="F320" s="341"/>
      <c r="G320" s="341"/>
      <c r="H320" s="410" t="s">
        <v>308</v>
      </c>
      <c r="I320" s="379"/>
      <c r="J320" s="395">
        <f>J319*J318</f>
        <v>196</v>
      </c>
      <c r="K320" s="345"/>
      <c r="L320" s="344"/>
      <c r="M320" s="346"/>
      <c r="N320" s="346"/>
      <c r="O320" s="344"/>
      <c r="P320" s="509"/>
      <c r="Q320" s="344"/>
    </row>
    <row r="321">
      <c r="E321" s="341"/>
      <c r="F321" s="341"/>
      <c r="G321" s="341"/>
      <c r="H321" s="478" t="s">
        <v>309</v>
      </c>
      <c r="I321" s="298"/>
      <c r="J321" s="397">
        <f>IFS(J318=8,12,
J318=4,4,
J318=2,1,
J318=1,0,
TRUE,NA())</f>
        <v>12</v>
      </c>
      <c r="K321" s="336"/>
      <c r="L321" s="337"/>
      <c r="M321" s="349"/>
      <c r="N321" s="349"/>
      <c r="O321" s="337"/>
      <c r="P321" s="377"/>
      <c r="Q321" s="337"/>
    </row>
    <row r="322">
      <c r="E322" s="341"/>
      <c r="F322" s="341"/>
      <c r="G322" s="341"/>
      <c r="H322" s="606" t="s">
        <v>310</v>
      </c>
      <c r="I322" s="379"/>
      <c r="J322" s="611" t="s">
        <v>611</v>
      </c>
      <c r="K322" s="345"/>
      <c r="L322" s="344"/>
      <c r="M322" s="346"/>
      <c r="N322" s="346"/>
      <c r="O322" s="344"/>
      <c r="P322" s="509"/>
      <c r="Q322" s="344"/>
    </row>
    <row r="323">
      <c r="E323" s="341"/>
      <c r="F323" s="341"/>
      <c r="G323" s="352"/>
      <c r="H323" s="612" t="s">
        <v>311</v>
      </c>
      <c r="I323" s="613"/>
      <c r="J323" s="403">
        <f>ALL_GATHER_CHIP2CHIP_TIME_MS2(J320 * J322, J321)</f>
        <v>0.09969075521</v>
      </c>
      <c r="K323" s="336"/>
      <c r="L323" s="337"/>
      <c r="M323" s="349"/>
      <c r="N323" s="349"/>
      <c r="O323" s="337"/>
      <c r="P323" s="377"/>
      <c r="Q323" s="337"/>
    </row>
    <row r="324">
      <c r="E324" s="341"/>
      <c r="F324" s="341"/>
      <c r="G324" s="458" t="s">
        <v>373</v>
      </c>
      <c r="H324" s="410" t="s">
        <v>306</v>
      </c>
      <c r="I324" s="387"/>
      <c r="J324" s="483">
        <f>HW_SPEC("# of TensorCore per Chip")</f>
        <v>2</v>
      </c>
      <c r="K324" s="345"/>
      <c r="L324" s="344"/>
      <c r="M324" s="346"/>
      <c r="N324" s="346"/>
      <c r="O324" s="344"/>
      <c r="P324" s="509"/>
      <c r="Q324" s="344"/>
    </row>
    <row r="325">
      <c r="E325" s="341"/>
      <c r="F325" s="341"/>
      <c r="G325" s="341"/>
      <c r="H325" s="478" t="s">
        <v>307</v>
      </c>
      <c r="I325" s="391"/>
      <c r="J325" s="390">
        <f> P314 / J324 * (J324-1)</f>
        <v>14</v>
      </c>
      <c r="K325" s="336"/>
      <c r="L325" s="337"/>
      <c r="M325" s="349"/>
      <c r="N325" s="349"/>
      <c r="O325" s="337"/>
      <c r="P325" s="377"/>
      <c r="Q325" s="337"/>
    </row>
    <row r="326">
      <c r="E326" s="341"/>
      <c r="F326" s="341"/>
      <c r="G326" s="341"/>
      <c r="H326" s="410" t="s">
        <v>308</v>
      </c>
      <c r="I326" s="387"/>
      <c r="J326" s="395">
        <f>J325*J324</f>
        <v>28</v>
      </c>
      <c r="K326" s="345"/>
      <c r="L326" s="344"/>
      <c r="M326" s="346"/>
      <c r="N326" s="346"/>
      <c r="O326" s="344"/>
      <c r="P326" s="509"/>
      <c r="Q326" s="344"/>
    </row>
    <row r="327">
      <c r="E327" s="341"/>
      <c r="F327" s="341"/>
      <c r="G327" s="341"/>
      <c r="H327" s="614" t="s">
        <v>311</v>
      </c>
      <c r="I327" s="615"/>
      <c r="J327" s="616">
        <f>ALL_GATHER_CORE2CORE_TIME_MS(J326)</f>
        <v>0.02278645833</v>
      </c>
      <c r="K327" s="336"/>
      <c r="L327" s="337"/>
      <c r="M327" s="349"/>
      <c r="N327" s="349"/>
      <c r="O327" s="337"/>
      <c r="P327" s="377"/>
      <c r="Q327" s="337"/>
    </row>
    <row r="328">
      <c r="E328" s="341"/>
      <c r="F328" s="341"/>
      <c r="G328" s="352"/>
      <c r="H328" s="617" t="s">
        <v>374</v>
      </c>
      <c r="I328" s="618"/>
      <c r="J328" s="619">
        <f>J327/J318</f>
        <v>0.002848307292</v>
      </c>
      <c r="K328" s="345"/>
      <c r="L328" s="344"/>
      <c r="M328" s="346"/>
      <c r="N328" s="346"/>
      <c r="O328" s="344"/>
      <c r="P328" s="509"/>
      <c r="Q328" s="344"/>
    </row>
    <row r="329">
      <c r="E329" s="341"/>
      <c r="F329" s="341"/>
      <c r="G329" s="402" t="s">
        <v>316</v>
      </c>
      <c r="H329" s="620">
        <f>J323+J328</f>
        <v>0.1025390625</v>
      </c>
      <c r="I329" s="298"/>
      <c r="J329" s="621"/>
      <c r="K329" s="336"/>
      <c r="L329" s="337"/>
      <c r="M329" s="349"/>
      <c r="N329" s="349"/>
      <c r="O329" s="337"/>
      <c r="P329" s="377"/>
      <c r="Q329" s="337"/>
    </row>
    <row r="330">
      <c r="E330" s="341"/>
      <c r="F330" s="341"/>
      <c r="G330" s="601"/>
      <c r="H330" s="622"/>
      <c r="I330" s="493"/>
      <c r="J330" s="345"/>
      <c r="K330" s="345"/>
      <c r="L330" s="346"/>
      <c r="M330" s="346"/>
      <c r="N330" s="346"/>
      <c r="O330" s="345"/>
      <c r="P330" s="509"/>
      <c r="Q330" s="379"/>
    </row>
    <row r="331">
      <c r="E331" s="341"/>
      <c r="F331" s="341"/>
      <c r="G331" s="623" t="s">
        <v>375</v>
      </c>
      <c r="H331" s="624" t="s">
        <v>117</v>
      </c>
      <c r="I331" s="581"/>
      <c r="J331" s="448"/>
      <c r="K331" s="448"/>
      <c r="L331" s="449"/>
      <c r="M331" s="449"/>
      <c r="N331" s="449"/>
      <c r="O331" s="448"/>
      <c r="P331" s="604"/>
      <c r="Q331" s="572"/>
    </row>
    <row r="332">
      <c r="E332" s="352"/>
      <c r="F332" s="352"/>
      <c r="G332" s="591" t="s">
        <v>340</v>
      </c>
      <c r="H332" s="625">
        <f>IFS(H331=G290,H297,H331=G299,H310,H331=G312,H329, TRUE,0)</f>
        <v>0.1025390625</v>
      </c>
      <c r="I332" s="581"/>
      <c r="J332" s="448"/>
      <c r="K332" s="448"/>
      <c r="L332" s="449"/>
      <c r="M332" s="449"/>
      <c r="N332" s="449"/>
      <c r="O332" s="448"/>
      <c r="P332" s="604"/>
      <c r="Q332" s="572"/>
    </row>
    <row r="333">
      <c r="E333" s="333" t="s">
        <v>377</v>
      </c>
      <c r="F333" s="627" t="s">
        <v>292</v>
      </c>
      <c r="G333" s="335"/>
      <c r="H333" s="372" t="s">
        <v>281</v>
      </c>
      <c r="I333" s="364" t="s">
        <v>282</v>
      </c>
      <c r="J333" s="364"/>
      <c r="K333" s="273" t="s">
        <v>104</v>
      </c>
      <c r="L333" s="273" t="s">
        <v>212</v>
      </c>
      <c r="M333" s="472" t="s">
        <v>178</v>
      </c>
      <c r="N333" s="364" t="s">
        <v>283</v>
      </c>
      <c r="O333" s="365" t="s">
        <v>125</v>
      </c>
      <c r="P333" s="375"/>
      <c r="Q333" s="365" t="b">
        <v>0</v>
      </c>
    </row>
    <row r="334">
      <c r="E334" s="341"/>
      <c r="F334" s="342"/>
      <c r="G334" s="343"/>
      <c r="H334" s="374" t="s">
        <v>285</v>
      </c>
      <c r="I334" s="364" t="s">
        <v>282</v>
      </c>
      <c r="J334" s="363"/>
      <c r="K334" s="364">
        <f t="shared" ref="K334:M334" si="72">PARAMS(K333)</f>
        <v>4096</v>
      </c>
      <c r="L334" s="364">
        <f t="shared" si="72"/>
        <v>8</v>
      </c>
      <c r="M334" s="364">
        <f t="shared" si="72"/>
        <v>7168</v>
      </c>
      <c r="N334" s="364" t="s">
        <v>283</v>
      </c>
      <c r="O334" s="341"/>
      <c r="P334" s="375">
        <f>SIZEOF_IN_MIB(J334:M334, O333)</f>
        <v>224</v>
      </c>
      <c r="Q334" s="341"/>
    </row>
    <row r="335">
      <c r="E335" s="341"/>
      <c r="F335" s="342"/>
      <c r="G335" s="343"/>
      <c r="H335" s="629" t="s">
        <v>287</v>
      </c>
      <c r="I335" s="363" t="s">
        <v>282</v>
      </c>
      <c r="J335" s="364"/>
      <c r="K335" s="273" t="s">
        <v>196</v>
      </c>
      <c r="L335" s="273"/>
      <c r="M335" s="273"/>
      <c r="N335" s="363" t="s">
        <v>283</v>
      </c>
      <c r="O335" s="341"/>
      <c r="P335" s="375"/>
      <c r="Q335" s="341"/>
    </row>
    <row r="336">
      <c r="E336" s="341"/>
      <c r="F336" s="353"/>
      <c r="G336" s="354"/>
      <c r="H336" s="376" t="s">
        <v>289</v>
      </c>
      <c r="I336" s="349" t="s">
        <v>282</v>
      </c>
      <c r="J336" s="336"/>
      <c r="K336" s="349">
        <f t="shared" ref="K336:M336" si="73">K334/SHARDING(K335)</f>
        <v>256</v>
      </c>
      <c r="L336" s="349">
        <f t="shared" si="73"/>
        <v>8</v>
      </c>
      <c r="M336" s="349">
        <f t="shared" si="73"/>
        <v>7168</v>
      </c>
      <c r="N336" s="349" t="s">
        <v>283</v>
      </c>
      <c r="O336" s="316"/>
      <c r="P336" s="377">
        <f>SIZEOF_IN_MIB(J336:M336, O333)</f>
        <v>14</v>
      </c>
      <c r="Q336" s="316"/>
    </row>
    <row r="337">
      <c r="E337" s="341"/>
      <c r="F337" s="630" t="s">
        <v>296</v>
      </c>
      <c r="G337" s="335"/>
      <c r="H337" s="517" t="s">
        <v>281</v>
      </c>
      <c r="I337" s="346" t="s">
        <v>282</v>
      </c>
      <c r="J337" s="344">
        <v>2.0</v>
      </c>
      <c r="K337" s="344" t="s">
        <v>184</v>
      </c>
      <c r="L337" s="556" t="s">
        <v>178</v>
      </c>
      <c r="M337" s="344" t="s">
        <v>182</v>
      </c>
      <c r="N337" s="346" t="s">
        <v>283</v>
      </c>
      <c r="O337" s="473" t="s">
        <v>125</v>
      </c>
      <c r="P337" s="509"/>
      <c r="Q337" s="473" t="b">
        <v>0</v>
      </c>
    </row>
    <row r="338">
      <c r="E338" s="341"/>
      <c r="F338" s="342"/>
      <c r="G338" s="343"/>
      <c r="H338" s="376" t="s">
        <v>285</v>
      </c>
      <c r="I338" s="349" t="s">
        <v>282</v>
      </c>
      <c r="J338" s="349">
        <f t="shared" ref="J338:M338" si="74">PARAMS(J337)</f>
        <v>2</v>
      </c>
      <c r="K338" s="349">
        <f t="shared" si="74"/>
        <v>256</v>
      </c>
      <c r="L338" s="349">
        <f t="shared" si="74"/>
        <v>7168</v>
      </c>
      <c r="M338" s="349">
        <f t="shared" si="74"/>
        <v>2048</v>
      </c>
      <c r="N338" s="349" t="s">
        <v>283</v>
      </c>
      <c r="O338" s="350"/>
      <c r="P338" s="377">
        <f>SIZEOF_IN_MIB(J338:M338, O337)</f>
        <v>7168</v>
      </c>
      <c r="Q338" s="350"/>
    </row>
    <row r="339">
      <c r="E339" s="341"/>
      <c r="F339" s="342"/>
      <c r="G339" s="343"/>
      <c r="H339" s="517" t="s">
        <v>287</v>
      </c>
      <c r="I339" s="346"/>
      <c r="J339" s="345"/>
      <c r="K339" s="344" t="s">
        <v>196</v>
      </c>
      <c r="L339" s="344"/>
      <c r="M339" s="344"/>
      <c r="N339" s="346" t="s">
        <v>283</v>
      </c>
      <c r="O339" s="347"/>
      <c r="P339" s="509"/>
      <c r="Q339" s="347"/>
    </row>
    <row r="340">
      <c r="E340" s="341"/>
      <c r="F340" s="353"/>
      <c r="G340" s="354"/>
      <c r="H340" s="602" t="s">
        <v>289</v>
      </c>
      <c r="I340" s="349" t="s">
        <v>282</v>
      </c>
      <c r="J340" s="349">
        <f t="shared" ref="J340:M340" si="75">J338/SHARDING(J339)</f>
        <v>2</v>
      </c>
      <c r="K340" s="349">
        <f t="shared" si="75"/>
        <v>16</v>
      </c>
      <c r="L340" s="349">
        <f t="shared" si="75"/>
        <v>7168</v>
      </c>
      <c r="M340" s="349">
        <f t="shared" si="75"/>
        <v>2048</v>
      </c>
      <c r="N340" s="349" t="s">
        <v>283</v>
      </c>
      <c r="O340" s="316"/>
      <c r="P340" s="377">
        <f>SIZEOF_IN_MIB(J340:M340, O337)</f>
        <v>448</v>
      </c>
      <c r="Q340" s="316"/>
    </row>
    <row r="341">
      <c r="E341" s="341"/>
      <c r="F341" s="630" t="s">
        <v>56</v>
      </c>
      <c r="G341" s="335"/>
      <c r="H341" s="517" t="s">
        <v>281</v>
      </c>
      <c r="I341" s="346" t="s">
        <v>282</v>
      </c>
      <c r="J341" s="344">
        <v>2.0</v>
      </c>
      <c r="K341" s="344" t="s">
        <v>104</v>
      </c>
      <c r="L341" s="344" t="s">
        <v>212</v>
      </c>
      <c r="M341" s="344" t="s">
        <v>182</v>
      </c>
      <c r="N341" s="346" t="s">
        <v>283</v>
      </c>
      <c r="O341" s="546" t="s">
        <v>133</v>
      </c>
      <c r="P341" s="509"/>
      <c r="Q341" s="473" t="b">
        <v>0</v>
      </c>
    </row>
    <row r="342">
      <c r="E342" s="341"/>
      <c r="F342" s="342"/>
      <c r="G342" s="343"/>
      <c r="H342" s="376" t="s">
        <v>285</v>
      </c>
      <c r="I342" s="349" t="s">
        <v>282</v>
      </c>
      <c r="J342" s="349">
        <f t="shared" ref="J342:M342" si="76">PARAMS(J341)</f>
        <v>2</v>
      </c>
      <c r="K342" s="349">
        <f t="shared" si="76"/>
        <v>4096</v>
      </c>
      <c r="L342" s="349">
        <f t="shared" si="76"/>
        <v>8</v>
      </c>
      <c r="M342" s="349">
        <f t="shared" si="76"/>
        <v>2048</v>
      </c>
      <c r="N342" s="349" t="s">
        <v>283</v>
      </c>
      <c r="O342" s="350"/>
      <c r="P342" s="377">
        <f>SIZEOF_IN_MIB(J342:M342, O341)</f>
        <v>256</v>
      </c>
      <c r="Q342" s="350"/>
    </row>
    <row r="343">
      <c r="E343" s="341"/>
      <c r="F343" s="342"/>
      <c r="G343" s="343"/>
      <c r="H343" s="517" t="s">
        <v>287</v>
      </c>
      <c r="I343" s="346" t="s">
        <v>282</v>
      </c>
      <c r="J343" s="345"/>
      <c r="K343" s="344" t="s">
        <v>196</v>
      </c>
      <c r="L343" s="344"/>
      <c r="M343" s="344"/>
      <c r="N343" s="346" t="s">
        <v>283</v>
      </c>
      <c r="O343" s="347"/>
      <c r="P343" s="509"/>
      <c r="Q343" s="347"/>
    </row>
    <row r="344">
      <c r="E344" s="341"/>
      <c r="F344" s="353"/>
      <c r="G344" s="354"/>
      <c r="H344" s="602" t="s">
        <v>289</v>
      </c>
      <c r="I344" s="349" t="s">
        <v>282</v>
      </c>
      <c r="J344" s="349">
        <f t="shared" ref="J344:M344" si="77">J342/SHARDING(J343)</f>
        <v>2</v>
      </c>
      <c r="K344" s="349">
        <f t="shared" si="77"/>
        <v>256</v>
      </c>
      <c r="L344" s="349">
        <f t="shared" si="77"/>
        <v>8</v>
      </c>
      <c r="M344" s="349">
        <f t="shared" si="77"/>
        <v>2048</v>
      </c>
      <c r="N344" s="349" t="s">
        <v>283</v>
      </c>
      <c r="O344" s="316"/>
      <c r="P344" s="377">
        <f>SIZEOF_IN_MIB(J344:M344, O341)</f>
        <v>16</v>
      </c>
      <c r="Q344" s="316"/>
    </row>
    <row r="345">
      <c r="E345" s="341"/>
      <c r="F345" s="370" t="s">
        <v>378</v>
      </c>
      <c r="G345" s="601" t="s">
        <v>623</v>
      </c>
      <c r="H345" s="498" t="str">
        <f>L339</f>
        <v/>
      </c>
      <c r="I345" s="632" t="s">
        <v>624</v>
      </c>
      <c r="J345" s="345"/>
      <c r="K345" s="345"/>
      <c r="L345" s="346"/>
      <c r="M345" s="346"/>
      <c r="N345" s="346"/>
      <c r="O345" s="345"/>
      <c r="P345" s="509"/>
      <c r="Q345" s="379"/>
    </row>
    <row r="346">
      <c r="E346" s="341"/>
      <c r="F346" s="341"/>
      <c r="G346" s="591" t="s">
        <v>381</v>
      </c>
      <c r="H346" s="633" t="s">
        <v>382</v>
      </c>
      <c r="I346" s="633"/>
      <c r="J346" s="448"/>
      <c r="K346" s="448"/>
      <c r="L346" s="449"/>
      <c r="M346" s="449"/>
      <c r="N346" s="449"/>
      <c r="O346" s="448"/>
      <c r="P346" s="604"/>
      <c r="Q346" s="572"/>
    </row>
    <row r="347">
      <c r="E347" s="341"/>
      <c r="F347" s="341"/>
      <c r="G347" s="594" t="s">
        <v>306</v>
      </c>
      <c r="H347" s="634">
        <f>SHARDING(H345)</f>
        <v>1</v>
      </c>
      <c r="I347" s="498"/>
      <c r="J347" s="345"/>
      <c r="K347" s="345"/>
      <c r="L347" s="346"/>
      <c r="M347" s="346"/>
      <c r="N347" s="346"/>
      <c r="O347" s="345"/>
      <c r="P347" s="509"/>
      <c r="Q347" s="379"/>
    </row>
    <row r="348">
      <c r="E348" s="341"/>
      <c r="F348" s="341"/>
      <c r="G348" s="594" t="s">
        <v>383</v>
      </c>
      <c r="H348" s="635">
        <f>P344/H347*(H347-1)</f>
        <v>0</v>
      </c>
      <c r="I348" s="549"/>
      <c r="J348" s="336"/>
      <c r="K348" s="336"/>
      <c r="L348" s="349"/>
      <c r="M348" s="349"/>
      <c r="N348" s="349"/>
      <c r="O348" s="336"/>
      <c r="P348" s="377"/>
      <c r="Q348" s="298"/>
    </row>
    <row r="349">
      <c r="E349" s="341"/>
      <c r="F349" s="341"/>
      <c r="G349" s="594" t="s">
        <v>384</v>
      </c>
      <c r="H349" s="636">
        <f>H348*H347</f>
        <v>0</v>
      </c>
      <c r="I349" s="498"/>
      <c r="J349" s="345"/>
      <c r="K349" s="345"/>
      <c r="L349" s="346"/>
      <c r="M349" s="346"/>
      <c r="N349" s="346"/>
      <c r="O349" s="345"/>
      <c r="P349" s="509"/>
      <c r="Q349" s="379"/>
    </row>
    <row r="350">
      <c r="E350" s="341"/>
      <c r="F350" s="341"/>
      <c r="G350" s="637" t="s">
        <v>385</v>
      </c>
      <c r="H350" s="638" t="s">
        <v>309</v>
      </c>
      <c r="I350" s="549"/>
      <c r="J350" s="639">
        <f>IFS(H347=8,12,
H347=4,4,
H347=2,1,
H347=1,0,
TRUE,NA())</f>
        <v>0</v>
      </c>
      <c r="K350" s="336"/>
      <c r="L350" s="349"/>
      <c r="M350" s="349"/>
      <c r="N350" s="349"/>
      <c r="O350" s="336"/>
      <c r="P350" s="377"/>
      <c r="Q350" s="298"/>
    </row>
    <row r="351">
      <c r="E351" s="341"/>
      <c r="F351" s="341"/>
      <c r="G351" s="341"/>
      <c r="H351" s="640" t="s">
        <v>386</v>
      </c>
      <c r="I351" s="379"/>
      <c r="J351" s="641">
        <f>HW_SPEC("# of TensorCore per Chip")</f>
        <v>2</v>
      </c>
      <c r="K351" s="345"/>
      <c r="L351" s="346"/>
      <c r="M351" s="346"/>
      <c r="N351" s="346"/>
      <c r="O351" s="345"/>
      <c r="P351" s="509"/>
      <c r="Q351" s="379"/>
    </row>
    <row r="352">
      <c r="E352" s="341"/>
      <c r="F352" s="341"/>
      <c r="G352" s="352"/>
      <c r="H352" s="642" t="s">
        <v>311</v>
      </c>
      <c r="I352" s="549"/>
      <c r="J352" s="643">
        <f>REDUCE_SCATTER_CHIP2CHIP_TIME_MS2(H349*J351,J350)</f>
        <v>0</v>
      </c>
      <c r="K352" s="336"/>
      <c r="L352" s="349"/>
      <c r="M352" s="349"/>
      <c r="N352" s="349"/>
      <c r="O352" s="336"/>
      <c r="P352" s="377"/>
      <c r="Q352" s="298"/>
    </row>
    <row r="353">
      <c r="E353" s="341"/>
      <c r="F353" s="341"/>
      <c r="G353" s="644" t="s">
        <v>387</v>
      </c>
      <c r="H353" s="645" t="s">
        <v>311</v>
      </c>
      <c r="I353" s="379"/>
      <c r="J353" s="646">
        <f>REDUCE_SCATTER_CORE2CORE_TIME_MS(H349)</f>
        <v>0</v>
      </c>
      <c r="K353" s="345"/>
      <c r="L353" s="346"/>
      <c r="M353" s="346"/>
      <c r="N353" s="346"/>
      <c r="O353" s="345"/>
      <c r="P353" s="509"/>
      <c r="Q353" s="379"/>
    </row>
    <row r="354">
      <c r="E354" s="341"/>
      <c r="F354" s="341"/>
      <c r="G354" s="11"/>
      <c r="H354" s="298"/>
      <c r="I354" s="549"/>
      <c r="J354" s="336"/>
      <c r="K354" s="336"/>
      <c r="L354" s="349"/>
      <c r="M354" s="349"/>
      <c r="N354" s="349"/>
      <c r="O354" s="336"/>
      <c r="P354" s="377"/>
      <c r="Q354" s="298"/>
    </row>
    <row r="355">
      <c r="E355" s="341"/>
      <c r="F355" s="341"/>
      <c r="G355" s="591" t="s">
        <v>388</v>
      </c>
      <c r="H355" s="647" t="s">
        <v>389</v>
      </c>
      <c r="I355" s="648"/>
      <c r="J355" s="448"/>
      <c r="K355" s="448"/>
      <c r="L355" s="449"/>
      <c r="M355" s="449"/>
      <c r="N355" s="449"/>
      <c r="O355" s="448"/>
      <c r="P355" s="604"/>
      <c r="Q355" s="572"/>
    </row>
    <row r="356">
      <c r="E356" s="341"/>
      <c r="F356" s="341"/>
      <c r="G356" s="601" t="s">
        <v>390</v>
      </c>
      <c r="H356" s="649">
        <f>P344/2</f>
        <v>8</v>
      </c>
      <c r="I356" s="650"/>
      <c r="J356" s="454"/>
      <c r="K356" s="454"/>
      <c r="L356" s="455"/>
      <c r="M356" s="455"/>
      <c r="N356" s="455"/>
      <c r="O356" s="454"/>
      <c r="P356" s="468"/>
      <c r="Q356" s="11"/>
    </row>
    <row r="357">
      <c r="E357" s="341"/>
      <c r="F357" s="341"/>
      <c r="G357" s="11"/>
      <c r="H357" s="11"/>
      <c r="I357" s="650"/>
      <c r="J357" s="454"/>
      <c r="K357" s="454"/>
      <c r="L357" s="455"/>
      <c r="M357" s="455"/>
      <c r="N357" s="455"/>
      <c r="O357" s="454"/>
      <c r="P357" s="468"/>
      <c r="Q357" s="11"/>
    </row>
    <row r="358">
      <c r="E358" s="341"/>
      <c r="F358" s="341"/>
      <c r="G358" s="591" t="s">
        <v>263</v>
      </c>
      <c r="H358" s="647" t="s">
        <v>391</v>
      </c>
      <c r="I358" s="648"/>
      <c r="J358" s="448"/>
      <c r="K358" s="448"/>
      <c r="L358" s="449"/>
      <c r="M358" s="449"/>
      <c r="N358" s="449"/>
      <c r="O358" s="448"/>
      <c r="P358" s="604"/>
      <c r="Q358" s="572"/>
    </row>
    <row r="359">
      <c r="E359" s="341"/>
      <c r="F359" s="341"/>
      <c r="G359" s="594" t="s">
        <v>306</v>
      </c>
      <c r="H359" s="651">
        <f>H347</f>
        <v>1</v>
      </c>
      <c r="I359" s="650"/>
      <c r="J359" s="454"/>
      <c r="K359" s="454"/>
      <c r="L359" s="455"/>
      <c r="M359" s="455"/>
      <c r="N359" s="455"/>
      <c r="O359" s="454"/>
      <c r="P359" s="468"/>
      <c r="Q359" s="11"/>
    </row>
    <row r="360">
      <c r="E360" s="341"/>
      <c r="F360" s="341"/>
      <c r="G360" s="594" t="s">
        <v>392</v>
      </c>
      <c r="H360" s="652">
        <f>H356/H359 * (H359-1)</f>
        <v>0</v>
      </c>
      <c r="I360" s="650"/>
      <c r="J360" s="454"/>
      <c r="K360" s="454"/>
      <c r="L360" s="455"/>
      <c r="M360" s="455"/>
      <c r="N360" s="455"/>
      <c r="O360" s="454"/>
      <c r="P360" s="468"/>
      <c r="Q360" s="11"/>
    </row>
    <row r="361">
      <c r="E361" s="341"/>
      <c r="F361" s="341"/>
      <c r="G361" s="594" t="s">
        <v>308</v>
      </c>
      <c r="H361" s="652">
        <f>H360*H359</f>
        <v>0</v>
      </c>
      <c r="I361" s="650"/>
      <c r="J361" s="454"/>
      <c r="K361" s="454"/>
      <c r="L361" s="455"/>
      <c r="M361" s="455"/>
      <c r="N361" s="455"/>
      <c r="O361" s="454"/>
      <c r="P361" s="468"/>
      <c r="Q361" s="11"/>
    </row>
    <row r="362">
      <c r="E362" s="341"/>
      <c r="F362" s="341"/>
      <c r="G362" s="653" t="s">
        <v>385</v>
      </c>
      <c r="H362" s="385" t="s">
        <v>309</v>
      </c>
      <c r="I362" s="11"/>
      <c r="J362" s="654" t="str">
        <f>IFS(H359=8,12,
H359=4,4,
H359=2,1,
TRUE,NA())</f>
        <v>#N/A</v>
      </c>
      <c r="K362" s="454"/>
      <c r="L362" s="455"/>
      <c r="M362" s="455"/>
      <c r="N362" s="455"/>
      <c r="O362" s="454"/>
      <c r="P362" s="468"/>
      <c r="Q362" s="11"/>
      <c r="S362" s="655"/>
    </row>
    <row r="363">
      <c r="E363" s="341"/>
      <c r="F363" s="341"/>
      <c r="G363" s="341"/>
      <c r="H363" s="385" t="s">
        <v>386</v>
      </c>
      <c r="I363" s="11"/>
      <c r="J363" s="656">
        <f>HW_SPEC("# of TensorCore per Chip")</f>
        <v>2</v>
      </c>
      <c r="K363" s="454"/>
      <c r="L363" s="455"/>
      <c r="M363" s="455"/>
      <c r="N363" s="455"/>
      <c r="O363" s="454"/>
      <c r="P363" s="468"/>
      <c r="Q363" s="11"/>
    </row>
    <row r="364">
      <c r="E364" s="341"/>
      <c r="F364" s="341"/>
      <c r="G364" s="352"/>
      <c r="H364" s="402" t="s">
        <v>311</v>
      </c>
      <c r="I364" s="650"/>
      <c r="J364" s="657">
        <f>REDUCE_SCATTER_CHIP2CHIP_TIME_MS2(H361*J363,J362)</f>
        <v>0</v>
      </c>
      <c r="K364" s="454"/>
      <c r="L364" s="455"/>
      <c r="M364" s="455"/>
      <c r="N364" s="455"/>
      <c r="O364" s="454"/>
      <c r="P364" s="468"/>
      <c r="Q364" s="11"/>
    </row>
    <row r="365">
      <c r="E365" s="341"/>
      <c r="F365" s="341"/>
      <c r="G365" s="658" t="s">
        <v>387</v>
      </c>
      <c r="H365" s="402" t="s">
        <v>311</v>
      </c>
      <c r="I365" s="650"/>
      <c r="J365" s="657">
        <f>REDUCE_SCATTER_CORE2CORE_TIME_MS(H361)</f>
        <v>0</v>
      </c>
      <c r="K365" s="454"/>
      <c r="L365" s="455"/>
      <c r="M365" s="455"/>
      <c r="N365" s="455"/>
      <c r="O365" s="454"/>
      <c r="P365" s="468"/>
      <c r="Q365" s="11"/>
    </row>
    <row r="366">
      <c r="E366" s="341"/>
      <c r="F366" s="341"/>
      <c r="G366" s="594"/>
      <c r="H366" s="659"/>
      <c r="I366" s="650"/>
      <c r="J366" s="454"/>
      <c r="K366" s="454"/>
      <c r="L366" s="455"/>
      <c r="M366" s="455"/>
      <c r="N366" s="455"/>
      <c r="O366" s="454"/>
      <c r="P366" s="468"/>
      <c r="Q366" s="11"/>
    </row>
    <row r="367">
      <c r="E367" s="341"/>
      <c r="F367" s="341"/>
      <c r="G367" s="591" t="s">
        <v>393</v>
      </c>
      <c r="H367" s="660" t="s">
        <v>394</v>
      </c>
      <c r="I367" s="648"/>
      <c r="J367" s="448"/>
      <c r="K367" s="448"/>
      <c r="L367" s="449"/>
      <c r="M367" s="449"/>
      <c r="N367" s="449"/>
      <c r="O367" s="448"/>
      <c r="P367" s="604"/>
      <c r="Q367" s="572"/>
    </row>
    <row r="368">
      <c r="E368" s="341"/>
      <c r="F368" s="341"/>
      <c r="G368" s="661" t="s">
        <v>395</v>
      </c>
      <c r="H368" s="662">
        <f>IFS(H367=G350,J352,
H367=G353,J353 ,
TRUE,0)</f>
        <v>0</v>
      </c>
      <c r="I368" s="650"/>
      <c r="J368" s="454"/>
      <c r="K368" s="454"/>
      <c r="L368" s="455"/>
      <c r="M368" s="455"/>
      <c r="N368" s="455"/>
      <c r="O368" s="454"/>
      <c r="P368" s="468"/>
      <c r="Q368" s="11"/>
    </row>
    <row r="369">
      <c r="E369" s="341"/>
      <c r="F369" s="341"/>
      <c r="G369" s="661" t="s">
        <v>396</v>
      </c>
      <c r="H369" s="662">
        <f>IFS(H367=G362,J364,
H367=G365,J365 ,
TRUE,0)</f>
        <v>0</v>
      </c>
      <c r="I369" s="650"/>
      <c r="J369" s="454"/>
      <c r="K369" s="454"/>
      <c r="L369" s="455"/>
      <c r="M369" s="455"/>
      <c r="N369" s="455"/>
      <c r="O369" s="454"/>
      <c r="P369" s="468"/>
      <c r="Q369" s="11"/>
    </row>
    <row r="370">
      <c r="E370" s="341"/>
      <c r="F370" s="352"/>
      <c r="G370" s="591" t="s">
        <v>340</v>
      </c>
      <c r="H370" s="625">
        <f>SUM(H368:H369)</f>
        <v>0</v>
      </c>
      <c r="I370" s="581"/>
      <c r="J370" s="448"/>
      <c r="K370" s="448"/>
      <c r="L370" s="449"/>
      <c r="M370" s="449"/>
      <c r="N370" s="449"/>
      <c r="O370" s="448"/>
      <c r="P370" s="604"/>
      <c r="Q370" s="572"/>
    </row>
    <row r="371">
      <c r="E371" s="341"/>
      <c r="F371" s="609" t="s">
        <v>327</v>
      </c>
      <c r="G371" s="601" t="s">
        <v>328</v>
      </c>
      <c r="H371" s="663" t="str">
        <f>VLOOKUP(O333&amp;","&amp;O337,$T$2:$W$11,4, FALSE)</f>
        <v>fp8</v>
      </c>
      <c r="I371" s="460"/>
      <c r="J371" s="454"/>
      <c r="K371" s="454"/>
      <c r="L371" s="455"/>
      <c r="M371" s="455"/>
      <c r="N371" s="455"/>
      <c r="O371" s="454"/>
      <c r="P371" s="468"/>
      <c r="Q371" s="11"/>
    </row>
    <row r="372">
      <c r="E372" s="341"/>
      <c r="F372" s="341"/>
      <c r="G372" s="601" t="s">
        <v>403</v>
      </c>
      <c r="H372" s="667" t="str">
        <f>CALCULATE_FLOPS(J336:M336,J340:M340,L340,K340,H371)</f>
        <v>#N/A</v>
      </c>
      <c r="I372" s="460"/>
      <c r="J372" s="454"/>
      <c r="K372" s="454"/>
      <c r="L372" s="455"/>
      <c r="M372" s="455"/>
      <c r="N372" s="455"/>
      <c r="O372" s="454"/>
      <c r="P372" s="468"/>
      <c r="Q372" s="11"/>
    </row>
    <row r="373">
      <c r="E373" s="341"/>
      <c r="F373" s="352"/>
      <c r="G373" s="669" t="s">
        <v>330</v>
      </c>
      <c r="H373" s="670" t="str">
        <f>COMPUTE_TIME_MS(H372, H371)</f>
        <v>#N/A</v>
      </c>
      <c r="I373" s="464"/>
      <c r="J373" s="465"/>
      <c r="K373" s="465"/>
      <c r="L373" s="466"/>
      <c r="M373" s="466"/>
      <c r="N373" s="466"/>
      <c r="O373" s="465"/>
      <c r="P373" s="671"/>
      <c r="Q373" s="11"/>
    </row>
    <row r="374">
      <c r="E374" s="341"/>
      <c r="F374" s="609" t="s">
        <v>331</v>
      </c>
      <c r="G374" s="663" t="s">
        <v>332</v>
      </c>
      <c r="H374" s="672">
        <f>IF(Q333,0,P336)+IF(Q337,0,P340)+IF(Q341,0,P344 / 2)</f>
        <v>470</v>
      </c>
      <c r="I374" s="454"/>
      <c r="J374" s="454"/>
      <c r="K374" s="454"/>
      <c r="L374" s="455"/>
      <c r="M374" s="455"/>
      <c r="N374" s="455"/>
      <c r="O374" s="454"/>
      <c r="P374" s="468"/>
      <c r="Q374" s="11"/>
    </row>
    <row r="375">
      <c r="E375" s="352"/>
      <c r="F375" s="352"/>
      <c r="G375" s="673" t="s">
        <v>333</v>
      </c>
      <c r="H375" s="670">
        <f>HBM_TIME_MS(H374)</f>
        <v>0.1568641063</v>
      </c>
      <c r="I375" s="465"/>
      <c r="J375" s="465"/>
      <c r="K375" s="465"/>
      <c r="L375" s="466"/>
      <c r="M375" s="466"/>
      <c r="N375" s="466"/>
      <c r="O375" s="465"/>
      <c r="P375" s="671"/>
      <c r="Q375" s="11"/>
    </row>
    <row r="376">
      <c r="E376" s="333" t="s">
        <v>404</v>
      </c>
      <c r="F376" s="627" t="s">
        <v>292</v>
      </c>
      <c r="G376" s="335"/>
      <c r="H376" s="372" t="s">
        <v>281</v>
      </c>
      <c r="I376" s="364" t="s">
        <v>282</v>
      </c>
      <c r="J376" s="273"/>
      <c r="K376" s="273" t="s">
        <v>104</v>
      </c>
      <c r="L376" s="273" t="s">
        <v>212</v>
      </c>
      <c r="M376" s="472" t="s">
        <v>182</v>
      </c>
      <c r="N376" s="364" t="s">
        <v>283</v>
      </c>
      <c r="O376" s="365" t="s">
        <v>125</v>
      </c>
      <c r="P376" s="375"/>
      <c r="Q376" s="365" t="b">
        <v>0</v>
      </c>
    </row>
    <row r="377">
      <c r="E377" s="341"/>
      <c r="F377" s="342"/>
      <c r="G377" s="343"/>
      <c r="H377" s="374" t="s">
        <v>285</v>
      </c>
      <c r="I377" s="364" t="s">
        <v>282</v>
      </c>
      <c r="J377" s="363"/>
      <c r="K377" s="364">
        <f t="shared" ref="K377:M377" si="78">PARAMS(K376)</f>
        <v>4096</v>
      </c>
      <c r="L377" s="364">
        <f t="shared" si="78"/>
        <v>8</v>
      </c>
      <c r="M377" s="364">
        <f t="shared" si="78"/>
        <v>2048</v>
      </c>
      <c r="N377" s="364" t="s">
        <v>283</v>
      </c>
      <c r="O377" s="341"/>
      <c r="P377" s="375">
        <f>SIZEOF_IN_MIB(J377:M377, O376)</f>
        <v>64</v>
      </c>
      <c r="Q377" s="341"/>
    </row>
    <row r="378">
      <c r="E378" s="341"/>
      <c r="F378" s="342"/>
      <c r="G378" s="343"/>
      <c r="H378" s="629" t="s">
        <v>287</v>
      </c>
      <c r="I378" s="363" t="s">
        <v>282</v>
      </c>
      <c r="J378" s="364"/>
      <c r="K378" s="273" t="s">
        <v>196</v>
      </c>
      <c r="L378" s="273"/>
      <c r="M378" s="273"/>
      <c r="N378" s="363" t="s">
        <v>283</v>
      </c>
      <c r="O378" s="341"/>
      <c r="P378" s="375"/>
      <c r="Q378" s="341"/>
    </row>
    <row r="379">
      <c r="E379" s="341"/>
      <c r="F379" s="353"/>
      <c r="G379" s="354"/>
      <c r="H379" s="374" t="s">
        <v>289</v>
      </c>
      <c r="I379" s="363" t="s">
        <v>282</v>
      </c>
      <c r="J379" s="364"/>
      <c r="K379" s="363">
        <f t="shared" ref="K379:M379" si="79">K377/SHARDING(K378)</f>
        <v>256</v>
      </c>
      <c r="L379" s="363">
        <f t="shared" si="79"/>
        <v>8</v>
      </c>
      <c r="M379" s="363">
        <f t="shared" si="79"/>
        <v>2048</v>
      </c>
      <c r="N379" s="363" t="s">
        <v>283</v>
      </c>
      <c r="O379" s="352"/>
      <c r="P379" s="375">
        <f>SIZEOF_IN_MIB(J379:M379, O376)</f>
        <v>4</v>
      </c>
      <c r="Q379" s="352"/>
    </row>
    <row r="380">
      <c r="E380" s="341"/>
      <c r="F380" s="630" t="s">
        <v>296</v>
      </c>
      <c r="G380" s="335"/>
      <c r="H380" s="629" t="s">
        <v>281</v>
      </c>
      <c r="I380" s="363" t="s">
        <v>282</v>
      </c>
      <c r="J380" s="364"/>
      <c r="K380" s="273" t="s">
        <v>184</v>
      </c>
      <c r="L380" s="472" t="s">
        <v>182</v>
      </c>
      <c r="M380" s="273" t="s">
        <v>178</v>
      </c>
      <c r="N380" s="363" t="s">
        <v>283</v>
      </c>
      <c r="O380" s="365" t="s">
        <v>125</v>
      </c>
      <c r="P380" s="375"/>
      <c r="Q380" s="365" t="b">
        <v>0</v>
      </c>
    </row>
    <row r="381">
      <c r="E381" s="341"/>
      <c r="F381" s="342"/>
      <c r="G381" s="343"/>
      <c r="H381" s="374" t="s">
        <v>285</v>
      </c>
      <c r="I381" s="363" t="s">
        <v>282</v>
      </c>
      <c r="J381" s="364"/>
      <c r="K381" s="363">
        <f t="shared" ref="K381:M381" si="80">PARAMS(K380)</f>
        <v>256</v>
      </c>
      <c r="L381" s="363">
        <f t="shared" si="80"/>
        <v>2048</v>
      </c>
      <c r="M381" s="363">
        <f t="shared" si="80"/>
        <v>7168</v>
      </c>
      <c r="N381" s="363" t="s">
        <v>283</v>
      </c>
      <c r="O381" s="341"/>
      <c r="P381" s="375">
        <f>SIZEOF_IN_MIB(J381:M381, O380)</f>
        <v>3584</v>
      </c>
      <c r="Q381" s="341"/>
    </row>
    <row r="382">
      <c r="E382" s="341"/>
      <c r="F382" s="342"/>
      <c r="G382" s="343"/>
      <c r="H382" s="629" t="s">
        <v>287</v>
      </c>
      <c r="I382" s="363" t="s">
        <v>282</v>
      </c>
      <c r="J382" s="364"/>
      <c r="K382" s="273" t="s">
        <v>196</v>
      </c>
      <c r="L382" s="273"/>
      <c r="M382" s="273"/>
      <c r="N382" s="363" t="s">
        <v>283</v>
      </c>
      <c r="O382" s="341"/>
      <c r="P382" s="375"/>
      <c r="Q382" s="341"/>
    </row>
    <row r="383">
      <c r="E383" s="341"/>
      <c r="F383" s="353"/>
      <c r="G383" s="354"/>
      <c r="H383" s="629" t="s">
        <v>289</v>
      </c>
      <c r="I383" s="363" t="s">
        <v>282</v>
      </c>
      <c r="J383" s="364"/>
      <c r="K383" s="363">
        <f t="shared" ref="K383:M383" si="81">K381/SHARDING(K382)</f>
        <v>16</v>
      </c>
      <c r="L383" s="363">
        <f t="shared" si="81"/>
        <v>2048</v>
      </c>
      <c r="M383" s="363">
        <f t="shared" si="81"/>
        <v>7168</v>
      </c>
      <c r="N383" s="363" t="s">
        <v>283</v>
      </c>
      <c r="O383" s="352"/>
      <c r="P383" s="375">
        <f>SIZEOF_IN_MIB(J383:M383, O380)</f>
        <v>224</v>
      </c>
      <c r="Q383" s="352"/>
    </row>
    <row r="384">
      <c r="E384" s="341"/>
      <c r="F384" s="630" t="s">
        <v>56</v>
      </c>
      <c r="G384" s="335"/>
      <c r="H384" s="629" t="s">
        <v>281</v>
      </c>
      <c r="I384" s="363" t="s">
        <v>282</v>
      </c>
      <c r="J384" s="364"/>
      <c r="K384" s="273" t="s">
        <v>104</v>
      </c>
      <c r="L384" s="273" t="s">
        <v>212</v>
      </c>
      <c r="M384" s="273" t="s">
        <v>178</v>
      </c>
      <c r="N384" s="363" t="s">
        <v>283</v>
      </c>
      <c r="O384" s="674" t="s">
        <v>133</v>
      </c>
      <c r="P384" s="375"/>
      <c r="Q384" s="365" t="b">
        <v>0</v>
      </c>
    </row>
    <row r="385">
      <c r="E385" s="341"/>
      <c r="F385" s="342"/>
      <c r="G385" s="343"/>
      <c r="H385" s="374" t="s">
        <v>285</v>
      </c>
      <c r="I385" s="363" t="s">
        <v>282</v>
      </c>
      <c r="J385" s="364"/>
      <c r="K385" s="363">
        <f t="shared" ref="K385:M385" si="82">PARAMS(K384)</f>
        <v>4096</v>
      </c>
      <c r="L385" s="363">
        <f t="shared" si="82"/>
        <v>8</v>
      </c>
      <c r="M385" s="363">
        <f t="shared" si="82"/>
        <v>7168</v>
      </c>
      <c r="N385" s="363" t="s">
        <v>283</v>
      </c>
      <c r="O385" s="341"/>
      <c r="P385" s="375">
        <f>SIZEOF_IN_MIB(J385:M385, O384)</f>
        <v>448</v>
      </c>
      <c r="Q385" s="341"/>
    </row>
    <row r="386">
      <c r="E386" s="341"/>
      <c r="F386" s="342"/>
      <c r="G386" s="343"/>
      <c r="H386" s="629" t="s">
        <v>287</v>
      </c>
      <c r="I386" s="363" t="s">
        <v>282</v>
      </c>
      <c r="J386" s="364"/>
      <c r="K386" s="273" t="s">
        <v>196</v>
      </c>
      <c r="L386" s="273"/>
      <c r="M386" s="273"/>
      <c r="N386" s="363" t="s">
        <v>283</v>
      </c>
      <c r="O386" s="341"/>
      <c r="P386" s="375"/>
      <c r="Q386" s="341"/>
    </row>
    <row r="387">
      <c r="E387" s="341"/>
      <c r="F387" s="353"/>
      <c r="G387" s="354"/>
      <c r="H387" s="629" t="s">
        <v>289</v>
      </c>
      <c r="I387" s="363" t="s">
        <v>282</v>
      </c>
      <c r="J387" s="363"/>
      <c r="K387" s="363">
        <f t="shared" ref="K387:M387" si="83">K385/SHARDING(K386)</f>
        <v>256</v>
      </c>
      <c r="L387" s="363">
        <f t="shared" si="83"/>
        <v>8</v>
      </c>
      <c r="M387" s="363">
        <f t="shared" si="83"/>
        <v>7168</v>
      </c>
      <c r="N387" s="363" t="s">
        <v>283</v>
      </c>
      <c r="O387" s="352"/>
      <c r="P387" s="375">
        <f>SIZEOF_IN_MIB(J387:M387, O384)</f>
        <v>28</v>
      </c>
      <c r="Q387" s="352"/>
    </row>
    <row r="388">
      <c r="E388" s="341"/>
      <c r="F388" s="370" t="s">
        <v>378</v>
      </c>
      <c r="G388" s="675" t="s">
        <v>625</v>
      </c>
      <c r="H388" s="676" t="str">
        <f>L382</f>
        <v/>
      </c>
      <c r="I388" s="364"/>
      <c r="J388" s="11"/>
      <c r="K388" s="364"/>
      <c r="L388" s="363"/>
      <c r="M388" s="363"/>
      <c r="N388" s="363"/>
      <c r="O388" s="364"/>
      <c r="P388" s="375"/>
      <c r="Q388" s="677"/>
    </row>
    <row r="389">
      <c r="E389" s="341"/>
      <c r="F389" s="341"/>
      <c r="G389" s="678" t="s">
        <v>406</v>
      </c>
      <c r="H389" s="679" t="s">
        <v>626</v>
      </c>
      <c r="I389" s="448"/>
      <c r="J389" s="448"/>
      <c r="K389" s="448"/>
      <c r="L389" s="449"/>
      <c r="M389" s="449"/>
      <c r="N389" s="449"/>
      <c r="O389" s="448"/>
      <c r="P389" s="604"/>
      <c r="Q389" s="450"/>
    </row>
    <row r="390">
      <c r="E390" s="341"/>
      <c r="F390" s="341"/>
      <c r="G390" s="680" t="s">
        <v>306</v>
      </c>
      <c r="H390" s="374">
        <f>SHARDING(H388)</f>
        <v>1</v>
      </c>
      <c r="I390" s="364"/>
      <c r="J390" s="364"/>
      <c r="K390" s="364"/>
      <c r="L390" s="363"/>
      <c r="M390" s="363"/>
      <c r="N390" s="363"/>
      <c r="O390" s="364"/>
      <c r="P390" s="375"/>
      <c r="Q390" s="677"/>
    </row>
    <row r="391">
      <c r="E391" s="341"/>
      <c r="F391" s="341"/>
      <c r="G391" s="680" t="s">
        <v>392</v>
      </c>
      <c r="H391" s="681">
        <f>P387 / H390 * (H390-1)</f>
        <v>0</v>
      </c>
      <c r="I391" s="364"/>
      <c r="J391" s="364"/>
      <c r="K391" s="364"/>
      <c r="L391" s="363"/>
      <c r="M391" s="363"/>
      <c r="N391" s="363"/>
      <c r="O391" s="364"/>
      <c r="P391" s="375"/>
      <c r="Q391" s="677"/>
    </row>
    <row r="392">
      <c r="E392" s="341"/>
      <c r="F392" s="341"/>
      <c r="G392" s="680" t="s">
        <v>308</v>
      </c>
      <c r="H392" s="681">
        <f>H391*H390</f>
        <v>0</v>
      </c>
      <c r="I392" s="364"/>
      <c r="J392" s="364"/>
      <c r="K392" s="364"/>
      <c r="L392" s="363"/>
      <c r="M392" s="363"/>
      <c r="N392" s="363"/>
      <c r="O392" s="364"/>
      <c r="P392" s="375"/>
      <c r="Q392" s="677"/>
    </row>
    <row r="393">
      <c r="E393" s="341"/>
      <c r="F393" s="341"/>
      <c r="G393" s="385" t="s">
        <v>309</v>
      </c>
      <c r="H393" s="654" t="str">
        <f>IFS(H390=8,12,
H390=4,4,
H390=2,1,
TRUE,NA())</f>
        <v>#N/A</v>
      </c>
      <c r="I393" s="11"/>
      <c r="J393" s="364"/>
      <c r="K393" s="364"/>
      <c r="L393" s="363"/>
      <c r="M393" s="363"/>
      <c r="N393" s="363"/>
      <c r="O393" s="364"/>
      <c r="P393" s="375"/>
      <c r="Q393" s="677"/>
    </row>
    <row r="394">
      <c r="E394" s="341"/>
      <c r="F394" s="341"/>
      <c r="G394" s="682" t="s">
        <v>340</v>
      </c>
      <c r="H394" s="683">
        <f>ALL_REDUCE_CHIP2CHIP_TIME_MS(H392,H393)</f>
        <v>0</v>
      </c>
      <c r="I394" s="364"/>
      <c r="J394" s="364"/>
      <c r="K394" s="364"/>
      <c r="L394" s="363"/>
      <c r="M394" s="363"/>
      <c r="N394" s="363"/>
      <c r="O394" s="364"/>
      <c r="P394" s="375"/>
      <c r="Q394" s="677"/>
    </row>
    <row r="395">
      <c r="E395" s="341"/>
      <c r="F395" s="341"/>
      <c r="G395" s="682"/>
      <c r="H395" s="683"/>
      <c r="I395" s="364"/>
      <c r="J395" s="364"/>
      <c r="K395" s="364"/>
      <c r="L395" s="363"/>
      <c r="M395" s="363"/>
      <c r="N395" s="363"/>
      <c r="O395" s="364"/>
      <c r="P395" s="375"/>
      <c r="Q395" s="677"/>
    </row>
    <row r="396">
      <c r="E396" s="341"/>
      <c r="F396" s="341"/>
      <c r="G396" s="678" t="s">
        <v>408</v>
      </c>
      <c r="H396" s="684" t="s">
        <v>409</v>
      </c>
      <c r="I396" s="448"/>
      <c r="J396" s="448"/>
      <c r="K396" s="448"/>
      <c r="L396" s="449"/>
      <c r="M396" s="449"/>
      <c r="N396" s="449"/>
      <c r="O396" s="448"/>
      <c r="P396" s="604"/>
      <c r="Q396" s="450"/>
    </row>
    <row r="397">
      <c r="E397" s="341"/>
      <c r="F397" s="341"/>
      <c r="G397" s="8" t="s">
        <v>340</v>
      </c>
      <c r="H397" s="670">
        <f>0</f>
        <v>0</v>
      </c>
      <c r="I397" s="364"/>
      <c r="J397" s="364"/>
      <c r="K397" s="364"/>
      <c r="L397" s="363"/>
      <c r="M397" s="363"/>
      <c r="N397" s="363"/>
      <c r="O397" s="364"/>
      <c r="P397" s="375"/>
      <c r="Q397" s="677"/>
    </row>
    <row r="398">
      <c r="E398" s="341"/>
      <c r="F398" s="341"/>
      <c r="G398" s="8"/>
      <c r="H398" s="670"/>
      <c r="I398" s="364"/>
      <c r="J398" s="364"/>
      <c r="K398" s="364"/>
      <c r="L398" s="363"/>
      <c r="M398" s="363"/>
      <c r="N398" s="363"/>
      <c r="O398" s="364"/>
      <c r="P398" s="375"/>
      <c r="Q398" s="677"/>
    </row>
    <row r="399">
      <c r="E399" s="341"/>
      <c r="F399" s="341"/>
      <c r="G399" s="591" t="s">
        <v>393</v>
      </c>
      <c r="H399" s="685" t="s">
        <v>627</v>
      </c>
      <c r="I399" s="448"/>
      <c r="J399" s="448"/>
      <c r="K399" s="448"/>
      <c r="L399" s="449"/>
      <c r="M399" s="449"/>
      <c r="N399" s="449"/>
      <c r="O399" s="448"/>
      <c r="P399" s="604"/>
      <c r="Q399" s="450"/>
    </row>
    <row r="400">
      <c r="E400" s="341"/>
      <c r="F400" s="352"/>
      <c r="G400" s="669" t="s">
        <v>340</v>
      </c>
      <c r="H400" s="670">
        <f>IFS(H399=G389,H394,H399=G396,H397,TRUE,0)</f>
        <v>0</v>
      </c>
      <c r="I400" s="686"/>
      <c r="J400" s="364"/>
      <c r="K400" s="364"/>
      <c r="L400" s="363"/>
      <c r="M400" s="363"/>
      <c r="N400" s="363"/>
      <c r="O400" s="364"/>
      <c r="P400" s="375"/>
      <c r="Q400" s="677"/>
    </row>
    <row r="401">
      <c r="E401" s="341"/>
      <c r="F401" s="609" t="s">
        <v>327</v>
      </c>
      <c r="G401" s="601" t="s">
        <v>328</v>
      </c>
      <c r="H401" s="663" t="str">
        <f>VLOOKUP(O376&amp;","&amp;O380,$T$2:$W$11,4, FALSE)</f>
        <v>fp8</v>
      </c>
      <c r="I401" s="460"/>
      <c r="J401" s="454"/>
      <c r="K401" s="454"/>
      <c r="L401" s="455"/>
      <c r="M401" s="455"/>
      <c r="N401" s="455"/>
      <c r="O401" s="454"/>
      <c r="P401" s="468"/>
      <c r="Q401" s="11"/>
    </row>
    <row r="402">
      <c r="E402" s="341"/>
      <c r="F402" s="341"/>
      <c r="G402" s="663" t="s">
        <v>341</v>
      </c>
      <c r="H402" s="687" t="str">
        <f>CALCULATE_FLOPS(J379:M379,J383:M383,L383,K383,H401)</f>
        <v>#N/A</v>
      </c>
      <c r="I402" s="492"/>
      <c r="J402" s="336"/>
      <c r="K402" s="336"/>
      <c r="L402" s="349"/>
      <c r="M402" s="349"/>
      <c r="N402" s="349"/>
      <c r="O402" s="336"/>
      <c r="P402" s="377"/>
      <c r="Q402" s="298"/>
    </row>
    <row r="403">
      <c r="E403" s="341"/>
      <c r="F403" s="352"/>
      <c r="G403" s="669" t="s">
        <v>330</v>
      </c>
      <c r="H403" s="688" t="str">
        <f>COMPUTE_TIME_MS(H402, H401)</f>
        <v>#N/A</v>
      </c>
      <c r="I403" s="464"/>
      <c r="J403" s="465"/>
      <c r="K403" s="465"/>
      <c r="L403" s="466"/>
      <c r="M403" s="466"/>
      <c r="N403" s="466"/>
      <c r="O403" s="465"/>
      <c r="P403" s="671"/>
      <c r="Q403" s="379"/>
    </row>
    <row r="404">
      <c r="E404" s="341"/>
      <c r="F404" s="609" t="s">
        <v>331</v>
      </c>
      <c r="G404" s="663" t="s">
        <v>332</v>
      </c>
      <c r="H404" s="689">
        <f>IF(Q376,0,P379)+IF(Q380,0,P383)+IF(Q384,0,P387)</f>
        <v>256</v>
      </c>
      <c r="I404" s="336"/>
      <c r="J404" s="336"/>
      <c r="K404" s="336"/>
      <c r="L404" s="349"/>
      <c r="M404" s="349"/>
      <c r="N404" s="349"/>
      <c r="O404" s="336"/>
      <c r="P404" s="377"/>
      <c r="Q404" s="298"/>
    </row>
    <row r="405">
      <c r="E405" s="352"/>
      <c r="F405" s="352"/>
      <c r="G405" s="673" t="s">
        <v>333</v>
      </c>
      <c r="H405" s="690">
        <f>HBM_TIME_MS(H404)</f>
        <v>0.08544087491</v>
      </c>
      <c r="I405" s="465"/>
      <c r="J405" s="465"/>
      <c r="K405" s="465"/>
      <c r="L405" s="466"/>
      <c r="M405" s="466"/>
      <c r="N405" s="466"/>
      <c r="O405" s="465"/>
      <c r="P405" s="671"/>
      <c r="Q405" s="379"/>
    </row>
    <row r="406">
      <c r="E406" s="333" t="s">
        <v>411</v>
      </c>
      <c r="F406" s="691" t="s">
        <v>412</v>
      </c>
      <c r="G406" s="371" t="s">
        <v>301</v>
      </c>
      <c r="H406" s="531" t="s">
        <v>281</v>
      </c>
      <c r="I406" s="336" t="s">
        <v>282</v>
      </c>
      <c r="J406" s="337"/>
      <c r="K406" s="337" t="s">
        <v>104</v>
      </c>
      <c r="L406" s="337" t="s">
        <v>212</v>
      </c>
      <c r="M406" s="499" t="s">
        <v>178</v>
      </c>
      <c r="N406" s="336" t="s">
        <v>283</v>
      </c>
      <c r="O406" s="338" t="s">
        <v>133</v>
      </c>
      <c r="P406" s="377"/>
      <c r="Q406" s="337"/>
    </row>
    <row r="407">
      <c r="E407" s="341"/>
      <c r="F407" s="341"/>
      <c r="G407" s="341"/>
      <c r="H407" s="378" t="s">
        <v>285</v>
      </c>
      <c r="I407" s="345" t="s">
        <v>282</v>
      </c>
      <c r="J407" s="346"/>
      <c r="K407" s="345">
        <f t="shared" ref="K407:M407" si="84">PARAMS(K406)</f>
        <v>4096</v>
      </c>
      <c r="L407" s="345">
        <f t="shared" si="84"/>
        <v>8</v>
      </c>
      <c r="M407" s="345">
        <f t="shared" si="84"/>
        <v>7168</v>
      </c>
      <c r="N407" s="345" t="s">
        <v>283</v>
      </c>
      <c r="O407" s="347"/>
      <c r="P407" s="509">
        <f>SIZEOF_IN_MIB(J407:M407, O406)</f>
        <v>448</v>
      </c>
      <c r="Q407" s="344"/>
    </row>
    <row r="408">
      <c r="E408" s="341"/>
      <c r="F408" s="341"/>
      <c r="G408" s="341"/>
      <c r="H408" s="602" t="s">
        <v>287</v>
      </c>
      <c r="I408" s="349" t="s">
        <v>282</v>
      </c>
      <c r="J408" s="336"/>
      <c r="K408" s="337"/>
      <c r="L408" s="337"/>
      <c r="M408" s="337" t="s">
        <v>97</v>
      </c>
      <c r="N408" s="349" t="s">
        <v>283</v>
      </c>
      <c r="O408" s="350"/>
      <c r="P408" s="377"/>
      <c r="Q408" s="337"/>
    </row>
    <row r="409">
      <c r="E409" s="341"/>
      <c r="F409" s="341"/>
      <c r="G409" s="352"/>
      <c r="H409" s="378" t="s">
        <v>289</v>
      </c>
      <c r="I409" s="346" t="s">
        <v>282</v>
      </c>
      <c r="J409" s="345"/>
      <c r="K409" s="346">
        <f t="shared" ref="K409:M409" si="85">K407/SHARDING(K408)</f>
        <v>4096</v>
      </c>
      <c r="L409" s="346">
        <f t="shared" si="85"/>
        <v>8</v>
      </c>
      <c r="M409" s="346">
        <f t="shared" si="85"/>
        <v>448</v>
      </c>
      <c r="N409" s="346" t="s">
        <v>283</v>
      </c>
      <c r="O409" s="355"/>
      <c r="P409" s="509">
        <f>SIZEOF_IN_MIB(J409:M409, O406)</f>
        <v>28</v>
      </c>
      <c r="Q409" s="344"/>
    </row>
    <row r="410">
      <c r="E410" s="341"/>
      <c r="F410" s="341"/>
      <c r="G410" s="594" t="s">
        <v>616</v>
      </c>
      <c r="H410" s="888">
        <f>P407</f>
        <v>448</v>
      </c>
      <c r="I410" s="349"/>
      <c r="J410" s="336"/>
      <c r="K410" s="349"/>
      <c r="L410" s="349"/>
      <c r="M410" s="349"/>
      <c r="N410" s="349"/>
      <c r="O410" s="337"/>
      <c r="P410" s="377"/>
      <c r="Q410" s="337"/>
    </row>
    <row r="411">
      <c r="E411" s="341"/>
      <c r="F411" s="352"/>
      <c r="G411" s="594" t="s">
        <v>609</v>
      </c>
      <c r="H411" s="646" t="str">
        <f>ALL2ALL_CHIP2CHIP_TIME_MS(H410)</f>
        <v>#N/A</v>
      </c>
      <c r="I411" s="346"/>
      <c r="J411" s="345"/>
      <c r="K411" s="346"/>
      <c r="L411" s="346"/>
      <c r="M411" s="346"/>
      <c r="N411" s="346"/>
      <c r="O411" s="344"/>
      <c r="P411" s="509"/>
      <c r="Q411" s="344"/>
    </row>
    <row r="412">
      <c r="E412" s="341"/>
      <c r="F412" s="702" t="s">
        <v>417</v>
      </c>
      <c r="G412" s="661" t="s">
        <v>169</v>
      </c>
      <c r="H412" s="703" t="s">
        <v>628</v>
      </c>
      <c r="I412" s="336"/>
      <c r="J412" s="337"/>
      <c r="K412" s="337"/>
      <c r="L412" s="337"/>
      <c r="M412" s="337"/>
      <c r="N412" s="349"/>
      <c r="O412" s="337"/>
      <c r="P412" s="377"/>
      <c r="Q412" s="337"/>
    </row>
    <row r="413">
      <c r="E413" s="341"/>
      <c r="F413" s="341"/>
      <c r="G413" s="371" t="s">
        <v>301</v>
      </c>
      <c r="H413" s="529" t="s">
        <v>281</v>
      </c>
      <c r="I413" s="345" t="s">
        <v>282</v>
      </c>
      <c r="J413" s="344"/>
      <c r="K413" s="344" t="s">
        <v>104</v>
      </c>
      <c r="L413" s="344" t="s">
        <v>102</v>
      </c>
      <c r="M413" s="344" t="s">
        <v>178</v>
      </c>
      <c r="N413" s="346"/>
      <c r="O413" s="473" t="s">
        <v>133</v>
      </c>
      <c r="P413" s="509"/>
      <c r="Q413" s="344"/>
    </row>
    <row r="414">
      <c r="E414" s="341"/>
      <c r="F414" s="341"/>
      <c r="G414" s="341"/>
      <c r="H414" s="376" t="s">
        <v>285</v>
      </c>
      <c r="I414" s="336" t="s">
        <v>282</v>
      </c>
      <c r="J414" s="349"/>
      <c r="K414" s="336">
        <f t="shared" ref="K414:M414" si="86">PARAMS(K413)</f>
        <v>4096</v>
      </c>
      <c r="L414" s="336">
        <f t="shared" si="86"/>
        <v>1</v>
      </c>
      <c r="M414" s="336">
        <f t="shared" si="86"/>
        <v>7168</v>
      </c>
      <c r="N414" s="349"/>
      <c r="O414" s="350"/>
      <c r="P414" s="377">
        <f>SIZEOF_IN_MIB(J414:M414, O413)</f>
        <v>56</v>
      </c>
      <c r="Q414" s="337"/>
    </row>
    <row r="415">
      <c r="E415" s="341"/>
      <c r="F415" s="341"/>
      <c r="G415" s="341"/>
      <c r="H415" s="517" t="s">
        <v>287</v>
      </c>
      <c r="I415" s="346" t="s">
        <v>282</v>
      </c>
      <c r="J415" s="345"/>
      <c r="K415" s="344"/>
      <c r="L415" s="344"/>
      <c r="M415" s="344" t="s">
        <v>97</v>
      </c>
      <c r="N415" s="346"/>
      <c r="O415" s="347"/>
      <c r="P415" s="509"/>
      <c r="Q415" s="344"/>
    </row>
    <row r="416">
      <c r="E416" s="341"/>
      <c r="F416" s="341"/>
      <c r="G416" s="341"/>
      <c r="H416" s="374" t="s">
        <v>289</v>
      </c>
      <c r="I416" s="363" t="s">
        <v>282</v>
      </c>
      <c r="J416" s="364"/>
      <c r="K416" s="363">
        <f t="shared" ref="K416:M416" si="87">K414/SHARDING(K415)</f>
        <v>4096</v>
      </c>
      <c r="L416" s="363">
        <f t="shared" si="87"/>
        <v>1</v>
      </c>
      <c r="M416" s="363">
        <f t="shared" si="87"/>
        <v>448</v>
      </c>
      <c r="N416" s="363"/>
      <c r="O416" s="352"/>
      <c r="P416" s="375">
        <f>SIZEOF_IN_MIB(J416:M416, O413)</f>
        <v>3.5</v>
      </c>
      <c r="Q416" s="273"/>
    </row>
    <row r="417">
      <c r="E417" s="341"/>
      <c r="F417" s="341"/>
      <c r="G417" s="352"/>
      <c r="H417" s="704" t="s">
        <v>419</v>
      </c>
      <c r="I417" s="705"/>
      <c r="J417" s="273"/>
      <c r="K417" s="363"/>
      <c r="L417" s="363"/>
      <c r="M417" s="363"/>
      <c r="N417" s="363"/>
      <c r="O417" s="273"/>
      <c r="P417" s="706"/>
      <c r="Q417" s="273"/>
    </row>
    <row r="418">
      <c r="E418" s="341"/>
      <c r="F418" s="341"/>
      <c r="G418" s="385" t="s">
        <v>306</v>
      </c>
      <c r="H418" s="707">
        <f>SHARDING(J417) * SHARDING(H388)</f>
        <v>1</v>
      </c>
      <c r="I418" s="363"/>
      <c r="J418" s="364"/>
      <c r="K418" s="363"/>
      <c r="L418" s="363"/>
      <c r="M418" s="363"/>
      <c r="N418" s="363"/>
      <c r="O418" s="273"/>
      <c r="P418" s="706"/>
      <c r="Q418" s="273"/>
    </row>
    <row r="419">
      <c r="E419" s="341"/>
      <c r="F419" s="341"/>
      <c r="G419" s="594" t="s">
        <v>383</v>
      </c>
      <c r="H419" s="652">
        <f>P416 / H418 * (H418-1)</f>
        <v>0</v>
      </c>
      <c r="I419" s="363"/>
      <c r="J419" s="364"/>
      <c r="K419" s="363"/>
      <c r="L419" s="363"/>
      <c r="M419" s="363"/>
      <c r="N419" s="363"/>
      <c r="O419" s="273"/>
      <c r="P419" s="706"/>
      <c r="Q419" s="273"/>
    </row>
    <row r="420">
      <c r="E420" s="341"/>
      <c r="F420" s="341"/>
      <c r="G420" s="594" t="s">
        <v>384</v>
      </c>
      <c r="H420" s="708">
        <f>H419*H418</f>
        <v>0</v>
      </c>
      <c r="I420" s="601"/>
      <c r="J420" s="364"/>
      <c r="K420" s="363"/>
      <c r="L420" s="363"/>
      <c r="M420" s="363"/>
      <c r="N420" s="363"/>
      <c r="O420" s="273"/>
      <c r="P420" s="706"/>
      <c r="Q420" s="273"/>
    </row>
    <row r="421">
      <c r="E421" s="341"/>
      <c r="F421" s="341"/>
      <c r="G421" s="594" t="s">
        <v>420</v>
      </c>
      <c r="H421" s="709">
        <f>HW_SPEC("# of TensorCore per Chip")</f>
        <v>2</v>
      </c>
      <c r="I421" s="703" t="s">
        <v>421</v>
      </c>
      <c r="J421" s="336"/>
      <c r="K421" s="349"/>
      <c r="L421" s="349"/>
      <c r="M421" s="349"/>
      <c r="N421" s="349"/>
      <c r="O421" s="337"/>
      <c r="P421" s="710"/>
      <c r="Q421" s="337"/>
    </row>
    <row r="422">
      <c r="E422" s="341"/>
      <c r="F422" s="341"/>
      <c r="G422" s="385" t="s">
        <v>309</v>
      </c>
      <c r="H422" s="410" t="str">
        <f>IFS(H418=8,12,
H418=4,4,
H418=2,1,
TRUE,NA())</f>
        <v>#N/A</v>
      </c>
      <c r="I422" s="711"/>
      <c r="J422" s="345"/>
      <c r="K422" s="346"/>
      <c r="L422" s="346"/>
      <c r="M422" s="346"/>
      <c r="N422" s="346"/>
      <c r="O422" s="344"/>
      <c r="P422" s="712"/>
      <c r="Q422" s="344"/>
    </row>
    <row r="423">
      <c r="E423" s="341"/>
      <c r="F423" s="352"/>
      <c r="G423" s="594" t="s">
        <v>423</v>
      </c>
      <c r="H423" s="643">
        <f>REDUCE_SCATTER_CHIP2CHIP_TIME_MS2(H420*H421,H422)</f>
        <v>0</v>
      </c>
      <c r="I423" s="602"/>
      <c r="J423" s="336"/>
      <c r="K423" s="349"/>
      <c r="L423" s="349"/>
      <c r="M423" s="349"/>
      <c r="N423" s="349"/>
      <c r="O423" s="337"/>
      <c r="P423" s="710"/>
      <c r="Q423" s="337"/>
    </row>
    <row r="424">
      <c r="E424" s="341"/>
      <c r="F424" s="702" t="s">
        <v>119</v>
      </c>
      <c r="G424" s="713" t="s">
        <v>169</v>
      </c>
      <c r="H424" s="398" t="s">
        <v>629</v>
      </c>
      <c r="I424" s="344"/>
      <c r="J424" s="345"/>
      <c r="K424" s="344"/>
      <c r="L424" s="556"/>
      <c r="M424" s="344"/>
      <c r="N424" s="346"/>
      <c r="O424" s="344"/>
      <c r="P424" s="509"/>
      <c r="Q424" s="344"/>
    </row>
    <row r="425">
      <c r="E425" s="341"/>
      <c r="F425" s="341"/>
      <c r="G425" s="609" t="s">
        <v>301</v>
      </c>
      <c r="H425" s="602" t="s">
        <v>281</v>
      </c>
      <c r="I425" s="602"/>
      <c r="J425" s="336"/>
      <c r="K425" s="337" t="s">
        <v>104</v>
      </c>
      <c r="L425" s="499" t="s">
        <v>102</v>
      </c>
      <c r="M425" s="337" t="s">
        <v>178</v>
      </c>
      <c r="N425" s="349"/>
      <c r="O425" s="338" t="s">
        <v>133</v>
      </c>
      <c r="P425" s="377"/>
      <c r="Q425" s="337"/>
    </row>
    <row r="426">
      <c r="E426" s="341"/>
      <c r="F426" s="341"/>
      <c r="G426" s="341"/>
      <c r="H426" s="378" t="s">
        <v>285</v>
      </c>
      <c r="I426" s="378"/>
      <c r="J426" s="345"/>
      <c r="K426" s="346">
        <f t="shared" ref="K426:M426" si="88">PARAMS(K425)</f>
        <v>4096</v>
      </c>
      <c r="L426" s="346">
        <f t="shared" si="88"/>
        <v>1</v>
      </c>
      <c r="M426" s="346">
        <f t="shared" si="88"/>
        <v>7168</v>
      </c>
      <c r="N426" s="346"/>
      <c r="O426" s="347"/>
      <c r="P426" s="509">
        <f>SIZEOF_IN_MIB(J426:M426, O425)</f>
        <v>56</v>
      </c>
      <c r="Q426" s="344"/>
    </row>
    <row r="427">
      <c r="E427" s="341"/>
      <c r="F427" s="341"/>
      <c r="G427" s="341"/>
      <c r="H427" s="602" t="s">
        <v>287</v>
      </c>
      <c r="I427" s="602"/>
      <c r="J427" s="336"/>
      <c r="K427" s="337"/>
      <c r="L427" s="337"/>
      <c r="M427" s="337"/>
      <c r="N427" s="349"/>
      <c r="O427" s="350"/>
      <c r="P427" s="377"/>
      <c r="Q427" s="337"/>
    </row>
    <row r="428">
      <c r="E428" s="341"/>
      <c r="F428" s="341"/>
      <c r="G428" s="341"/>
      <c r="H428" s="517" t="s">
        <v>289</v>
      </c>
      <c r="I428" s="517"/>
      <c r="J428" s="345"/>
      <c r="K428" s="346">
        <f t="shared" ref="K428:M428" si="89">K426/SHARDING(K427)</f>
        <v>4096</v>
      </c>
      <c r="L428" s="346">
        <f t="shared" si="89"/>
        <v>1</v>
      </c>
      <c r="M428" s="346">
        <f t="shared" si="89"/>
        <v>7168</v>
      </c>
      <c r="N428" s="346"/>
      <c r="O428" s="355"/>
      <c r="P428" s="509">
        <f>SIZEOF_IN_MIB(J428:M428, O425)</f>
        <v>56</v>
      </c>
      <c r="Q428" s="344"/>
    </row>
    <row r="429">
      <c r="E429" s="341"/>
      <c r="F429" s="341"/>
      <c r="G429" s="352"/>
      <c r="H429" s="639" t="s">
        <v>419</v>
      </c>
      <c r="I429" s="376"/>
      <c r="J429" s="639" t="s">
        <v>196</v>
      </c>
      <c r="K429" s="336"/>
      <c r="L429" s="337"/>
      <c r="M429" s="349"/>
      <c r="N429" s="349"/>
      <c r="O429" s="337"/>
      <c r="P429" s="377"/>
      <c r="Q429" s="337"/>
    </row>
    <row r="430">
      <c r="E430" s="341"/>
      <c r="F430" s="341"/>
      <c r="G430" s="458" t="s">
        <v>425</v>
      </c>
      <c r="H430" s="606" t="s">
        <v>306</v>
      </c>
      <c r="I430" s="379"/>
      <c r="J430" s="595">
        <f>SHARDING(J429)*SHARDING(H388)/HW_SPEC("# of TensorCore per Chip")</f>
        <v>8</v>
      </c>
      <c r="K430" s="345"/>
      <c r="L430" s="344"/>
      <c r="M430" s="346"/>
      <c r="N430" s="346"/>
      <c r="O430" s="344"/>
      <c r="P430" s="509"/>
      <c r="Q430" s="344"/>
    </row>
    <row r="431">
      <c r="E431" s="341"/>
      <c r="F431" s="341"/>
      <c r="G431" s="341"/>
      <c r="H431" s="639" t="s">
        <v>426</v>
      </c>
      <c r="I431" s="298"/>
      <c r="J431" s="716">
        <f>P428 / J430 * (J430-1)</f>
        <v>49</v>
      </c>
      <c r="K431" s="336"/>
      <c r="L431" s="337"/>
      <c r="M431" s="349"/>
      <c r="N431" s="349"/>
      <c r="O431" s="337"/>
      <c r="P431" s="377"/>
      <c r="Q431" s="337"/>
    </row>
    <row r="432">
      <c r="E432" s="341"/>
      <c r="F432" s="341"/>
      <c r="G432" s="341"/>
      <c r="H432" s="634" t="s">
        <v>384</v>
      </c>
      <c r="I432" s="379"/>
      <c r="J432" s="715">
        <f>J431*J430</f>
        <v>392</v>
      </c>
      <c r="K432" s="345"/>
      <c r="L432" s="344"/>
      <c r="M432" s="346"/>
      <c r="N432" s="346"/>
      <c r="O432" s="344"/>
      <c r="P432" s="509"/>
      <c r="Q432" s="344"/>
    </row>
    <row r="433">
      <c r="E433" s="341"/>
      <c r="F433" s="341"/>
      <c r="G433" s="341"/>
      <c r="H433" s="639" t="s">
        <v>309</v>
      </c>
      <c r="I433" s="298"/>
      <c r="J433" s="714">
        <f>IFS(J430=8,12,
J430=4,4,
J430=2,1,
TRUE,NA())</f>
        <v>12</v>
      </c>
      <c r="K433" s="336"/>
      <c r="L433" s="337"/>
      <c r="M433" s="349"/>
      <c r="N433" s="349"/>
      <c r="O433" s="337"/>
      <c r="P433" s="377"/>
      <c r="Q433" s="337"/>
    </row>
    <row r="434">
      <c r="E434" s="341"/>
      <c r="F434" s="341"/>
      <c r="G434" s="352"/>
      <c r="H434" s="634" t="s">
        <v>311</v>
      </c>
      <c r="I434" s="379"/>
      <c r="J434" s="889">
        <f>IF(J432=0,0, REDUCE_SCATTER_CHIP2CHIP_TIME_MS2(J432,J433))</f>
        <v>0.1993815104</v>
      </c>
      <c r="K434" s="345"/>
      <c r="L434" s="344"/>
      <c r="M434" s="346"/>
      <c r="N434" s="346"/>
      <c r="O434" s="344"/>
      <c r="P434" s="509"/>
      <c r="Q434" s="344"/>
    </row>
    <row r="435">
      <c r="E435" s="341"/>
      <c r="F435" s="341"/>
      <c r="G435" s="609" t="s">
        <v>427</v>
      </c>
      <c r="H435" s="416" t="s">
        <v>306</v>
      </c>
      <c r="I435" s="601"/>
      <c r="J435" s="717">
        <f>HW_SPEC("# of TensorCore per Chip")</f>
        <v>2</v>
      </c>
      <c r="K435" s="364"/>
      <c r="L435" s="273"/>
      <c r="M435" s="363"/>
      <c r="N435" s="363"/>
      <c r="O435" s="273"/>
      <c r="P435" s="375"/>
      <c r="Q435" s="273"/>
    </row>
    <row r="436">
      <c r="E436" s="341"/>
      <c r="F436" s="341"/>
      <c r="G436" s="341"/>
      <c r="H436" s="704" t="s">
        <v>416</v>
      </c>
      <c r="I436" s="11"/>
      <c r="J436" s="718">
        <f>P428 * (J435-1)/J435</f>
        <v>28</v>
      </c>
      <c r="K436" s="364"/>
      <c r="L436" s="273"/>
      <c r="M436" s="363"/>
      <c r="N436" s="363"/>
      <c r="O436" s="273"/>
      <c r="P436" s="375"/>
      <c r="Q436" s="273"/>
    </row>
    <row r="437">
      <c r="E437" s="341"/>
      <c r="F437" s="341"/>
      <c r="G437" s="341"/>
      <c r="H437" s="704" t="s">
        <v>384</v>
      </c>
      <c r="I437" s="11"/>
      <c r="J437" s="718">
        <f>J436*J435</f>
        <v>56</v>
      </c>
      <c r="K437" s="364"/>
      <c r="L437" s="273"/>
      <c r="M437" s="363"/>
      <c r="N437" s="363"/>
      <c r="O437" s="273"/>
      <c r="P437" s="375"/>
      <c r="Q437" s="273"/>
    </row>
    <row r="438">
      <c r="E438" s="341"/>
      <c r="F438" s="341"/>
      <c r="G438" s="341"/>
      <c r="H438" s="704" t="s">
        <v>311</v>
      </c>
      <c r="I438" s="11"/>
      <c r="J438" s="719">
        <f>REDUCE_SCATTER_CORE2CORE_TIME_MS(J437)</f>
        <v>0.04557291667</v>
      </c>
      <c r="K438" s="364"/>
      <c r="L438" s="273"/>
      <c r="M438" s="363"/>
      <c r="N438" s="363"/>
      <c r="O438" s="273"/>
      <c r="P438" s="375"/>
      <c r="Q438" s="273"/>
    </row>
    <row r="439">
      <c r="E439" s="341"/>
      <c r="F439" s="341"/>
      <c r="G439" s="352"/>
      <c r="H439" s="704" t="s">
        <v>428</v>
      </c>
      <c r="I439" s="11"/>
      <c r="J439" s="719">
        <f>J438/J430</f>
        <v>0.005696614583</v>
      </c>
      <c r="K439" s="364"/>
      <c r="L439" s="273"/>
      <c r="M439" s="363"/>
      <c r="N439" s="363"/>
      <c r="O439" s="273"/>
      <c r="P439" s="375"/>
      <c r="Q439" s="273"/>
    </row>
    <row r="440">
      <c r="E440" s="341"/>
      <c r="F440" s="352"/>
      <c r="G440" s="599" t="s">
        <v>429</v>
      </c>
      <c r="H440" s="895">
        <f>SUM(J434+J439)</f>
        <v>0.205078125</v>
      </c>
      <c r="I440" s="719"/>
      <c r="J440" s="364"/>
      <c r="K440" s="364"/>
      <c r="L440" s="273"/>
      <c r="M440" s="363"/>
      <c r="N440" s="363"/>
      <c r="O440" s="273"/>
      <c r="P440" s="375"/>
      <c r="Q440" s="273"/>
    </row>
    <row r="441">
      <c r="E441" s="341"/>
      <c r="F441" s="370" t="s">
        <v>335</v>
      </c>
      <c r="G441" s="720" t="s">
        <v>322</v>
      </c>
      <c r="H441" s="721" t="s">
        <v>119</v>
      </c>
      <c r="I441" s="650"/>
      <c r="J441" s="454"/>
      <c r="K441" s="454"/>
      <c r="L441" s="455"/>
      <c r="M441" s="455"/>
      <c r="N441" s="455"/>
      <c r="O441" s="454"/>
      <c r="P441" s="722"/>
      <c r="Q441" s="11"/>
    </row>
    <row r="442">
      <c r="E442" s="341"/>
      <c r="F442" s="352"/>
      <c r="G442" s="669" t="s">
        <v>340</v>
      </c>
      <c r="H442" s="662">
        <f>IFS(H441=F406,H411,H441=F412,H423,F424=H441,H440, TRUE,0)</f>
        <v>0.205078125</v>
      </c>
      <c r="I442" s="686"/>
      <c r="J442" s="364"/>
      <c r="K442" s="364"/>
      <c r="L442" s="363"/>
      <c r="M442" s="363"/>
      <c r="N442" s="363"/>
      <c r="O442" s="364"/>
      <c r="P442" s="890"/>
      <c r="Q442" s="677"/>
    </row>
    <row r="443">
      <c r="E443" s="341"/>
      <c r="F443" s="609" t="s">
        <v>327</v>
      </c>
      <c r="G443" s="601" t="s">
        <v>109</v>
      </c>
      <c r="H443" s="891"/>
      <c r="I443" s="650"/>
      <c r="J443" s="454"/>
      <c r="K443" s="454"/>
      <c r="L443" s="455"/>
      <c r="M443" s="455"/>
      <c r="N443" s="455"/>
      <c r="O443" s="454"/>
      <c r="P443" s="722"/>
      <c r="Q443" s="11"/>
    </row>
    <row r="444">
      <c r="E444" s="341"/>
      <c r="F444" s="341"/>
      <c r="G444" s="601"/>
      <c r="H444" s="663"/>
      <c r="I444" s="460"/>
      <c r="J444" s="454"/>
      <c r="K444" s="454"/>
      <c r="L444" s="455"/>
      <c r="M444" s="455"/>
      <c r="N444" s="455"/>
      <c r="O444" s="454"/>
      <c r="P444" s="722"/>
      <c r="Q444" s="11"/>
    </row>
    <row r="445">
      <c r="E445" s="341"/>
      <c r="F445" s="352"/>
      <c r="G445" s="601"/>
      <c r="H445" s="663"/>
      <c r="I445" s="460"/>
      <c r="J445" s="454"/>
      <c r="K445" s="454"/>
      <c r="L445" s="455"/>
      <c r="M445" s="455"/>
      <c r="N445" s="455"/>
      <c r="O445" s="454"/>
      <c r="P445" s="722"/>
      <c r="Q445" s="11"/>
    </row>
    <row r="446">
      <c r="E446" s="341"/>
      <c r="F446" s="609" t="s">
        <v>331</v>
      </c>
      <c r="G446" s="601" t="s">
        <v>109</v>
      </c>
      <c r="H446" s="663"/>
      <c r="I446" s="460"/>
      <c r="J446" s="454"/>
      <c r="K446" s="454"/>
      <c r="L446" s="455"/>
      <c r="M446" s="455"/>
      <c r="N446" s="455"/>
      <c r="O446" s="454"/>
      <c r="P446" s="722"/>
      <c r="Q446" s="11"/>
    </row>
    <row r="447">
      <c r="E447" s="352"/>
      <c r="F447" s="352"/>
      <c r="G447" s="601"/>
      <c r="H447" s="663"/>
      <c r="I447" s="460"/>
      <c r="J447" s="454"/>
      <c r="K447" s="454"/>
      <c r="L447" s="455"/>
      <c r="M447" s="455"/>
      <c r="N447" s="455"/>
      <c r="O447" s="454"/>
      <c r="P447" s="722"/>
      <c r="Q447" s="11"/>
    </row>
    <row r="448">
      <c r="E448" s="333" t="s">
        <v>430</v>
      </c>
      <c r="F448" s="725" t="s">
        <v>292</v>
      </c>
      <c r="G448" s="335"/>
      <c r="H448" s="531" t="s">
        <v>281</v>
      </c>
      <c r="I448" s="336" t="s">
        <v>282</v>
      </c>
      <c r="J448" s="337"/>
      <c r="K448" s="337" t="s">
        <v>104</v>
      </c>
      <c r="L448" s="337" t="s">
        <v>102</v>
      </c>
      <c r="M448" s="499" t="s">
        <v>178</v>
      </c>
      <c r="N448" s="336" t="s">
        <v>283</v>
      </c>
      <c r="O448" s="338" t="s">
        <v>125</v>
      </c>
      <c r="P448" s="377"/>
      <c r="Q448" s="338" t="b">
        <v>0</v>
      </c>
    </row>
    <row r="449">
      <c r="E449" s="341"/>
      <c r="F449" s="342"/>
      <c r="G449" s="343"/>
      <c r="H449" s="378" t="s">
        <v>285</v>
      </c>
      <c r="I449" s="345" t="s">
        <v>282</v>
      </c>
      <c r="J449" s="346"/>
      <c r="K449" s="345">
        <f t="shared" ref="K449:M449" si="90">PARAMS(K448)</f>
        <v>4096</v>
      </c>
      <c r="L449" s="345">
        <f t="shared" si="90"/>
        <v>1</v>
      </c>
      <c r="M449" s="345">
        <f t="shared" si="90"/>
        <v>7168</v>
      </c>
      <c r="N449" s="345" t="s">
        <v>283</v>
      </c>
      <c r="O449" s="347"/>
      <c r="P449" s="509">
        <f>SIZEOF_IN_MIB(J449:M449, O448)</f>
        <v>28</v>
      </c>
      <c r="Q449" s="347"/>
    </row>
    <row r="450">
      <c r="E450" s="341"/>
      <c r="F450" s="342"/>
      <c r="G450" s="343"/>
      <c r="H450" s="602" t="s">
        <v>287</v>
      </c>
      <c r="I450" s="349" t="s">
        <v>282</v>
      </c>
      <c r="J450" s="336"/>
      <c r="K450" s="337" t="s">
        <v>97</v>
      </c>
      <c r="L450" s="337"/>
      <c r="M450" s="337"/>
      <c r="N450" s="349" t="s">
        <v>283</v>
      </c>
      <c r="O450" s="350"/>
      <c r="P450" s="377"/>
      <c r="Q450" s="350"/>
    </row>
    <row r="451">
      <c r="E451" s="341"/>
      <c r="F451" s="353"/>
      <c r="G451" s="354"/>
      <c r="H451" s="378" t="s">
        <v>289</v>
      </c>
      <c r="I451" s="346" t="s">
        <v>282</v>
      </c>
      <c r="J451" s="345"/>
      <c r="K451" s="346">
        <f t="shared" ref="K451:M451" si="91">K449/SHARDING(K450)</f>
        <v>256</v>
      </c>
      <c r="L451" s="346">
        <f t="shared" si="91"/>
        <v>1</v>
      </c>
      <c r="M451" s="346">
        <f t="shared" si="91"/>
        <v>7168</v>
      </c>
      <c r="N451" s="346" t="s">
        <v>283</v>
      </c>
      <c r="O451" s="355"/>
      <c r="P451" s="509">
        <f>SIZEOF_IN_MIB(J451:M451, O448)</f>
        <v>1.75</v>
      </c>
      <c r="Q451" s="355"/>
    </row>
    <row r="452">
      <c r="E452" s="341"/>
      <c r="F452" s="726" t="s">
        <v>296</v>
      </c>
      <c r="G452" s="335"/>
      <c r="H452" s="602" t="s">
        <v>281</v>
      </c>
      <c r="I452" s="349" t="s">
        <v>282</v>
      </c>
      <c r="J452" s="336"/>
      <c r="K452" s="298"/>
      <c r="L452" s="337" t="s">
        <v>178</v>
      </c>
      <c r="M452" s="499" t="s">
        <v>182</v>
      </c>
      <c r="N452" s="349" t="s">
        <v>283</v>
      </c>
      <c r="O452" s="338" t="s">
        <v>180</v>
      </c>
      <c r="P452" s="377"/>
      <c r="Q452" s="338" t="b">
        <v>0</v>
      </c>
    </row>
    <row r="453">
      <c r="E453" s="341"/>
      <c r="F453" s="342"/>
      <c r="G453" s="343"/>
      <c r="H453" s="378" t="s">
        <v>285</v>
      </c>
      <c r="I453" s="346" t="s">
        <v>282</v>
      </c>
      <c r="J453" s="345"/>
      <c r="K453" s="398">
        <v>2.0</v>
      </c>
      <c r="L453" s="346">
        <f t="shared" ref="L453:M453" si="92">PARAMS(L452)</f>
        <v>7168</v>
      </c>
      <c r="M453" s="346">
        <f t="shared" si="92"/>
        <v>2048</v>
      </c>
      <c r="N453" s="346" t="s">
        <v>283</v>
      </c>
      <c r="O453" s="347"/>
      <c r="P453" s="509">
        <f>SIZEOF_IN_MIB(J453:M453, O452)</f>
        <v>14</v>
      </c>
      <c r="Q453" s="347"/>
    </row>
    <row r="454">
      <c r="E454" s="341"/>
      <c r="F454" s="342"/>
      <c r="G454" s="343"/>
      <c r="H454" s="602" t="s">
        <v>287</v>
      </c>
      <c r="I454" s="349" t="s">
        <v>282</v>
      </c>
      <c r="J454" s="336"/>
      <c r="K454" s="298"/>
      <c r="L454" s="337"/>
      <c r="M454" s="337"/>
      <c r="N454" s="349" t="s">
        <v>283</v>
      </c>
      <c r="O454" s="350"/>
      <c r="P454" s="377"/>
      <c r="Q454" s="350"/>
    </row>
    <row r="455">
      <c r="E455" s="341"/>
      <c r="F455" s="353"/>
      <c r="G455" s="354"/>
      <c r="H455" s="517" t="s">
        <v>289</v>
      </c>
      <c r="I455" s="346" t="s">
        <v>282</v>
      </c>
      <c r="J455" s="345"/>
      <c r="K455" s="398">
        <v>2.0</v>
      </c>
      <c r="L455" s="346">
        <f t="shared" ref="L455:M455" si="93">L453/SHARDING(L454)</f>
        <v>7168</v>
      </c>
      <c r="M455" s="346">
        <f t="shared" si="93"/>
        <v>2048</v>
      </c>
      <c r="N455" s="346" t="s">
        <v>283</v>
      </c>
      <c r="O455" s="355"/>
      <c r="P455" s="509">
        <f>SIZEOF_IN_MIB(J455:M455, O452)</f>
        <v>14</v>
      </c>
      <c r="Q455" s="355"/>
    </row>
    <row r="456">
      <c r="E456" s="341"/>
      <c r="F456" s="726" t="s">
        <v>56</v>
      </c>
      <c r="G456" s="335"/>
      <c r="H456" s="602" t="s">
        <v>281</v>
      </c>
      <c r="I456" s="349" t="s">
        <v>282</v>
      </c>
      <c r="J456" s="336"/>
      <c r="K456" s="337" t="s">
        <v>104</v>
      </c>
      <c r="L456" s="337" t="s">
        <v>102</v>
      </c>
      <c r="M456" s="337" t="s">
        <v>182</v>
      </c>
      <c r="N456" s="349" t="s">
        <v>283</v>
      </c>
      <c r="O456" s="727" t="s">
        <v>133</v>
      </c>
      <c r="P456" s="377"/>
      <c r="Q456" s="338" t="b">
        <v>0</v>
      </c>
    </row>
    <row r="457">
      <c r="E457" s="341"/>
      <c r="F457" s="342"/>
      <c r="G457" s="343"/>
      <c r="H457" s="378" t="s">
        <v>285</v>
      </c>
      <c r="I457" s="346" t="s">
        <v>282</v>
      </c>
      <c r="J457" s="344">
        <v>2.0</v>
      </c>
      <c r="K457" s="346">
        <f t="shared" ref="K457:M457" si="94">PARAMS(K456)</f>
        <v>4096</v>
      </c>
      <c r="L457" s="346">
        <f t="shared" si="94"/>
        <v>1</v>
      </c>
      <c r="M457" s="346">
        <f t="shared" si="94"/>
        <v>2048</v>
      </c>
      <c r="N457" s="346" t="s">
        <v>283</v>
      </c>
      <c r="O457" s="347"/>
      <c r="P457" s="509">
        <f>SIZEOF_IN_MIB(J457:M457, O456)</f>
        <v>32</v>
      </c>
      <c r="Q457" s="347"/>
    </row>
    <row r="458">
      <c r="E458" s="341"/>
      <c r="F458" s="342"/>
      <c r="G458" s="343"/>
      <c r="H458" s="602" t="s">
        <v>287</v>
      </c>
      <c r="I458" s="349" t="s">
        <v>282</v>
      </c>
      <c r="J458" s="336"/>
      <c r="K458" s="337" t="s">
        <v>97</v>
      </c>
      <c r="L458" s="337"/>
      <c r="M458" s="349"/>
      <c r="N458" s="349" t="s">
        <v>283</v>
      </c>
      <c r="O458" s="350"/>
      <c r="P458" s="377"/>
      <c r="Q458" s="350"/>
    </row>
    <row r="459">
      <c r="E459" s="341"/>
      <c r="F459" s="353"/>
      <c r="G459" s="354"/>
      <c r="H459" s="517" t="s">
        <v>289</v>
      </c>
      <c r="I459" s="346" t="s">
        <v>282</v>
      </c>
      <c r="J459" s="344">
        <v>2.0</v>
      </c>
      <c r="K459" s="346">
        <f t="shared" ref="K459:M459" si="95">K457/SHARDING(K458)</f>
        <v>256</v>
      </c>
      <c r="L459" s="346">
        <f t="shared" si="95"/>
        <v>1</v>
      </c>
      <c r="M459" s="346">
        <f t="shared" si="95"/>
        <v>2048</v>
      </c>
      <c r="N459" s="346" t="s">
        <v>283</v>
      </c>
      <c r="O459" s="355"/>
      <c r="P459" s="509">
        <f>SIZEOF_IN_MIB(J459:M459, O456)</f>
        <v>2</v>
      </c>
      <c r="Q459" s="355"/>
    </row>
    <row r="460">
      <c r="E460" s="341"/>
      <c r="F460" s="371" t="s">
        <v>335</v>
      </c>
      <c r="G460" s="601"/>
      <c r="H460" s="728"/>
      <c r="I460" s="336"/>
      <c r="J460" s="336"/>
      <c r="K460" s="336"/>
      <c r="L460" s="349"/>
      <c r="M460" s="349"/>
      <c r="N460" s="349"/>
      <c r="O460" s="336"/>
      <c r="P460" s="377"/>
      <c r="Q460" s="729"/>
    </row>
    <row r="461">
      <c r="E461" s="341"/>
      <c r="F461" s="352"/>
      <c r="G461" s="669" t="s">
        <v>340</v>
      </c>
      <c r="H461" s="730"/>
      <c r="I461" s="493"/>
      <c r="J461" s="345"/>
      <c r="K461" s="345"/>
      <c r="L461" s="346"/>
      <c r="M461" s="346"/>
      <c r="N461" s="346"/>
      <c r="O461" s="345"/>
      <c r="P461" s="509"/>
      <c r="Q461" s="545"/>
    </row>
    <row r="462">
      <c r="E462" s="341"/>
      <c r="F462" s="731" t="s">
        <v>327</v>
      </c>
      <c r="G462" s="601" t="s">
        <v>328</v>
      </c>
      <c r="H462" s="663" t="str">
        <f>VLOOKUP(O448&amp;","&amp;O452,$T$2:$W$11,4, FALSE)</f>
        <v>fp8</v>
      </c>
      <c r="I462" s="460"/>
      <c r="J462" s="454"/>
      <c r="K462" s="454"/>
      <c r="L462" s="455"/>
      <c r="M462" s="455"/>
      <c r="N462" s="455"/>
      <c r="O462" s="454"/>
      <c r="P462" s="468"/>
      <c r="Q462" s="11"/>
    </row>
    <row r="463">
      <c r="E463" s="341"/>
      <c r="F463" s="341"/>
      <c r="G463" s="663" t="s">
        <v>341</v>
      </c>
      <c r="H463" s="667" t="str">
        <f>CALCULATE_FLOPS(J451:M451,J455:M455,M455,L455,H462)</f>
        <v>#N/A</v>
      </c>
      <c r="I463" s="460"/>
      <c r="J463" s="454"/>
      <c r="K463" s="454"/>
      <c r="L463" s="455"/>
      <c r="M463" s="455"/>
      <c r="N463" s="455"/>
      <c r="O463" s="454"/>
      <c r="P463" s="468"/>
      <c r="Q463" s="11"/>
    </row>
    <row r="464">
      <c r="E464" s="341"/>
      <c r="F464" s="352"/>
      <c r="G464" s="669" t="s">
        <v>330</v>
      </c>
      <c r="H464" s="732" t="str">
        <f>COMPUTE_TIME_MS(H463, H462)</f>
        <v>#N/A</v>
      </c>
      <c r="I464" s="464"/>
      <c r="J464" s="465"/>
      <c r="K464" s="465"/>
      <c r="L464" s="466"/>
      <c r="M464" s="466"/>
      <c r="N464" s="466"/>
      <c r="O464" s="465"/>
      <c r="P464" s="671"/>
      <c r="Q464" s="11"/>
    </row>
    <row r="465">
      <c r="E465" s="341"/>
      <c r="F465" s="731" t="s">
        <v>331</v>
      </c>
      <c r="G465" s="663" t="s">
        <v>332</v>
      </c>
      <c r="H465" s="672">
        <f>IF(Q448,0,P451)+IF(Q452,0,P455)+IF(Q456,0,P459)</f>
        <v>17.75</v>
      </c>
      <c r="I465" s="454"/>
      <c r="J465" s="454"/>
      <c r="K465" s="454"/>
      <c r="L465" s="455"/>
      <c r="M465" s="455"/>
      <c r="N465" s="455"/>
      <c r="O465" s="454"/>
      <c r="P465" s="468"/>
      <c r="Q465" s="11"/>
    </row>
    <row r="466">
      <c r="E466" s="352"/>
      <c r="F466" s="352"/>
      <c r="G466" s="673" t="s">
        <v>333</v>
      </c>
      <c r="H466" s="733">
        <f>HBM_TIME_MS(H465)</f>
        <v>0.005924123163</v>
      </c>
      <c r="I466" s="465"/>
      <c r="J466" s="465"/>
      <c r="K466" s="465"/>
      <c r="L466" s="466"/>
      <c r="M466" s="466"/>
      <c r="N466" s="466"/>
      <c r="O466" s="465"/>
      <c r="P466" s="671"/>
      <c r="Q466" s="11"/>
    </row>
    <row r="467">
      <c r="E467" s="333" t="s">
        <v>431</v>
      </c>
      <c r="F467" s="725" t="s">
        <v>292</v>
      </c>
      <c r="G467" s="335"/>
      <c r="H467" s="531" t="s">
        <v>281</v>
      </c>
      <c r="I467" s="336" t="s">
        <v>282</v>
      </c>
      <c r="J467" s="405"/>
      <c r="K467" s="734" t="s">
        <v>104</v>
      </c>
      <c r="L467" s="734" t="s">
        <v>102</v>
      </c>
      <c r="M467" s="735" t="s">
        <v>182</v>
      </c>
      <c r="N467" s="336" t="s">
        <v>283</v>
      </c>
      <c r="O467" s="338" t="s">
        <v>125</v>
      </c>
      <c r="P467" s="377"/>
      <c r="Q467" s="338" t="b">
        <v>0</v>
      </c>
    </row>
    <row r="468">
      <c r="E468" s="341"/>
      <c r="F468" s="342"/>
      <c r="G468" s="343"/>
      <c r="H468" s="378" t="s">
        <v>285</v>
      </c>
      <c r="I468" s="345" t="s">
        <v>282</v>
      </c>
      <c r="J468" s="400"/>
      <c r="K468" s="739">
        <f t="shared" ref="K468:M468" si="96">PARAMS(K467)</f>
        <v>4096</v>
      </c>
      <c r="L468" s="737">
        <f t="shared" si="96"/>
        <v>1</v>
      </c>
      <c r="M468" s="737">
        <f t="shared" si="96"/>
        <v>2048</v>
      </c>
      <c r="N468" s="345" t="s">
        <v>283</v>
      </c>
      <c r="O468" s="347"/>
      <c r="P468" s="509">
        <f>SIZEOF_IN_MIB(J468:M468, O467)</f>
        <v>8</v>
      </c>
      <c r="Q468" s="347"/>
    </row>
    <row r="469">
      <c r="E469" s="341"/>
      <c r="F469" s="342"/>
      <c r="G469" s="343"/>
      <c r="H469" s="602" t="s">
        <v>287</v>
      </c>
      <c r="I469" s="349" t="s">
        <v>282</v>
      </c>
      <c r="J469" s="404"/>
      <c r="K469" s="734" t="s">
        <v>97</v>
      </c>
      <c r="L469" s="405"/>
      <c r="M469" s="405"/>
      <c r="N469" s="349" t="s">
        <v>283</v>
      </c>
      <c r="O469" s="350"/>
      <c r="P469" s="377"/>
      <c r="Q469" s="350"/>
    </row>
    <row r="470">
      <c r="E470" s="341"/>
      <c r="F470" s="353"/>
      <c r="G470" s="354"/>
      <c r="H470" s="378" t="s">
        <v>289</v>
      </c>
      <c r="I470" s="346" t="s">
        <v>282</v>
      </c>
      <c r="J470" s="399"/>
      <c r="K470" s="736">
        <f t="shared" ref="K470:M470" si="97">K468/SHARDING(K469)</f>
        <v>256</v>
      </c>
      <c r="L470" s="736">
        <f t="shared" si="97"/>
        <v>1</v>
      </c>
      <c r="M470" s="736">
        <f t="shared" si="97"/>
        <v>2048</v>
      </c>
      <c r="N470" s="346" t="s">
        <v>283</v>
      </c>
      <c r="O470" s="355"/>
      <c r="P470" s="509">
        <f>SIZEOF_IN_MIB(J470:M470, O467)</f>
        <v>0.5</v>
      </c>
      <c r="Q470" s="355"/>
    </row>
    <row r="471">
      <c r="E471" s="341"/>
      <c r="F471" s="726" t="s">
        <v>296</v>
      </c>
      <c r="G471" s="335"/>
      <c r="H471" s="602" t="s">
        <v>281</v>
      </c>
      <c r="I471" s="349" t="s">
        <v>282</v>
      </c>
      <c r="J471" s="404"/>
      <c r="K471" s="391"/>
      <c r="L471" s="734" t="s">
        <v>182</v>
      </c>
      <c r="M471" s="735" t="s">
        <v>178</v>
      </c>
      <c r="N471" s="349" t="s">
        <v>283</v>
      </c>
      <c r="O471" s="338" t="s">
        <v>180</v>
      </c>
      <c r="P471" s="377"/>
      <c r="Q471" s="338" t="b">
        <v>0</v>
      </c>
    </row>
    <row r="472">
      <c r="E472" s="341"/>
      <c r="F472" s="342"/>
      <c r="G472" s="343"/>
      <c r="H472" s="378" t="s">
        <v>285</v>
      </c>
      <c r="I472" s="346" t="s">
        <v>282</v>
      </c>
      <c r="J472" s="399"/>
      <c r="K472" s="388"/>
      <c r="L472" s="736">
        <f t="shared" ref="L472:M472" si="98">PARAMS(L471)</f>
        <v>2048</v>
      </c>
      <c r="M472" s="736">
        <f t="shared" si="98"/>
        <v>7168</v>
      </c>
      <c r="N472" s="346" t="s">
        <v>283</v>
      </c>
      <c r="O472" s="347"/>
      <c r="P472" s="509">
        <f>SIZEOF_IN_MIB(J472:M472, O471)</f>
        <v>7</v>
      </c>
      <c r="Q472" s="347"/>
    </row>
    <row r="473">
      <c r="E473" s="341"/>
      <c r="F473" s="342"/>
      <c r="G473" s="343"/>
      <c r="H473" s="602" t="s">
        <v>287</v>
      </c>
      <c r="I473" s="349" t="s">
        <v>282</v>
      </c>
      <c r="J473" s="404"/>
      <c r="K473" s="391"/>
      <c r="L473" s="405"/>
      <c r="M473" s="405"/>
      <c r="N473" s="349" t="s">
        <v>283</v>
      </c>
      <c r="O473" s="350"/>
      <c r="P473" s="377"/>
      <c r="Q473" s="350"/>
    </row>
    <row r="474">
      <c r="E474" s="341"/>
      <c r="F474" s="353"/>
      <c r="G474" s="354"/>
      <c r="H474" s="517" t="s">
        <v>289</v>
      </c>
      <c r="I474" s="346" t="s">
        <v>282</v>
      </c>
      <c r="J474" s="399"/>
      <c r="K474" s="388"/>
      <c r="L474" s="736">
        <f t="shared" ref="L474:M474" si="99">L472/SHARDING(L473)</f>
        <v>2048</v>
      </c>
      <c r="M474" s="736">
        <f t="shared" si="99"/>
        <v>7168</v>
      </c>
      <c r="N474" s="346" t="s">
        <v>283</v>
      </c>
      <c r="O474" s="355"/>
      <c r="P474" s="509">
        <f>SIZEOF_IN_MIB(J474:M474, O471)</f>
        <v>7</v>
      </c>
      <c r="Q474" s="355"/>
    </row>
    <row r="475">
      <c r="E475" s="341"/>
      <c r="F475" s="726" t="s">
        <v>56</v>
      </c>
      <c r="G475" s="335"/>
      <c r="H475" s="602" t="s">
        <v>281</v>
      </c>
      <c r="I475" s="349" t="s">
        <v>282</v>
      </c>
      <c r="J475" s="404"/>
      <c r="K475" s="734" t="s">
        <v>104</v>
      </c>
      <c r="L475" s="734" t="s">
        <v>102</v>
      </c>
      <c r="M475" s="734" t="s">
        <v>178</v>
      </c>
      <c r="N475" s="349" t="s">
        <v>283</v>
      </c>
      <c r="O475" s="727" t="s">
        <v>133</v>
      </c>
      <c r="P475" s="377"/>
      <c r="Q475" s="338" t="b">
        <v>0</v>
      </c>
    </row>
    <row r="476">
      <c r="E476" s="341"/>
      <c r="F476" s="342"/>
      <c r="G476" s="343"/>
      <c r="H476" s="378" t="s">
        <v>285</v>
      </c>
      <c r="I476" s="346" t="s">
        <v>282</v>
      </c>
      <c r="J476" s="400"/>
      <c r="K476" s="739">
        <f t="shared" ref="K476:M476" si="100">PARAMS(K475)</f>
        <v>4096</v>
      </c>
      <c r="L476" s="736">
        <f t="shared" si="100"/>
        <v>1</v>
      </c>
      <c r="M476" s="736">
        <f t="shared" si="100"/>
        <v>7168</v>
      </c>
      <c r="N476" s="346" t="s">
        <v>283</v>
      </c>
      <c r="O476" s="347"/>
      <c r="P476" s="509">
        <f>SIZEOF_IN_MIB(J476:M476, O475)</f>
        <v>56</v>
      </c>
      <c r="Q476" s="347"/>
    </row>
    <row r="477">
      <c r="E477" s="341"/>
      <c r="F477" s="342"/>
      <c r="G477" s="343"/>
      <c r="H477" s="602" t="s">
        <v>287</v>
      </c>
      <c r="I477" s="349" t="s">
        <v>282</v>
      </c>
      <c r="J477" s="404"/>
      <c r="K477" s="734" t="s">
        <v>97</v>
      </c>
      <c r="L477" s="405"/>
      <c r="M477" s="405"/>
      <c r="N477" s="349" t="s">
        <v>283</v>
      </c>
      <c r="O477" s="350"/>
      <c r="P477" s="377"/>
      <c r="Q477" s="350"/>
    </row>
    <row r="478">
      <c r="E478" s="341"/>
      <c r="F478" s="353"/>
      <c r="G478" s="354"/>
      <c r="H478" s="517" t="s">
        <v>289</v>
      </c>
      <c r="I478" s="346" t="s">
        <v>282</v>
      </c>
      <c r="J478" s="400"/>
      <c r="K478" s="736">
        <f t="shared" ref="K478:M478" si="101">K476/SHARDING(K477)</f>
        <v>256</v>
      </c>
      <c r="L478" s="736">
        <f t="shared" si="101"/>
        <v>1</v>
      </c>
      <c r="M478" s="736">
        <f t="shared" si="101"/>
        <v>7168</v>
      </c>
      <c r="N478" s="346" t="s">
        <v>283</v>
      </c>
      <c r="O478" s="355"/>
      <c r="P478" s="509">
        <f>SIZEOF_IN_MIB(J478:M478, O475)</f>
        <v>3.5</v>
      </c>
      <c r="Q478" s="355"/>
    </row>
    <row r="479">
      <c r="E479" s="341"/>
      <c r="F479" s="371" t="s">
        <v>335</v>
      </c>
      <c r="G479" s="601"/>
      <c r="H479" s="728"/>
      <c r="I479" s="336"/>
      <c r="J479" s="336"/>
      <c r="K479" s="336"/>
      <c r="L479" s="349"/>
      <c r="M479" s="349"/>
      <c r="N479" s="349"/>
      <c r="O479" s="336"/>
      <c r="P479" s="377"/>
      <c r="Q479" s="729"/>
    </row>
    <row r="480">
      <c r="E480" s="341"/>
      <c r="F480" s="352"/>
      <c r="G480" s="669" t="s">
        <v>340</v>
      </c>
      <c r="H480" s="730"/>
      <c r="I480" s="493"/>
      <c r="J480" s="345"/>
      <c r="K480" s="345"/>
      <c r="L480" s="346"/>
      <c r="M480" s="346"/>
      <c r="N480" s="346"/>
      <c r="O480" s="345"/>
      <c r="P480" s="509"/>
      <c r="Q480" s="545"/>
    </row>
    <row r="481">
      <c r="E481" s="341"/>
      <c r="F481" s="731" t="s">
        <v>327</v>
      </c>
      <c r="G481" s="601" t="s">
        <v>328</v>
      </c>
      <c r="H481" s="663" t="str">
        <f>VLOOKUP(O467&amp;","&amp;O471,$T$2:$W$11,4, FALSE)</f>
        <v>fp8</v>
      </c>
      <c r="I481" s="460"/>
      <c r="J481" s="454"/>
      <c r="K481" s="454"/>
      <c r="L481" s="455"/>
      <c r="M481" s="455"/>
      <c r="N481" s="455"/>
      <c r="O481" s="454"/>
      <c r="P481" s="468"/>
      <c r="Q481" s="11"/>
    </row>
    <row r="482">
      <c r="E482" s="341"/>
      <c r="F482" s="341"/>
      <c r="G482" s="663" t="s">
        <v>341</v>
      </c>
      <c r="H482" s="667" t="str">
        <f>CALCULATE_FLOPS(J470:M470,J474:M474,M474,L474,H481)</f>
        <v>#N/A</v>
      </c>
      <c r="I482" s="460"/>
      <c r="J482" s="454"/>
      <c r="K482" s="454"/>
      <c r="L482" s="455"/>
      <c r="M482" s="455"/>
      <c r="N482" s="455"/>
      <c r="O482" s="454"/>
      <c r="P482" s="468"/>
      <c r="Q482" s="11"/>
    </row>
    <row r="483">
      <c r="E483" s="341"/>
      <c r="F483" s="352"/>
      <c r="G483" s="669" t="s">
        <v>330</v>
      </c>
      <c r="H483" s="732" t="str">
        <f>COMPUTE_TIME_MS(H482, H481)</f>
        <v>#N/A</v>
      </c>
      <c r="I483" s="464"/>
      <c r="J483" s="465"/>
      <c r="K483" s="465"/>
      <c r="L483" s="466"/>
      <c r="M483" s="466"/>
      <c r="N483" s="466"/>
      <c r="O483" s="465"/>
      <c r="P483" s="671"/>
      <c r="Q483" s="11"/>
    </row>
    <row r="484">
      <c r="E484" s="341"/>
      <c r="F484" s="731" t="s">
        <v>331</v>
      </c>
      <c r="G484" s="663" t="s">
        <v>332</v>
      </c>
      <c r="H484" s="672">
        <f>IF(Q467,0,P470)+IF(Q471,0,P474)+IF(Q475,0,P478)</f>
        <v>11</v>
      </c>
      <c r="I484" s="454"/>
      <c r="J484" s="454"/>
      <c r="K484" s="454"/>
      <c r="L484" s="455"/>
      <c r="M484" s="455"/>
      <c r="N484" s="455"/>
      <c r="O484" s="454"/>
      <c r="P484" s="468"/>
      <c r="Q484" s="11"/>
    </row>
    <row r="485">
      <c r="E485" s="352"/>
      <c r="F485" s="352"/>
      <c r="G485" s="673" t="s">
        <v>333</v>
      </c>
      <c r="H485" s="733">
        <f>HBM_TIME_MS(H484)</f>
        <v>0.003671287594</v>
      </c>
      <c r="I485" s="465"/>
      <c r="J485" s="465"/>
      <c r="K485" s="465"/>
      <c r="L485" s="466"/>
      <c r="M485" s="466"/>
      <c r="N485" s="466"/>
      <c r="O485" s="465"/>
      <c r="P485" s="671"/>
      <c r="Q485" s="11"/>
    </row>
    <row r="486">
      <c r="P486" s="227"/>
    </row>
    <row r="487">
      <c r="P487" s="227"/>
    </row>
    <row r="488">
      <c r="P488" s="227"/>
    </row>
    <row r="489">
      <c r="P489" s="227"/>
    </row>
    <row r="490">
      <c r="P490" s="227"/>
    </row>
    <row r="491">
      <c r="P491" s="227"/>
    </row>
    <row r="492">
      <c r="P492" s="227"/>
    </row>
    <row r="493">
      <c r="P493" s="227"/>
    </row>
    <row r="494">
      <c r="P494" s="227"/>
    </row>
    <row r="495">
      <c r="P495" s="227"/>
    </row>
    <row r="496">
      <c r="P496" s="227"/>
    </row>
    <row r="497">
      <c r="P497" s="227"/>
    </row>
    <row r="498">
      <c r="P498" s="227"/>
    </row>
    <row r="499">
      <c r="P499" s="227"/>
    </row>
    <row r="500">
      <c r="P500" s="227"/>
    </row>
    <row r="501">
      <c r="P501" s="227"/>
    </row>
    <row r="502">
      <c r="P502" s="227"/>
    </row>
    <row r="503">
      <c r="P503" s="227"/>
    </row>
    <row r="504">
      <c r="P504" s="227"/>
    </row>
    <row r="505">
      <c r="P505" s="227"/>
    </row>
    <row r="506">
      <c r="P506" s="227"/>
    </row>
    <row r="507">
      <c r="P507" s="227"/>
    </row>
    <row r="508">
      <c r="P508" s="227"/>
    </row>
    <row r="509">
      <c r="P509" s="227"/>
    </row>
    <row r="510">
      <c r="P510" s="227"/>
    </row>
    <row r="511">
      <c r="P511" s="227"/>
    </row>
    <row r="512">
      <c r="P512" s="227"/>
    </row>
    <row r="513">
      <c r="P513" s="227"/>
    </row>
    <row r="514">
      <c r="P514" s="227"/>
    </row>
    <row r="515">
      <c r="P515" s="227"/>
    </row>
    <row r="516">
      <c r="P516" s="227"/>
    </row>
    <row r="517">
      <c r="P517" s="227"/>
    </row>
    <row r="518">
      <c r="P518" s="227"/>
    </row>
    <row r="519">
      <c r="P519" s="227"/>
    </row>
    <row r="520">
      <c r="P520" s="227"/>
    </row>
    <row r="521">
      <c r="P521" s="227"/>
    </row>
    <row r="522">
      <c r="P522" s="227"/>
    </row>
    <row r="523">
      <c r="P523" s="227"/>
    </row>
    <row r="524">
      <c r="P524" s="227"/>
    </row>
    <row r="525">
      <c r="P525" s="227"/>
    </row>
    <row r="526">
      <c r="P526" s="227"/>
    </row>
    <row r="527">
      <c r="P527" s="227"/>
    </row>
    <row r="528">
      <c r="P528" s="227"/>
    </row>
    <row r="529">
      <c r="P529" s="227"/>
    </row>
    <row r="530">
      <c r="P530" s="227"/>
    </row>
    <row r="531">
      <c r="P531" s="227"/>
    </row>
    <row r="532">
      <c r="P532" s="227"/>
    </row>
    <row r="533">
      <c r="P533" s="227"/>
    </row>
    <row r="534">
      <c r="P534" s="227"/>
    </row>
    <row r="535">
      <c r="P535" s="227"/>
    </row>
    <row r="536">
      <c r="P536" s="227"/>
    </row>
    <row r="537">
      <c r="P537" s="227"/>
    </row>
    <row r="538">
      <c r="P538" s="227"/>
    </row>
    <row r="539">
      <c r="P539" s="227"/>
    </row>
    <row r="540">
      <c r="P540" s="227"/>
    </row>
    <row r="541">
      <c r="P541" s="227"/>
    </row>
    <row r="542">
      <c r="P542" s="227"/>
    </row>
    <row r="543">
      <c r="P543" s="227"/>
    </row>
    <row r="544">
      <c r="P544" s="227"/>
    </row>
    <row r="545">
      <c r="P545" s="227"/>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G422:H422">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null!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16" t="s">
        <v>169</v>
      </c>
      <c r="B1" s="216" t="s">
        <v>170</v>
      </c>
      <c r="C1" s="216" t="s">
        <v>171</v>
      </c>
      <c r="D1" s="842"/>
      <c r="E1" s="218"/>
      <c r="F1" s="219" t="s">
        <v>172</v>
      </c>
      <c r="G1" s="219" t="s">
        <v>173</v>
      </c>
      <c r="H1" s="220" t="s">
        <v>174</v>
      </c>
      <c r="I1" s="218"/>
      <c r="J1" s="218"/>
      <c r="K1" s="218"/>
      <c r="L1" s="218"/>
      <c r="M1" s="218"/>
      <c r="N1" s="218"/>
      <c r="O1" s="218"/>
      <c r="P1" s="221"/>
      <c r="Q1" s="222" t="s">
        <v>175</v>
      </c>
      <c r="R1" s="218"/>
      <c r="S1" s="218"/>
      <c r="T1" s="222" t="s">
        <v>176</v>
      </c>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row>
    <row r="2">
      <c r="A2" s="223" t="s">
        <v>177</v>
      </c>
      <c r="B2" s="223" t="s">
        <v>178</v>
      </c>
      <c r="C2" s="223">
        <v>7168.0</v>
      </c>
      <c r="D2" s="843"/>
      <c r="F2" s="219" t="s">
        <v>179</v>
      </c>
      <c r="G2" s="225"/>
      <c r="H2" s="226"/>
      <c r="P2" s="227"/>
      <c r="Q2" s="181" t="s">
        <v>180</v>
      </c>
      <c r="R2" s="181">
        <v>0.5</v>
      </c>
      <c r="T2" s="66" t="str">
        <f t="shared" ref="T2:T6" si="1">U2&amp;","&amp;V2</f>
        <v>fp4,fp4</v>
      </c>
      <c r="U2" s="181" t="s">
        <v>180</v>
      </c>
      <c r="V2" s="181" t="s">
        <v>180</v>
      </c>
      <c r="W2" s="181" t="s">
        <v>180</v>
      </c>
      <c r="AR2" s="228"/>
      <c r="AS2" s="228"/>
      <c r="AT2" s="228"/>
    </row>
    <row r="3">
      <c r="A3" s="223" t="s">
        <v>181</v>
      </c>
      <c r="B3" s="223" t="s">
        <v>182</v>
      </c>
      <c r="C3" s="223">
        <v>2048.0</v>
      </c>
      <c r="D3" s="843"/>
      <c r="F3" s="230" t="s">
        <v>96</v>
      </c>
      <c r="G3" s="225">
        <v>8.0</v>
      </c>
      <c r="H3" s="226"/>
      <c r="P3" s="227"/>
      <c r="Q3" s="181" t="s">
        <v>125</v>
      </c>
      <c r="R3" s="181">
        <v>1.0</v>
      </c>
      <c r="T3" s="66" t="str">
        <f t="shared" si="1"/>
        <v>fp4,fp8</v>
      </c>
      <c r="U3" s="181" t="s">
        <v>180</v>
      </c>
      <c r="V3" s="181" t="s">
        <v>125</v>
      </c>
      <c r="W3" s="181" t="s">
        <v>125</v>
      </c>
    </row>
    <row r="4">
      <c r="A4" s="223" t="s">
        <v>183</v>
      </c>
      <c r="B4" s="223" t="s">
        <v>184</v>
      </c>
      <c r="C4" s="223">
        <v>256.0</v>
      </c>
      <c r="D4" s="843"/>
      <c r="F4" s="230" t="s">
        <v>97</v>
      </c>
      <c r="G4" s="225">
        <v>2.0</v>
      </c>
      <c r="H4" s="226" t="s">
        <v>185</v>
      </c>
      <c r="P4" s="227"/>
      <c r="Q4" s="181" t="s">
        <v>133</v>
      </c>
      <c r="R4" s="181">
        <v>2.0</v>
      </c>
      <c r="T4" s="66" t="str">
        <f t="shared" si="1"/>
        <v>fp4,bf16</v>
      </c>
      <c r="U4" s="181" t="s">
        <v>180</v>
      </c>
      <c r="V4" s="181" t="s">
        <v>133</v>
      </c>
      <c r="W4" s="181" t="s">
        <v>133</v>
      </c>
      <c r="AR4" s="228"/>
      <c r="AS4" s="228"/>
      <c r="AT4" s="228"/>
    </row>
    <row r="5">
      <c r="A5" s="223" t="s">
        <v>186</v>
      </c>
      <c r="B5" s="223" t="s">
        <v>187</v>
      </c>
      <c r="C5" s="223">
        <v>61.0</v>
      </c>
      <c r="D5" s="843"/>
      <c r="F5" s="230" t="s">
        <v>98</v>
      </c>
      <c r="G5" s="225">
        <v>1.0</v>
      </c>
      <c r="H5" s="226"/>
      <c r="P5" s="227"/>
      <c r="T5" s="66" t="str">
        <f t="shared" si="1"/>
        <v>fp8,fp4</v>
      </c>
      <c r="U5" s="181" t="s">
        <v>125</v>
      </c>
      <c r="V5" s="181" t="s">
        <v>180</v>
      </c>
      <c r="W5" s="181" t="s">
        <v>125</v>
      </c>
    </row>
    <row r="6">
      <c r="A6" s="231" t="s">
        <v>188</v>
      </c>
      <c r="B6" s="231" t="s">
        <v>189</v>
      </c>
      <c r="C6" s="231">
        <v>3.0</v>
      </c>
      <c r="D6" s="843"/>
      <c r="F6" s="230" t="s">
        <v>99</v>
      </c>
      <c r="G6" s="225">
        <v>1.0</v>
      </c>
      <c r="H6" s="226" t="s">
        <v>190</v>
      </c>
      <c r="P6" s="227"/>
      <c r="T6" s="66" t="str">
        <f t="shared" si="1"/>
        <v>fp8,fp8</v>
      </c>
      <c r="U6" s="181" t="s">
        <v>125</v>
      </c>
      <c r="V6" s="181" t="s">
        <v>125</v>
      </c>
      <c r="W6" s="181" t="s">
        <v>125</v>
      </c>
      <c r="AR6" s="161"/>
      <c r="AS6" s="161"/>
      <c r="AT6" s="161"/>
    </row>
    <row r="7">
      <c r="A7" s="223" t="s">
        <v>191</v>
      </c>
      <c r="B7" s="223" t="s">
        <v>192</v>
      </c>
      <c r="C7" s="223">
        <v>8.0</v>
      </c>
      <c r="D7" s="843"/>
      <c r="F7" s="219" t="s">
        <v>193</v>
      </c>
      <c r="P7" s="227"/>
      <c r="U7" s="181"/>
      <c r="V7" s="181"/>
      <c r="W7" s="181"/>
      <c r="AB7" s="181"/>
      <c r="AC7" s="181"/>
      <c r="AD7" s="181"/>
      <c r="AE7" s="181"/>
    </row>
    <row r="8">
      <c r="A8" s="232" t="s">
        <v>194</v>
      </c>
      <c r="B8" s="233" t="s">
        <v>195</v>
      </c>
      <c r="C8" s="223">
        <v>1536.0</v>
      </c>
      <c r="D8" s="843"/>
      <c r="F8" s="234" t="s">
        <v>196</v>
      </c>
      <c r="G8" s="235">
        <f>G4*G3</f>
        <v>16</v>
      </c>
      <c r="H8" s="236"/>
      <c r="P8" s="227"/>
      <c r="T8" s="66" t="str">
        <f t="shared" ref="T8:T10" si="2">U8&amp;","&amp;V8</f>
        <v>fp8,bf16</v>
      </c>
      <c r="U8" s="181" t="s">
        <v>125</v>
      </c>
      <c r="V8" s="181" t="s">
        <v>133</v>
      </c>
      <c r="W8" s="181" t="s">
        <v>133</v>
      </c>
      <c r="AB8" s="181"/>
      <c r="AC8" s="181"/>
      <c r="AD8" s="181"/>
      <c r="AE8" s="181"/>
    </row>
    <row r="9">
      <c r="A9" s="232" t="s">
        <v>197</v>
      </c>
      <c r="B9" s="233" t="s">
        <v>198</v>
      </c>
      <c r="C9" s="223">
        <v>512.0</v>
      </c>
      <c r="D9" s="843"/>
      <c r="F9" s="237" t="s">
        <v>199</v>
      </c>
      <c r="G9" s="238">
        <f>PRODUCT(G2:G5)</f>
        <v>16</v>
      </c>
      <c r="H9" s="239"/>
      <c r="P9" s="227"/>
      <c r="T9" s="66" t="str">
        <f t="shared" si="2"/>
        <v>bf16,fp4</v>
      </c>
      <c r="U9" s="181" t="s">
        <v>133</v>
      </c>
      <c r="V9" s="181" t="s">
        <v>180</v>
      </c>
      <c r="W9" s="181" t="s">
        <v>133</v>
      </c>
      <c r="AP9" s="218"/>
      <c r="AQ9" s="218"/>
      <c r="AT9" s="228"/>
    </row>
    <row r="10">
      <c r="A10" s="232" t="s">
        <v>200</v>
      </c>
      <c r="B10" s="233" t="s">
        <v>201</v>
      </c>
      <c r="C10" s="223">
        <v>128.0</v>
      </c>
      <c r="D10" s="843"/>
      <c r="F10" s="237" t="s">
        <v>202</v>
      </c>
      <c r="G10" s="238">
        <f>$G$9/$H$17</f>
        <v>8</v>
      </c>
      <c r="H10" s="239"/>
      <c r="P10" s="227"/>
      <c r="T10" s="66" t="str">
        <f t="shared" si="2"/>
        <v>bf16,fp8</v>
      </c>
      <c r="U10" s="181" t="s">
        <v>133</v>
      </c>
      <c r="V10" s="181" t="s">
        <v>125</v>
      </c>
      <c r="W10" s="181" t="s">
        <v>133</v>
      </c>
      <c r="AP10" s="222"/>
    </row>
    <row r="11">
      <c r="A11" s="232" t="s">
        <v>203</v>
      </c>
      <c r="B11" s="233" t="s">
        <v>204</v>
      </c>
      <c r="C11" s="223">
        <v>64.0</v>
      </c>
      <c r="D11" s="843"/>
      <c r="L11" s="844" t="s">
        <v>584</v>
      </c>
      <c r="P11" s="227"/>
      <c r="T11" s="66" t="s">
        <v>205</v>
      </c>
      <c r="U11" s="181" t="s">
        <v>133</v>
      </c>
      <c r="V11" s="181" t="s">
        <v>133</v>
      </c>
      <c r="W11" s="181" t="s">
        <v>133</v>
      </c>
      <c r="AP11" s="218"/>
      <c r="AQ11" s="218"/>
      <c r="AT11" s="228"/>
    </row>
    <row r="12">
      <c r="A12" s="223" t="s">
        <v>206</v>
      </c>
      <c r="B12" s="233" t="s">
        <v>207</v>
      </c>
      <c r="C12" s="223">
        <v>128.0</v>
      </c>
      <c r="D12" s="843"/>
    </row>
    <row r="13">
      <c r="A13" s="241" t="s">
        <v>208</v>
      </c>
      <c r="B13" s="242"/>
      <c r="C13" s="242"/>
      <c r="D13" s="845"/>
      <c r="AG13" s="207"/>
      <c r="AH13" s="207"/>
      <c r="AI13" s="161"/>
      <c r="AJ13" s="2"/>
      <c r="AK13" s="2"/>
      <c r="AL13" s="2"/>
      <c r="AM13" s="2"/>
      <c r="AN13" s="161"/>
      <c r="AO13" s="2"/>
      <c r="AP13" s="207"/>
      <c r="AQ13" s="2"/>
      <c r="AR13" s="2"/>
      <c r="AS13" s="161"/>
      <c r="AT13" s="161"/>
    </row>
    <row r="14">
      <c r="A14" s="244" t="s">
        <v>209</v>
      </c>
      <c r="B14" s="244" t="s">
        <v>209</v>
      </c>
      <c r="C14" s="245">
        <f>$C$10+$C$11</f>
        <v>192</v>
      </c>
      <c r="D14" s="846"/>
      <c r="AG14" s="2"/>
      <c r="AH14" s="2"/>
      <c r="AI14" s="161"/>
      <c r="AJ14" s="2"/>
      <c r="AK14" s="2"/>
      <c r="AL14" s="2"/>
      <c r="AM14" s="2"/>
      <c r="AN14" s="161"/>
      <c r="AO14" s="2"/>
      <c r="AP14" s="247"/>
      <c r="AQ14" s="247"/>
      <c r="AR14" s="2"/>
      <c r="AS14" s="161"/>
      <c r="AT14" s="248"/>
    </row>
    <row r="15">
      <c r="A15" s="244" t="s">
        <v>210</v>
      </c>
      <c r="B15" s="244" t="s">
        <v>210</v>
      </c>
      <c r="C15" s="249">
        <f>$C$9+$C$11</f>
        <v>576</v>
      </c>
      <c r="D15" s="843"/>
      <c r="AG15" s="2"/>
      <c r="AH15" s="2"/>
      <c r="AI15" s="161"/>
      <c r="AJ15" s="2"/>
      <c r="AK15" s="2"/>
      <c r="AL15" s="2"/>
      <c r="AM15" s="2"/>
      <c r="AN15" s="161"/>
      <c r="AO15" s="2"/>
      <c r="AP15" s="247"/>
      <c r="AQ15" s="247"/>
      <c r="AR15" s="2"/>
      <c r="AS15" s="161"/>
      <c r="AT15" s="248"/>
    </row>
    <row r="16">
      <c r="A16" s="249" t="s">
        <v>211</v>
      </c>
      <c r="B16" s="249" t="s">
        <v>212</v>
      </c>
      <c r="C16" s="245">
        <f>C7*$C$24</f>
        <v>8</v>
      </c>
      <c r="D16" s="846"/>
      <c r="F16" s="250" t="s">
        <v>213</v>
      </c>
      <c r="G16" s="251" t="s">
        <v>585</v>
      </c>
      <c r="H16" s="251" t="s">
        <v>522</v>
      </c>
      <c r="AG16" s="2"/>
      <c r="AH16" s="2"/>
      <c r="AI16" s="161"/>
      <c r="AJ16" s="2"/>
      <c r="AK16" s="2"/>
      <c r="AL16" s="2"/>
      <c r="AM16" s="2"/>
      <c r="AN16" s="161"/>
      <c r="AO16" s="2"/>
      <c r="AP16" s="247"/>
      <c r="AQ16" s="247"/>
      <c r="AR16" s="2"/>
      <c r="AS16" s="161"/>
      <c r="AT16" s="248"/>
    </row>
    <row r="17">
      <c r="A17" s="252" t="s">
        <v>173</v>
      </c>
      <c r="B17" s="252" t="s">
        <v>214</v>
      </c>
      <c r="C17" s="253">
        <f>$G$9</f>
        <v>16</v>
      </c>
      <c r="D17" s="846"/>
      <c r="F17" s="185" t="str">
        <f t="array" ref="F17:F29">DB!A2:A14</f>
        <v># of TensorCore per Chip</v>
      </c>
      <c r="G17" s="847">
        <v>1.0</v>
      </c>
      <c r="H17" s="254">
        <f t="array" ref="H17:H29">xlookup($H$16,DB!1:1,DB!2:14) * G17:G29</f>
        <v>2</v>
      </c>
      <c r="AG17" s="2"/>
      <c r="AH17" s="2"/>
      <c r="AI17" s="161"/>
      <c r="AJ17" s="2"/>
      <c r="AK17" s="2"/>
      <c r="AL17" s="2"/>
      <c r="AM17" s="2"/>
      <c r="AN17" s="161"/>
      <c r="AO17" s="2"/>
      <c r="AP17" s="247"/>
      <c r="AQ17" s="2"/>
      <c r="AR17" s="2"/>
      <c r="AS17" s="161"/>
      <c r="AT17" s="161"/>
    </row>
    <row r="18">
      <c r="A18" s="252" t="s">
        <v>215</v>
      </c>
      <c r="B18" s="252" t="s">
        <v>216</v>
      </c>
      <c r="C18" s="253">
        <f>$G$10</f>
        <v>8</v>
      </c>
      <c r="D18" s="846"/>
      <c r="F18" s="185" t="s">
        <v>217</v>
      </c>
      <c r="G18" s="847">
        <v>1.0</v>
      </c>
      <c r="H18" s="254">
        <v>7315.0</v>
      </c>
      <c r="AG18" s="2"/>
      <c r="AH18" s="2"/>
      <c r="AI18" s="161"/>
      <c r="AJ18" s="2"/>
      <c r="AK18" s="2"/>
      <c r="AL18" s="2"/>
      <c r="AM18" s="2"/>
      <c r="AN18" s="161"/>
      <c r="AO18" s="2"/>
      <c r="AP18" s="247"/>
      <c r="AQ18" s="2"/>
      <c r="AR18" s="2"/>
      <c r="AS18" s="161"/>
      <c r="AT18" s="161"/>
    </row>
    <row r="19">
      <c r="A19" s="256" t="s">
        <v>587</v>
      </c>
      <c r="B19" s="256" t="s">
        <v>219</v>
      </c>
      <c r="C19" s="257" t="str">
        <f>IFS(C18=8,"2x2x2",C18=4,"2x2",TRUE,NA)</f>
        <v>2x2x2</v>
      </c>
      <c r="D19" s="848"/>
      <c r="F19" s="185" t="s">
        <v>220</v>
      </c>
      <c r="G19" s="847">
        <v>1.0</v>
      </c>
      <c r="H19" s="254">
        <v>3968.04</v>
      </c>
      <c r="AG19" s="2"/>
      <c r="AH19" s="2"/>
      <c r="AI19" s="161"/>
      <c r="AJ19" s="2"/>
      <c r="AK19" s="2"/>
      <c r="AL19" s="2"/>
      <c r="AM19" s="2"/>
      <c r="AN19" s="161"/>
      <c r="AO19" s="2"/>
      <c r="AP19" s="247"/>
      <c r="AQ19" s="2"/>
      <c r="AR19" s="2"/>
      <c r="AS19" s="161"/>
      <c r="AT19" s="161"/>
    </row>
    <row r="20">
      <c r="A20" s="260" t="s">
        <v>588</v>
      </c>
      <c r="B20" s="260" t="s">
        <v>222</v>
      </c>
      <c r="C20" s="849">
        <f>IFS(C19="2x2x2",12,C19="2x2",4,TRUE,NA())</f>
        <v>12</v>
      </c>
      <c r="D20" s="850"/>
      <c r="F20" s="185" t="s">
        <v>223</v>
      </c>
      <c r="G20" s="847">
        <v>1.0</v>
      </c>
      <c r="H20" s="254">
        <v>3968.04</v>
      </c>
      <c r="AG20" s="2"/>
      <c r="AH20" s="2"/>
      <c r="AI20" s="161"/>
      <c r="AJ20" s="2"/>
      <c r="AK20" s="2"/>
      <c r="AL20" s="2"/>
      <c r="AM20" s="2"/>
      <c r="AN20" s="161"/>
      <c r="AO20" s="2"/>
      <c r="AP20" s="247"/>
      <c r="AQ20" s="2"/>
      <c r="AR20" s="2"/>
      <c r="AS20" s="161"/>
      <c r="AT20" s="161"/>
    </row>
    <row r="21">
      <c r="A21" s="253"/>
      <c r="B21" s="253"/>
      <c r="C21" s="253"/>
      <c r="D21" s="846"/>
      <c r="F21" s="185" t="s">
        <v>224</v>
      </c>
      <c r="G21" s="847">
        <v>1.0</v>
      </c>
      <c r="H21" s="254">
        <v>1984.02</v>
      </c>
      <c r="AG21" s="2"/>
      <c r="AH21" s="2"/>
      <c r="AI21" s="161"/>
      <c r="AJ21" s="2"/>
      <c r="AK21" s="2"/>
      <c r="AL21" s="2"/>
      <c r="AM21" s="2"/>
      <c r="AN21" s="161"/>
      <c r="AO21" s="2"/>
      <c r="AP21" s="247"/>
      <c r="AQ21" s="247"/>
      <c r="AR21" s="2"/>
      <c r="AS21" s="161"/>
      <c r="AT21" s="248"/>
    </row>
    <row r="22">
      <c r="A22" s="262" t="s">
        <v>225</v>
      </c>
      <c r="B22" s="263"/>
      <c r="C22" s="264"/>
      <c r="D22" s="851"/>
      <c r="F22" s="185" t="s">
        <v>226</v>
      </c>
      <c r="G22" s="847">
        <v>0.987</v>
      </c>
      <c r="H22" s="266">
        <v>189.504</v>
      </c>
      <c r="AG22" s="2"/>
      <c r="AH22" s="2"/>
      <c r="AI22" s="161"/>
      <c r="AJ22" s="2"/>
      <c r="AK22" s="2"/>
      <c r="AL22" s="2"/>
      <c r="AM22" s="2"/>
      <c r="AN22" s="161"/>
      <c r="AO22" s="2"/>
      <c r="AP22" s="247"/>
      <c r="AQ22" s="247"/>
      <c r="AR22" s="2"/>
      <c r="AS22" s="161"/>
      <c r="AT22" s="248"/>
    </row>
    <row r="23">
      <c r="A23" s="249" t="s">
        <v>227</v>
      </c>
      <c r="B23" s="249" t="s">
        <v>228</v>
      </c>
      <c r="C23" s="249" t="s">
        <v>18</v>
      </c>
      <c r="D23" s="843"/>
      <c r="F23" s="185" t="s">
        <v>229</v>
      </c>
      <c r="G23" s="847">
        <v>0.8</v>
      </c>
      <c r="H23" s="266">
        <v>2926.0</v>
      </c>
      <c r="AG23" s="2"/>
      <c r="AH23" s="2"/>
      <c r="AI23" s="161"/>
      <c r="AJ23" s="2"/>
      <c r="AK23" s="2"/>
      <c r="AL23" s="2"/>
      <c r="AM23" s="2"/>
      <c r="AN23" s="161"/>
      <c r="AO23" s="2"/>
      <c r="AP23" s="247"/>
      <c r="AQ23" s="247"/>
      <c r="AR23" s="2"/>
      <c r="AS23" s="161"/>
      <c r="AT23" s="248"/>
    </row>
    <row r="24">
      <c r="A24" s="852" t="s">
        <v>101</v>
      </c>
      <c r="B24" s="852" t="s">
        <v>102</v>
      </c>
      <c r="C24" s="852">
        <f>IF(C23="Decode", 1, 2048)</f>
        <v>1</v>
      </c>
      <c r="D24" s="843"/>
      <c r="F24" s="185" t="s">
        <v>230</v>
      </c>
      <c r="G24" s="847">
        <v>1.0</v>
      </c>
      <c r="H24" s="254">
        <v>1984.02</v>
      </c>
      <c r="AG24" s="2"/>
      <c r="AH24" s="2"/>
      <c r="AI24" s="161"/>
      <c r="AJ24" s="248"/>
      <c r="AK24" s="2"/>
      <c r="AL24" s="2"/>
      <c r="AM24" s="2"/>
    </row>
    <row r="25">
      <c r="A25" s="223" t="s">
        <v>103</v>
      </c>
      <c r="B25" s="223" t="s">
        <v>104</v>
      </c>
      <c r="C25" s="223">
        <v>4096.0</v>
      </c>
      <c r="D25" s="853"/>
      <c r="F25" s="185" t="s">
        <v>231</v>
      </c>
      <c r="G25" s="847">
        <v>1.0</v>
      </c>
      <c r="H25" s="254">
        <v>1984.02</v>
      </c>
      <c r="AG25" s="207"/>
      <c r="AH25" s="207"/>
      <c r="AI25" s="207"/>
      <c r="AK25" s="2"/>
      <c r="AL25" s="2"/>
      <c r="AM25" s="2"/>
      <c r="AN25" s="161"/>
      <c r="AO25" s="2"/>
      <c r="AP25" s="2"/>
      <c r="AQ25" s="2"/>
      <c r="AR25" s="2"/>
      <c r="AS25" s="161"/>
      <c r="AT25" s="161"/>
    </row>
    <row r="26">
      <c r="A26" s="854" t="s">
        <v>105</v>
      </c>
      <c r="B26" s="855" t="s">
        <v>106</v>
      </c>
      <c r="C26" s="855">
        <f>1024+4096</f>
        <v>5120</v>
      </c>
      <c r="D26" s="843"/>
      <c r="F26" s="185" t="s">
        <v>233</v>
      </c>
      <c r="G26" s="847">
        <v>1.0</v>
      </c>
      <c r="H26" s="254">
        <v>992.01</v>
      </c>
      <c r="AG26" s="207"/>
      <c r="AH26" s="207"/>
      <c r="AI26" s="207"/>
      <c r="AK26" s="2"/>
      <c r="AL26" s="2"/>
      <c r="AM26" s="2"/>
      <c r="AN26" s="161"/>
      <c r="AO26" s="2"/>
      <c r="AP26" s="2"/>
      <c r="AQ26" s="2"/>
      <c r="AR26" s="2"/>
      <c r="AS26" s="161"/>
      <c r="AT26" s="161"/>
    </row>
    <row r="27">
      <c r="A27" s="249" t="s">
        <v>110</v>
      </c>
      <c r="B27" s="253"/>
      <c r="C27" s="252">
        <v>0.15</v>
      </c>
      <c r="D27" s="843"/>
      <c r="F27" s="185" t="s">
        <v>234</v>
      </c>
      <c r="G27" s="847">
        <v>0.987</v>
      </c>
      <c r="H27" s="271">
        <v>94.752</v>
      </c>
      <c r="AG27" s="207"/>
      <c r="AH27" s="207"/>
      <c r="AI27" s="207"/>
      <c r="AL27" s="2"/>
      <c r="AM27" s="2"/>
      <c r="AN27" s="161"/>
      <c r="AO27" s="2"/>
      <c r="AP27" s="2"/>
      <c r="AQ27" s="2"/>
      <c r="AR27" s="2"/>
      <c r="AS27" s="161"/>
      <c r="AT27" s="161"/>
    </row>
    <row r="28">
      <c r="A28" s="249" t="s">
        <v>111</v>
      </c>
      <c r="B28" s="253"/>
      <c r="C28" s="252">
        <v>1.0</v>
      </c>
      <c r="D28" s="843"/>
      <c r="F28" s="185" t="s">
        <v>235</v>
      </c>
      <c r="G28" s="847">
        <v>0.375</v>
      </c>
      <c r="H28" s="254">
        <v>600.0</v>
      </c>
      <c r="AB28" s="181"/>
      <c r="AC28" s="181"/>
      <c r="AD28" s="181"/>
      <c r="AE28" s="181"/>
      <c r="AM28" s="222"/>
      <c r="AN28" s="218"/>
      <c r="AO28" s="222"/>
      <c r="AP28" s="222"/>
      <c r="AQ28" s="272"/>
      <c r="AR28" s="222"/>
      <c r="AS28" s="66"/>
    </row>
    <row r="29">
      <c r="A29" s="852" t="s">
        <v>123</v>
      </c>
      <c r="B29" s="856" t="s">
        <v>589</v>
      </c>
      <c r="C29" s="273" t="s">
        <v>133</v>
      </c>
      <c r="D29" s="857"/>
      <c r="F29" s="11" t="s">
        <v>236</v>
      </c>
      <c r="G29" s="858">
        <v>0.8</v>
      </c>
      <c r="H29" s="275">
        <v>80.0</v>
      </c>
      <c r="AB29" s="181"/>
      <c r="AC29" s="181"/>
      <c r="AD29" s="181"/>
      <c r="AE29" s="181"/>
      <c r="AM29" s="222"/>
      <c r="AN29" s="218"/>
      <c r="AO29" s="222"/>
      <c r="AP29" s="222"/>
      <c r="AQ29" s="272"/>
      <c r="AR29" s="222"/>
      <c r="AS29" s="66"/>
    </row>
    <row r="30">
      <c r="A30" s="223" t="s">
        <v>112</v>
      </c>
      <c r="B30" s="859" t="s">
        <v>113</v>
      </c>
      <c r="C30" s="860" t="b">
        <v>1</v>
      </c>
      <c r="D30" s="846"/>
      <c r="AM30" s="222"/>
      <c r="AN30" s="218"/>
      <c r="AO30" s="218"/>
      <c r="AP30" s="218"/>
      <c r="AQ30" s="218"/>
      <c r="AR30" s="222"/>
      <c r="AT30" s="228"/>
    </row>
    <row r="31">
      <c r="A31" s="181"/>
      <c r="B31" s="278"/>
      <c r="C31" s="278"/>
      <c r="D31" s="278"/>
      <c r="AM31" s="222"/>
      <c r="AN31" s="218"/>
      <c r="AO31" s="218"/>
      <c r="AP31" s="222"/>
      <c r="AQ31" s="222"/>
      <c r="AR31" s="222"/>
    </row>
    <row r="32" ht="27.0" customHeight="1">
      <c r="A32" s="281" t="s">
        <v>241</v>
      </c>
      <c r="F32" s="861" t="s">
        <v>590</v>
      </c>
      <c r="G32" s="862"/>
      <c r="AG32" s="2"/>
      <c r="AH32" s="2"/>
      <c r="AI32" s="2"/>
      <c r="AJ32" s="2"/>
      <c r="AK32" s="2"/>
      <c r="AL32" s="2"/>
      <c r="AM32" s="247"/>
      <c r="AN32" s="247"/>
      <c r="AO32" s="279"/>
      <c r="AP32" s="222"/>
      <c r="AQ32" s="247"/>
      <c r="AR32" s="247"/>
      <c r="AT32" s="280"/>
    </row>
    <row r="33" ht="30.0" customHeight="1">
      <c r="A33" s="250" t="s">
        <v>242</v>
      </c>
      <c r="B33" s="250" t="str">
        <f> "Value (" &amp; H16 &amp; ")"</f>
        <v>Value (GhostFish (P3))</v>
      </c>
      <c r="C33" s="282" t="s">
        <v>591</v>
      </c>
      <c r="F33" s="436" t="s">
        <v>592</v>
      </c>
      <c r="G33" s="863" t="s">
        <v>125</v>
      </c>
      <c r="P33" s="227"/>
      <c r="AG33" s="2"/>
      <c r="AH33" s="2"/>
      <c r="AI33" s="2"/>
      <c r="AJ33" s="2"/>
      <c r="AK33" s="2"/>
      <c r="AL33" s="2"/>
      <c r="AM33" s="247"/>
      <c r="AN33" s="247"/>
      <c r="AO33" s="279"/>
      <c r="AP33" s="222"/>
      <c r="AQ33" s="247"/>
      <c r="AR33" s="247"/>
      <c r="AT33" s="280"/>
    </row>
    <row r="34" ht="15.0" customHeight="1">
      <c r="A34" s="185" t="s">
        <v>76</v>
      </c>
      <c r="B34" s="271">
        <f>$C25*$C24</f>
        <v>4096</v>
      </c>
      <c r="C34" s="182">
        <f>492*8</f>
        <v>3936</v>
      </c>
      <c r="F34" s="864" t="s">
        <v>593</v>
      </c>
      <c r="G34" s="863" t="str">
        <f>C29</f>
        <v>bf16</v>
      </c>
      <c r="P34" s="227"/>
      <c r="AG34" s="2"/>
      <c r="AH34" s="2"/>
      <c r="AI34" s="2"/>
      <c r="AJ34" s="2"/>
      <c r="AK34" s="2"/>
      <c r="AL34" s="2"/>
      <c r="AM34" s="247"/>
      <c r="AN34" s="247"/>
      <c r="AO34" s="279"/>
      <c r="AP34" s="222"/>
      <c r="AQ34" s="247"/>
      <c r="AR34" s="247"/>
      <c r="AT34" s="280"/>
    </row>
    <row r="35" ht="15.0" customHeight="1">
      <c r="A35" s="185" t="s">
        <v>243</v>
      </c>
      <c r="B35" s="288">
        <f>G9</f>
        <v>16</v>
      </c>
      <c r="C35" s="9">
        <v>8.0</v>
      </c>
      <c r="F35" s="865" t="s">
        <v>594</v>
      </c>
      <c r="G35" s="866" t="s">
        <v>595</v>
      </c>
      <c r="P35" s="227"/>
      <c r="AG35" s="2"/>
      <c r="AH35" s="2"/>
      <c r="AI35" s="2"/>
      <c r="AJ35" s="2"/>
      <c r="AK35" s="2"/>
      <c r="AL35" s="2"/>
      <c r="AM35" s="247"/>
      <c r="AN35" s="247"/>
      <c r="AO35" s="279"/>
      <c r="AP35" s="222"/>
      <c r="AQ35" s="247"/>
      <c r="AR35" s="247"/>
      <c r="AT35" s="280"/>
    </row>
    <row r="36" ht="15.0" customHeight="1">
      <c r="A36" s="185" t="s">
        <v>146</v>
      </c>
      <c r="B36" s="289" t="str">
        <f>$G$78/1000 * $C$5</f>
        <v>#N/A</v>
      </c>
      <c r="C36" s="11">
        <f>0.0734</f>
        <v>0.0734</v>
      </c>
      <c r="F36" s="867" t="s">
        <v>596</v>
      </c>
      <c r="G36" s="868">
        <f>671*1000000000</f>
        <v>671000000000</v>
      </c>
      <c r="P36" s="227"/>
      <c r="AG36" s="2"/>
      <c r="AH36" s="2"/>
      <c r="AI36" s="2"/>
      <c r="AJ36" s="2"/>
      <c r="AK36" s="2"/>
      <c r="AL36" s="2"/>
      <c r="AM36" s="247"/>
      <c r="AN36" s="247"/>
      <c r="AO36" s="279"/>
      <c r="AP36" s="222"/>
      <c r="AQ36" s="247"/>
      <c r="AR36" s="247"/>
      <c r="AT36" s="280"/>
    </row>
    <row r="37" ht="15.0" customHeight="1">
      <c r="A37" s="185" t="s">
        <v>147</v>
      </c>
      <c r="B37" s="271" t="str">
        <f>$B$34/$B$36</f>
        <v>#N/A</v>
      </c>
      <c r="C37" s="193">
        <f>492/0.0733 * C35</f>
        <v>53697.13506</v>
      </c>
      <c r="F37" s="436" t="s">
        <v>597</v>
      </c>
      <c r="G37" s="869">
        <f>SUM(PRODUCT(L92:M92), PRODUCT(K138:M138), PRODUCT(K157:M157), PRODUCT(L176:M176), PRODUCT(K252:M252), PRODUCT(K271:M271)) * PARAMS("L")</f>
        <v>11413422080</v>
      </c>
      <c r="P37" s="227"/>
      <c r="AG37" s="2"/>
      <c r="AH37" s="2"/>
      <c r="AI37" s="2"/>
      <c r="AJ37" s="2"/>
      <c r="AK37" s="2"/>
      <c r="AL37" s="2"/>
      <c r="AM37" s="247"/>
      <c r="AN37" s="247"/>
      <c r="AO37" s="279"/>
      <c r="AP37" s="222"/>
      <c r="AQ37" s="247"/>
      <c r="AR37" s="247"/>
      <c r="AT37" s="280"/>
    </row>
    <row r="38" ht="15.0" customHeight="1">
      <c r="A38" s="185" t="s">
        <v>148</v>
      </c>
      <c r="B38" s="193" t="str">
        <f>B34/(B36*(1+C27))*C28</f>
        <v>#N/A</v>
      </c>
      <c r="C38" s="193"/>
      <c r="F38" s="867"/>
      <c r="G38" s="870"/>
      <c r="P38" s="227"/>
      <c r="AG38" s="2"/>
      <c r="AH38" s="2"/>
      <c r="AI38" s="2"/>
      <c r="AJ38" s="2"/>
      <c r="AK38" s="2"/>
      <c r="AL38" s="2"/>
      <c r="AM38" s="247"/>
      <c r="AN38" s="247"/>
      <c r="AO38" s="279"/>
      <c r="AP38" s="222"/>
      <c r="AQ38" s="247"/>
      <c r="AR38" s="247"/>
      <c r="AT38" s="280"/>
    </row>
    <row r="39" ht="15.0" customHeight="1">
      <c r="A39" s="185" t="s">
        <v>149</v>
      </c>
      <c r="B39" s="193" t="str">
        <f>B38/$G$10</f>
        <v>#N/A</v>
      </c>
      <c r="C39" s="193">
        <f>C37/C35</f>
        <v>6712.141883</v>
      </c>
      <c r="F39" s="867" t="s">
        <v>598</v>
      </c>
      <c r="G39" s="870">
        <f>G36-G37</f>
        <v>659586577920</v>
      </c>
      <c r="P39" s="227"/>
      <c r="AG39" s="2"/>
      <c r="AH39" s="2"/>
      <c r="AI39" s="2"/>
      <c r="AJ39" s="2"/>
      <c r="AK39" s="2"/>
      <c r="AL39" s="2"/>
      <c r="AM39" s="247"/>
      <c r="AN39" s="247"/>
      <c r="AO39" s="279"/>
      <c r="AP39" s="222"/>
      <c r="AQ39" s="247"/>
      <c r="AR39" s="247"/>
      <c r="AT39" s="280"/>
    </row>
    <row r="40" ht="15.0" customHeight="1">
      <c r="F40" s="436" t="s">
        <v>599</v>
      </c>
      <c r="G40" s="869">
        <f>SUM(P92, P138, P157, P176, P252, P271) * PARAMS(B5) / 1024</f>
        <v>10.62957764</v>
      </c>
      <c r="P40" s="227"/>
      <c r="AG40" s="2"/>
      <c r="AH40" s="2"/>
      <c r="AI40" s="2"/>
      <c r="AJ40" s="2"/>
      <c r="AK40" s="2"/>
      <c r="AL40" s="2"/>
      <c r="AM40" s="247"/>
      <c r="AN40" s="247"/>
      <c r="AO40" s="279"/>
      <c r="AP40" s="222"/>
      <c r="AQ40" s="247"/>
      <c r="AR40" s="247"/>
      <c r="AT40" s="280"/>
    </row>
    <row r="41" ht="15.0" customHeight="1">
      <c r="F41" s="867" t="s">
        <v>600</v>
      </c>
      <c r="G41" s="870">
        <f>(G39*  SWITCH(G33, "fp32", 4, "bf16", 2, "fp8", 1, "fp4", 0.5)/1024^3 + G40*G9) + (G9-1) * SUM(P453, P472) * (C5-3)/1024</f>
        <v>802.202909</v>
      </c>
      <c r="P41" s="227"/>
      <c r="AG41" s="2"/>
      <c r="AH41" s="2"/>
      <c r="AI41" s="2"/>
      <c r="AJ41" s="2"/>
      <c r="AK41" s="2"/>
      <c r="AL41" s="2"/>
      <c r="AM41" s="247"/>
      <c r="AN41" s="247"/>
      <c r="AO41" s="279"/>
      <c r="AP41" s="222"/>
      <c r="AQ41" s="247"/>
      <c r="AR41" s="247"/>
      <c r="AT41" s="280"/>
    </row>
    <row r="42" ht="15.0" customHeight="1">
      <c r="F42" s="436" t="s">
        <v>601</v>
      </c>
      <c r="G42" s="869">
        <f>G41/G9</f>
        <v>50.13768181</v>
      </c>
      <c r="P42" s="227"/>
      <c r="AG42" s="2"/>
      <c r="AH42" s="2"/>
      <c r="AI42" s="2"/>
      <c r="AJ42" s="2"/>
      <c r="AK42" s="2"/>
      <c r="AL42" s="2"/>
      <c r="AM42" s="247"/>
      <c r="AN42" s="247"/>
      <c r="AO42" s="279"/>
      <c r="AP42" s="222"/>
      <c r="AQ42" s="247"/>
      <c r="AR42" s="247"/>
      <c r="AT42" s="280"/>
    </row>
    <row r="43" ht="29.25" customHeight="1">
      <c r="A43" s="323" t="s">
        <v>269</v>
      </c>
      <c r="F43" s="867" t="s">
        <v>602</v>
      </c>
      <c r="G43" s="871">
        <v>0.9</v>
      </c>
      <c r="P43" s="227"/>
      <c r="AG43" s="2"/>
      <c r="AH43" s="2"/>
      <c r="AI43" s="2"/>
      <c r="AJ43" s="2"/>
      <c r="AK43" s="2"/>
      <c r="AL43" s="2"/>
      <c r="AM43" s="247"/>
      <c r="AN43" s="247"/>
      <c r="AO43" s="279"/>
      <c r="AP43" s="222"/>
      <c r="AQ43" s="247"/>
      <c r="AR43" s="247"/>
      <c r="AT43" s="280"/>
    </row>
    <row r="44" ht="15.0" customHeight="1">
      <c r="A44" s="183" t="s">
        <v>271</v>
      </c>
      <c r="B44" s="183" t="s">
        <v>171</v>
      </c>
      <c r="C44" s="183" t="s">
        <v>174</v>
      </c>
      <c r="F44" s="436" t="s">
        <v>603</v>
      </c>
      <c r="G44" s="869">
        <f>(((H27 * G43 - G42)*1024^3) * G8) / (PARAMS(B26) * PAD_128(C9+C11) * SWITCH(PARAMS("kvcache_dtype"), "fp32", 4, "bf16", 2, "fp8", 1, "fp4", 0.5)*PARAMS(B5))</f>
        <v>1510.083442</v>
      </c>
      <c r="P44" s="227"/>
      <c r="AG44" s="2"/>
      <c r="AH44" s="2"/>
      <c r="AI44" s="2"/>
      <c r="AJ44" s="2"/>
      <c r="AK44" s="2"/>
      <c r="AL44" s="2"/>
      <c r="AM44" s="247"/>
      <c r="AN44" s="247"/>
      <c r="AO44" s="279"/>
      <c r="AP44" s="222"/>
      <c r="AQ44" s="247"/>
      <c r="AR44" s="247"/>
      <c r="AT44" s="280"/>
    </row>
    <row r="45" ht="15.0" customHeight="1">
      <c r="A45" s="185" t="s">
        <v>278</v>
      </c>
      <c r="B45" s="331">
        <f>SUM(P92,P138,P157,P176,P252,P271) * PARAMS("L") / 1024</f>
        <v>10.62957764</v>
      </c>
      <c r="C45" s="332"/>
      <c r="F45" s="872"/>
      <c r="G45" s="873"/>
      <c r="J45" s="873">
        <f>SUM(G43+G45+G47)</f>
        <v>0.9</v>
      </c>
      <c r="P45" s="227"/>
      <c r="AG45" s="2"/>
      <c r="AH45" s="2"/>
      <c r="AI45" s="2"/>
      <c r="AJ45" s="2"/>
      <c r="AK45" s="2"/>
      <c r="AL45" s="2"/>
      <c r="AM45" s="247"/>
      <c r="AN45" s="247"/>
      <c r="AO45" s="279"/>
      <c r="AP45" s="222"/>
      <c r="AQ45" s="247"/>
      <c r="AR45" s="247"/>
      <c r="AT45" s="280"/>
    </row>
    <row r="46" ht="15.0" customHeight="1">
      <c r="A46" s="185" t="s">
        <v>284</v>
      </c>
      <c r="B46" s="340">
        <f>SUM($P$292,$P$381) * PARAMS("L") / 1024</f>
        <v>226.84375</v>
      </c>
      <c r="C46" s="11"/>
      <c r="F46" s="872"/>
      <c r="G46" s="873"/>
      <c r="M46" s="874">
        <f>(2*129280*7168 + 3*2048*7168)</f>
        <v>1897398272</v>
      </c>
      <c r="P46" s="227"/>
      <c r="AG46" s="2"/>
      <c r="AH46" s="2"/>
      <c r="AI46" s="2"/>
      <c r="AJ46" s="2"/>
      <c r="AK46" s="2"/>
      <c r="AL46" s="2"/>
      <c r="AM46" s="247"/>
      <c r="AN46" s="247"/>
      <c r="AO46" s="279"/>
      <c r="AP46" s="222"/>
      <c r="AQ46" s="247"/>
      <c r="AR46" s="247"/>
      <c r="AT46" s="280"/>
    </row>
    <row r="47" ht="15.0" customHeight="1">
      <c r="A47" s="9" t="s">
        <v>286</v>
      </c>
      <c r="B47" s="11"/>
      <c r="C47" s="11"/>
      <c r="F47" s="872"/>
      <c r="G47" s="873"/>
      <c r="P47" s="227"/>
      <c r="AG47" s="2"/>
      <c r="AH47" s="2"/>
      <c r="AI47" s="2"/>
      <c r="AJ47" s="2"/>
      <c r="AK47" s="2"/>
      <c r="AL47" s="2"/>
      <c r="AM47" s="247"/>
      <c r="AN47" s="247"/>
      <c r="AO47" s="279"/>
      <c r="AP47" s="222"/>
      <c r="AQ47" s="247"/>
      <c r="AR47" s="247"/>
      <c r="AT47" s="280"/>
    </row>
    <row r="48" ht="15.0" customHeight="1">
      <c r="A48" s="185" t="s">
        <v>288</v>
      </c>
      <c r="B48" s="340">
        <f>SIZEOF_IN_MIB(PARAMS("B")*PARAMS("S")*PARAMS("L")*(PARAMS("c_kv")+PARAMS("h_rope")), PARAMS("kvcache_dtype"))/1024</f>
        <v>1372.5</v>
      </c>
      <c r="C48" s="11"/>
      <c r="F48" s="872"/>
      <c r="G48" s="873"/>
      <c r="P48" s="227"/>
      <c r="AG48" s="2"/>
      <c r="AH48" s="2"/>
      <c r="AI48" s="2"/>
      <c r="AJ48" s="2"/>
      <c r="AK48" s="2"/>
      <c r="AL48" s="2"/>
      <c r="AM48" s="247"/>
      <c r="AN48" s="247"/>
      <c r="AO48" s="279"/>
      <c r="AP48" s="222"/>
      <c r="AQ48" s="247"/>
      <c r="AR48" s="247"/>
      <c r="AT48" s="280"/>
    </row>
    <row r="49" ht="15.0" customHeight="1">
      <c r="A49" s="9" t="s">
        <v>290</v>
      </c>
      <c r="B49" s="356">
        <f>MAX(P92,P111,P130,P149,P168,P187,P206,P225,P244,P260,P298,P345,P411,P430)/1024</f>
        <v>0.01025390625</v>
      </c>
      <c r="C49" s="9"/>
      <c r="F49" s="872"/>
      <c r="G49" s="873"/>
      <c r="P49" s="227"/>
      <c r="AG49" s="2"/>
      <c r="AH49" s="2"/>
      <c r="AI49" s="2"/>
      <c r="AJ49" s="2"/>
      <c r="AK49" s="2"/>
      <c r="AL49" s="2"/>
      <c r="AM49" s="247"/>
      <c r="AN49" s="247"/>
      <c r="AO49" s="279"/>
      <c r="AP49" s="222"/>
      <c r="AQ49" s="247"/>
      <c r="AR49" s="247"/>
      <c r="AT49" s="280"/>
    </row>
    <row r="50" ht="15.0" customHeight="1">
      <c r="A50" s="8" t="s">
        <v>293</v>
      </c>
      <c r="B50" s="359">
        <f>SUM(B45:B48)</f>
        <v>1609.973328</v>
      </c>
      <c r="C50" s="8" t="str">
        <f>"&lt;=" &amp; ($H$27 * PARAMS("num_devices")) &amp; " (Capacity)?"</f>
        <v>&lt;=1516.032 (Capacity)?</v>
      </c>
      <c r="F50" s="872"/>
      <c r="G50" s="873"/>
      <c r="P50" s="227"/>
      <c r="AG50" s="2"/>
      <c r="AH50" s="2"/>
      <c r="AI50" s="2"/>
      <c r="AJ50" s="2"/>
      <c r="AK50" s="2"/>
      <c r="AL50" s="2"/>
      <c r="AM50" s="247"/>
      <c r="AN50" s="247"/>
      <c r="AO50" s="279"/>
      <c r="AP50" s="222"/>
      <c r="AQ50" s="247"/>
      <c r="AR50" s="247"/>
      <c r="AT50" s="280"/>
    </row>
    <row r="51">
      <c r="A51" s="11"/>
      <c r="B51" s="11"/>
      <c r="C51" s="11"/>
      <c r="D51" s="181"/>
      <c r="E51" s="181"/>
      <c r="F51" s="872"/>
      <c r="G51" s="873"/>
      <c r="AM51" s="222"/>
      <c r="AN51" s="218"/>
      <c r="AO51" s="218"/>
      <c r="AP51" s="218"/>
      <c r="AQ51" s="218"/>
      <c r="AR51" s="222"/>
      <c r="AT51" s="280"/>
    </row>
    <row r="52">
      <c r="A52" s="185" t="s">
        <v>294</v>
      </c>
      <c r="B52" s="331">
        <f>SUM(P94,P140,P159,P178,P254,P273) * PARAMS("L") / 1024</f>
        <v>10.62957764</v>
      </c>
      <c r="C52" s="332"/>
      <c r="D52" s="181"/>
      <c r="E52" s="181"/>
      <c r="F52" s="872"/>
      <c r="G52" s="873"/>
      <c r="AM52" s="222"/>
      <c r="AN52" s="218"/>
      <c r="AO52" s="218"/>
      <c r="AP52" s="218"/>
      <c r="AQ52" s="218"/>
      <c r="AR52" s="222"/>
      <c r="AT52" s="280"/>
    </row>
    <row r="53">
      <c r="A53" s="185" t="s">
        <v>295</v>
      </c>
      <c r="B53" s="340">
        <f>SUM(P340,P383) * PARAMS("L") / 1024</f>
        <v>40.03125</v>
      </c>
      <c r="C53" s="332"/>
      <c r="D53" s="181"/>
      <c r="F53" s="872"/>
      <c r="G53" s="873"/>
      <c r="AM53" s="222"/>
      <c r="AN53" s="218"/>
      <c r="AO53" s="218"/>
      <c r="AP53" s="218"/>
      <c r="AQ53" s="218"/>
      <c r="AR53" s="222"/>
      <c r="AT53" s="280"/>
    </row>
    <row r="54">
      <c r="A54" s="9" t="s">
        <v>286</v>
      </c>
      <c r="B54" s="11"/>
      <c r="C54" s="332"/>
      <c r="D54" s="181"/>
      <c r="E54" s="181"/>
      <c r="F54" s="872"/>
      <c r="G54" s="873"/>
      <c r="AM54" s="222"/>
      <c r="AN54" s="218"/>
      <c r="AO54" s="218"/>
      <c r="AP54" s="218"/>
      <c r="AQ54" s="218"/>
      <c r="AR54" s="222"/>
      <c r="AT54" s="280"/>
    </row>
    <row r="55">
      <c r="A55" s="185" t="s">
        <v>297</v>
      </c>
      <c r="B55" s="340">
        <f>B48/PARAMS("num_devices")</f>
        <v>85.78125</v>
      </c>
      <c r="C55" s="332"/>
      <c r="D55" s="181"/>
      <c r="E55" s="181"/>
      <c r="F55" s="181"/>
      <c r="G55" s="181"/>
      <c r="AM55" s="222"/>
      <c r="AN55" s="218"/>
      <c r="AO55" s="218"/>
      <c r="AP55" s="218"/>
      <c r="AQ55" s="218"/>
      <c r="AR55" s="222"/>
      <c r="AT55" s="280"/>
    </row>
    <row r="56">
      <c r="A56" s="185" t="s">
        <v>298</v>
      </c>
      <c r="B56" s="340">
        <f>MAX(P94,P113,P132,P151,P170,P189,P208,P227,P246,P262,P300,P347,P413,P432)/1024</f>
        <v>0.01025390625</v>
      </c>
      <c r="C56" s="332"/>
      <c r="D56" s="181"/>
      <c r="E56" s="181"/>
      <c r="F56" s="181"/>
      <c r="G56" s="181"/>
      <c r="AM56" s="222"/>
      <c r="AN56" s="218"/>
      <c r="AO56" s="218"/>
      <c r="AP56" s="218"/>
      <c r="AQ56" s="218"/>
      <c r="AR56" s="222"/>
      <c r="AT56" s="280"/>
    </row>
    <row r="57">
      <c r="A57" s="199" t="s">
        <v>299</v>
      </c>
      <c r="B57" s="361">
        <f>SUM(B52:B55)</f>
        <v>136.4420776</v>
      </c>
      <c r="C57" s="362" t="str">
        <f>"&lt;=" &amp; ($H$27) &amp; " (Capacity)?"</f>
        <v>&lt;=94.752 (Capacity)?</v>
      </c>
      <c r="D57" s="181"/>
      <c r="E57" s="181"/>
      <c r="F57" s="181"/>
      <c r="G57" s="181"/>
      <c r="AM57" s="222"/>
      <c r="AN57" s="218"/>
      <c r="AO57" s="218"/>
      <c r="AP57" s="218"/>
      <c r="AQ57" s="218"/>
      <c r="AR57" s="222"/>
      <c r="AT57" s="280"/>
    </row>
    <row r="58">
      <c r="A58" s="281"/>
      <c r="B58" s="281"/>
      <c r="D58" s="181"/>
      <c r="E58" s="181"/>
      <c r="F58" s="181"/>
      <c r="G58" s="181"/>
      <c r="AM58" s="222"/>
      <c r="AN58" s="218"/>
      <c r="AO58" s="218"/>
      <c r="AP58" s="218"/>
      <c r="AQ58" s="218"/>
      <c r="AR58" s="222"/>
      <c r="AT58" s="280"/>
    </row>
    <row r="59">
      <c r="A59" s="281" t="s">
        <v>244</v>
      </c>
      <c r="B59" s="281"/>
      <c r="D59" s="181"/>
      <c r="E59" s="181"/>
      <c r="F59" s="181"/>
      <c r="G59" s="181"/>
      <c r="AM59" s="222"/>
      <c r="AN59" s="218"/>
      <c r="AO59" s="218"/>
      <c r="AP59" s="218"/>
      <c r="AQ59" s="218"/>
      <c r="AR59" s="222"/>
      <c r="AT59" s="280"/>
    </row>
    <row r="60">
      <c r="A60" s="290" t="s">
        <v>245</v>
      </c>
      <c r="B60" s="290" t="s">
        <v>246</v>
      </c>
      <c r="C60" s="290" t="s">
        <v>247</v>
      </c>
      <c r="D60" s="290" t="s">
        <v>248</v>
      </c>
      <c r="E60" s="290" t="s">
        <v>249</v>
      </c>
      <c r="F60" s="290" t="s">
        <v>250</v>
      </c>
      <c r="G60" s="290" t="s">
        <v>251</v>
      </c>
      <c r="H60" s="290" t="s">
        <v>252</v>
      </c>
      <c r="I60" s="875"/>
      <c r="J60" s="290" t="s">
        <v>604</v>
      </c>
      <c r="AG60" s="207"/>
      <c r="AH60" s="207"/>
      <c r="AI60" s="2"/>
      <c r="AJ60" s="2"/>
      <c r="AK60" s="2"/>
      <c r="AL60" s="2"/>
      <c r="AM60" s="247"/>
      <c r="AN60" s="279"/>
      <c r="AO60" s="279"/>
      <c r="AP60" s="292"/>
      <c r="AQ60" s="279"/>
      <c r="AR60" s="247"/>
      <c r="AS60" s="66"/>
      <c r="AT60" s="280"/>
    </row>
    <row r="61">
      <c r="A61" s="293" t="s">
        <v>29</v>
      </c>
      <c r="B61" s="294" t="s">
        <v>255</v>
      </c>
      <c r="C61" s="295">
        <f>$H$132</f>
        <v>0.004338794429</v>
      </c>
      <c r="D61" s="295" t="str">
        <f>$H$130</f>
        <v>#N/A</v>
      </c>
      <c r="E61" s="297"/>
      <c r="F61" s="295">
        <f>H127</f>
        <v>0.1995595296</v>
      </c>
      <c r="G61" s="295" t="str">
        <f t="shared" ref="G61:G64" si="3">max(C61:F61)</f>
        <v>#N/A</v>
      </c>
      <c r="H61" s="297" t="str">
        <f t="shared" ref="H61:H64" si="4">IFS(C61=G61, "HBM", D61=G61, "Compute", E61=G61, "ICI Lt", F61=G61, "ICI BW")</f>
        <v>#N/A</v>
      </c>
      <c r="I61" s="808"/>
      <c r="J61" s="876" t="str">
        <f t="shared" ref="J61:J66" si="5">G61/$G$76</f>
        <v>#N/A</v>
      </c>
      <c r="P61" s="877"/>
      <c r="AG61" s="2"/>
      <c r="AH61" s="2"/>
      <c r="AI61" s="207"/>
      <c r="AJ61" s="2"/>
      <c r="AK61" s="2"/>
      <c r="AL61" s="2"/>
      <c r="AM61" s="247"/>
      <c r="AN61" s="218"/>
      <c r="AO61" s="218"/>
      <c r="AP61" s="218"/>
      <c r="AQ61" s="218"/>
      <c r="AR61" s="247"/>
      <c r="AT61" s="280"/>
    </row>
    <row r="62">
      <c r="A62" s="293" t="s">
        <v>29</v>
      </c>
      <c r="B62" s="294" t="s">
        <v>32</v>
      </c>
      <c r="C62" s="295">
        <f>$H$151</f>
        <v>0.01614532158</v>
      </c>
      <c r="D62" s="295" t="str">
        <f>$H$149</f>
        <v>#N/A</v>
      </c>
      <c r="E62" s="297"/>
      <c r="F62" s="295"/>
      <c r="G62" s="295" t="str">
        <f t="shared" si="3"/>
        <v>#N/A</v>
      </c>
      <c r="H62" s="297" t="str">
        <f t="shared" si="4"/>
        <v>#N/A</v>
      </c>
      <c r="I62" s="808"/>
      <c r="J62" s="876" t="str">
        <f t="shared" si="5"/>
        <v>#N/A</v>
      </c>
      <c r="P62" s="878"/>
      <c r="AG62" s="2"/>
      <c r="AH62" s="2"/>
      <c r="AI62" s="2"/>
      <c r="AJ62" s="2"/>
      <c r="AK62" s="2"/>
      <c r="AL62" s="2"/>
      <c r="AM62" s="247"/>
      <c r="AN62" s="247"/>
      <c r="AO62" s="279"/>
      <c r="AP62" s="222"/>
      <c r="AQ62" s="247"/>
      <c r="AR62" s="247"/>
      <c r="AT62" s="280"/>
    </row>
    <row r="63">
      <c r="A63" s="293" t="s">
        <v>29</v>
      </c>
      <c r="B63" s="294" t="s">
        <v>34</v>
      </c>
      <c r="C63" s="295">
        <f>$H$170</f>
        <v>0.01468515038</v>
      </c>
      <c r="D63" s="295" t="str">
        <f>$H$168</f>
        <v>#N/A</v>
      </c>
      <c r="E63" s="297"/>
      <c r="F63" s="295"/>
      <c r="G63" s="295" t="str">
        <f t="shared" si="3"/>
        <v>#N/A</v>
      </c>
      <c r="H63" s="297" t="str">
        <f t="shared" si="4"/>
        <v>#N/A</v>
      </c>
      <c r="I63" s="808"/>
      <c r="J63" s="876" t="str">
        <f t="shared" si="5"/>
        <v>#N/A</v>
      </c>
      <c r="P63" s="878"/>
      <c r="AG63" s="2"/>
      <c r="AH63" s="2"/>
      <c r="AI63" s="2"/>
      <c r="AJ63" s="2"/>
      <c r="AK63" s="2"/>
      <c r="AL63" s="2"/>
      <c r="AM63" s="247"/>
      <c r="AN63" s="218"/>
      <c r="AO63" s="218"/>
      <c r="AP63" s="218"/>
      <c r="AQ63" s="218"/>
      <c r="AR63" s="247"/>
      <c r="AT63" s="280"/>
    </row>
    <row r="64">
      <c r="A64" s="293" t="s">
        <v>29</v>
      </c>
      <c r="B64" s="294" t="s">
        <v>256</v>
      </c>
      <c r="C64" s="295">
        <f>$H$189</f>
        <v>0.001992090712</v>
      </c>
      <c r="D64" s="295" t="str">
        <f>$H$187</f>
        <v>#N/A</v>
      </c>
      <c r="E64" s="297"/>
      <c r="F64" s="295"/>
      <c r="G64" s="295" t="str">
        <f t="shared" si="3"/>
        <v>#N/A</v>
      </c>
      <c r="H64" s="297" t="str">
        <f t="shared" si="4"/>
        <v>#N/A</v>
      </c>
      <c r="I64" s="808"/>
      <c r="J64" s="876" t="str">
        <f t="shared" si="5"/>
        <v>#N/A</v>
      </c>
      <c r="P64" s="878"/>
      <c r="AM64" s="222"/>
      <c r="AO64" s="222"/>
      <c r="AP64" s="222"/>
      <c r="AQ64" s="222"/>
      <c r="AR64" s="247"/>
      <c r="AS64" s="66"/>
      <c r="AT64" s="280"/>
    </row>
    <row r="65">
      <c r="A65" s="293" t="s">
        <v>29</v>
      </c>
      <c r="B65" s="302" t="s">
        <v>258</v>
      </c>
      <c r="C65" s="295">
        <f t="shared" ref="C65:D65" si="6">SUM(C67:C69)</f>
        <v>0.5033001538</v>
      </c>
      <c r="D65" s="295" t="str">
        <f t="shared" si="6"/>
        <v>#N/A</v>
      </c>
      <c r="E65" s="297"/>
      <c r="F65" s="295"/>
      <c r="G65" s="295" t="str">
        <f>IF(PARAMS("flash_attn"),MAX(C65:F65),0)</f>
        <v>#N/A</v>
      </c>
      <c r="H65" s="297" t="str">
        <f>IFS(G65=0,"",C65=G65, "HBM", D65=G65, "Compute", E65=G65, "ICI Lt", F65=G65, "ICI BW")</f>
        <v>#N/A</v>
      </c>
      <c r="I65" s="808"/>
      <c r="J65" s="876" t="str">
        <f t="shared" si="5"/>
        <v>#N/A</v>
      </c>
      <c r="P65" s="878"/>
      <c r="R65" s="203"/>
      <c r="S65" s="203"/>
      <c r="T65" s="203"/>
      <c r="U65" s="203"/>
      <c r="V65" s="203"/>
      <c r="W65" s="2"/>
      <c r="AM65" s="222"/>
      <c r="AO65" s="218"/>
      <c r="AP65" s="218"/>
      <c r="AQ65" s="218"/>
      <c r="AR65" s="247"/>
      <c r="AT65" s="280"/>
    </row>
    <row r="66">
      <c r="A66" s="293" t="s">
        <v>29</v>
      </c>
      <c r="B66" s="302" t="s">
        <v>259</v>
      </c>
      <c r="C66" s="295"/>
      <c r="D66" s="295"/>
      <c r="E66" s="297"/>
      <c r="F66" s="295"/>
      <c r="G66" s="295">
        <f>IF(PARAMS("flash_attn"),0,SUM(G67:G69))</f>
        <v>0</v>
      </c>
      <c r="H66" s="297"/>
      <c r="I66" s="808"/>
      <c r="J66" s="876" t="str">
        <f t="shared" si="5"/>
        <v>#N/A</v>
      </c>
      <c r="P66" s="878"/>
      <c r="R66" s="203"/>
      <c r="S66" s="203"/>
      <c r="T66" s="203"/>
      <c r="U66" s="203"/>
      <c r="V66" s="203"/>
      <c r="W66" s="2"/>
      <c r="AM66" s="222"/>
      <c r="AO66" s="218"/>
      <c r="AP66" s="218"/>
      <c r="AQ66" s="218"/>
      <c r="AR66" s="247"/>
      <c r="AT66" s="280"/>
    </row>
    <row r="67">
      <c r="A67" s="293" t="s">
        <v>29</v>
      </c>
      <c r="B67" s="294" t="s">
        <v>630</v>
      </c>
      <c r="C67" s="295">
        <f>$H$208</f>
        <v>0.4378844839</v>
      </c>
      <c r="D67" s="295" t="str">
        <f>$H$206</f>
        <v>#N/A</v>
      </c>
      <c r="E67" s="297"/>
      <c r="F67" s="295"/>
      <c r="G67" s="295" t="str">
        <f t="shared" ref="G67:G75" si="7">max(C67:F67)</f>
        <v>#N/A</v>
      </c>
      <c r="H67" s="297" t="str">
        <f t="shared" ref="H67:H75" si="8">IFS(C67=G67, "HBM", D67=G67, "Compute", E67=G67, "ICI Lt", F67=G67, "ICI BW")</f>
        <v>#N/A</v>
      </c>
      <c r="I67" s="808"/>
      <c r="J67" s="876"/>
      <c r="P67" s="878"/>
      <c r="R67" s="203"/>
      <c r="S67" s="203"/>
      <c r="T67" s="203"/>
      <c r="U67" s="203"/>
      <c r="V67" s="203"/>
      <c r="W67" s="2"/>
      <c r="AM67" s="222"/>
      <c r="AO67" s="218"/>
      <c r="AP67" s="218"/>
      <c r="AQ67" s="218"/>
      <c r="AR67" s="247"/>
      <c r="AT67" s="280"/>
    </row>
    <row r="68">
      <c r="A68" s="293" t="s">
        <v>29</v>
      </c>
      <c r="B68" s="294" t="s">
        <v>631</v>
      </c>
      <c r="C68" s="295">
        <f>$H$227</f>
        <v>0.05473556049</v>
      </c>
      <c r="D68" s="295" t="str">
        <f>$H$225</f>
        <v>#N/A</v>
      </c>
      <c r="E68" s="297"/>
      <c r="F68" s="295"/>
      <c r="G68" s="295" t="str">
        <f t="shared" si="7"/>
        <v>#N/A</v>
      </c>
      <c r="H68" s="297" t="str">
        <f t="shared" si="8"/>
        <v>#N/A</v>
      </c>
      <c r="I68" s="808"/>
      <c r="J68" s="876"/>
      <c r="P68" s="878"/>
      <c r="R68" s="303"/>
      <c r="S68" s="303"/>
      <c r="T68" s="303"/>
      <c r="U68" s="303"/>
      <c r="V68" s="303"/>
      <c r="W68" s="2"/>
      <c r="AM68" s="222"/>
      <c r="AN68" s="218"/>
      <c r="AO68" s="222"/>
      <c r="AP68" s="222"/>
      <c r="AQ68" s="218"/>
      <c r="AR68" s="247"/>
      <c r="AT68" s="280"/>
    </row>
    <row r="69">
      <c r="A69" s="293" t="s">
        <v>29</v>
      </c>
      <c r="B69" s="294" t="s">
        <v>632</v>
      </c>
      <c r="C69" s="295">
        <f>$H$246</f>
        <v>0.01068010936</v>
      </c>
      <c r="D69" s="295" t="str">
        <f>$H$244</f>
        <v>#N/A</v>
      </c>
      <c r="E69" s="297"/>
      <c r="F69" s="295"/>
      <c r="G69" s="295" t="str">
        <f t="shared" si="7"/>
        <v>#N/A</v>
      </c>
      <c r="H69" s="297" t="str">
        <f t="shared" si="8"/>
        <v>#N/A</v>
      </c>
      <c r="I69" s="808"/>
      <c r="J69" s="876"/>
      <c r="P69" s="878"/>
      <c r="R69" s="303"/>
      <c r="S69" s="303"/>
      <c r="T69" s="303"/>
      <c r="U69" s="303"/>
      <c r="V69" s="303"/>
      <c r="W69" s="2"/>
      <c r="AM69" s="222"/>
      <c r="AN69" s="218"/>
      <c r="AO69" s="218"/>
      <c r="AP69" s="218"/>
      <c r="AQ69" s="218"/>
      <c r="AR69" s="247"/>
      <c r="AT69" s="280"/>
    </row>
    <row r="70">
      <c r="A70" s="293" t="s">
        <v>29</v>
      </c>
      <c r="B70" s="294" t="s">
        <v>38</v>
      </c>
      <c r="C70" s="295">
        <f>H265</f>
        <v>0.01068010936</v>
      </c>
      <c r="D70" s="295" t="str">
        <f>H263</f>
        <v>#N/A</v>
      </c>
      <c r="E70" s="297"/>
      <c r="F70" s="295"/>
      <c r="G70" s="295" t="str">
        <f t="shared" si="7"/>
        <v>#N/A</v>
      </c>
      <c r="H70" s="297" t="str">
        <f t="shared" si="8"/>
        <v>#N/A</v>
      </c>
      <c r="I70" s="808"/>
      <c r="J70" s="876" t="str">
        <f t="shared" ref="J70:J76" si="9">G70/$G$76</f>
        <v>#N/A</v>
      </c>
      <c r="P70" s="878"/>
      <c r="R70" s="303"/>
      <c r="S70" s="303"/>
      <c r="T70" s="303"/>
      <c r="U70" s="303"/>
      <c r="V70" s="303"/>
      <c r="W70" s="304"/>
      <c r="AK70" s="280"/>
      <c r="AM70" s="222"/>
      <c r="AN70" s="218"/>
      <c r="AO70" s="218"/>
      <c r="AP70" s="218"/>
      <c r="AQ70" s="218"/>
      <c r="AR70" s="247"/>
      <c r="AT70" s="280"/>
    </row>
    <row r="71">
      <c r="A71" s="293" t="s">
        <v>29</v>
      </c>
      <c r="B71" s="294" t="s">
        <v>40</v>
      </c>
      <c r="C71" s="295">
        <f>H284</f>
        <v>0.03988353341</v>
      </c>
      <c r="D71" s="295" t="str">
        <f>H282</f>
        <v>#N/A</v>
      </c>
      <c r="E71" s="297"/>
      <c r="F71" s="295"/>
      <c r="G71" s="295" t="str">
        <f t="shared" si="7"/>
        <v>#N/A</v>
      </c>
      <c r="H71" s="297" t="str">
        <f t="shared" si="8"/>
        <v>#N/A</v>
      </c>
      <c r="I71" s="808"/>
      <c r="J71" s="876" t="str">
        <f t="shared" si="9"/>
        <v>#N/A</v>
      </c>
      <c r="P71" s="878"/>
      <c r="R71" s="303"/>
      <c r="S71" s="303"/>
      <c r="T71" s="303"/>
      <c r="U71" s="305"/>
      <c r="V71" s="305"/>
      <c r="W71" s="2"/>
      <c r="AK71" s="306"/>
      <c r="AL71" s="307"/>
      <c r="AM71" s="247"/>
      <c r="AN71" s="218"/>
      <c r="AO71" s="218"/>
      <c r="AP71" s="218"/>
      <c r="AQ71" s="218"/>
      <c r="AR71" s="247"/>
      <c r="AT71" s="280"/>
    </row>
    <row r="72">
      <c r="A72" s="293" t="s">
        <v>264</v>
      </c>
      <c r="B72" s="308" t="s">
        <v>44</v>
      </c>
      <c r="C72" s="295"/>
      <c r="D72" s="295"/>
      <c r="E72" s="297"/>
      <c r="F72" s="295">
        <f>$H$332</f>
        <v>0.1025390625</v>
      </c>
      <c r="G72" s="295">
        <f t="shared" si="7"/>
        <v>0.1025390625</v>
      </c>
      <c r="H72" s="297" t="str">
        <f t="shared" si="8"/>
        <v>ICI BW</v>
      </c>
      <c r="I72" s="808"/>
      <c r="J72" s="876" t="str">
        <f t="shared" si="9"/>
        <v>#N/A</v>
      </c>
      <c r="P72" s="878"/>
      <c r="R72" s="2"/>
      <c r="S72" s="2"/>
      <c r="T72" s="2"/>
      <c r="U72" s="2"/>
      <c r="V72" s="2"/>
      <c r="W72" s="2"/>
      <c r="AM72" s="222"/>
      <c r="AN72" s="218"/>
      <c r="AO72" s="222"/>
      <c r="AP72" s="222"/>
      <c r="AQ72" s="272"/>
      <c r="AR72" s="222"/>
    </row>
    <row r="73">
      <c r="A73" s="293" t="s">
        <v>264</v>
      </c>
      <c r="B73" s="308" t="s">
        <v>46</v>
      </c>
      <c r="C73" s="295">
        <f>$H$375</f>
        <v>0.1922419686</v>
      </c>
      <c r="D73" s="295" t="str">
        <f>$H$373</f>
        <v>#N/A</v>
      </c>
      <c r="E73" s="297"/>
      <c r="F73" s="295">
        <f>$H$370</f>
        <v>0.0390625</v>
      </c>
      <c r="G73" s="295" t="str">
        <f t="shared" si="7"/>
        <v>#N/A</v>
      </c>
      <c r="H73" s="297" t="str">
        <f t="shared" si="8"/>
        <v>#N/A</v>
      </c>
      <c r="I73" s="808"/>
      <c r="J73" s="876" t="str">
        <f t="shared" si="9"/>
        <v>#N/A</v>
      </c>
      <c r="P73" s="878"/>
      <c r="R73" s="2"/>
      <c r="S73" s="2"/>
      <c r="T73" s="2"/>
      <c r="U73" s="2"/>
      <c r="V73" s="2"/>
      <c r="W73" s="309"/>
      <c r="AM73" s="222"/>
      <c r="AN73" s="218"/>
      <c r="AO73" s="218"/>
      <c r="AP73" s="218"/>
      <c r="AQ73" s="218"/>
      <c r="AR73" s="222"/>
      <c r="AT73" s="228"/>
    </row>
    <row r="74">
      <c r="A74" s="293" t="s">
        <v>264</v>
      </c>
      <c r="B74" s="308" t="s">
        <v>48</v>
      </c>
      <c r="C74" s="295">
        <f>$H$405</f>
        <v>0.1521915584</v>
      </c>
      <c r="D74" s="295" t="str">
        <f>$H$403</f>
        <v>#N/A</v>
      </c>
      <c r="E74" s="297"/>
      <c r="F74" s="295">
        <f>$H$400</f>
        <v>0</v>
      </c>
      <c r="G74" s="295" t="str">
        <f t="shared" si="7"/>
        <v>#N/A</v>
      </c>
      <c r="H74" s="297" t="str">
        <f t="shared" si="8"/>
        <v>#N/A</v>
      </c>
      <c r="I74" s="808"/>
      <c r="J74" s="876" t="str">
        <f t="shared" si="9"/>
        <v>#N/A</v>
      </c>
      <c r="P74" s="878"/>
      <c r="R74" s="2"/>
      <c r="S74" s="2"/>
      <c r="T74" s="2"/>
      <c r="U74" s="2"/>
      <c r="V74" s="2"/>
      <c r="W74" s="309"/>
      <c r="AM74" s="222"/>
      <c r="AN74" s="218"/>
      <c r="AO74" s="218"/>
      <c r="AP74" s="222"/>
      <c r="AQ74" s="222"/>
      <c r="AR74" s="222"/>
    </row>
    <row r="75">
      <c r="A75" s="293" t="s">
        <v>264</v>
      </c>
      <c r="B75" s="308" t="s">
        <v>52</v>
      </c>
      <c r="C75" s="295"/>
      <c r="D75" s="295"/>
      <c r="E75" s="297"/>
      <c r="F75" s="295">
        <f>$H$442</f>
        <v>0.1993815104</v>
      </c>
      <c r="G75" s="295">
        <f t="shared" si="7"/>
        <v>0.1993815104</v>
      </c>
      <c r="H75" s="297" t="str">
        <f t="shared" si="8"/>
        <v>ICI BW</v>
      </c>
      <c r="I75" s="808"/>
      <c r="J75" s="876" t="str">
        <f t="shared" si="9"/>
        <v>#N/A</v>
      </c>
      <c r="P75" s="878"/>
      <c r="AM75" s="222"/>
      <c r="AN75" s="218"/>
      <c r="AO75" s="218"/>
      <c r="AP75" s="218"/>
      <c r="AQ75" s="218"/>
      <c r="AR75" s="222"/>
      <c r="AT75" s="280"/>
    </row>
    <row r="76">
      <c r="A76" s="310"/>
      <c r="B76" s="311"/>
      <c r="C76" s="311"/>
      <c r="D76" s="311"/>
      <c r="E76" s="310" t="s">
        <v>265</v>
      </c>
      <c r="F76" s="312" t="s">
        <v>121</v>
      </c>
      <c r="G76" s="311" t="str">
        <f>SUM(G61:G66,G70:G75)</f>
        <v>#N/A</v>
      </c>
      <c r="H76" s="311"/>
      <c r="I76" s="314"/>
      <c r="J76" s="315" t="str">
        <f t="shared" si="9"/>
        <v>#N/A</v>
      </c>
      <c r="P76" s="878"/>
      <c r="AG76" s="207"/>
      <c r="AH76" s="207"/>
      <c r="AI76" s="2"/>
      <c r="AJ76" s="2"/>
      <c r="AK76" s="2"/>
      <c r="AL76" s="2"/>
      <c r="AM76" s="247"/>
      <c r="AN76" s="279"/>
      <c r="AO76" s="279"/>
      <c r="AP76" s="292"/>
      <c r="AQ76" s="279"/>
      <c r="AR76" s="247"/>
      <c r="AT76" s="280"/>
    </row>
    <row r="77">
      <c r="A77" s="316"/>
      <c r="B77" s="311"/>
      <c r="C77" s="311"/>
      <c r="D77" s="311"/>
      <c r="E77" s="316"/>
      <c r="F77" s="312" t="s">
        <v>266</v>
      </c>
      <c r="G77" s="879" t="str">
        <f>SUM(G61:G66,G70:G71)+MAX(G72:G73)+MAX(G74:G75)</f>
        <v>#N/A</v>
      </c>
      <c r="H77" s="311"/>
      <c r="I77" s="314"/>
      <c r="J77" s="315"/>
      <c r="P77" s="878"/>
      <c r="AG77" s="207"/>
      <c r="AH77" s="207"/>
      <c r="AI77" s="2"/>
      <c r="AJ77" s="2"/>
      <c r="AK77" s="2"/>
      <c r="AL77" s="2"/>
      <c r="AM77" s="247"/>
      <c r="AN77" s="279"/>
      <c r="AO77" s="279"/>
      <c r="AP77" s="292"/>
      <c r="AQ77" s="279"/>
      <c r="AR77" s="247"/>
      <c r="AT77" s="280"/>
    </row>
    <row r="78">
      <c r="A78" s="318" t="s">
        <v>267</v>
      </c>
      <c r="B78" s="319"/>
      <c r="C78" s="319"/>
      <c r="D78" s="319"/>
      <c r="E78" s="318" t="s">
        <v>268</v>
      </c>
      <c r="F78" s="320" t="s">
        <v>121</v>
      </c>
      <c r="G78" s="880" t="str">
        <f>IF(F78=F76,G76,G77)</f>
        <v>#N/A</v>
      </c>
      <c r="H78" s="319"/>
      <c r="I78" s="322"/>
      <c r="J78" s="322"/>
      <c r="P78" s="881"/>
      <c r="AG78" s="2"/>
      <c r="AH78" s="2"/>
      <c r="AI78" s="2"/>
      <c r="AJ78" s="2"/>
      <c r="AK78" s="2"/>
      <c r="AL78" s="2"/>
      <c r="AM78" s="247"/>
      <c r="AN78" s="247"/>
      <c r="AO78" s="279"/>
      <c r="AP78" s="222"/>
      <c r="AQ78" s="247"/>
      <c r="AR78" s="247"/>
      <c r="AT78" s="280"/>
    </row>
    <row r="79" ht="15.0" customHeight="1">
      <c r="P79" s="227"/>
      <c r="AG79" s="2"/>
      <c r="AH79" s="2"/>
      <c r="AI79" s="2"/>
      <c r="AJ79" s="2"/>
      <c r="AK79" s="2"/>
      <c r="AL79" s="2"/>
      <c r="AM79" s="247"/>
      <c r="AN79" s="247"/>
      <c r="AO79" s="279"/>
      <c r="AP79" s="222"/>
      <c r="AQ79" s="247"/>
      <c r="AR79" s="247"/>
      <c r="AT79" s="280"/>
    </row>
    <row r="80">
      <c r="P80" s="227"/>
      <c r="AG80" s="2"/>
      <c r="AH80" s="2"/>
      <c r="AI80" s="2"/>
      <c r="AJ80" s="2"/>
      <c r="AK80" s="2"/>
      <c r="AL80" s="2"/>
      <c r="AM80" s="247"/>
      <c r="AN80" s="247"/>
      <c r="AO80" s="279"/>
      <c r="AP80" s="222"/>
      <c r="AQ80" s="247"/>
      <c r="AR80" s="247"/>
      <c r="AT80" s="280"/>
    </row>
    <row r="81">
      <c r="E81" s="281" t="s">
        <v>270</v>
      </c>
      <c r="P81" s="227"/>
      <c r="AG81" s="2"/>
      <c r="AH81" s="2"/>
      <c r="AI81" s="2"/>
      <c r="AJ81" s="2"/>
      <c r="AK81" s="2"/>
      <c r="AL81" s="2"/>
      <c r="AM81" s="247"/>
      <c r="AN81" s="218"/>
      <c r="AO81" s="218"/>
      <c r="AP81" s="218"/>
      <c r="AQ81" s="218"/>
      <c r="AR81" s="247"/>
      <c r="AT81" s="280"/>
    </row>
    <row r="82">
      <c r="A82" s="207"/>
      <c r="B82" s="2"/>
      <c r="C82" s="2"/>
      <c r="E82" s="324" t="s">
        <v>272</v>
      </c>
      <c r="F82" s="325" t="s">
        <v>273</v>
      </c>
      <c r="G82" s="326"/>
      <c r="H82" s="327"/>
      <c r="I82" s="325" t="s">
        <v>274</v>
      </c>
      <c r="J82" s="326"/>
      <c r="K82" s="326"/>
      <c r="L82" s="326"/>
      <c r="M82" s="326"/>
      <c r="N82" s="327"/>
      <c r="O82" s="328" t="s">
        <v>275</v>
      </c>
      <c r="P82" s="329" t="s">
        <v>276</v>
      </c>
      <c r="Q82" s="330" t="s">
        <v>277</v>
      </c>
      <c r="AM82" s="222"/>
      <c r="AO82" s="222"/>
      <c r="AP82" s="222"/>
      <c r="AQ82" s="222"/>
      <c r="AR82" s="247"/>
      <c r="AT82" s="280"/>
    </row>
    <row r="83">
      <c r="A83" s="207"/>
      <c r="B83" s="2"/>
      <c r="C83" s="2"/>
      <c r="D83" s="2"/>
      <c r="E83" s="333" t="s">
        <v>279</v>
      </c>
      <c r="F83" s="334" t="s">
        <v>280</v>
      </c>
      <c r="G83" s="335"/>
      <c r="H83" s="336" t="s">
        <v>281</v>
      </c>
      <c r="I83" s="336" t="s">
        <v>282</v>
      </c>
      <c r="J83" s="336"/>
      <c r="K83" s="337" t="s">
        <v>104</v>
      </c>
      <c r="L83" s="337" t="s">
        <v>102</v>
      </c>
      <c r="M83" s="336" t="s">
        <v>178</v>
      </c>
      <c r="N83" s="336" t="s">
        <v>283</v>
      </c>
      <c r="O83" s="338" t="s">
        <v>125</v>
      </c>
      <c r="P83" s="339"/>
      <c r="Q83" s="337" t="b">
        <v>0</v>
      </c>
      <c r="AM83" s="222"/>
      <c r="AO83" s="218"/>
      <c r="AP83" s="218"/>
      <c r="AQ83" s="218"/>
      <c r="AR83" s="247"/>
      <c r="AT83" s="280"/>
    </row>
    <row r="84">
      <c r="A84" s="207"/>
      <c r="B84" s="2"/>
      <c r="C84" s="2"/>
      <c r="D84" s="2"/>
      <c r="E84" s="341"/>
      <c r="F84" s="342"/>
      <c r="G84" s="343"/>
      <c r="H84" s="344" t="s">
        <v>285</v>
      </c>
      <c r="I84" s="345" t="s">
        <v>282</v>
      </c>
      <c r="J84" s="346"/>
      <c r="K84" s="345">
        <f t="shared" ref="K84:M84" si="10">PARAMS(K83)</f>
        <v>4096</v>
      </c>
      <c r="L84" s="345">
        <f t="shared" si="10"/>
        <v>1</v>
      </c>
      <c r="M84" s="345">
        <f t="shared" si="10"/>
        <v>7168</v>
      </c>
      <c r="N84" s="345" t="s">
        <v>283</v>
      </c>
      <c r="O84" s="347"/>
      <c r="P84" s="348">
        <f>SIZEOF_IN_MIB(J84:M84, $O83)</f>
        <v>28</v>
      </c>
      <c r="Q84" s="344" t="b">
        <v>0</v>
      </c>
      <c r="AM84" s="222"/>
      <c r="AN84" s="218"/>
      <c r="AO84" s="222"/>
      <c r="AP84" s="222"/>
      <c r="AQ84" s="218"/>
      <c r="AR84" s="247"/>
      <c r="AT84" s="280"/>
    </row>
    <row r="85">
      <c r="A85" s="207"/>
      <c r="B85" s="2"/>
      <c r="C85" s="2"/>
      <c r="D85" s="2"/>
      <c r="E85" s="341"/>
      <c r="F85" s="342"/>
      <c r="G85" s="343"/>
      <c r="H85" s="349" t="s">
        <v>287</v>
      </c>
      <c r="I85" s="349" t="s">
        <v>282</v>
      </c>
      <c r="J85" s="336"/>
      <c r="K85" s="337" t="s">
        <v>96</v>
      </c>
      <c r="L85" s="337"/>
      <c r="M85" s="337" t="s">
        <v>97</v>
      </c>
      <c r="N85" s="349" t="s">
        <v>283</v>
      </c>
      <c r="O85" s="350"/>
      <c r="P85" s="351"/>
      <c r="Q85" s="337" t="b">
        <v>0</v>
      </c>
      <c r="AM85" s="222"/>
      <c r="AN85" s="218"/>
      <c r="AO85" s="218"/>
      <c r="AP85" s="218"/>
      <c r="AQ85" s="218"/>
      <c r="AR85" s="247"/>
      <c r="AT85" s="280"/>
    </row>
    <row r="86">
      <c r="A86" s="207"/>
      <c r="B86" s="2"/>
      <c r="C86" s="2"/>
      <c r="D86" s="2"/>
      <c r="E86" s="352"/>
      <c r="F86" s="353"/>
      <c r="G86" s="354"/>
      <c r="H86" s="344" t="s">
        <v>289</v>
      </c>
      <c r="I86" s="346" t="s">
        <v>282</v>
      </c>
      <c r="J86" s="345"/>
      <c r="K86" s="346">
        <f t="shared" ref="K86:M86" si="11">K84/SHARDING(K85)</f>
        <v>512</v>
      </c>
      <c r="L86" s="346">
        <f t="shared" si="11"/>
        <v>1</v>
      </c>
      <c r="M86" s="346">
        <f t="shared" si="11"/>
        <v>3584</v>
      </c>
      <c r="N86" s="346" t="s">
        <v>283</v>
      </c>
      <c r="O86" s="355"/>
      <c r="P86" s="348">
        <f>SIZEOF_IN_MIB(J86:M86, $O83)</f>
        <v>1.75</v>
      </c>
      <c r="Q86" s="344" t="b">
        <v>0</v>
      </c>
      <c r="AG86" s="181"/>
      <c r="AK86" s="280"/>
      <c r="AM86" s="222"/>
      <c r="AN86" s="218"/>
      <c r="AO86" s="218"/>
      <c r="AP86" s="218"/>
      <c r="AQ86" s="218"/>
      <c r="AR86" s="247"/>
      <c r="AT86" s="280"/>
    </row>
    <row r="87">
      <c r="A87" s="207"/>
      <c r="B87" s="2"/>
      <c r="C87" s="2"/>
      <c r="D87" s="2"/>
      <c r="E87" s="333" t="s">
        <v>291</v>
      </c>
      <c r="F87" s="357" t="s">
        <v>292</v>
      </c>
      <c r="G87" s="335"/>
      <c r="H87" s="336" t="s">
        <v>281</v>
      </c>
      <c r="I87" s="336" t="s">
        <v>282</v>
      </c>
      <c r="J87" s="336"/>
      <c r="K87" s="337" t="s">
        <v>104</v>
      </c>
      <c r="L87" s="337" t="s">
        <v>102</v>
      </c>
      <c r="M87" s="358" t="s">
        <v>178</v>
      </c>
      <c r="N87" s="336" t="s">
        <v>283</v>
      </c>
      <c r="O87" s="338" t="s">
        <v>125</v>
      </c>
      <c r="P87" s="339"/>
      <c r="Q87" s="338" t="b">
        <v>0</v>
      </c>
      <c r="AG87" s="181"/>
      <c r="AK87" s="306"/>
      <c r="AL87" s="307"/>
      <c r="AM87" s="247"/>
      <c r="AN87" s="218"/>
      <c r="AO87" s="218"/>
      <c r="AP87" s="218"/>
      <c r="AQ87" s="218"/>
      <c r="AR87" s="247"/>
      <c r="AT87" s="280"/>
    </row>
    <row r="88">
      <c r="A88" s="2"/>
      <c r="B88" s="2"/>
      <c r="C88" s="2"/>
      <c r="D88" s="2"/>
      <c r="E88" s="341"/>
      <c r="F88" s="342"/>
      <c r="G88" s="343"/>
      <c r="H88" s="344" t="s">
        <v>285</v>
      </c>
      <c r="I88" s="345" t="s">
        <v>282</v>
      </c>
      <c r="J88" s="346"/>
      <c r="K88" s="345">
        <f t="shared" ref="K88:M88" si="12">PARAMS(K87)</f>
        <v>4096</v>
      </c>
      <c r="L88" s="345">
        <f t="shared" si="12"/>
        <v>1</v>
      </c>
      <c r="M88" s="345">
        <f t="shared" si="12"/>
        <v>7168</v>
      </c>
      <c r="N88" s="345" t="s">
        <v>283</v>
      </c>
      <c r="O88" s="347"/>
      <c r="P88" s="348">
        <f>SIZEOF_IN_MIB(J88:M88, $O87)</f>
        <v>28</v>
      </c>
      <c r="Q88" s="347"/>
      <c r="AG88" s="181"/>
      <c r="AM88" s="2"/>
      <c r="AR88" s="2"/>
    </row>
    <row r="89">
      <c r="A89" s="161"/>
      <c r="B89" s="161"/>
      <c r="C89" s="161"/>
      <c r="D89" s="161"/>
      <c r="E89" s="341"/>
      <c r="F89" s="342"/>
      <c r="G89" s="343"/>
      <c r="H89" s="349" t="s">
        <v>287</v>
      </c>
      <c r="I89" s="349" t="s">
        <v>282</v>
      </c>
      <c r="J89" s="336"/>
      <c r="K89" s="337" t="s">
        <v>196</v>
      </c>
      <c r="L89" s="337"/>
      <c r="M89" s="349"/>
      <c r="N89" s="349" t="s">
        <v>283</v>
      </c>
      <c r="O89" s="350"/>
      <c r="P89" s="351"/>
      <c r="Q89" s="350"/>
    </row>
    <row r="90">
      <c r="A90" s="161"/>
      <c r="B90" s="161"/>
      <c r="C90" s="161"/>
      <c r="D90" s="161"/>
      <c r="E90" s="341"/>
      <c r="F90" s="353"/>
      <c r="G90" s="354"/>
      <c r="H90" s="344" t="s">
        <v>289</v>
      </c>
      <c r="I90" s="346" t="s">
        <v>282</v>
      </c>
      <c r="J90" s="345"/>
      <c r="K90" s="346">
        <f t="shared" ref="K90:M90" si="13">K88/SHARDING(K89)</f>
        <v>256</v>
      </c>
      <c r="L90" s="346">
        <f t="shared" si="13"/>
        <v>1</v>
      </c>
      <c r="M90" s="346">
        <f t="shared" si="13"/>
        <v>7168</v>
      </c>
      <c r="N90" s="346" t="s">
        <v>283</v>
      </c>
      <c r="O90" s="355"/>
      <c r="P90" s="348">
        <f>SIZEOF_IN_MIB(J90:M90, $O87)</f>
        <v>1.75</v>
      </c>
      <c r="Q90" s="355"/>
      <c r="AG90" s="181"/>
    </row>
    <row r="91">
      <c r="A91" s="161"/>
      <c r="B91" s="161"/>
      <c r="C91" s="161"/>
      <c r="D91" s="161"/>
      <c r="E91" s="341"/>
      <c r="F91" s="334" t="s">
        <v>296</v>
      </c>
      <c r="G91" s="335"/>
      <c r="H91" s="349" t="s">
        <v>281</v>
      </c>
      <c r="I91" s="349" t="s">
        <v>282</v>
      </c>
      <c r="J91" s="336"/>
      <c r="K91" s="336"/>
      <c r="L91" s="360" t="s">
        <v>178</v>
      </c>
      <c r="M91" s="337" t="s">
        <v>195</v>
      </c>
      <c r="N91" s="349" t="s">
        <v>283</v>
      </c>
      <c r="O91" s="338" t="s">
        <v>125</v>
      </c>
      <c r="P91" s="351"/>
      <c r="Q91" s="338" t="b">
        <v>0</v>
      </c>
      <c r="AP91" s="218"/>
      <c r="AQ91" s="218"/>
      <c r="AT91" s="228"/>
    </row>
    <row r="92">
      <c r="A92" s="161"/>
      <c r="B92" s="161"/>
      <c r="C92" s="161"/>
      <c r="D92" s="161"/>
      <c r="E92" s="341"/>
      <c r="F92" s="342"/>
      <c r="G92" s="343"/>
      <c r="H92" s="344" t="s">
        <v>285</v>
      </c>
      <c r="I92" s="346" t="s">
        <v>282</v>
      </c>
      <c r="J92" s="345"/>
      <c r="K92" s="345"/>
      <c r="L92" s="346">
        <f t="shared" ref="L92:M92" si="14">PARAMS(L91)</f>
        <v>7168</v>
      </c>
      <c r="M92" s="346">
        <f t="shared" si="14"/>
        <v>1536</v>
      </c>
      <c r="N92" s="346" t="s">
        <v>283</v>
      </c>
      <c r="O92" s="347"/>
      <c r="P92" s="348">
        <f>SIZEOF_IN_MIB(J92:M92, $O91)</f>
        <v>10.5</v>
      </c>
      <c r="Q92" s="347"/>
      <c r="AP92" s="222"/>
    </row>
    <row r="93">
      <c r="A93" s="161"/>
      <c r="B93" s="161"/>
      <c r="C93" s="161"/>
      <c r="D93" s="161"/>
      <c r="E93" s="341"/>
      <c r="F93" s="342"/>
      <c r="G93" s="343"/>
      <c r="H93" s="349" t="s">
        <v>287</v>
      </c>
      <c r="I93" s="349" t="s">
        <v>282</v>
      </c>
      <c r="J93" s="336"/>
      <c r="K93" s="336"/>
      <c r="L93" s="349"/>
      <c r="M93" s="349"/>
      <c r="N93" s="349" t="s">
        <v>283</v>
      </c>
      <c r="O93" s="350"/>
      <c r="P93" s="351"/>
      <c r="Q93" s="350"/>
      <c r="AP93" s="218"/>
      <c r="AQ93" s="218"/>
      <c r="AT93" s="228"/>
    </row>
    <row r="94">
      <c r="A94" s="161"/>
      <c r="B94" s="161"/>
      <c r="C94" s="161"/>
      <c r="D94" s="161"/>
      <c r="E94" s="341"/>
      <c r="F94" s="353"/>
      <c r="G94" s="354"/>
      <c r="H94" s="346" t="s">
        <v>289</v>
      </c>
      <c r="I94" s="346" t="s">
        <v>282</v>
      </c>
      <c r="J94" s="345"/>
      <c r="K94" s="345"/>
      <c r="L94" s="346">
        <f t="shared" ref="L94:M94" si="15">L92/SHARDING(L93)</f>
        <v>7168</v>
      </c>
      <c r="M94" s="346">
        <f t="shared" si="15"/>
        <v>1536</v>
      </c>
      <c r="N94" s="346" t="s">
        <v>283</v>
      </c>
      <c r="O94" s="355"/>
      <c r="P94" s="348">
        <f>SIZEOF_IN_MIB(J94:M94, $O91)</f>
        <v>10.5</v>
      </c>
      <c r="Q94" s="355"/>
    </row>
    <row r="95">
      <c r="A95" s="161"/>
      <c r="B95" s="161"/>
      <c r="C95" s="161"/>
      <c r="D95" s="161"/>
      <c r="E95" s="341"/>
      <c r="F95" s="334" t="s">
        <v>56</v>
      </c>
      <c r="G95" s="335"/>
      <c r="H95" s="363" t="s">
        <v>281</v>
      </c>
      <c r="I95" s="363" t="s">
        <v>282</v>
      </c>
      <c r="J95" s="364"/>
      <c r="K95" s="273" t="s">
        <v>104</v>
      </c>
      <c r="L95" s="273" t="s">
        <v>102</v>
      </c>
      <c r="M95" s="273" t="s">
        <v>195</v>
      </c>
      <c r="N95" s="363" t="s">
        <v>283</v>
      </c>
      <c r="O95" s="365" t="s">
        <v>133</v>
      </c>
      <c r="P95" s="366"/>
      <c r="Q95" s="365" t="b">
        <v>0</v>
      </c>
    </row>
    <row r="96">
      <c r="A96" s="161"/>
      <c r="B96" s="161"/>
      <c r="C96" s="161"/>
      <c r="D96" s="161"/>
      <c r="E96" s="341"/>
      <c r="F96" s="342"/>
      <c r="G96" s="343"/>
      <c r="H96" s="273" t="s">
        <v>285</v>
      </c>
      <c r="I96" s="363" t="s">
        <v>282</v>
      </c>
      <c r="J96" s="364"/>
      <c r="K96" s="363">
        <f t="shared" ref="K96:M96" si="16">PARAMS(K95)</f>
        <v>4096</v>
      </c>
      <c r="L96" s="364">
        <f t="shared" si="16"/>
        <v>1</v>
      </c>
      <c r="M96" s="363">
        <f t="shared" si="16"/>
        <v>1536</v>
      </c>
      <c r="N96" s="363" t="s">
        <v>283</v>
      </c>
      <c r="O96" s="341"/>
      <c r="P96" s="366">
        <f>SIZEOF_IN_MIB(K96:M96, $O95)</f>
        <v>12</v>
      </c>
      <c r="Q96" s="341"/>
    </row>
    <row r="97">
      <c r="A97" s="161"/>
      <c r="B97" s="161"/>
      <c r="C97" s="161"/>
      <c r="D97" s="161"/>
      <c r="E97" s="341"/>
      <c r="F97" s="342"/>
      <c r="G97" s="343"/>
      <c r="H97" s="363" t="s">
        <v>287</v>
      </c>
      <c r="I97" s="363" t="s">
        <v>282</v>
      </c>
      <c r="J97" s="364"/>
      <c r="K97" s="273" t="s">
        <v>196</v>
      </c>
      <c r="L97" s="273"/>
      <c r="M97" s="363"/>
      <c r="N97" s="363" t="s">
        <v>283</v>
      </c>
      <c r="O97" s="341"/>
      <c r="P97" s="366"/>
      <c r="Q97" s="341"/>
    </row>
    <row r="98">
      <c r="A98" s="161"/>
      <c r="B98" s="161"/>
      <c r="C98" s="161"/>
      <c r="D98" s="161"/>
      <c r="E98" s="341"/>
      <c r="F98" s="353"/>
      <c r="G98" s="354"/>
      <c r="H98" s="363" t="s">
        <v>289</v>
      </c>
      <c r="I98" s="363" t="s">
        <v>282</v>
      </c>
      <c r="J98" s="364"/>
      <c r="K98" s="363">
        <f t="shared" ref="K98:M98" si="17">K96/SHARDING(K97)</f>
        <v>256</v>
      </c>
      <c r="L98" s="363">
        <f t="shared" si="17"/>
        <v>1</v>
      </c>
      <c r="M98" s="363">
        <f t="shared" si="17"/>
        <v>1536</v>
      </c>
      <c r="N98" s="363" t="s">
        <v>283</v>
      </c>
      <c r="O98" s="352"/>
      <c r="P98" s="366">
        <f>SIZEOF_IN_MIB(K98:M98, $O95)</f>
        <v>0.75</v>
      </c>
      <c r="Q98" s="352"/>
    </row>
    <row r="99">
      <c r="A99" s="161"/>
      <c r="B99" s="161"/>
      <c r="C99" s="161"/>
      <c r="E99" s="341"/>
      <c r="F99" s="370" t="s">
        <v>300</v>
      </c>
      <c r="G99" s="371" t="s">
        <v>301</v>
      </c>
      <c r="H99" s="372" t="s">
        <v>281</v>
      </c>
      <c r="I99" s="364" t="s">
        <v>282</v>
      </c>
      <c r="J99" s="364" t="str">
        <f t="array" ref="J99:M102">J83:M86</f>
        <v/>
      </c>
      <c r="K99" s="273" t="s">
        <v>104</v>
      </c>
      <c r="L99" s="273" t="s">
        <v>102</v>
      </c>
      <c r="M99" s="373" t="s">
        <v>178</v>
      </c>
      <c r="N99" s="364" t="s">
        <v>283</v>
      </c>
      <c r="O99" s="365" t="s">
        <v>125</v>
      </c>
      <c r="P99" s="364"/>
      <c r="Q99" s="365"/>
    </row>
    <row r="100">
      <c r="A100" s="161"/>
      <c r="B100" s="161"/>
      <c r="C100" s="161"/>
      <c r="E100" s="341"/>
      <c r="F100" s="341"/>
      <c r="G100" s="341"/>
      <c r="H100" s="374" t="s">
        <v>285</v>
      </c>
      <c r="I100" s="364" t="s">
        <v>282</v>
      </c>
      <c r="J100" s="363"/>
      <c r="K100" s="364">
        <v>4096.0</v>
      </c>
      <c r="L100" s="364">
        <v>1.0</v>
      </c>
      <c r="M100" s="364">
        <v>7168.0</v>
      </c>
      <c r="N100" s="364" t="s">
        <v>283</v>
      </c>
      <c r="O100" s="341"/>
      <c r="P100" s="375">
        <f>SIZEOF_IN_MIB(J100:M100, O99)</f>
        <v>28</v>
      </c>
      <c r="Q100" s="341"/>
    </row>
    <row r="101">
      <c r="A101" s="161"/>
      <c r="B101" s="161"/>
      <c r="C101" s="161"/>
      <c r="E101" s="341"/>
      <c r="F101" s="341"/>
      <c r="G101" s="341"/>
      <c r="H101" s="374" t="s">
        <v>302</v>
      </c>
      <c r="I101" s="363" t="s">
        <v>282</v>
      </c>
      <c r="J101" s="364"/>
      <c r="K101" s="273" t="s">
        <v>96</v>
      </c>
      <c r="L101" s="273"/>
      <c r="M101" s="273" t="s">
        <v>97</v>
      </c>
      <c r="N101" s="363" t="s">
        <v>283</v>
      </c>
      <c r="O101" s="341"/>
      <c r="P101" s="375"/>
      <c r="Q101" s="341"/>
    </row>
    <row r="102">
      <c r="A102" s="161"/>
      <c r="B102" s="161"/>
      <c r="C102" s="161"/>
      <c r="E102" s="341"/>
      <c r="F102" s="341"/>
      <c r="G102" s="341"/>
      <c r="H102" s="376" t="s">
        <v>303</v>
      </c>
      <c r="I102" s="349" t="s">
        <v>282</v>
      </c>
      <c r="J102" s="336"/>
      <c r="K102" s="349">
        <v>512.0</v>
      </c>
      <c r="L102" s="349">
        <v>1.0</v>
      </c>
      <c r="M102" s="349">
        <v>3584.0</v>
      </c>
      <c r="N102" s="337" t="s">
        <v>283</v>
      </c>
      <c r="O102" s="350"/>
      <c r="P102" s="377">
        <f>SIZEOF_IN_MIB(J102:M102, O99)</f>
        <v>1.75</v>
      </c>
      <c r="Q102" s="350"/>
    </row>
    <row r="103">
      <c r="A103" s="161"/>
      <c r="B103" s="161"/>
      <c r="C103" s="161"/>
      <c r="E103" s="341"/>
      <c r="F103" s="341"/>
      <c r="G103" s="352"/>
      <c r="H103" s="378" t="s">
        <v>304</v>
      </c>
      <c r="I103" s="346" t="s">
        <v>282</v>
      </c>
      <c r="J103" s="345"/>
      <c r="K103" s="344"/>
      <c r="L103" s="344"/>
      <c r="M103" s="344"/>
      <c r="N103" s="346" t="s">
        <v>283</v>
      </c>
      <c r="O103" s="355"/>
      <c r="P103" s="379"/>
      <c r="Q103" s="355"/>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0" t="s">
        <v>305</v>
      </c>
      <c r="H104" s="381"/>
      <c r="I104" s="382"/>
      <c r="J104" s="382"/>
      <c r="K104" s="382"/>
      <c r="L104" s="383"/>
      <c r="M104" s="383"/>
      <c r="N104" s="383"/>
      <c r="O104" s="382"/>
      <c r="P104" s="384"/>
      <c r="Q104" s="382"/>
      <c r="R104" s="2"/>
      <c r="S104" s="2"/>
      <c r="AG104" s="2"/>
      <c r="AH104" s="2"/>
      <c r="AI104" s="2"/>
      <c r="AJ104" s="2"/>
      <c r="AK104" s="2"/>
      <c r="AL104" s="2"/>
      <c r="AM104" s="2"/>
      <c r="AN104" s="2"/>
      <c r="AO104" s="2"/>
      <c r="AP104" s="2"/>
      <c r="AQ104" s="2"/>
      <c r="AR104" s="2"/>
      <c r="AS104" s="2"/>
      <c r="AT104" s="2"/>
    </row>
    <row r="105">
      <c r="A105" s="161"/>
      <c r="B105" s="161"/>
      <c r="C105" s="161"/>
      <c r="E105" s="341"/>
      <c r="F105" s="341"/>
      <c r="G105" s="385" t="s">
        <v>306</v>
      </c>
      <c r="H105" s="386">
        <f>SHARDING(K101)*SHARDING(L101)*SHARDING(M101)</f>
        <v>16</v>
      </c>
      <c r="I105" s="387"/>
      <c r="J105" s="387"/>
      <c r="K105" s="387"/>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85" t="s">
        <v>307</v>
      </c>
      <c r="H106" s="390">
        <f>P102 * (H105-1)</f>
        <v>26.25</v>
      </c>
      <c r="I106" s="298"/>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394" t="s">
        <v>308</v>
      </c>
      <c r="H107" s="395">
        <f>H106*H105</f>
        <v>420</v>
      </c>
      <c r="I107" s="387"/>
      <c r="J107" s="379"/>
      <c r="K107" s="379"/>
      <c r="L107" s="388"/>
      <c r="M107" s="388"/>
      <c r="N107" s="388"/>
      <c r="O107" s="387"/>
      <c r="P107" s="389"/>
      <c r="Q107" s="387"/>
      <c r="R107" s="2"/>
      <c r="S107" s="2"/>
      <c r="AG107" s="2"/>
      <c r="AH107" s="2"/>
      <c r="AI107" s="2"/>
      <c r="AJ107" s="2"/>
      <c r="AK107" s="2"/>
      <c r="AL107" s="2"/>
      <c r="AM107" s="2"/>
      <c r="AN107" s="2"/>
      <c r="AO107" s="2"/>
      <c r="AP107" s="2"/>
      <c r="AQ107" s="2"/>
      <c r="AR107" s="2"/>
      <c r="AS107" s="2"/>
      <c r="AT107" s="2"/>
    </row>
    <row r="108">
      <c r="A108" s="161"/>
      <c r="B108" s="161"/>
      <c r="C108" s="161"/>
      <c r="E108" s="341"/>
      <c r="F108" s="341"/>
      <c r="G108" s="396" t="s">
        <v>309</v>
      </c>
      <c r="H108" s="397" t="str">
        <f>IFS(H105=8,12,
H105=4,4,
H105=2,1,
H105=1,0,
TRUE,NA())</f>
        <v>#N/A</v>
      </c>
      <c r="I108" s="391"/>
      <c r="J108" s="391"/>
      <c r="K108" s="391"/>
      <c r="L108" s="392"/>
      <c r="M108" s="392"/>
      <c r="N108" s="392"/>
      <c r="O108" s="391"/>
      <c r="P108" s="393"/>
      <c r="Q108" s="391"/>
      <c r="R108" s="2"/>
      <c r="S108" s="2"/>
      <c r="AG108" s="2"/>
      <c r="AH108" s="2"/>
      <c r="AI108" s="2"/>
      <c r="AJ108" s="2"/>
      <c r="AK108" s="2"/>
      <c r="AL108" s="2"/>
      <c r="AM108" s="2"/>
      <c r="AN108" s="2"/>
      <c r="AO108" s="2"/>
      <c r="AP108" s="2"/>
      <c r="AQ108" s="2"/>
      <c r="AR108" s="2"/>
      <c r="AS108" s="2"/>
      <c r="AT108" s="2"/>
    </row>
    <row r="109">
      <c r="A109" s="161"/>
      <c r="B109" s="161"/>
      <c r="C109" s="161"/>
      <c r="E109" s="341"/>
      <c r="F109" s="341"/>
      <c r="G109" s="9" t="s">
        <v>310</v>
      </c>
      <c r="H109" s="398">
        <v>1.0</v>
      </c>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402" t="s">
        <v>311</v>
      </c>
      <c r="H110" s="403" t="str">
        <f>ALL_GATHER_CHIP2CHIP_TIME_MS2(H107 * H109, H108)</f>
        <v>#N/A</v>
      </c>
      <c r="I110" s="404"/>
      <c r="J110" s="404"/>
      <c r="K110" s="404"/>
      <c r="L110" s="405"/>
      <c r="M110" s="405"/>
      <c r="N110" s="405"/>
      <c r="O110" s="404"/>
      <c r="P110" s="406"/>
      <c r="Q110" s="404"/>
      <c r="R110" s="2"/>
      <c r="S110" s="2"/>
      <c r="AG110" s="2"/>
      <c r="AH110" s="2"/>
      <c r="AI110" s="2"/>
      <c r="AJ110" s="2"/>
      <c r="AK110" s="2"/>
      <c r="AL110" s="2"/>
      <c r="AM110" s="2"/>
      <c r="AN110" s="2"/>
      <c r="AO110" s="2"/>
      <c r="AP110" s="2"/>
      <c r="AQ110" s="2"/>
      <c r="AR110" s="2"/>
      <c r="AS110" s="2"/>
      <c r="AT110" s="2"/>
    </row>
    <row r="111">
      <c r="A111" s="161"/>
      <c r="B111" s="161"/>
      <c r="C111" s="161"/>
      <c r="E111" s="341"/>
      <c r="F111" s="341"/>
      <c r="G111" s="394"/>
      <c r="H111" s="407"/>
      <c r="I111" s="399"/>
      <c r="J111" s="399"/>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80" t="s">
        <v>312</v>
      </c>
      <c r="H112" s="381"/>
      <c r="I112" s="382"/>
      <c r="J112" s="382"/>
      <c r="K112" s="382"/>
      <c r="L112" s="383"/>
      <c r="M112" s="383"/>
      <c r="N112" s="383"/>
      <c r="O112" s="382"/>
      <c r="P112" s="384"/>
      <c r="Q112" s="382"/>
      <c r="R112" s="2"/>
      <c r="S112" s="2"/>
      <c r="AG112" s="2"/>
      <c r="AH112" s="2"/>
      <c r="AI112" s="2"/>
      <c r="AJ112" s="2"/>
      <c r="AK112" s="2"/>
      <c r="AL112" s="2"/>
      <c r="AM112" s="2"/>
      <c r="AN112" s="2"/>
      <c r="AO112" s="2"/>
      <c r="AP112" s="2"/>
      <c r="AQ112" s="2"/>
      <c r="AR112" s="2"/>
      <c r="AS112" s="2"/>
      <c r="AT112" s="2"/>
    </row>
    <row r="113">
      <c r="A113" s="161"/>
      <c r="B113" s="161"/>
      <c r="C113" s="161"/>
      <c r="E113" s="341"/>
      <c r="F113" s="341"/>
      <c r="G113" s="408" t="s">
        <v>313</v>
      </c>
      <c r="H113" s="409" t="s">
        <v>306</v>
      </c>
      <c r="I113" s="379"/>
      <c r="J113" s="410">
        <f>SHARDING(K101)*SHARDING(L101)*SHARDING(M101)/HW_SPEC("# of TensorCore per Chip")</f>
        <v>8</v>
      </c>
      <c r="K113" s="399"/>
      <c r="L113" s="400"/>
      <c r="M113" s="400"/>
      <c r="N113" s="400"/>
      <c r="O113" s="399"/>
      <c r="P113" s="401"/>
      <c r="Q113" s="399"/>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85" t="s">
        <v>307</v>
      </c>
      <c r="I114" s="11"/>
      <c r="J114" s="411">
        <f>P102 * HW_SPEC("# of TensorCore per Chip") * (J113-1)</f>
        <v>24.5</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4" t="s">
        <v>308</v>
      </c>
      <c r="I115" s="11"/>
      <c r="J115" s="411">
        <f>J114*J113</f>
        <v>196</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309</v>
      </c>
      <c r="I116" s="11"/>
      <c r="J116" s="415">
        <f>IFS(J113=8,12,
J113=4,4,
J113=2,1,
J113=1,0,
TRUE,NA())</f>
        <v>12</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341"/>
      <c r="H117" s="9" t="s">
        <v>310</v>
      </c>
      <c r="I117" s="11"/>
      <c r="J117" s="416">
        <v>2.0</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52"/>
      <c r="H118" s="385" t="s">
        <v>311</v>
      </c>
      <c r="I118" s="11"/>
      <c r="J118" s="417">
        <f>ALL_GATHER_CHIP2CHIP_TIME_MS2(J115 * J117, J116)</f>
        <v>0.1993815104</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408" t="s">
        <v>314</v>
      </c>
      <c r="H119" s="396" t="s">
        <v>306</v>
      </c>
      <c r="I119" s="418"/>
      <c r="J119" s="419">
        <f>HW_SPEC("# of TensorCore per Chip")</f>
        <v>2</v>
      </c>
      <c r="K119" s="412"/>
      <c r="L119" s="413"/>
      <c r="M119" s="413"/>
      <c r="N119" s="413"/>
      <c r="O119" s="412"/>
      <c r="P119" s="414"/>
      <c r="Q119" s="412"/>
      <c r="R119" s="2"/>
      <c r="S119" s="2"/>
      <c r="AG119" s="2"/>
      <c r="AH119" s="2"/>
      <c r="AI119" s="2"/>
      <c r="AJ119" s="2"/>
      <c r="AK119" s="2"/>
      <c r="AL119" s="2"/>
      <c r="AM119" s="2"/>
      <c r="AN119" s="2"/>
      <c r="AO119" s="2"/>
      <c r="AP119" s="2"/>
      <c r="AQ119" s="2"/>
      <c r="AR119" s="2"/>
      <c r="AS119" s="2"/>
      <c r="AT119" s="2"/>
    </row>
    <row r="120">
      <c r="A120" s="161"/>
      <c r="B120" s="161"/>
      <c r="C120" s="161"/>
      <c r="E120" s="341"/>
      <c r="F120" s="341"/>
      <c r="G120" s="341"/>
      <c r="H120" s="396" t="s">
        <v>307</v>
      </c>
      <c r="I120" s="418"/>
      <c r="J120" s="411">
        <f>P86 / J119 * (J119-1)</f>
        <v>0.875</v>
      </c>
      <c r="K120" s="412"/>
      <c r="L120" s="413"/>
      <c r="M120" s="413"/>
      <c r="N120" s="413"/>
      <c r="O120" s="412"/>
      <c r="P120" s="414"/>
      <c r="Q120" s="412"/>
      <c r="R120" s="2"/>
      <c r="S120" s="2"/>
      <c r="AG120" s="2"/>
      <c r="AH120" s="2"/>
      <c r="AI120" s="2"/>
      <c r="AJ120" s="2"/>
      <c r="AK120" s="2"/>
      <c r="AL120" s="2"/>
      <c r="AM120" s="2"/>
      <c r="AN120" s="2"/>
      <c r="AO120" s="2"/>
      <c r="AP120" s="2"/>
      <c r="AQ120" s="2"/>
      <c r="AR120" s="2"/>
      <c r="AS120" s="2"/>
      <c r="AT120" s="2"/>
    </row>
    <row r="121">
      <c r="A121" s="161"/>
      <c r="B121" s="161"/>
      <c r="C121" s="161"/>
      <c r="E121" s="341"/>
      <c r="F121" s="341"/>
      <c r="G121" s="341"/>
      <c r="H121" s="396" t="s">
        <v>308</v>
      </c>
      <c r="I121" s="418"/>
      <c r="J121" s="411">
        <f>J120*J119</f>
        <v>1.75</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341"/>
      <c r="H122" s="396" t="s">
        <v>311</v>
      </c>
      <c r="I122" s="418"/>
      <c r="J122" s="421">
        <f>ALL_GATHER_CORE2CORE_TIME_MS(J121)</f>
        <v>0.001424153646</v>
      </c>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52"/>
      <c r="H123" s="394" t="s">
        <v>315</v>
      </c>
      <c r="I123" s="11"/>
      <c r="J123" s="421">
        <f>J122/J113</f>
        <v>0.0001780192057</v>
      </c>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02" t="s">
        <v>316</v>
      </c>
      <c r="H124" s="422">
        <f>J118+J123</f>
        <v>0.1995595296</v>
      </c>
      <c r="I124" s="11"/>
      <c r="J124" s="417"/>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94"/>
      <c r="H125" s="422"/>
      <c r="I125" s="11"/>
      <c r="J125" s="417"/>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43" t="s">
        <v>322</v>
      </c>
      <c r="H126" s="882" t="s">
        <v>312</v>
      </c>
      <c r="I126" s="445"/>
      <c r="J126" s="445"/>
      <c r="K126" s="382"/>
      <c r="L126" s="383"/>
      <c r="M126" s="383"/>
      <c r="N126" s="383"/>
      <c r="O126" s="382"/>
      <c r="P126" s="384"/>
      <c r="Q126" s="382"/>
      <c r="R126" s="420"/>
      <c r="S126" s="420"/>
      <c r="AG126" s="2"/>
      <c r="AH126" s="2"/>
      <c r="AI126" s="2"/>
      <c r="AJ126" s="2"/>
      <c r="AK126" s="2"/>
      <c r="AL126" s="2"/>
      <c r="AM126" s="2"/>
      <c r="AN126" s="2"/>
      <c r="AO126" s="2"/>
      <c r="AP126" s="2"/>
      <c r="AQ126" s="2"/>
      <c r="AR126" s="2"/>
      <c r="AS126" s="2"/>
      <c r="AT126" s="2"/>
    </row>
    <row r="127">
      <c r="A127" s="161"/>
      <c r="B127" s="161"/>
      <c r="C127" s="161"/>
      <c r="E127" s="341"/>
      <c r="F127" s="352"/>
      <c r="G127" s="446" t="s">
        <v>340</v>
      </c>
      <c r="H127" s="447">
        <f>IFS(H126=G104,H110,
H126=G112,H124 ,
TRUE,0)</f>
        <v>0.1995595296</v>
      </c>
      <c r="I127" s="448"/>
      <c r="J127" s="448"/>
      <c r="K127" s="448"/>
      <c r="L127" s="449"/>
      <c r="M127" s="449"/>
      <c r="N127" s="449"/>
      <c r="O127" s="450"/>
      <c r="P127" s="451"/>
      <c r="Q127" s="450"/>
      <c r="AG127" s="2"/>
      <c r="AH127" s="2"/>
      <c r="AI127" s="2"/>
      <c r="AJ127" s="2"/>
      <c r="AK127" s="2"/>
      <c r="AL127" s="2"/>
      <c r="AM127" s="2"/>
      <c r="AN127" s="2"/>
      <c r="AO127" s="2"/>
      <c r="AP127" s="2"/>
      <c r="AQ127" s="2"/>
      <c r="AR127" s="2"/>
      <c r="AS127" s="2"/>
      <c r="AT127" s="2"/>
    </row>
    <row r="128">
      <c r="A128" s="161"/>
      <c r="B128" s="161"/>
      <c r="C128" s="161"/>
      <c r="E128" s="341"/>
      <c r="F128" s="458" t="s">
        <v>327</v>
      </c>
      <c r="G128" s="459" t="s">
        <v>328</v>
      </c>
      <c r="H128" s="455" t="str">
        <f>VLOOKUP(O87&amp;","&amp;O91,$T$2:$W$11,4, FALSE)</f>
        <v>fp8</v>
      </c>
      <c r="I128" s="460"/>
      <c r="J128" s="454"/>
      <c r="K128" s="454"/>
      <c r="L128" s="455"/>
      <c r="M128" s="455"/>
      <c r="N128" s="455"/>
      <c r="O128" s="454"/>
      <c r="P128" s="457"/>
      <c r="Q128" s="11"/>
      <c r="AG128" s="2"/>
      <c r="AH128" s="2"/>
      <c r="AI128" s="2"/>
      <c r="AJ128" s="2"/>
      <c r="AK128" s="2"/>
      <c r="AL128" s="2"/>
      <c r="AM128" s="2"/>
      <c r="AN128" s="2"/>
      <c r="AO128" s="2"/>
      <c r="AP128" s="2"/>
      <c r="AQ128" s="2"/>
      <c r="AR128" s="2"/>
      <c r="AS128" s="2"/>
      <c r="AT128" s="2"/>
    </row>
    <row r="129">
      <c r="A129" s="161"/>
      <c r="B129" s="161"/>
      <c r="C129" s="161"/>
      <c r="E129" s="341"/>
      <c r="F129" s="341"/>
      <c r="G129" s="459" t="s">
        <v>329</v>
      </c>
      <c r="H129" s="461" t="str">
        <f>CALCULATE_FLOPS(J90:M90,J94:M94,L94,1,H128)</f>
        <v>#N/A</v>
      </c>
      <c r="I129" s="460"/>
      <c r="J129" s="454"/>
      <c r="K129" s="454"/>
      <c r="L129" s="455"/>
      <c r="M129" s="455"/>
      <c r="N129" s="455"/>
      <c r="O129" s="454"/>
      <c r="P129" s="457"/>
      <c r="Q129" s="11"/>
      <c r="AG129" s="2"/>
      <c r="AH129" s="2"/>
      <c r="AI129" s="2"/>
      <c r="AJ129" s="2"/>
      <c r="AK129" s="2"/>
      <c r="AL129" s="2"/>
      <c r="AM129" s="2"/>
      <c r="AN129" s="2"/>
      <c r="AO129" s="2"/>
      <c r="AP129" s="2"/>
      <c r="AQ129" s="2"/>
      <c r="AR129" s="2"/>
      <c r="AS129" s="2"/>
      <c r="AT129" s="2"/>
    </row>
    <row r="130">
      <c r="A130" s="161"/>
      <c r="B130" s="161"/>
      <c r="C130" s="161"/>
      <c r="E130" s="341"/>
      <c r="F130" s="352"/>
      <c r="G130" s="462" t="s">
        <v>330</v>
      </c>
      <c r="H130" s="463" t="str">
        <f>COMPUTE_TIME_MS(H129, H128)</f>
        <v>#N/A</v>
      </c>
      <c r="I130" s="464"/>
      <c r="J130" s="465"/>
      <c r="K130" s="465"/>
      <c r="L130" s="466"/>
      <c r="M130" s="466"/>
      <c r="N130" s="466"/>
      <c r="O130" s="465"/>
      <c r="P130" s="467"/>
      <c r="Q130" s="11"/>
      <c r="AG130" s="2"/>
      <c r="AH130" s="2"/>
      <c r="AI130" s="2"/>
      <c r="AJ130" s="2"/>
      <c r="AK130" s="2"/>
      <c r="AL130" s="2"/>
      <c r="AM130" s="2"/>
      <c r="AN130" s="2"/>
      <c r="AO130" s="2"/>
      <c r="AP130" s="2"/>
      <c r="AQ130" s="2"/>
      <c r="AR130" s="2"/>
      <c r="AS130" s="2"/>
      <c r="AT130" s="2"/>
    </row>
    <row r="131">
      <c r="A131" s="161"/>
      <c r="B131" s="161"/>
      <c r="C131" s="161"/>
      <c r="E131" s="341"/>
      <c r="F131" s="458" t="s">
        <v>331</v>
      </c>
      <c r="G131" s="455" t="s">
        <v>332</v>
      </c>
      <c r="H131" s="468">
        <f>IF(Q87,0,P90)+IF(Q91,0,P94)+IF(Q95,0,P98)</f>
        <v>13</v>
      </c>
      <c r="I131" s="454"/>
      <c r="J131" s="454"/>
      <c r="K131" s="454"/>
      <c r="L131" s="455"/>
      <c r="M131" s="455"/>
      <c r="N131" s="455"/>
      <c r="O131" s="454"/>
      <c r="P131" s="457"/>
      <c r="Q131" s="11"/>
      <c r="AG131" s="2"/>
      <c r="AH131" s="2"/>
      <c r="AI131" s="2"/>
      <c r="AJ131" s="2"/>
      <c r="AK131" s="2"/>
      <c r="AL131" s="2"/>
      <c r="AM131" s="2"/>
      <c r="AN131" s="2"/>
      <c r="AO131" s="2"/>
      <c r="AP131" s="2"/>
      <c r="AQ131" s="2"/>
      <c r="AR131" s="2"/>
      <c r="AS131" s="2"/>
      <c r="AT131" s="2"/>
    </row>
    <row r="132">
      <c r="A132" s="161"/>
      <c r="B132" s="161"/>
      <c r="C132" s="161"/>
      <c r="E132" s="352"/>
      <c r="F132" s="352"/>
      <c r="G132" s="469" t="s">
        <v>333</v>
      </c>
      <c r="H132" s="470">
        <f>HBM_TIME_MS(H131)</f>
        <v>0.004338794429</v>
      </c>
      <c r="I132" s="465"/>
      <c r="J132" s="465"/>
      <c r="K132" s="465"/>
      <c r="L132" s="466"/>
      <c r="M132" s="466"/>
      <c r="N132" s="466"/>
      <c r="O132" s="465"/>
      <c r="P132" s="467"/>
      <c r="Q132" s="11"/>
      <c r="AH132" s="471"/>
      <c r="AI132" s="471"/>
      <c r="AJ132" s="471"/>
      <c r="AK132" s="2"/>
      <c r="AL132" s="2"/>
      <c r="AM132" s="2"/>
      <c r="AN132" s="2"/>
      <c r="AO132" s="2"/>
      <c r="AP132" s="2"/>
      <c r="AQ132" s="2"/>
      <c r="AR132" s="2"/>
      <c r="AS132" s="2"/>
      <c r="AT132" s="2"/>
    </row>
    <row r="133">
      <c r="E133" s="333" t="s">
        <v>334</v>
      </c>
      <c r="F133" s="357" t="s">
        <v>292</v>
      </c>
      <c r="G133" s="335"/>
      <c r="H133" s="364" t="s">
        <v>281</v>
      </c>
      <c r="I133" s="364" t="s">
        <v>282</v>
      </c>
      <c r="J133" s="364"/>
      <c r="K133" s="273" t="s">
        <v>104</v>
      </c>
      <c r="L133" s="273" t="s">
        <v>102</v>
      </c>
      <c r="M133" s="472" t="s">
        <v>195</v>
      </c>
      <c r="N133" s="364" t="s">
        <v>283</v>
      </c>
      <c r="O133" s="365" t="s">
        <v>125</v>
      </c>
      <c r="P133" s="366"/>
      <c r="Q133" s="365" t="b">
        <v>0</v>
      </c>
      <c r="R133" s="2"/>
      <c r="S133" s="2"/>
      <c r="AH133" s="471"/>
      <c r="AI133" s="471"/>
      <c r="AJ133" s="471"/>
      <c r="AK133" s="2"/>
      <c r="AL133" s="2"/>
      <c r="AM133" s="2"/>
      <c r="AN133" s="2"/>
      <c r="AO133" s="2"/>
      <c r="AP133" s="2"/>
      <c r="AQ133" s="2"/>
      <c r="AR133" s="2"/>
      <c r="AS133" s="2"/>
      <c r="AT133" s="2"/>
    </row>
    <row r="134">
      <c r="E134" s="341"/>
      <c r="F134" s="342"/>
      <c r="G134" s="343"/>
      <c r="H134" s="273" t="s">
        <v>285</v>
      </c>
      <c r="I134" s="364" t="s">
        <v>282</v>
      </c>
      <c r="J134" s="363"/>
      <c r="K134" s="363">
        <f t="shared" ref="K134:M134" si="18">PARAMS(K133)</f>
        <v>4096</v>
      </c>
      <c r="L134" s="364">
        <f t="shared" si="18"/>
        <v>1</v>
      </c>
      <c r="M134" s="364">
        <f t="shared" si="18"/>
        <v>1536</v>
      </c>
      <c r="N134" s="364" t="s">
        <v>283</v>
      </c>
      <c r="O134" s="341"/>
      <c r="P134" s="366">
        <f>SIZEOF_IN_MIB(J134:M134, $O133)</f>
        <v>6</v>
      </c>
      <c r="Q134" s="341"/>
      <c r="R134" s="2"/>
      <c r="S134" s="2"/>
      <c r="AH134" s="471"/>
      <c r="AI134" s="471"/>
      <c r="AJ134" s="471"/>
      <c r="AK134" s="2"/>
      <c r="AL134" s="2"/>
      <c r="AM134" s="2"/>
      <c r="AN134" s="2"/>
      <c r="AO134" s="2"/>
      <c r="AP134" s="2"/>
      <c r="AQ134" s="2"/>
      <c r="AR134" s="2"/>
      <c r="AS134" s="2"/>
      <c r="AT134" s="2"/>
    </row>
    <row r="135">
      <c r="E135" s="341"/>
      <c r="F135" s="342"/>
      <c r="G135" s="343"/>
      <c r="H135" s="363" t="s">
        <v>287</v>
      </c>
      <c r="I135" s="363" t="s">
        <v>282</v>
      </c>
      <c r="J135" s="364"/>
      <c r="K135" s="273" t="s">
        <v>196</v>
      </c>
      <c r="L135" s="273"/>
      <c r="M135" s="363"/>
      <c r="N135" s="363" t="s">
        <v>283</v>
      </c>
      <c r="O135" s="341"/>
      <c r="P135" s="366"/>
      <c r="Q135" s="341"/>
      <c r="R135" s="2"/>
      <c r="S135" s="2"/>
      <c r="AH135" s="471"/>
      <c r="AI135" s="471"/>
      <c r="AJ135" s="471"/>
      <c r="AK135" s="2"/>
      <c r="AL135" s="2"/>
      <c r="AM135" s="2"/>
      <c r="AN135" s="2"/>
      <c r="AO135" s="2"/>
      <c r="AP135" s="2"/>
      <c r="AQ135" s="2"/>
      <c r="AR135" s="2"/>
      <c r="AS135" s="2"/>
      <c r="AT135" s="2"/>
    </row>
    <row r="136">
      <c r="E136" s="341"/>
      <c r="F136" s="353"/>
      <c r="G136" s="354"/>
      <c r="H136" s="273" t="s">
        <v>289</v>
      </c>
      <c r="I136" s="363" t="s">
        <v>282</v>
      </c>
      <c r="J136" s="364"/>
      <c r="K136" s="363">
        <f t="shared" ref="K136:M136" si="19">K134/SHARDING(K135)</f>
        <v>256</v>
      </c>
      <c r="L136" s="363">
        <f t="shared" si="19"/>
        <v>1</v>
      </c>
      <c r="M136" s="363">
        <f t="shared" si="19"/>
        <v>1536</v>
      </c>
      <c r="N136" s="363" t="s">
        <v>283</v>
      </c>
      <c r="O136" s="352"/>
      <c r="P136" s="366">
        <f>SIZEOF_IN_MIB(J136:M136, $O133)</f>
        <v>0.375</v>
      </c>
      <c r="Q136" s="352"/>
      <c r="R136" s="2"/>
      <c r="S136" s="2"/>
      <c r="AK136" s="2"/>
      <c r="AL136" s="2"/>
      <c r="AM136" s="2"/>
      <c r="AN136" s="2"/>
      <c r="AO136" s="2"/>
      <c r="AP136" s="2"/>
      <c r="AQ136" s="2"/>
      <c r="AR136" s="2"/>
      <c r="AS136" s="2"/>
      <c r="AT136" s="2"/>
    </row>
    <row r="137">
      <c r="E137" s="341"/>
      <c r="F137" s="334" t="s">
        <v>296</v>
      </c>
      <c r="G137" s="335"/>
      <c r="H137" s="363" t="s">
        <v>281</v>
      </c>
      <c r="I137" s="363" t="s">
        <v>282</v>
      </c>
      <c r="J137" s="364"/>
      <c r="K137" s="472" t="s">
        <v>195</v>
      </c>
      <c r="L137" s="273" t="s">
        <v>207</v>
      </c>
      <c r="M137" s="273" t="s">
        <v>209</v>
      </c>
      <c r="N137" s="363" t="s">
        <v>283</v>
      </c>
      <c r="O137" s="365" t="s">
        <v>125</v>
      </c>
      <c r="P137" s="366"/>
      <c r="Q137" s="365" t="b">
        <v>0</v>
      </c>
      <c r="R137" s="2"/>
      <c r="S137" s="2"/>
      <c r="AK137" s="2"/>
      <c r="AL137" s="2"/>
      <c r="AM137" s="2"/>
      <c r="AN137" s="2"/>
      <c r="AO137" s="2"/>
      <c r="AP137" s="2"/>
      <c r="AQ137" s="2"/>
      <c r="AR137" s="2"/>
      <c r="AS137" s="2"/>
      <c r="AT137" s="2"/>
    </row>
    <row r="138">
      <c r="E138" s="341"/>
      <c r="F138" s="342"/>
      <c r="G138" s="343"/>
      <c r="H138" s="273" t="s">
        <v>285</v>
      </c>
      <c r="I138" s="363" t="s">
        <v>282</v>
      </c>
      <c r="J138" s="364"/>
      <c r="K138" s="363">
        <f t="shared" ref="K138:M138" si="20">PARAMS(K137)</f>
        <v>1536</v>
      </c>
      <c r="L138" s="363">
        <f t="shared" si="20"/>
        <v>128</v>
      </c>
      <c r="M138" s="363">
        <f t="shared" si="20"/>
        <v>192</v>
      </c>
      <c r="N138" s="363" t="s">
        <v>283</v>
      </c>
      <c r="O138" s="341"/>
      <c r="P138" s="366">
        <f>SIZEOF_IN_MIB(J138:M138, $O137)</f>
        <v>36</v>
      </c>
      <c r="Q138" s="341"/>
      <c r="R138" s="2"/>
      <c r="S138" s="2"/>
      <c r="AK138" s="2"/>
      <c r="AL138" s="2"/>
      <c r="AM138" s="2"/>
      <c r="AN138" s="2"/>
      <c r="AO138" s="2"/>
      <c r="AP138" s="2"/>
      <c r="AQ138" s="2"/>
      <c r="AR138" s="2"/>
      <c r="AS138" s="2"/>
      <c r="AT138" s="2"/>
    </row>
    <row r="139">
      <c r="E139" s="341"/>
      <c r="F139" s="342"/>
      <c r="G139" s="343"/>
      <c r="H139" s="363" t="s">
        <v>287</v>
      </c>
      <c r="I139" s="363" t="s">
        <v>282</v>
      </c>
      <c r="J139" s="364"/>
      <c r="K139" s="364"/>
      <c r="L139" s="363"/>
      <c r="M139" s="363"/>
      <c r="N139" s="363" t="s">
        <v>283</v>
      </c>
      <c r="O139" s="341"/>
      <c r="P139" s="366"/>
      <c r="Q139" s="341"/>
      <c r="R139" s="2"/>
      <c r="S139" s="2"/>
      <c r="AK139" s="2"/>
      <c r="AL139" s="2"/>
      <c r="AM139" s="2"/>
      <c r="AN139" s="2"/>
      <c r="AO139" s="2"/>
      <c r="AP139" s="2"/>
      <c r="AQ139" s="2"/>
      <c r="AR139" s="2"/>
      <c r="AS139" s="2"/>
      <c r="AT139" s="2"/>
    </row>
    <row r="140">
      <c r="E140" s="341"/>
      <c r="F140" s="353"/>
      <c r="G140" s="354"/>
      <c r="H140" s="349" t="s">
        <v>289</v>
      </c>
      <c r="I140" s="349" t="s">
        <v>282</v>
      </c>
      <c r="J140" s="336"/>
      <c r="K140" s="349">
        <f t="shared" ref="K140:M140" si="21">K138/SHARDING(K139)</f>
        <v>1536</v>
      </c>
      <c r="L140" s="349">
        <f t="shared" si="21"/>
        <v>128</v>
      </c>
      <c r="M140" s="349">
        <f t="shared" si="21"/>
        <v>192</v>
      </c>
      <c r="N140" s="349" t="s">
        <v>283</v>
      </c>
      <c r="O140" s="316"/>
      <c r="P140" s="351">
        <f>SIZEOF_IN_MIB(J140:M140, $O137)</f>
        <v>36</v>
      </c>
      <c r="Q140" s="316"/>
      <c r="R140" s="2"/>
      <c r="S140" s="2"/>
      <c r="AK140" s="2"/>
      <c r="AL140" s="2"/>
      <c r="AM140" s="2"/>
      <c r="AN140" s="2"/>
      <c r="AO140" s="2"/>
      <c r="AP140" s="2"/>
      <c r="AQ140" s="2"/>
      <c r="AR140" s="2"/>
      <c r="AS140" s="2"/>
      <c r="AT140" s="2"/>
    </row>
    <row r="141">
      <c r="E141" s="341"/>
      <c r="F141" s="334" t="s">
        <v>56</v>
      </c>
      <c r="G141" s="335"/>
      <c r="H141" s="346" t="s">
        <v>281</v>
      </c>
      <c r="I141" s="346" t="s">
        <v>282</v>
      </c>
      <c r="J141" s="344" t="s">
        <v>104</v>
      </c>
      <c r="K141" s="344" t="s">
        <v>102</v>
      </c>
      <c r="L141" s="344" t="s">
        <v>207</v>
      </c>
      <c r="M141" s="344" t="s">
        <v>209</v>
      </c>
      <c r="N141" s="346" t="s">
        <v>283</v>
      </c>
      <c r="O141" s="473" t="s">
        <v>133</v>
      </c>
      <c r="P141" s="348"/>
      <c r="Q141" s="473" t="b">
        <v>0</v>
      </c>
      <c r="R141" s="2"/>
      <c r="S141" s="2"/>
      <c r="AK141" s="2"/>
      <c r="AL141" s="2"/>
      <c r="AM141" s="2"/>
      <c r="AN141" s="2"/>
      <c r="AO141" s="2"/>
      <c r="AP141" s="2"/>
      <c r="AQ141" s="2"/>
      <c r="AR141" s="2"/>
      <c r="AS141" s="2"/>
      <c r="AT141" s="2"/>
    </row>
    <row r="142">
      <c r="E142" s="341"/>
      <c r="F142" s="342"/>
      <c r="G142" s="343"/>
      <c r="H142" s="337" t="s">
        <v>285</v>
      </c>
      <c r="I142" s="349" t="s">
        <v>282</v>
      </c>
      <c r="J142" s="349">
        <f t="shared" ref="J142:M142" si="22">PARAMS(J141)</f>
        <v>4096</v>
      </c>
      <c r="K142" s="349">
        <f t="shared" si="22"/>
        <v>1</v>
      </c>
      <c r="L142" s="349">
        <f t="shared" si="22"/>
        <v>128</v>
      </c>
      <c r="M142" s="349">
        <f t="shared" si="22"/>
        <v>192</v>
      </c>
      <c r="N142" s="349" t="s">
        <v>283</v>
      </c>
      <c r="O142" s="350"/>
      <c r="P142" s="351">
        <f>SIZEOF_IN_MIB(J142:M142, $O141)</f>
        <v>192</v>
      </c>
      <c r="Q142" s="350"/>
      <c r="R142" s="2"/>
      <c r="S142" s="2"/>
      <c r="AK142" s="2"/>
      <c r="AL142" s="2"/>
      <c r="AM142" s="2"/>
      <c r="AN142" s="2"/>
      <c r="AO142" s="2"/>
      <c r="AP142" s="2"/>
      <c r="AQ142" s="2"/>
      <c r="AR142" s="2"/>
      <c r="AS142" s="2"/>
      <c r="AT142" s="2"/>
    </row>
    <row r="143">
      <c r="E143" s="341"/>
      <c r="F143" s="342"/>
      <c r="G143" s="343"/>
      <c r="H143" s="346" t="s">
        <v>287</v>
      </c>
      <c r="I143" s="346" t="s">
        <v>282</v>
      </c>
      <c r="J143" s="344" t="s">
        <v>196</v>
      </c>
      <c r="K143" s="344"/>
      <c r="L143" s="344"/>
      <c r="M143" s="346"/>
      <c r="N143" s="346" t="s">
        <v>283</v>
      </c>
      <c r="O143" s="347"/>
      <c r="P143" s="348"/>
      <c r="Q143" s="347"/>
      <c r="R143" s="2"/>
      <c r="S143" s="2"/>
      <c r="AK143" s="2"/>
      <c r="AL143" s="2"/>
      <c r="AM143" s="2"/>
      <c r="AN143" s="2"/>
      <c r="AO143" s="2"/>
      <c r="AP143" s="2"/>
      <c r="AQ143" s="2"/>
      <c r="AR143" s="2"/>
      <c r="AS143" s="2"/>
      <c r="AT143" s="2"/>
    </row>
    <row r="144">
      <c r="E144" s="341"/>
      <c r="F144" s="353"/>
      <c r="G144" s="354"/>
      <c r="H144" s="349" t="s">
        <v>289</v>
      </c>
      <c r="I144" s="349" t="s">
        <v>282</v>
      </c>
      <c r="J144" s="349">
        <f t="shared" ref="J144:M144" si="23">J142/SHARDING(J143)</f>
        <v>256</v>
      </c>
      <c r="K144" s="349">
        <f t="shared" si="23"/>
        <v>1</v>
      </c>
      <c r="L144" s="349">
        <f t="shared" si="23"/>
        <v>128</v>
      </c>
      <c r="M144" s="349">
        <f t="shared" si="23"/>
        <v>192</v>
      </c>
      <c r="N144" s="349" t="s">
        <v>283</v>
      </c>
      <c r="O144" s="316"/>
      <c r="P144" s="351">
        <f>SIZEOF_IN_MIB(J144:M144, $O141)</f>
        <v>12</v>
      </c>
      <c r="Q144" s="316"/>
      <c r="R144" s="2"/>
      <c r="S144" s="2"/>
      <c r="AK144" s="2"/>
      <c r="AL144" s="2"/>
      <c r="AM144" s="2"/>
      <c r="AN144" s="2"/>
      <c r="AO144" s="2"/>
      <c r="AP144" s="2"/>
      <c r="AQ144" s="2"/>
      <c r="AR144" s="2"/>
      <c r="AS144" s="2"/>
      <c r="AT144" s="2"/>
    </row>
    <row r="145">
      <c r="E145" s="341"/>
      <c r="F145" s="474" t="s">
        <v>335</v>
      </c>
      <c r="G145" s="459" t="s">
        <v>109</v>
      </c>
      <c r="H145" s="497"/>
      <c r="I145" s="498"/>
      <c r="J145" s="345"/>
      <c r="K145" s="345"/>
      <c r="L145" s="346"/>
      <c r="M145" s="346"/>
      <c r="N145" s="346"/>
      <c r="O145" s="345"/>
      <c r="P145" s="348"/>
      <c r="Q145" s="379"/>
      <c r="R145" s="2"/>
      <c r="S145" s="2"/>
      <c r="AK145" s="2"/>
      <c r="AL145" s="2"/>
      <c r="AM145" s="2"/>
      <c r="AN145" s="2"/>
      <c r="AO145" s="2"/>
      <c r="AP145" s="2"/>
      <c r="AQ145" s="2"/>
      <c r="AR145" s="2"/>
      <c r="AS145" s="2"/>
      <c r="AT145" s="2"/>
    </row>
    <row r="146">
      <c r="E146" s="341"/>
      <c r="F146" s="352"/>
      <c r="G146" s="459"/>
      <c r="H146" s="349"/>
      <c r="I146" s="492"/>
      <c r="J146" s="336"/>
      <c r="K146" s="336"/>
      <c r="L146" s="349"/>
      <c r="M146" s="349"/>
      <c r="N146" s="349"/>
      <c r="O146" s="336"/>
      <c r="P146" s="351"/>
      <c r="Q146" s="298"/>
      <c r="R146" s="2"/>
      <c r="S146" s="2"/>
      <c r="AK146" s="2"/>
      <c r="AL146" s="2"/>
      <c r="AM146" s="2"/>
      <c r="AN146" s="2"/>
      <c r="AO146" s="2"/>
      <c r="AP146" s="2"/>
      <c r="AQ146" s="2"/>
      <c r="AR146" s="2"/>
      <c r="AS146" s="2"/>
      <c r="AT146" s="2"/>
    </row>
    <row r="147">
      <c r="E147" s="341"/>
      <c r="F147" s="458" t="s">
        <v>327</v>
      </c>
      <c r="G147" s="459" t="s">
        <v>328</v>
      </c>
      <c r="H147" s="346" t="str">
        <f>VLOOKUP(O133&amp;","&amp;O137,$T$2:$W$11,4, FALSE)</f>
        <v>fp8</v>
      </c>
      <c r="I147" s="493"/>
      <c r="J147" s="345"/>
      <c r="K147" s="345"/>
      <c r="L147" s="346"/>
      <c r="M147" s="346"/>
      <c r="N147" s="346"/>
      <c r="O147" s="345"/>
      <c r="P147" s="348"/>
      <c r="Q147" s="379"/>
      <c r="R147" s="2"/>
      <c r="S147" s="2"/>
      <c r="AK147" s="2"/>
      <c r="AL147" s="2"/>
      <c r="AM147" s="2"/>
      <c r="AN147" s="2"/>
      <c r="AO147" s="2"/>
      <c r="AP147" s="2"/>
      <c r="AQ147" s="2"/>
      <c r="AR147" s="2"/>
      <c r="AS147" s="2"/>
      <c r="AT147" s="2"/>
    </row>
    <row r="148">
      <c r="E148" s="341"/>
      <c r="F148" s="341"/>
      <c r="G148" s="455" t="s">
        <v>341</v>
      </c>
      <c r="H148" s="494" t="str">
        <f>CALCULATE_FLOPS(K136:M136,K140:M140,K140,1,H147)</f>
        <v>#N/A</v>
      </c>
      <c r="I148" s="492"/>
      <c r="J148" s="336"/>
      <c r="K148" s="336"/>
      <c r="L148" s="349"/>
      <c r="M148" s="349"/>
      <c r="N148" s="349"/>
      <c r="O148" s="336"/>
      <c r="P148" s="351"/>
      <c r="Q148" s="298"/>
      <c r="R148" s="2"/>
      <c r="S148" s="2"/>
      <c r="AK148" s="2"/>
      <c r="AL148" s="2"/>
      <c r="AM148" s="2"/>
      <c r="AN148" s="2"/>
      <c r="AO148" s="2"/>
      <c r="AP148" s="2"/>
      <c r="AQ148" s="2"/>
      <c r="AR148" s="2"/>
      <c r="AS148" s="2"/>
      <c r="AT148" s="2"/>
    </row>
    <row r="149">
      <c r="A149" s="207"/>
      <c r="B149" s="2"/>
      <c r="C149" s="2"/>
      <c r="D149" s="2"/>
      <c r="E149" s="341"/>
      <c r="F149" s="352"/>
      <c r="G149" s="462" t="s">
        <v>330</v>
      </c>
      <c r="H149" s="495" t="str">
        <f>COMPUTE_TIME_MS(H148, H147)</f>
        <v>#N/A</v>
      </c>
      <c r="I149" s="464"/>
      <c r="J149" s="465"/>
      <c r="K149" s="465"/>
      <c r="L149" s="466"/>
      <c r="M149" s="466"/>
      <c r="N149" s="466"/>
      <c r="O149" s="465"/>
      <c r="P149" s="467"/>
      <c r="Q149" s="379"/>
      <c r="R149" s="2"/>
      <c r="S149" s="2"/>
      <c r="AK149" s="2"/>
      <c r="AL149" s="2"/>
      <c r="AM149" s="2"/>
      <c r="AN149" s="2"/>
      <c r="AO149" s="2"/>
      <c r="AP149" s="2"/>
      <c r="AQ149" s="2"/>
      <c r="AR149" s="2"/>
      <c r="AS149" s="2"/>
      <c r="AT149" s="2"/>
    </row>
    <row r="150">
      <c r="A150" s="207"/>
      <c r="B150" s="2"/>
      <c r="C150" s="2"/>
      <c r="D150" s="2"/>
      <c r="E150" s="341"/>
      <c r="F150" s="458" t="s">
        <v>331</v>
      </c>
      <c r="G150" s="455" t="s">
        <v>332</v>
      </c>
      <c r="H150" s="377">
        <f>IF(Q133,0,P136)+IF(Q137,0,P140)+IF(Q141,0,P144)</f>
        <v>48.375</v>
      </c>
      <c r="I150" s="336"/>
      <c r="J150" s="336"/>
      <c r="K150" s="336"/>
      <c r="L150" s="349"/>
      <c r="M150" s="349"/>
      <c r="N150" s="349"/>
      <c r="O150" s="336"/>
      <c r="P150" s="351"/>
      <c r="Q150" s="298"/>
      <c r="R150" s="2"/>
      <c r="S150" s="2"/>
      <c r="AK150" s="2"/>
      <c r="AL150" s="2"/>
      <c r="AM150" s="2"/>
      <c r="AN150" s="2"/>
      <c r="AO150" s="2"/>
      <c r="AP150" s="2"/>
      <c r="AQ150" s="2"/>
      <c r="AR150" s="2"/>
      <c r="AS150" s="2"/>
      <c r="AT150" s="2"/>
    </row>
    <row r="151">
      <c r="A151" s="2"/>
      <c r="B151" s="2"/>
      <c r="C151" s="2"/>
      <c r="D151" s="2"/>
      <c r="E151" s="352"/>
      <c r="F151" s="352"/>
      <c r="G151" s="469" t="s">
        <v>333</v>
      </c>
      <c r="H151" s="496">
        <f>HBM_TIME_MS(H150)</f>
        <v>0.01614532158</v>
      </c>
      <c r="I151" s="465"/>
      <c r="J151" s="465"/>
      <c r="K151" s="465"/>
      <c r="L151" s="466"/>
      <c r="M151" s="466"/>
      <c r="N151" s="466"/>
      <c r="O151" s="465"/>
      <c r="P151" s="467"/>
      <c r="Q151" s="379"/>
      <c r="R151" s="2"/>
      <c r="S151" s="2"/>
      <c r="AK151" s="2"/>
      <c r="AL151" s="2"/>
      <c r="AM151" s="2"/>
      <c r="AN151" s="2"/>
      <c r="AO151" s="2"/>
      <c r="AP151" s="2"/>
      <c r="AQ151" s="2"/>
      <c r="AR151" s="2"/>
      <c r="AS151" s="2"/>
      <c r="AT151" s="2"/>
    </row>
    <row r="152">
      <c r="A152" s="161"/>
      <c r="B152" s="161"/>
      <c r="C152" s="161"/>
      <c r="D152" s="161"/>
      <c r="E152" s="333" t="s">
        <v>342</v>
      </c>
      <c r="F152" s="357" t="s">
        <v>292</v>
      </c>
      <c r="G152" s="335"/>
      <c r="H152" s="364" t="s">
        <v>281</v>
      </c>
      <c r="I152" s="364" t="s">
        <v>282</v>
      </c>
      <c r="J152" s="273" t="s">
        <v>104</v>
      </c>
      <c r="K152" s="273" t="s">
        <v>102</v>
      </c>
      <c r="L152" s="273" t="s">
        <v>207</v>
      </c>
      <c r="M152" s="472" t="s">
        <v>201</v>
      </c>
      <c r="N152" s="364" t="s">
        <v>283</v>
      </c>
      <c r="O152" s="365" t="s">
        <v>125</v>
      </c>
      <c r="P152" s="366"/>
      <c r="Q152" s="365" t="b">
        <v>0</v>
      </c>
      <c r="R152" s="2"/>
      <c r="S152" s="2"/>
      <c r="AK152" s="2"/>
      <c r="AL152" s="2"/>
      <c r="AM152" s="2"/>
      <c r="AN152" s="2"/>
      <c r="AO152" s="2"/>
      <c r="AP152" s="2"/>
      <c r="AQ152" s="2"/>
      <c r="AR152" s="2"/>
      <c r="AS152" s="2"/>
      <c r="AT152" s="2"/>
    </row>
    <row r="153">
      <c r="A153" s="161"/>
      <c r="B153" s="161"/>
      <c r="C153" s="161"/>
      <c r="D153" s="161"/>
      <c r="E153" s="341"/>
      <c r="F153" s="342"/>
      <c r="G153" s="343"/>
      <c r="H153" s="273" t="s">
        <v>285</v>
      </c>
      <c r="I153" s="364" t="s">
        <v>282</v>
      </c>
      <c r="J153" s="363">
        <f t="shared" ref="J153:M153" si="24">PARAMS(J152)</f>
        <v>4096</v>
      </c>
      <c r="K153" s="364">
        <f t="shared" si="24"/>
        <v>1</v>
      </c>
      <c r="L153" s="364">
        <f t="shared" si="24"/>
        <v>128</v>
      </c>
      <c r="M153" s="364">
        <f t="shared" si="24"/>
        <v>128</v>
      </c>
      <c r="N153" s="364" t="s">
        <v>283</v>
      </c>
      <c r="O153" s="341"/>
      <c r="P153" s="366">
        <f>SIZEOF_IN_MIB(J153:M153, $O152)</f>
        <v>64</v>
      </c>
      <c r="Q153" s="341"/>
      <c r="R153" s="2"/>
      <c r="S153" s="2"/>
      <c r="AK153" s="2"/>
      <c r="AL153" s="2"/>
      <c r="AM153" s="2"/>
      <c r="AN153" s="2"/>
      <c r="AO153" s="2"/>
      <c r="AP153" s="2"/>
      <c r="AQ153" s="2"/>
      <c r="AR153" s="2"/>
      <c r="AS153" s="2"/>
      <c r="AT153" s="2"/>
    </row>
    <row r="154">
      <c r="A154" s="161"/>
      <c r="B154" s="161"/>
      <c r="C154" s="161"/>
      <c r="D154" s="161"/>
      <c r="E154" s="341"/>
      <c r="F154" s="342"/>
      <c r="G154" s="343"/>
      <c r="H154" s="363" t="s">
        <v>287</v>
      </c>
      <c r="I154" s="363" t="s">
        <v>282</v>
      </c>
      <c r="J154" s="273" t="s">
        <v>196</v>
      </c>
      <c r="K154" s="273"/>
      <c r="L154" s="273"/>
      <c r="M154" s="363"/>
      <c r="N154" s="363" t="s">
        <v>283</v>
      </c>
      <c r="O154" s="341"/>
      <c r="P154" s="366"/>
      <c r="Q154" s="341"/>
      <c r="R154" s="2"/>
      <c r="S154" s="2"/>
      <c r="AG154" s="2"/>
      <c r="AH154" s="2"/>
      <c r="AI154" s="2"/>
      <c r="AJ154" s="2"/>
      <c r="AK154" s="2"/>
      <c r="AL154" s="2"/>
      <c r="AM154" s="2"/>
      <c r="AN154" s="2"/>
      <c r="AO154" s="2"/>
      <c r="AP154" s="2"/>
      <c r="AQ154" s="2"/>
      <c r="AR154" s="2"/>
      <c r="AS154" s="2"/>
      <c r="AT154" s="2"/>
    </row>
    <row r="155">
      <c r="A155" s="161"/>
      <c r="B155" s="161"/>
      <c r="C155" s="161"/>
      <c r="D155" s="161"/>
      <c r="E155" s="341"/>
      <c r="F155" s="353"/>
      <c r="G155" s="354"/>
      <c r="H155" s="273" t="s">
        <v>289</v>
      </c>
      <c r="I155" s="363" t="s">
        <v>282</v>
      </c>
      <c r="J155" s="363">
        <f t="shared" ref="J155:M155" si="25">J153/SHARDING(J154)</f>
        <v>256</v>
      </c>
      <c r="K155" s="363">
        <f t="shared" si="25"/>
        <v>1</v>
      </c>
      <c r="L155" s="363">
        <f t="shared" si="25"/>
        <v>128</v>
      </c>
      <c r="M155" s="363">
        <f t="shared" si="25"/>
        <v>128</v>
      </c>
      <c r="N155" s="363" t="s">
        <v>283</v>
      </c>
      <c r="O155" s="352"/>
      <c r="P155" s="366">
        <f>SIZEOF_IN_MIB(J155:M155, $O152)</f>
        <v>4</v>
      </c>
      <c r="Q155" s="352"/>
      <c r="R155" s="2"/>
      <c r="S155" s="2"/>
      <c r="AG155" s="2"/>
      <c r="AH155" s="2"/>
      <c r="AI155" s="2"/>
      <c r="AJ155" s="2"/>
      <c r="AK155" s="2"/>
      <c r="AL155" s="2"/>
      <c r="AM155" s="2"/>
      <c r="AN155" s="2"/>
      <c r="AO155" s="2"/>
      <c r="AP155" s="2"/>
      <c r="AQ155" s="2"/>
      <c r="AR155" s="2"/>
      <c r="AS155" s="2"/>
      <c r="AT155" s="2"/>
    </row>
    <row r="156">
      <c r="A156" s="161"/>
      <c r="B156" s="161"/>
      <c r="C156" s="161"/>
      <c r="D156" s="161"/>
      <c r="E156" s="341"/>
      <c r="F156" s="334" t="s">
        <v>296</v>
      </c>
      <c r="G156" s="335"/>
      <c r="H156" s="363" t="s">
        <v>281</v>
      </c>
      <c r="I156" s="363" t="s">
        <v>282</v>
      </c>
      <c r="J156" s="364"/>
      <c r="K156" s="273" t="s">
        <v>207</v>
      </c>
      <c r="L156" s="472" t="s">
        <v>201</v>
      </c>
      <c r="M156" s="273" t="s">
        <v>198</v>
      </c>
      <c r="N156" s="363" t="s">
        <v>283</v>
      </c>
      <c r="O156" s="365" t="s">
        <v>125</v>
      </c>
      <c r="P156" s="366"/>
      <c r="Q156" s="365" t="b">
        <v>0</v>
      </c>
      <c r="R156" s="2"/>
      <c r="S156" s="2"/>
      <c r="AG156" s="2"/>
      <c r="AH156" s="2"/>
      <c r="AI156" s="2"/>
      <c r="AJ156" s="2"/>
      <c r="AK156" s="2"/>
      <c r="AL156" s="2"/>
      <c r="AM156" s="2"/>
      <c r="AN156" s="2"/>
      <c r="AO156" s="2"/>
      <c r="AP156" s="2"/>
      <c r="AQ156" s="2"/>
      <c r="AR156" s="2"/>
      <c r="AS156" s="2"/>
      <c r="AT156" s="2"/>
    </row>
    <row r="157">
      <c r="A157" s="161"/>
      <c r="B157" s="161"/>
      <c r="C157" s="161"/>
      <c r="D157" s="161"/>
      <c r="E157" s="341"/>
      <c r="F157" s="342"/>
      <c r="G157" s="343"/>
      <c r="H157" s="273" t="s">
        <v>285</v>
      </c>
      <c r="I157" s="363" t="s">
        <v>282</v>
      </c>
      <c r="J157" s="364"/>
      <c r="K157" s="363">
        <f t="shared" ref="K157:M157" si="26">PARAMS(K156)</f>
        <v>128</v>
      </c>
      <c r="L157" s="363">
        <f t="shared" si="26"/>
        <v>128</v>
      </c>
      <c r="M157" s="363">
        <f t="shared" si="26"/>
        <v>512</v>
      </c>
      <c r="N157" s="363" t="s">
        <v>283</v>
      </c>
      <c r="O157" s="341"/>
      <c r="P157" s="366">
        <f>SIZEOF_IN_MIB(J157:M157, $O156)</f>
        <v>8</v>
      </c>
      <c r="Q157" s="341"/>
      <c r="R157" s="2"/>
      <c r="S157" s="2"/>
      <c r="AG157" s="2"/>
      <c r="AH157" s="2"/>
      <c r="AI157" s="2"/>
      <c r="AJ157" s="2"/>
      <c r="AK157" s="2"/>
      <c r="AL157" s="2"/>
      <c r="AM157" s="2"/>
      <c r="AN157" s="2"/>
      <c r="AO157" s="2"/>
      <c r="AP157" s="2"/>
      <c r="AQ157" s="2"/>
      <c r="AR157" s="2"/>
      <c r="AS157" s="2"/>
      <c r="AT157" s="2"/>
    </row>
    <row r="158">
      <c r="A158" s="161"/>
      <c r="B158" s="161"/>
      <c r="C158" s="161"/>
      <c r="D158" s="161"/>
      <c r="E158" s="341"/>
      <c r="F158" s="342"/>
      <c r="G158" s="343"/>
      <c r="H158" s="363" t="s">
        <v>287</v>
      </c>
      <c r="I158" s="363" t="s">
        <v>282</v>
      </c>
      <c r="J158" s="364"/>
      <c r="K158" s="364"/>
      <c r="L158" s="363"/>
      <c r="M158" s="363"/>
      <c r="N158" s="363" t="s">
        <v>283</v>
      </c>
      <c r="O158" s="341"/>
      <c r="P158" s="366"/>
      <c r="Q158" s="341"/>
      <c r="R158" s="2"/>
      <c r="S158" s="2"/>
      <c r="AG158" s="2"/>
      <c r="AH158" s="2"/>
      <c r="AI158" s="2"/>
      <c r="AJ158" s="2"/>
      <c r="AK158" s="2"/>
      <c r="AL158" s="2"/>
      <c r="AM158" s="2"/>
      <c r="AN158" s="2"/>
      <c r="AO158" s="2"/>
      <c r="AP158" s="2"/>
      <c r="AQ158" s="2"/>
      <c r="AR158" s="2"/>
      <c r="AS158" s="2"/>
      <c r="AT158" s="2"/>
    </row>
    <row r="159">
      <c r="A159" s="161"/>
      <c r="B159" s="161"/>
      <c r="C159" s="161"/>
      <c r="D159" s="161"/>
      <c r="E159" s="341"/>
      <c r="F159" s="353"/>
      <c r="G159" s="354"/>
      <c r="H159" s="349" t="s">
        <v>289</v>
      </c>
      <c r="I159" s="349" t="s">
        <v>282</v>
      </c>
      <c r="J159" s="336"/>
      <c r="K159" s="349">
        <f t="shared" ref="K159:M159" si="27">K157/SHARDING(K158)</f>
        <v>128</v>
      </c>
      <c r="L159" s="349">
        <f t="shared" si="27"/>
        <v>128</v>
      </c>
      <c r="M159" s="349">
        <f t="shared" si="27"/>
        <v>512</v>
      </c>
      <c r="N159" s="349" t="s">
        <v>283</v>
      </c>
      <c r="O159" s="316"/>
      <c r="P159" s="351">
        <f>SIZEOF_IN_MIB(J159:M159, $O156)</f>
        <v>8</v>
      </c>
      <c r="Q159" s="316"/>
      <c r="R159" s="2"/>
      <c r="S159" s="2"/>
      <c r="T159" s="284"/>
      <c r="U159" s="284"/>
      <c r="V159" s="284"/>
      <c r="W159" s="284"/>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61"/>
      <c r="B160" s="161"/>
      <c r="C160" s="161"/>
      <c r="D160" s="161"/>
      <c r="E160" s="341"/>
      <c r="F160" s="334" t="s">
        <v>56</v>
      </c>
      <c r="G160" s="335"/>
      <c r="H160" s="346" t="s">
        <v>281</v>
      </c>
      <c r="I160" s="346" t="s">
        <v>282</v>
      </c>
      <c r="J160" s="344" t="s">
        <v>104</v>
      </c>
      <c r="K160" s="344" t="s">
        <v>102</v>
      </c>
      <c r="L160" s="344" t="s">
        <v>207</v>
      </c>
      <c r="M160" s="344" t="s">
        <v>198</v>
      </c>
      <c r="N160" s="346" t="s">
        <v>283</v>
      </c>
      <c r="O160" s="473" t="s">
        <v>133</v>
      </c>
      <c r="P160" s="348"/>
      <c r="Q160" s="473" t="b">
        <v>0</v>
      </c>
      <c r="R160" s="2"/>
      <c r="S160" s="2"/>
      <c r="T160" s="284"/>
      <c r="U160" s="284"/>
      <c r="V160" s="284"/>
      <c r="W160" s="284"/>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61"/>
      <c r="B161" s="161"/>
      <c r="C161" s="161"/>
      <c r="D161" s="161"/>
      <c r="E161" s="341"/>
      <c r="F161" s="342"/>
      <c r="G161" s="343"/>
      <c r="H161" s="337" t="s">
        <v>285</v>
      </c>
      <c r="I161" s="349" t="s">
        <v>282</v>
      </c>
      <c r="J161" s="349">
        <f t="shared" ref="J161:M161" si="28">PARAMS(J160)</f>
        <v>4096</v>
      </c>
      <c r="K161" s="349">
        <f t="shared" si="28"/>
        <v>1</v>
      </c>
      <c r="L161" s="349">
        <f t="shared" si="28"/>
        <v>128</v>
      </c>
      <c r="M161" s="349">
        <f t="shared" si="28"/>
        <v>512</v>
      </c>
      <c r="N161" s="349" t="s">
        <v>283</v>
      </c>
      <c r="O161" s="350"/>
      <c r="P161" s="351">
        <f>SIZEOF_IN_MIB(J161:M161, $O160)</f>
        <v>512</v>
      </c>
      <c r="Q161" s="350"/>
      <c r="R161" s="2"/>
      <c r="S161" s="2"/>
      <c r="T161" s="284"/>
      <c r="U161" s="284"/>
      <c r="V161" s="284"/>
      <c r="W161" s="284"/>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161"/>
      <c r="B162" s="161"/>
      <c r="C162" s="161"/>
      <c r="D162" s="161"/>
      <c r="E162" s="341"/>
      <c r="F162" s="342"/>
      <c r="G162" s="343"/>
      <c r="H162" s="346" t="s">
        <v>287</v>
      </c>
      <c r="I162" s="346" t="s">
        <v>282</v>
      </c>
      <c r="J162" s="344" t="s">
        <v>196</v>
      </c>
      <c r="K162" s="344"/>
      <c r="L162" s="344"/>
      <c r="M162" s="346"/>
      <c r="N162" s="346" t="s">
        <v>283</v>
      </c>
      <c r="O162" s="347"/>
      <c r="P162" s="348"/>
      <c r="Q162" s="347"/>
      <c r="R162" s="2"/>
      <c r="S162" s="2"/>
      <c r="T162" s="284"/>
      <c r="U162" s="284"/>
      <c r="V162" s="284"/>
      <c r="W162" s="284"/>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161"/>
      <c r="B163" s="161"/>
      <c r="C163" s="161"/>
      <c r="D163" s="161"/>
      <c r="E163" s="341"/>
      <c r="F163" s="353"/>
      <c r="G163" s="354"/>
      <c r="H163" s="349" t="s">
        <v>289</v>
      </c>
      <c r="I163" s="349" t="s">
        <v>282</v>
      </c>
      <c r="J163" s="349">
        <f t="shared" ref="J163:M163" si="29">J161/SHARDING(J162)</f>
        <v>256</v>
      </c>
      <c r="K163" s="349">
        <f t="shared" si="29"/>
        <v>1</v>
      </c>
      <c r="L163" s="349">
        <f t="shared" si="29"/>
        <v>128</v>
      </c>
      <c r="M163" s="349">
        <f t="shared" si="29"/>
        <v>512</v>
      </c>
      <c r="N163" s="349" t="s">
        <v>283</v>
      </c>
      <c r="O163" s="316"/>
      <c r="P163" s="351">
        <f>SIZEOF_IN_MIB(J163:M163, $O160)</f>
        <v>32</v>
      </c>
      <c r="Q163" s="316"/>
      <c r="R163" s="2"/>
      <c r="S163" s="2"/>
      <c r="T163" s="284"/>
      <c r="U163" s="284"/>
      <c r="V163" s="284"/>
      <c r="W163" s="284"/>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161"/>
      <c r="B164" s="161"/>
      <c r="C164" s="161"/>
      <c r="D164" s="161"/>
      <c r="E164" s="341"/>
      <c r="F164" s="474" t="s">
        <v>335</v>
      </c>
      <c r="G164" s="459" t="s">
        <v>109</v>
      </c>
      <c r="H164" s="497"/>
      <c r="I164" s="498"/>
      <c r="J164" s="345"/>
      <c r="K164" s="345"/>
      <c r="L164" s="346"/>
      <c r="M164" s="346"/>
      <c r="N164" s="346"/>
      <c r="O164" s="345"/>
      <c r="P164" s="348"/>
      <c r="Q164" s="379"/>
      <c r="T164" s="4"/>
      <c r="U164" s="4"/>
      <c r="V164" s="4"/>
      <c r="W164" s="4"/>
    </row>
    <row r="165">
      <c r="A165" s="161"/>
      <c r="B165" s="2"/>
      <c r="C165" s="2"/>
      <c r="D165" s="2"/>
      <c r="E165" s="341"/>
      <c r="F165" s="352"/>
      <c r="G165" s="459"/>
      <c r="H165" s="349"/>
      <c r="I165" s="492"/>
      <c r="J165" s="336"/>
      <c r="K165" s="336"/>
      <c r="L165" s="349"/>
      <c r="M165" s="349"/>
      <c r="N165" s="349"/>
      <c r="O165" s="336"/>
      <c r="P165" s="351"/>
      <c r="Q165" s="298"/>
      <c r="T165" s="4"/>
      <c r="U165" s="4"/>
      <c r="V165" s="4"/>
      <c r="W165" s="4"/>
    </row>
    <row r="166">
      <c r="A166" s="2"/>
      <c r="B166" s="2"/>
      <c r="C166" s="2"/>
      <c r="D166" s="2"/>
      <c r="E166" s="341"/>
      <c r="F166" s="458" t="s">
        <v>327</v>
      </c>
      <c r="G166" s="459" t="s">
        <v>328</v>
      </c>
      <c r="H166" s="346" t="str">
        <f>VLOOKUP(O152&amp;","&amp;O156,$T$2:$W$11,4, FALSE)</f>
        <v>fp8</v>
      </c>
      <c r="I166" s="493"/>
      <c r="J166" s="345"/>
      <c r="K166" s="345"/>
      <c r="L166" s="346"/>
      <c r="M166" s="346"/>
      <c r="N166" s="346"/>
      <c r="O166" s="345"/>
      <c r="P166" s="348"/>
      <c r="Q166" s="379"/>
      <c r="T166" s="4"/>
      <c r="U166" s="4"/>
      <c r="V166" s="4"/>
      <c r="W166" s="4"/>
    </row>
    <row r="167">
      <c r="A167" s="161"/>
      <c r="B167" s="161"/>
      <c r="C167" s="161"/>
      <c r="D167" s="161"/>
      <c r="E167" s="341"/>
      <c r="F167" s="341"/>
      <c r="G167" s="455" t="s">
        <v>341</v>
      </c>
      <c r="H167" s="494" t="str">
        <f>CALCULATE_FLOPS(J155:M155,J159:M159,L159,K159,H166)</f>
        <v>#N/A</v>
      </c>
      <c r="I167" s="492"/>
      <c r="J167" s="336"/>
      <c r="K167" s="336"/>
      <c r="L167" s="349"/>
      <c r="M167" s="349"/>
      <c r="N167" s="349"/>
      <c r="O167" s="336"/>
      <c r="P167" s="351"/>
      <c r="Q167" s="298"/>
      <c r="T167" s="4"/>
      <c r="U167" s="4"/>
      <c r="V167" s="4"/>
      <c r="W167" s="4"/>
    </row>
    <row r="168">
      <c r="A168" s="161"/>
      <c r="B168" s="161"/>
      <c r="C168" s="161"/>
      <c r="D168" s="161"/>
      <c r="E168" s="341"/>
      <c r="F168" s="352"/>
      <c r="G168" s="462" t="s">
        <v>330</v>
      </c>
      <c r="H168" s="463" t="str">
        <f>COMPUTE_TIME_MS(H167, H166)</f>
        <v>#N/A</v>
      </c>
      <c r="I168" s="464"/>
      <c r="J168" s="465"/>
      <c r="K168" s="465"/>
      <c r="L168" s="466"/>
      <c r="M168" s="466"/>
      <c r="N168" s="466"/>
      <c r="O168" s="465"/>
      <c r="P168" s="467"/>
      <c r="Q168" s="379"/>
      <c r="T168" s="4"/>
      <c r="U168" s="4"/>
      <c r="V168" s="4"/>
      <c r="W168" s="4"/>
    </row>
    <row r="169">
      <c r="A169" s="161"/>
      <c r="B169" s="161"/>
      <c r="C169" s="161"/>
      <c r="D169" s="161"/>
      <c r="E169" s="341"/>
      <c r="F169" s="458" t="s">
        <v>331</v>
      </c>
      <c r="G169" s="455" t="s">
        <v>332</v>
      </c>
      <c r="H169" s="377">
        <f>IF(Q152,0,P155)+IF(Q156,0,P159)+IF(Q160,0,P163)</f>
        <v>44</v>
      </c>
      <c r="I169" s="336"/>
      <c r="J169" s="336"/>
      <c r="K169" s="336"/>
      <c r="L169" s="349"/>
      <c r="M169" s="349"/>
      <c r="N169" s="349"/>
      <c r="O169" s="336"/>
      <c r="P169" s="351"/>
      <c r="Q169" s="298"/>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52"/>
      <c r="F170" s="352"/>
      <c r="G170" s="469" t="s">
        <v>333</v>
      </c>
      <c r="H170" s="496">
        <f>HBM_TIME_MS(H169)</f>
        <v>0.01468515038</v>
      </c>
      <c r="I170" s="465"/>
      <c r="J170" s="465"/>
      <c r="K170" s="465"/>
      <c r="L170" s="466"/>
      <c r="M170" s="466"/>
      <c r="N170" s="466"/>
      <c r="O170" s="465"/>
      <c r="P170" s="467"/>
      <c r="Q170" s="379"/>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33" t="s">
        <v>343</v>
      </c>
      <c r="F171" s="357" t="s">
        <v>292</v>
      </c>
      <c r="G171" s="335"/>
      <c r="H171" s="336" t="s">
        <v>281</v>
      </c>
      <c r="I171" s="336" t="s">
        <v>282</v>
      </c>
      <c r="J171" s="337"/>
      <c r="K171" s="337" t="s">
        <v>104</v>
      </c>
      <c r="L171" s="337" t="s">
        <v>102</v>
      </c>
      <c r="M171" s="499" t="s">
        <v>178</v>
      </c>
      <c r="N171" s="336" t="s">
        <v>283</v>
      </c>
      <c r="O171" s="338" t="s">
        <v>125</v>
      </c>
      <c r="P171" s="351"/>
      <c r="Q171" s="338" t="b">
        <v>0</v>
      </c>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42"/>
      <c r="G172" s="343"/>
      <c r="H172" s="273" t="s">
        <v>285</v>
      </c>
      <c r="I172" s="364" t="s">
        <v>282</v>
      </c>
      <c r="J172" s="363"/>
      <c r="K172" s="363">
        <f t="shared" ref="K172:M172" si="30">PARAMS(K171)</f>
        <v>4096</v>
      </c>
      <c r="L172" s="364">
        <f t="shared" si="30"/>
        <v>1</v>
      </c>
      <c r="M172" s="364">
        <f t="shared" si="30"/>
        <v>7168</v>
      </c>
      <c r="N172" s="364" t="s">
        <v>283</v>
      </c>
      <c r="O172" s="341"/>
      <c r="P172" s="366">
        <f>SIZEOF_IN_MIB(J172:M172, $O171)</f>
        <v>28</v>
      </c>
      <c r="Q172" s="341"/>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342"/>
      <c r="G173" s="343"/>
      <c r="H173" s="363" t="s">
        <v>287</v>
      </c>
      <c r="I173" s="363" t="s">
        <v>282</v>
      </c>
      <c r="J173" s="364"/>
      <c r="K173" s="273" t="s">
        <v>196</v>
      </c>
      <c r="L173" s="273"/>
      <c r="M173" s="363"/>
      <c r="N173" s="363" t="s">
        <v>283</v>
      </c>
      <c r="O173" s="341"/>
      <c r="P173" s="366"/>
      <c r="Q173" s="341"/>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61"/>
      <c r="B174" s="161"/>
      <c r="C174" s="161"/>
      <c r="D174" s="161"/>
      <c r="E174" s="341"/>
      <c r="F174" s="353"/>
      <c r="G174" s="354"/>
      <c r="H174" s="273" t="s">
        <v>289</v>
      </c>
      <c r="I174" s="363" t="s">
        <v>282</v>
      </c>
      <c r="J174" s="364"/>
      <c r="K174" s="363">
        <f t="shared" ref="K174:M174" si="31">K172/SHARDING(K173)</f>
        <v>256</v>
      </c>
      <c r="L174" s="363">
        <f t="shared" si="31"/>
        <v>1</v>
      </c>
      <c r="M174" s="363">
        <f t="shared" si="31"/>
        <v>7168</v>
      </c>
      <c r="N174" s="363" t="s">
        <v>283</v>
      </c>
      <c r="O174" s="352"/>
      <c r="P174" s="366">
        <f>SIZEOF_IN_MIB(J174:M174, $O171)</f>
        <v>1.75</v>
      </c>
      <c r="Q174" s="35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161"/>
      <c r="B175" s="161"/>
      <c r="C175" s="161"/>
      <c r="D175" s="161"/>
      <c r="E175" s="341"/>
      <c r="F175" s="334" t="s">
        <v>296</v>
      </c>
      <c r="G175" s="335"/>
      <c r="H175" s="363" t="s">
        <v>281</v>
      </c>
      <c r="I175" s="363" t="s">
        <v>282</v>
      </c>
      <c r="J175" s="364"/>
      <c r="K175" s="273"/>
      <c r="L175" s="472" t="s">
        <v>178</v>
      </c>
      <c r="M175" s="273" t="s">
        <v>210</v>
      </c>
      <c r="N175" s="363" t="s">
        <v>283</v>
      </c>
      <c r="O175" s="365" t="s">
        <v>125</v>
      </c>
      <c r="P175" s="366"/>
      <c r="Q175" s="365" t="b">
        <v>0</v>
      </c>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161"/>
      <c r="B176" s="161"/>
      <c r="C176" s="161"/>
      <c r="D176" s="161"/>
      <c r="E176" s="341"/>
      <c r="F176" s="342"/>
      <c r="G176" s="343"/>
      <c r="H176" s="273" t="s">
        <v>285</v>
      </c>
      <c r="I176" s="363" t="s">
        <v>282</v>
      </c>
      <c r="J176" s="364"/>
      <c r="K176" s="363"/>
      <c r="L176" s="363">
        <f t="shared" ref="L176:M176" si="32">PARAMS(L175)</f>
        <v>7168</v>
      </c>
      <c r="M176" s="363">
        <f t="shared" si="32"/>
        <v>576</v>
      </c>
      <c r="N176" s="363" t="s">
        <v>283</v>
      </c>
      <c r="O176" s="341"/>
      <c r="P176" s="366">
        <f>SIZEOF_IN_MIB(J176:M176, $O175)</f>
        <v>3.9375</v>
      </c>
      <c r="Q176" s="341"/>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42"/>
      <c r="G177" s="343"/>
      <c r="H177" s="363" t="s">
        <v>287</v>
      </c>
      <c r="I177" s="363" t="s">
        <v>282</v>
      </c>
      <c r="J177" s="364"/>
      <c r="K177" s="364"/>
      <c r="L177" s="363"/>
      <c r="M177" s="363"/>
      <c r="N177" s="363" t="s">
        <v>283</v>
      </c>
      <c r="O177" s="341"/>
      <c r="P177" s="366"/>
      <c r="Q177" s="341"/>
    </row>
    <row r="178">
      <c r="A178" s="161"/>
      <c r="B178" s="161"/>
      <c r="C178" s="161"/>
      <c r="D178" s="161"/>
      <c r="E178" s="341"/>
      <c r="F178" s="353"/>
      <c r="G178" s="354"/>
      <c r="H178" s="349" t="s">
        <v>289</v>
      </c>
      <c r="I178" s="349" t="s">
        <v>282</v>
      </c>
      <c r="J178" s="336"/>
      <c r="K178" s="349"/>
      <c r="L178" s="349">
        <f t="shared" ref="L178:M178" si="33">L176/SHARDING(L177)</f>
        <v>7168</v>
      </c>
      <c r="M178" s="349">
        <f t="shared" si="33"/>
        <v>576</v>
      </c>
      <c r="N178" s="349" t="s">
        <v>283</v>
      </c>
      <c r="O178" s="316"/>
      <c r="P178" s="351">
        <f>SIZEOF_IN_MIB(J178:M178, $O175)</f>
        <v>3.9375</v>
      </c>
      <c r="Q178" s="316"/>
    </row>
    <row r="179">
      <c r="A179" s="161"/>
      <c r="B179" s="161"/>
      <c r="C179" s="161"/>
      <c r="D179" s="161"/>
      <c r="E179" s="341"/>
      <c r="F179" s="334" t="s">
        <v>56</v>
      </c>
      <c r="G179" s="335"/>
      <c r="H179" s="346" t="s">
        <v>281</v>
      </c>
      <c r="I179" s="346" t="s">
        <v>282</v>
      </c>
      <c r="J179" s="345"/>
      <c r="K179" s="344" t="s">
        <v>104</v>
      </c>
      <c r="L179" s="344" t="s">
        <v>102</v>
      </c>
      <c r="M179" s="344" t="s">
        <v>210</v>
      </c>
      <c r="N179" s="346" t="s">
        <v>283</v>
      </c>
      <c r="O179" s="473" t="s">
        <v>133</v>
      </c>
      <c r="P179" s="348"/>
      <c r="Q179" s="473" t="b">
        <v>0</v>
      </c>
    </row>
    <row r="180">
      <c r="A180" s="161"/>
      <c r="B180" s="2"/>
      <c r="C180" s="2"/>
      <c r="D180" s="2"/>
      <c r="E180" s="341"/>
      <c r="F180" s="342"/>
      <c r="G180" s="343"/>
      <c r="H180" s="337" t="s">
        <v>285</v>
      </c>
      <c r="I180" s="349" t="s">
        <v>282</v>
      </c>
      <c r="J180" s="336"/>
      <c r="K180" s="349">
        <f t="shared" ref="K180:M180" si="34">PARAMS(K179)</f>
        <v>4096</v>
      </c>
      <c r="L180" s="349">
        <f t="shared" si="34"/>
        <v>1</v>
      </c>
      <c r="M180" s="349">
        <f t="shared" si="34"/>
        <v>576</v>
      </c>
      <c r="N180" s="349" t="s">
        <v>283</v>
      </c>
      <c r="O180" s="350"/>
      <c r="P180" s="351">
        <f>SIZEOF_IN_MIB(K180:M180, $O179)</f>
        <v>4.5</v>
      </c>
      <c r="Q180" s="350"/>
    </row>
    <row r="181">
      <c r="A181" s="2"/>
      <c r="B181" s="2"/>
      <c r="C181" s="2"/>
      <c r="D181" s="2"/>
      <c r="E181" s="341"/>
      <c r="F181" s="342"/>
      <c r="G181" s="343"/>
      <c r="H181" s="346" t="s">
        <v>287</v>
      </c>
      <c r="I181" s="346" t="s">
        <v>282</v>
      </c>
      <c r="J181" s="345"/>
      <c r="K181" s="344" t="s">
        <v>196</v>
      </c>
      <c r="L181" s="344"/>
      <c r="M181" s="346"/>
      <c r="N181" s="346" t="s">
        <v>283</v>
      </c>
      <c r="O181" s="347"/>
      <c r="P181" s="348"/>
      <c r="Q181" s="347"/>
    </row>
    <row r="182">
      <c r="A182" s="161"/>
      <c r="B182" s="161"/>
      <c r="C182" s="161"/>
      <c r="D182" s="161"/>
      <c r="E182" s="341"/>
      <c r="F182" s="353"/>
      <c r="G182" s="354"/>
      <c r="H182" s="349" t="s">
        <v>289</v>
      </c>
      <c r="I182" s="349" t="s">
        <v>282</v>
      </c>
      <c r="J182" s="349"/>
      <c r="K182" s="349">
        <f t="shared" ref="K182:M182" si="35">K180/SHARDING(K181)</f>
        <v>256</v>
      </c>
      <c r="L182" s="349">
        <f t="shared" si="35"/>
        <v>1</v>
      </c>
      <c r="M182" s="349">
        <f t="shared" si="35"/>
        <v>576</v>
      </c>
      <c r="N182" s="349" t="s">
        <v>283</v>
      </c>
      <c r="O182" s="316"/>
      <c r="P182" s="351">
        <f>SIZEOF_IN_MIB(K182:M182, $O179)</f>
        <v>0.28125</v>
      </c>
      <c r="Q182" s="316"/>
    </row>
    <row r="183">
      <c r="A183" s="161"/>
      <c r="B183" s="161"/>
      <c r="C183" s="161"/>
      <c r="D183" s="161"/>
      <c r="E183" s="341"/>
      <c r="F183" s="474" t="s">
        <v>335</v>
      </c>
      <c r="G183" s="459" t="s">
        <v>109</v>
      </c>
      <c r="H183" s="497"/>
      <c r="I183" s="498"/>
      <c r="J183" s="345"/>
      <c r="K183" s="345"/>
      <c r="L183" s="346"/>
      <c r="M183" s="346"/>
      <c r="N183" s="346"/>
      <c r="O183" s="345"/>
      <c r="P183" s="348"/>
      <c r="Q183" s="379"/>
    </row>
    <row r="184">
      <c r="A184" s="161"/>
      <c r="B184" s="161"/>
      <c r="C184" s="161"/>
      <c r="D184" s="161"/>
      <c r="E184" s="341"/>
      <c r="F184" s="352"/>
      <c r="G184" s="459"/>
      <c r="H184" s="349"/>
      <c r="I184" s="492"/>
      <c r="J184" s="336"/>
      <c r="K184" s="336"/>
      <c r="L184" s="349"/>
      <c r="M184" s="349"/>
      <c r="N184" s="349"/>
      <c r="O184" s="336"/>
      <c r="P184" s="351"/>
      <c r="Q184" s="298"/>
    </row>
    <row r="185">
      <c r="A185" s="161"/>
      <c r="B185" s="161"/>
      <c r="C185" s="161"/>
      <c r="D185" s="161"/>
      <c r="E185" s="341"/>
      <c r="F185" s="458" t="s">
        <v>327</v>
      </c>
      <c r="G185" s="459" t="s">
        <v>328</v>
      </c>
      <c r="H185" s="346" t="str">
        <f>VLOOKUP(O171&amp;","&amp;O175,$T$2:$W$11,4, FALSE)</f>
        <v>fp8</v>
      </c>
      <c r="I185" s="493"/>
      <c r="J185" s="345"/>
      <c r="K185" s="345"/>
      <c r="L185" s="346"/>
      <c r="M185" s="346"/>
      <c r="N185" s="346"/>
      <c r="O185" s="345"/>
      <c r="P185" s="348"/>
      <c r="Q185" s="379"/>
    </row>
    <row r="186">
      <c r="A186" s="161"/>
      <c r="B186" s="161"/>
      <c r="C186" s="161"/>
      <c r="D186" s="161"/>
      <c r="E186" s="341"/>
      <c r="F186" s="341"/>
      <c r="G186" s="455" t="s">
        <v>341</v>
      </c>
      <c r="H186" s="494" t="str">
        <f>CALCULATE_FLOPS(J174:M174,J178:M178,L178,1,H185)</f>
        <v>#N/A</v>
      </c>
      <c r="I186" s="492"/>
      <c r="J186" s="336"/>
      <c r="K186" s="336"/>
      <c r="L186" s="349"/>
      <c r="M186" s="349"/>
      <c r="N186" s="349"/>
      <c r="O186" s="336"/>
      <c r="P186" s="351"/>
      <c r="Q186" s="298"/>
    </row>
    <row r="187">
      <c r="A187" s="161"/>
      <c r="B187" s="161"/>
      <c r="C187" s="161"/>
      <c r="D187" s="161"/>
      <c r="E187" s="341"/>
      <c r="F187" s="352"/>
      <c r="G187" s="462" t="s">
        <v>330</v>
      </c>
      <c r="H187" s="495" t="str">
        <f>COMPUTE_TIME_MS(H186, H185)</f>
        <v>#N/A</v>
      </c>
      <c r="I187" s="464"/>
      <c r="J187" s="465"/>
      <c r="K187" s="465"/>
      <c r="L187" s="466"/>
      <c r="M187" s="466"/>
      <c r="N187" s="466"/>
      <c r="O187" s="465"/>
      <c r="P187" s="467"/>
      <c r="Q187" s="379"/>
    </row>
    <row r="188">
      <c r="A188" s="161"/>
      <c r="B188" s="161"/>
      <c r="C188" s="161"/>
      <c r="D188" s="161"/>
      <c r="E188" s="341"/>
      <c r="F188" s="458" t="s">
        <v>331</v>
      </c>
      <c r="G188" s="455" t="s">
        <v>332</v>
      </c>
      <c r="H188" s="377">
        <f>IF(Q171,0,P174)+IF(Q175,0,P178)+IF(Q179,0,P182)</f>
        <v>5.96875</v>
      </c>
      <c r="I188" s="336"/>
      <c r="J188" s="336"/>
      <c r="K188" s="336"/>
      <c r="L188" s="349"/>
      <c r="M188" s="349"/>
      <c r="N188" s="349"/>
      <c r="O188" s="336"/>
      <c r="P188" s="351"/>
      <c r="Q188" s="298"/>
    </row>
    <row r="189">
      <c r="A189" s="161"/>
      <c r="B189" s="161"/>
      <c r="C189" s="161"/>
      <c r="D189" s="161"/>
      <c r="E189" s="352"/>
      <c r="F189" s="352"/>
      <c r="G189" s="469" t="s">
        <v>333</v>
      </c>
      <c r="H189" s="500">
        <f>HBM_TIME_MS(H188)</f>
        <v>0.001992090712</v>
      </c>
      <c r="I189" s="465"/>
      <c r="J189" s="465"/>
      <c r="K189" s="465"/>
      <c r="L189" s="466"/>
      <c r="M189" s="466"/>
      <c r="N189" s="466"/>
      <c r="O189" s="465"/>
      <c r="P189" s="467"/>
      <c r="Q189" s="379"/>
    </row>
    <row r="190">
      <c r="A190" s="161"/>
      <c r="B190" s="161"/>
      <c r="C190" s="161"/>
      <c r="D190" s="161"/>
      <c r="E190" s="333" t="s">
        <v>347</v>
      </c>
      <c r="F190" s="357" t="s">
        <v>292</v>
      </c>
      <c r="G190" s="335"/>
      <c r="H190" s="364" t="s">
        <v>281</v>
      </c>
      <c r="I190" s="364" t="s">
        <v>282</v>
      </c>
      <c r="J190" s="273" t="s">
        <v>104</v>
      </c>
      <c r="K190" s="273" t="s">
        <v>102</v>
      </c>
      <c r="L190" s="273" t="s">
        <v>207</v>
      </c>
      <c r="M190" s="472" t="s">
        <v>198</v>
      </c>
      <c r="N190" s="364" t="s">
        <v>283</v>
      </c>
      <c r="O190" s="365" t="s">
        <v>133</v>
      </c>
      <c r="P190" s="366"/>
      <c r="Q190" s="365" t="b">
        <v>0</v>
      </c>
    </row>
    <row r="191">
      <c r="A191" s="161"/>
      <c r="B191" s="161"/>
      <c r="C191" s="161"/>
      <c r="D191" s="161"/>
      <c r="E191" s="341"/>
      <c r="F191" s="342"/>
      <c r="G191" s="343"/>
      <c r="H191" s="273" t="s">
        <v>285</v>
      </c>
      <c r="I191" s="364" t="s">
        <v>282</v>
      </c>
      <c r="J191" s="363">
        <f t="shared" ref="J191:M191" si="36">PARAMS(J190)</f>
        <v>4096</v>
      </c>
      <c r="K191" s="364">
        <f t="shared" si="36"/>
        <v>1</v>
      </c>
      <c r="L191" s="364">
        <f t="shared" si="36"/>
        <v>128</v>
      </c>
      <c r="M191" s="364">
        <f t="shared" si="36"/>
        <v>512</v>
      </c>
      <c r="N191" s="364" t="s">
        <v>283</v>
      </c>
      <c r="O191" s="341"/>
      <c r="P191" s="366">
        <f>SIZEOF_IN_MIB(J191:M191, $O190)</f>
        <v>512</v>
      </c>
      <c r="Q191" s="341"/>
    </row>
    <row r="192">
      <c r="A192" s="161"/>
      <c r="B192" s="161"/>
      <c r="C192" s="161"/>
      <c r="D192" s="161"/>
      <c r="E192" s="341"/>
      <c r="F192" s="342"/>
      <c r="G192" s="343"/>
      <c r="H192" s="363" t="s">
        <v>287</v>
      </c>
      <c r="I192" s="363" t="s">
        <v>282</v>
      </c>
      <c r="J192" s="273" t="s">
        <v>196</v>
      </c>
      <c r="K192" s="273"/>
      <c r="L192" s="273"/>
      <c r="M192" s="363"/>
      <c r="N192" s="363" t="s">
        <v>283</v>
      </c>
      <c r="O192" s="341"/>
      <c r="P192" s="366"/>
      <c r="Q192" s="341"/>
    </row>
    <row r="193">
      <c r="A193" s="161"/>
      <c r="B193" s="161"/>
      <c r="C193" s="161"/>
      <c r="D193" s="161"/>
      <c r="E193" s="341"/>
      <c r="F193" s="353"/>
      <c r="G193" s="354"/>
      <c r="H193" s="273" t="s">
        <v>289</v>
      </c>
      <c r="I193" s="363" t="s">
        <v>282</v>
      </c>
      <c r="J193" s="363">
        <f t="shared" ref="J193:M193" si="37">J191/SHARDING(J192)</f>
        <v>256</v>
      </c>
      <c r="K193" s="363">
        <f t="shared" si="37"/>
        <v>1</v>
      </c>
      <c r="L193" s="363">
        <f t="shared" si="37"/>
        <v>128</v>
      </c>
      <c r="M193" s="363">
        <f t="shared" si="37"/>
        <v>512</v>
      </c>
      <c r="N193" s="363" t="s">
        <v>283</v>
      </c>
      <c r="O193" s="352"/>
      <c r="P193" s="366">
        <f>SIZEOF_IN_MIB(J193:M193, $O190)</f>
        <v>32</v>
      </c>
      <c r="Q193" s="352"/>
    </row>
    <row r="194">
      <c r="A194" s="161"/>
      <c r="B194" s="161"/>
      <c r="C194" s="161"/>
      <c r="D194" s="161"/>
      <c r="E194" s="341"/>
      <c r="F194" s="334" t="s">
        <v>296</v>
      </c>
      <c r="G194" s="335"/>
      <c r="H194" s="363" t="s">
        <v>281</v>
      </c>
      <c r="I194" s="363" t="s">
        <v>282</v>
      </c>
      <c r="J194" s="364"/>
      <c r="K194" s="273" t="s">
        <v>104</v>
      </c>
      <c r="L194" s="273" t="s">
        <v>106</v>
      </c>
      <c r="M194" s="472" t="s">
        <v>198</v>
      </c>
      <c r="N194" s="363" t="s">
        <v>283</v>
      </c>
      <c r="O194" s="365" t="s">
        <v>133</v>
      </c>
      <c r="P194" s="366"/>
      <c r="Q194" s="365" t="b">
        <v>0</v>
      </c>
    </row>
    <row r="195">
      <c r="E195" s="341"/>
      <c r="F195" s="342"/>
      <c r="G195" s="343"/>
      <c r="H195" s="273" t="s">
        <v>285</v>
      </c>
      <c r="I195" s="363" t="s">
        <v>282</v>
      </c>
      <c r="J195" s="364"/>
      <c r="K195" s="363">
        <f t="shared" ref="K195:M195" si="38">PARAMS(K194)</f>
        <v>4096</v>
      </c>
      <c r="L195" s="363">
        <f t="shared" si="38"/>
        <v>5120</v>
      </c>
      <c r="M195" s="363">
        <f t="shared" si="38"/>
        <v>512</v>
      </c>
      <c r="N195" s="363" t="s">
        <v>283</v>
      </c>
      <c r="O195" s="341"/>
      <c r="P195" s="366">
        <f>SIZEOF_IN_MIB(J195:M195, $O194)</f>
        <v>20480</v>
      </c>
      <c r="Q195" s="341"/>
    </row>
    <row r="196">
      <c r="E196" s="341"/>
      <c r="F196" s="342"/>
      <c r="G196" s="343"/>
      <c r="H196" s="363" t="s">
        <v>287</v>
      </c>
      <c r="I196" s="363" t="s">
        <v>282</v>
      </c>
      <c r="J196" s="364"/>
      <c r="K196" s="273" t="s">
        <v>196</v>
      </c>
      <c r="L196" s="363"/>
      <c r="M196" s="363"/>
      <c r="N196" s="363" t="s">
        <v>283</v>
      </c>
      <c r="O196" s="341"/>
      <c r="P196" s="366"/>
      <c r="Q196" s="341"/>
    </row>
    <row r="197">
      <c r="E197" s="341"/>
      <c r="F197" s="353"/>
      <c r="G197" s="354"/>
      <c r="H197" s="349" t="s">
        <v>289</v>
      </c>
      <c r="I197" s="349" t="s">
        <v>282</v>
      </c>
      <c r="J197" s="336"/>
      <c r="K197" s="349">
        <f t="shared" ref="K197:M197" si="39">K195/SHARDING(K196)</f>
        <v>256</v>
      </c>
      <c r="L197" s="349">
        <f t="shared" si="39"/>
        <v>5120</v>
      </c>
      <c r="M197" s="349">
        <f t="shared" si="39"/>
        <v>512</v>
      </c>
      <c r="N197" s="349" t="s">
        <v>283</v>
      </c>
      <c r="O197" s="316"/>
      <c r="P197" s="351">
        <f>SIZEOF_IN_MIB(J197:M197, $O194)</f>
        <v>1280</v>
      </c>
      <c r="Q197" s="316"/>
    </row>
    <row r="198">
      <c r="E198" s="341"/>
      <c r="F198" s="334" t="s">
        <v>56</v>
      </c>
      <c r="G198" s="335"/>
      <c r="H198" s="346" t="s">
        <v>281</v>
      </c>
      <c r="I198" s="346" t="s">
        <v>282</v>
      </c>
      <c r="J198" s="344" t="s">
        <v>104</v>
      </c>
      <c r="K198" s="344" t="s">
        <v>102</v>
      </c>
      <c r="L198" s="344" t="s">
        <v>106</v>
      </c>
      <c r="M198" s="344" t="s">
        <v>207</v>
      </c>
      <c r="N198" s="346" t="s">
        <v>283</v>
      </c>
      <c r="O198" s="473" t="s">
        <v>133</v>
      </c>
      <c r="P198" s="348"/>
      <c r="Q198" s="473" t="b">
        <v>1</v>
      </c>
    </row>
    <row r="199">
      <c r="E199" s="341"/>
      <c r="F199" s="342"/>
      <c r="G199" s="343"/>
      <c r="H199" s="337" t="s">
        <v>285</v>
      </c>
      <c r="I199" s="349" t="s">
        <v>282</v>
      </c>
      <c r="J199" s="349">
        <f t="shared" ref="J199:M199" si="40">PARAMS(J198)</f>
        <v>4096</v>
      </c>
      <c r="K199" s="349">
        <f t="shared" si="40"/>
        <v>1</v>
      </c>
      <c r="L199" s="349">
        <f t="shared" si="40"/>
        <v>5120</v>
      </c>
      <c r="M199" s="349">
        <f t="shared" si="40"/>
        <v>128</v>
      </c>
      <c r="N199" s="349" t="s">
        <v>283</v>
      </c>
      <c r="O199" s="350"/>
      <c r="P199" s="351">
        <f>SIZEOF_IN_MIB(J199:M199, $O198)</f>
        <v>5120</v>
      </c>
      <c r="Q199" s="350"/>
    </row>
    <row r="200">
      <c r="E200" s="341"/>
      <c r="F200" s="342"/>
      <c r="G200" s="343"/>
      <c r="H200" s="346" t="s">
        <v>287</v>
      </c>
      <c r="I200" s="346" t="s">
        <v>282</v>
      </c>
      <c r="J200" s="344" t="s">
        <v>196</v>
      </c>
      <c r="K200" s="344"/>
      <c r="L200" s="344"/>
      <c r="M200" s="346"/>
      <c r="N200" s="346" t="s">
        <v>283</v>
      </c>
      <c r="O200" s="347"/>
      <c r="P200" s="348"/>
      <c r="Q200" s="347"/>
    </row>
    <row r="201">
      <c r="E201" s="341"/>
      <c r="F201" s="353"/>
      <c r="G201" s="354"/>
      <c r="H201" s="349" t="s">
        <v>289</v>
      </c>
      <c r="I201" s="349" t="s">
        <v>282</v>
      </c>
      <c r="J201" s="349">
        <f t="shared" ref="J201:M201" si="41">J199/SHARDING(J200)</f>
        <v>256</v>
      </c>
      <c r="K201" s="349">
        <f t="shared" si="41"/>
        <v>1</v>
      </c>
      <c r="L201" s="349">
        <f t="shared" si="41"/>
        <v>5120</v>
      </c>
      <c r="M201" s="349">
        <f t="shared" si="41"/>
        <v>128</v>
      </c>
      <c r="N201" s="349" t="s">
        <v>283</v>
      </c>
      <c r="O201" s="316"/>
      <c r="P201" s="351">
        <f>SIZEOF_IN_MIB(J201:M201, $O198)</f>
        <v>320</v>
      </c>
      <c r="Q201" s="316"/>
    </row>
    <row r="202">
      <c r="E202" s="341"/>
      <c r="F202" s="474" t="s">
        <v>335</v>
      </c>
      <c r="G202" s="459" t="s">
        <v>109</v>
      </c>
      <c r="H202" s="544" t="s">
        <v>348</v>
      </c>
      <c r="I202" s="345"/>
      <c r="J202" s="345"/>
      <c r="K202" s="345"/>
      <c r="L202" s="346"/>
      <c r="M202" s="346"/>
      <c r="N202" s="346"/>
      <c r="O202" s="545"/>
      <c r="P202" s="348"/>
      <c r="Q202" s="545"/>
    </row>
    <row r="203">
      <c r="E203" s="341"/>
      <c r="F203" s="352"/>
      <c r="G203" s="459"/>
      <c r="H203" s="349"/>
      <c r="I203" s="492"/>
      <c r="J203" s="336"/>
      <c r="K203" s="336"/>
      <c r="L203" s="349"/>
      <c r="M203" s="349"/>
      <c r="N203" s="349"/>
      <c r="O203" s="336"/>
      <c r="P203" s="351"/>
      <c r="Q203" s="298"/>
    </row>
    <row r="204">
      <c r="E204" s="341"/>
      <c r="F204" s="458" t="s">
        <v>327</v>
      </c>
      <c r="G204" s="459" t="s">
        <v>328</v>
      </c>
      <c r="H204" s="346" t="str">
        <f>VLOOKUP(O190&amp;","&amp;O194,$T$2:$W$11,4, FALSE)</f>
        <v>bf16</v>
      </c>
      <c r="I204" s="493"/>
      <c r="J204" s="345"/>
      <c r="K204" s="345"/>
      <c r="L204" s="346"/>
      <c r="M204" s="346"/>
      <c r="N204" s="346"/>
      <c r="O204" s="345"/>
      <c r="P204" s="348"/>
      <c r="Q204" s="379"/>
    </row>
    <row r="205">
      <c r="E205" s="341"/>
      <c r="F205" s="341"/>
      <c r="G205" s="455" t="s">
        <v>341</v>
      </c>
      <c r="H205" s="494" t="str">
        <f>CALCULATE_FLOPS(J193:M193,J197:M197,M197,K197,H204)</f>
        <v>#N/A</v>
      </c>
      <c r="I205" s="492"/>
      <c r="J205" s="336"/>
      <c r="K205" s="336"/>
      <c r="L205" s="349"/>
      <c r="M205" s="349"/>
      <c r="N205" s="349"/>
      <c r="O205" s="336"/>
      <c r="P205" s="351"/>
      <c r="Q205" s="298"/>
    </row>
    <row r="206">
      <c r="E206" s="341"/>
      <c r="F206" s="352"/>
      <c r="G206" s="462" t="s">
        <v>330</v>
      </c>
      <c r="H206" s="463" t="str">
        <f>COMPUTE_TIME_MS(H205, H204)</f>
        <v>#N/A</v>
      </c>
      <c r="I206" s="464"/>
      <c r="J206" s="465"/>
      <c r="K206" s="465"/>
      <c r="L206" s="466"/>
      <c r="M206" s="466"/>
      <c r="N206" s="466"/>
      <c r="O206" s="465"/>
      <c r="P206" s="467"/>
      <c r="Q206" s="379"/>
    </row>
    <row r="207">
      <c r="E207" s="341"/>
      <c r="F207" s="458" t="s">
        <v>331</v>
      </c>
      <c r="G207" s="455" t="s">
        <v>332</v>
      </c>
      <c r="H207" s="377">
        <f>IF(Q190,0,P193)+IF(Q194,0,P197)+IF(Q198,0,P201)</f>
        <v>1312</v>
      </c>
      <c r="I207" s="336"/>
      <c r="J207" s="336"/>
      <c r="K207" s="336"/>
      <c r="L207" s="349"/>
      <c r="M207" s="349"/>
      <c r="N207" s="349"/>
      <c r="O207" s="336"/>
      <c r="P207" s="351"/>
      <c r="Q207" s="298"/>
    </row>
    <row r="208">
      <c r="E208" s="352"/>
      <c r="F208" s="352"/>
      <c r="G208" s="469" t="s">
        <v>333</v>
      </c>
      <c r="H208" s="500">
        <f>HBM_TIME_MS(H207)</f>
        <v>0.4378844839</v>
      </c>
      <c r="I208" s="465"/>
      <c r="J208" s="465"/>
      <c r="K208" s="465"/>
      <c r="L208" s="466"/>
      <c r="M208" s="466"/>
      <c r="N208" s="466"/>
      <c r="O208" s="465"/>
      <c r="P208" s="467"/>
      <c r="Q208" s="379"/>
    </row>
    <row r="209">
      <c r="E209" s="333" t="s">
        <v>349</v>
      </c>
      <c r="F209" s="357" t="s">
        <v>292</v>
      </c>
      <c r="G209" s="335"/>
      <c r="H209" s="364" t="s">
        <v>281</v>
      </c>
      <c r="I209" s="364" t="s">
        <v>282</v>
      </c>
      <c r="J209" s="273" t="s">
        <v>104</v>
      </c>
      <c r="K209" s="273" t="s">
        <v>102</v>
      </c>
      <c r="L209" s="273" t="s">
        <v>207</v>
      </c>
      <c r="M209" s="472" t="s">
        <v>204</v>
      </c>
      <c r="N209" s="364" t="s">
        <v>283</v>
      </c>
      <c r="O209" s="365" t="s">
        <v>133</v>
      </c>
      <c r="P209" s="366"/>
      <c r="Q209" s="365" t="b">
        <v>0</v>
      </c>
    </row>
    <row r="210">
      <c r="E210" s="341"/>
      <c r="F210" s="342"/>
      <c r="G210" s="343"/>
      <c r="H210" s="273" t="s">
        <v>285</v>
      </c>
      <c r="I210" s="364" t="s">
        <v>282</v>
      </c>
      <c r="J210" s="363">
        <f t="shared" ref="J210:M210" si="42">PARAMS(J209)</f>
        <v>4096</v>
      </c>
      <c r="K210" s="364">
        <f t="shared" si="42"/>
        <v>1</v>
      </c>
      <c r="L210" s="364">
        <f t="shared" si="42"/>
        <v>128</v>
      </c>
      <c r="M210" s="364">
        <f t="shared" si="42"/>
        <v>64</v>
      </c>
      <c r="N210" s="364" t="s">
        <v>283</v>
      </c>
      <c r="O210" s="341"/>
      <c r="P210" s="366">
        <f>SIZEOF_IN_MIB(J210:M210, $O209)</f>
        <v>64</v>
      </c>
      <c r="Q210" s="341"/>
    </row>
    <row r="211">
      <c r="E211" s="341"/>
      <c r="F211" s="342"/>
      <c r="G211" s="343"/>
      <c r="H211" s="363" t="s">
        <v>287</v>
      </c>
      <c r="I211" s="363" t="s">
        <v>282</v>
      </c>
      <c r="J211" s="273" t="s">
        <v>196</v>
      </c>
      <c r="K211" s="273"/>
      <c r="L211" s="273"/>
      <c r="M211" s="363"/>
      <c r="N211" s="363" t="s">
        <v>283</v>
      </c>
      <c r="O211" s="341"/>
      <c r="P211" s="366"/>
      <c r="Q211" s="341"/>
    </row>
    <row r="212">
      <c r="E212" s="341"/>
      <c r="F212" s="353"/>
      <c r="G212" s="354"/>
      <c r="H212" s="273" t="s">
        <v>289</v>
      </c>
      <c r="I212" s="363" t="s">
        <v>282</v>
      </c>
      <c r="J212" s="363">
        <f t="shared" ref="J212:M212" si="43">J210/SHARDING(J211)</f>
        <v>256</v>
      </c>
      <c r="K212" s="363">
        <f t="shared" si="43"/>
        <v>1</v>
      </c>
      <c r="L212" s="363">
        <f t="shared" si="43"/>
        <v>128</v>
      </c>
      <c r="M212" s="363">
        <f t="shared" si="43"/>
        <v>64</v>
      </c>
      <c r="N212" s="363" t="s">
        <v>283</v>
      </c>
      <c r="O212" s="352"/>
      <c r="P212" s="366">
        <f>SIZEOF_IN_MIB(J212:M212, $O209)</f>
        <v>4</v>
      </c>
      <c r="Q212" s="352"/>
    </row>
    <row r="213">
      <c r="E213" s="341"/>
      <c r="F213" s="334" t="s">
        <v>296</v>
      </c>
      <c r="G213" s="335"/>
      <c r="H213" s="363" t="s">
        <v>281</v>
      </c>
      <c r="I213" s="363" t="s">
        <v>282</v>
      </c>
      <c r="J213" s="364"/>
      <c r="K213" s="273" t="s">
        <v>104</v>
      </c>
      <c r="L213" s="273" t="s">
        <v>106</v>
      </c>
      <c r="M213" s="472" t="s">
        <v>204</v>
      </c>
      <c r="N213" s="363" t="s">
        <v>283</v>
      </c>
      <c r="O213" s="365" t="s">
        <v>133</v>
      </c>
      <c r="P213" s="366"/>
      <c r="Q213" s="365" t="b">
        <v>0</v>
      </c>
    </row>
    <row r="214">
      <c r="E214" s="341"/>
      <c r="F214" s="342"/>
      <c r="G214" s="343"/>
      <c r="H214" s="273" t="s">
        <v>285</v>
      </c>
      <c r="I214" s="363" t="s">
        <v>282</v>
      </c>
      <c r="J214" s="364"/>
      <c r="K214" s="363">
        <f t="shared" ref="K214:M214" si="44">PARAMS(K213)</f>
        <v>4096</v>
      </c>
      <c r="L214" s="363">
        <f t="shared" si="44"/>
        <v>5120</v>
      </c>
      <c r="M214" s="363">
        <f t="shared" si="44"/>
        <v>64</v>
      </c>
      <c r="N214" s="363" t="s">
        <v>283</v>
      </c>
      <c r="O214" s="341"/>
      <c r="P214" s="366">
        <f>SIZEOF_IN_MIB(J214:M214, $O213)</f>
        <v>2560</v>
      </c>
      <c r="Q214" s="341"/>
    </row>
    <row r="215">
      <c r="E215" s="341"/>
      <c r="F215" s="342"/>
      <c r="G215" s="343"/>
      <c r="H215" s="363" t="s">
        <v>287</v>
      </c>
      <c r="I215" s="363" t="s">
        <v>282</v>
      </c>
      <c r="J215" s="364"/>
      <c r="K215" s="273" t="s">
        <v>196</v>
      </c>
      <c r="L215" s="363"/>
      <c r="M215" s="363"/>
      <c r="N215" s="363" t="s">
        <v>283</v>
      </c>
      <c r="O215" s="341"/>
      <c r="P215" s="366"/>
      <c r="Q215" s="341"/>
    </row>
    <row r="216">
      <c r="E216" s="341"/>
      <c r="F216" s="353"/>
      <c r="G216" s="354"/>
      <c r="H216" s="349" t="s">
        <v>289</v>
      </c>
      <c r="I216" s="349" t="s">
        <v>282</v>
      </c>
      <c r="J216" s="336"/>
      <c r="K216" s="349">
        <f t="shared" ref="K216:M216" si="45">K214/SHARDING(K215)</f>
        <v>256</v>
      </c>
      <c r="L216" s="349">
        <f t="shared" si="45"/>
        <v>5120</v>
      </c>
      <c r="M216" s="349">
        <f t="shared" si="45"/>
        <v>64</v>
      </c>
      <c r="N216" s="349" t="s">
        <v>283</v>
      </c>
      <c r="O216" s="316"/>
      <c r="P216" s="351">
        <f>SIZEOF_IN_MIB(J216:M216, $O213)</f>
        <v>160</v>
      </c>
      <c r="Q216" s="316"/>
    </row>
    <row r="217">
      <c r="E217" s="341"/>
      <c r="F217" s="334" t="s">
        <v>56</v>
      </c>
      <c r="G217" s="335"/>
      <c r="H217" s="346" t="s">
        <v>281</v>
      </c>
      <c r="I217" s="346" t="s">
        <v>282</v>
      </c>
      <c r="J217" s="344" t="s">
        <v>104</v>
      </c>
      <c r="K217" s="344" t="s">
        <v>102</v>
      </c>
      <c r="L217" s="344" t="s">
        <v>106</v>
      </c>
      <c r="M217" s="344" t="s">
        <v>207</v>
      </c>
      <c r="N217" s="346" t="s">
        <v>283</v>
      </c>
      <c r="O217" s="546" t="s">
        <v>133</v>
      </c>
      <c r="P217" s="348"/>
      <c r="Q217" s="473" t="b">
        <v>1</v>
      </c>
    </row>
    <row r="218">
      <c r="E218" s="341"/>
      <c r="F218" s="342"/>
      <c r="G218" s="343"/>
      <c r="H218" s="337" t="s">
        <v>285</v>
      </c>
      <c r="I218" s="349" t="s">
        <v>282</v>
      </c>
      <c r="J218" s="349">
        <f t="shared" ref="J218:M218" si="46">PARAMS(J217)</f>
        <v>4096</v>
      </c>
      <c r="K218" s="349">
        <f t="shared" si="46"/>
        <v>1</v>
      </c>
      <c r="L218" s="349">
        <f t="shared" si="46"/>
        <v>5120</v>
      </c>
      <c r="M218" s="349">
        <f t="shared" si="46"/>
        <v>128</v>
      </c>
      <c r="N218" s="349" t="s">
        <v>283</v>
      </c>
      <c r="O218" s="350"/>
      <c r="P218" s="351">
        <f>SIZEOF_IN_MIB(J218:M218, $O217)</f>
        <v>5120</v>
      </c>
      <c r="Q218" s="350"/>
    </row>
    <row r="219">
      <c r="E219" s="341"/>
      <c r="F219" s="342"/>
      <c r="G219" s="343"/>
      <c r="H219" s="346" t="s">
        <v>287</v>
      </c>
      <c r="I219" s="346" t="s">
        <v>282</v>
      </c>
      <c r="J219" s="344" t="s">
        <v>196</v>
      </c>
      <c r="K219" s="344"/>
      <c r="L219" s="344"/>
      <c r="M219" s="346"/>
      <c r="N219" s="346" t="s">
        <v>283</v>
      </c>
      <c r="O219" s="347"/>
      <c r="P219" s="348"/>
      <c r="Q219" s="347"/>
    </row>
    <row r="220">
      <c r="E220" s="341"/>
      <c r="F220" s="353"/>
      <c r="G220" s="354"/>
      <c r="H220" s="349" t="s">
        <v>289</v>
      </c>
      <c r="I220" s="349" t="s">
        <v>282</v>
      </c>
      <c r="J220" s="349">
        <f t="shared" ref="J220:M220" si="47">J218/SHARDING(J219)</f>
        <v>256</v>
      </c>
      <c r="K220" s="349">
        <f t="shared" si="47"/>
        <v>1</v>
      </c>
      <c r="L220" s="349">
        <f t="shared" si="47"/>
        <v>5120</v>
      </c>
      <c r="M220" s="349">
        <f t="shared" si="47"/>
        <v>128</v>
      </c>
      <c r="N220" s="349" t="s">
        <v>283</v>
      </c>
      <c r="O220" s="316"/>
      <c r="P220" s="351">
        <f>SIZEOF_IN_MIB(J220:M220, $O217)</f>
        <v>320</v>
      </c>
      <c r="Q220" s="316"/>
    </row>
    <row r="221">
      <c r="E221" s="341"/>
      <c r="F221" s="474" t="s">
        <v>335</v>
      </c>
      <c r="G221" s="459" t="s">
        <v>109</v>
      </c>
      <c r="H221" s="497"/>
      <c r="I221" s="498"/>
      <c r="J221" s="345"/>
      <c r="K221" s="345"/>
      <c r="L221" s="346"/>
      <c r="M221" s="346"/>
      <c r="N221" s="346"/>
      <c r="O221" s="345"/>
      <c r="P221" s="348"/>
      <c r="Q221" s="379"/>
    </row>
    <row r="222">
      <c r="E222" s="341"/>
      <c r="F222" s="352"/>
      <c r="G222" s="459"/>
      <c r="H222" s="349"/>
      <c r="I222" s="492"/>
      <c r="J222" s="336"/>
      <c r="K222" s="336"/>
      <c r="L222" s="349"/>
      <c r="M222" s="349"/>
      <c r="N222" s="349"/>
      <c r="O222" s="336"/>
      <c r="P222" s="351"/>
      <c r="Q222" s="298"/>
    </row>
    <row r="223">
      <c r="E223" s="341"/>
      <c r="F223" s="458" t="s">
        <v>327</v>
      </c>
      <c r="G223" s="459" t="s">
        <v>328</v>
      </c>
      <c r="H223" s="346" t="str">
        <f>VLOOKUP(O209&amp;","&amp;O213,$T$2:$W$11,4, FALSE)</f>
        <v>bf16</v>
      </c>
      <c r="I223" s="493"/>
      <c r="J223" s="345"/>
      <c r="K223" s="345"/>
      <c r="L223" s="346"/>
      <c r="M223" s="346"/>
      <c r="N223" s="346"/>
      <c r="O223" s="345"/>
      <c r="P223" s="348"/>
      <c r="Q223" s="379"/>
    </row>
    <row r="224">
      <c r="E224" s="341"/>
      <c r="F224" s="341"/>
      <c r="G224" s="455" t="s">
        <v>341</v>
      </c>
      <c r="H224" s="494" t="str">
        <f>CALCULATE_FLOPS(J212:M212,J216:M216,M216,K216,H223)</f>
        <v>#N/A</v>
      </c>
      <c r="I224" s="492"/>
      <c r="J224" s="336"/>
      <c r="K224" s="336"/>
      <c r="L224" s="349"/>
      <c r="M224" s="349"/>
      <c r="N224" s="349"/>
      <c r="O224" s="336"/>
      <c r="P224" s="351"/>
      <c r="Q224" s="298"/>
    </row>
    <row r="225">
      <c r="E225" s="341"/>
      <c r="F225" s="352"/>
      <c r="G225" s="462" t="s">
        <v>330</v>
      </c>
      <c r="H225" s="495" t="str">
        <f>COMPUTE_TIME_MS(H224, H223)</f>
        <v>#N/A</v>
      </c>
      <c r="I225" s="464"/>
      <c r="J225" s="465"/>
      <c r="K225" s="465"/>
      <c r="L225" s="466"/>
      <c r="M225" s="466"/>
      <c r="N225" s="466"/>
      <c r="O225" s="465"/>
      <c r="P225" s="467"/>
      <c r="Q225" s="379"/>
    </row>
    <row r="226">
      <c r="E226" s="341"/>
      <c r="F226" s="458" t="s">
        <v>331</v>
      </c>
      <c r="G226" s="455" t="s">
        <v>332</v>
      </c>
      <c r="H226" s="377">
        <f>IF(Q209,0,P212)+IF(Q213,0,P216)+IF(Q217,0,P220)</f>
        <v>164</v>
      </c>
      <c r="I226" s="336"/>
      <c r="J226" s="336"/>
      <c r="K226" s="336"/>
      <c r="L226" s="349"/>
      <c r="M226" s="349"/>
      <c r="N226" s="349"/>
      <c r="O226" s="336"/>
      <c r="P226" s="351"/>
      <c r="Q226" s="298"/>
    </row>
    <row r="227">
      <c r="E227" s="352"/>
      <c r="F227" s="352"/>
      <c r="G227" s="469" t="s">
        <v>333</v>
      </c>
      <c r="H227" s="500">
        <f>HBM_TIME_MS(H226)</f>
        <v>0.05473556049</v>
      </c>
      <c r="I227" s="465"/>
      <c r="J227" s="465"/>
      <c r="K227" s="465"/>
      <c r="L227" s="466"/>
      <c r="M227" s="466"/>
      <c r="N227" s="466"/>
      <c r="O227" s="465"/>
      <c r="P227" s="467"/>
      <c r="Q227" s="379"/>
    </row>
    <row r="228">
      <c r="E228" s="333" t="s">
        <v>350</v>
      </c>
      <c r="F228" s="357" t="s">
        <v>292</v>
      </c>
      <c r="G228" s="335"/>
      <c r="H228" s="364" t="s">
        <v>281</v>
      </c>
      <c r="I228" s="364" t="s">
        <v>282</v>
      </c>
      <c r="J228" s="273" t="s">
        <v>104</v>
      </c>
      <c r="K228" s="273" t="s">
        <v>102</v>
      </c>
      <c r="L228" s="472" t="s">
        <v>106</v>
      </c>
      <c r="M228" s="273" t="s">
        <v>207</v>
      </c>
      <c r="N228" s="364" t="s">
        <v>283</v>
      </c>
      <c r="O228" s="365" t="s">
        <v>133</v>
      </c>
      <c r="P228" s="366"/>
      <c r="Q228" s="365" t="b">
        <v>1</v>
      </c>
    </row>
    <row r="229">
      <c r="E229" s="341"/>
      <c r="F229" s="342"/>
      <c r="G229" s="343"/>
      <c r="H229" s="273" t="s">
        <v>285</v>
      </c>
      <c r="I229" s="364" t="s">
        <v>282</v>
      </c>
      <c r="J229" s="363">
        <f t="shared" ref="J229:M229" si="48">PARAMS(J228)</f>
        <v>4096</v>
      </c>
      <c r="K229" s="364">
        <f t="shared" si="48"/>
        <v>1</v>
      </c>
      <c r="L229" s="364">
        <f t="shared" si="48"/>
        <v>5120</v>
      </c>
      <c r="M229" s="364">
        <f t="shared" si="48"/>
        <v>128</v>
      </c>
      <c r="N229" s="364" t="s">
        <v>283</v>
      </c>
      <c r="O229" s="341"/>
      <c r="P229" s="366">
        <f>SIZEOF_IN_MIB(J229:M229, $O228)</f>
        <v>5120</v>
      </c>
      <c r="Q229" s="341"/>
    </row>
    <row r="230">
      <c r="E230" s="341"/>
      <c r="F230" s="342"/>
      <c r="G230" s="343"/>
      <c r="H230" s="363" t="s">
        <v>287</v>
      </c>
      <c r="I230" s="363" t="s">
        <v>282</v>
      </c>
      <c r="J230" s="273" t="s">
        <v>196</v>
      </c>
      <c r="K230" s="273"/>
      <c r="L230" s="273"/>
      <c r="M230" s="363"/>
      <c r="N230" s="363" t="s">
        <v>283</v>
      </c>
      <c r="O230" s="341"/>
      <c r="P230" s="366"/>
      <c r="Q230" s="341"/>
    </row>
    <row r="231">
      <c r="E231" s="341"/>
      <c r="F231" s="353"/>
      <c r="G231" s="354"/>
      <c r="H231" s="273" t="s">
        <v>289</v>
      </c>
      <c r="I231" s="363" t="s">
        <v>282</v>
      </c>
      <c r="J231" s="363">
        <f t="shared" ref="J231:M231" si="49">J229/SHARDING(J230)</f>
        <v>256</v>
      </c>
      <c r="K231" s="363">
        <f t="shared" si="49"/>
        <v>1</v>
      </c>
      <c r="L231" s="363">
        <f t="shared" si="49"/>
        <v>5120</v>
      </c>
      <c r="M231" s="363">
        <f t="shared" si="49"/>
        <v>128</v>
      </c>
      <c r="N231" s="363" t="s">
        <v>283</v>
      </c>
      <c r="O231" s="352"/>
      <c r="P231" s="366">
        <f>SIZEOF_IN_MIB(J231:M231, $O228)</f>
        <v>320</v>
      </c>
      <c r="Q231" s="352"/>
    </row>
    <row r="232">
      <c r="E232" s="341"/>
      <c r="F232" s="334" t="s">
        <v>296</v>
      </c>
      <c r="G232" s="335"/>
      <c r="H232" s="363" t="s">
        <v>281</v>
      </c>
      <c r="I232" s="363" t="s">
        <v>282</v>
      </c>
      <c r="J232" s="273" t="s">
        <v>104</v>
      </c>
      <c r="K232" s="273"/>
      <c r="L232" s="472" t="s">
        <v>106</v>
      </c>
      <c r="M232" s="273" t="s">
        <v>198</v>
      </c>
      <c r="N232" s="363" t="s">
        <v>283</v>
      </c>
      <c r="O232" s="365" t="s">
        <v>133</v>
      </c>
      <c r="P232" s="366"/>
      <c r="Q232" s="365" t="b">
        <v>1</v>
      </c>
    </row>
    <row r="233">
      <c r="E233" s="341"/>
      <c r="F233" s="342"/>
      <c r="G233" s="343"/>
      <c r="H233" s="273" t="s">
        <v>285</v>
      </c>
      <c r="I233" s="363" t="s">
        <v>282</v>
      </c>
      <c r="J233" s="363">
        <f>PARAMS(J232)</f>
        <v>4096</v>
      </c>
      <c r="K233" s="363"/>
      <c r="L233" s="363">
        <f t="shared" ref="L233:M233" si="50">PARAMS(L232)</f>
        <v>5120</v>
      </c>
      <c r="M233" s="363">
        <f t="shared" si="50"/>
        <v>512</v>
      </c>
      <c r="N233" s="363" t="s">
        <v>283</v>
      </c>
      <c r="O233" s="341"/>
      <c r="P233" s="366">
        <f>SIZEOF_IN_MIB(J233:M233, $O232)</f>
        <v>20480</v>
      </c>
      <c r="Q233" s="341"/>
    </row>
    <row r="234">
      <c r="E234" s="341"/>
      <c r="F234" s="342"/>
      <c r="G234" s="343"/>
      <c r="H234" s="363" t="s">
        <v>287</v>
      </c>
      <c r="I234" s="363" t="s">
        <v>282</v>
      </c>
      <c r="J234" s="273" t="s">
        <v>196</v>
      </c>
      <c r="K234" s="364"/>
      <c r="L234" s="363"/>
      <c r="M234" s="363"/>
      <c r="N234" s="363" t="s">
        <v>283</v>
      </c>
      <c r="O234" s="341"/>
      <c r="P234" s="366"/>
      <c r="Q234" s="341"/>
    </row>
    <row r="235">
      <c r="E235" s="341"/>
      <c r="F235" s="353"/>
      <c r="G235" s="354"/>
      <c r="H235" s="349" t="s">
        <v>289</v>
      </c>
      <c r="I235" s="349" t="s">
        <v>282</v>
      </c>
      <c r="J235" s="349">
        <f>J233/SHARDING(J234)</f>
        <v>256</v>
      </c>
      <c r="K235" s="349"/>
      <c r="L235" s="349">
        <f t="shared" ref="L235:M235" si="51">L233/SHARDING(L234)</f>
        <v>5120</v>
      </c>
      <c r="M235" s="349">
        <f t="shared" si="51"/>
        <v>512</v>
      </c>
      <c r="N235" s="349" t="s">
        <v>283</v>
      </c>
      <c r="O235" s="316"/>
      <c r="P235" s="351">
        <f>SIZEOF_IN_MIB(J235:M235, $O232)</f>
        <v>1280</v>
      </c>
      <c r="Q235" s="316"/>
    </row>
    <row r="236">
      <c r="E236" s="341"/>
      <c r="F236" s="334" t="s">
        <v>56</v>
      </c>
      <c r="G236" s="335"/>
      <c r="H236" s="346" t="s">
        <v>281</v>
      </c>
      <c r="I236" s="346" t="s">
        <v>282</v>
      </c>
      <c r="J236" s="344" t="s">
        <v>104</v>
      </c>
      <c r="K236" s="344" t="s">
        <v>102</v>
      </c>
      <c r="L236" s="344" t="s">
        <v>207</v>
      </c>
      <c r="M236" s="344" t="s">
        <v>198</v>
      </c>
      <c r="N236" s="346" t="s">
        <v>283</v>
      </c>
      <c r="O236" s="546" t="s">
        <v>133</v>
      </c>
      <c r="P236" s="348"/>
      <c r="Q236" s="473" t="b">
        <v>0</v>
      </c>
    </row>
    <row r="237">
      <c r="E237" s="341"/>
      <c r="F237" s="342"/>
      <c r="G237" s="343"/>
      <c r="H237" s="337" t="s">
        <v>285</v>
      </c>
      <c r="I237" s="349" t="s">
        <v>282</v>
      </c>
      <c r="J237" s="349">
        <f t="shared" ref="J237:M237" si="52">PARAMS(J236)</f>
        <v>4096</v>
      </c>
      <c r="K237" s="349">
        <f t="shared" si="52"/>
        <v>1</v>
      </c>
      <c r="L237" s="349">
        <f t="shared" si="52"/>
        <v>128</v>
      </c>
      <c r="M237" s="349">
        <f t="shared" si="52"/>
        <v>512</v>
      </c>
      <c r="N237" s="349" t="s">
        <v>283</v>
      </c>
      <c r="O237" s="350"/>
      <c r="P237" s="351">
        <f>SIZEOF_IN_MIB(J237:M237, $O236)</f>
        <v>512</v>
      </c>
      <c r="Q237" s="350"/>
    </row>
    <row r="238">
      <c r="E238" s="341"/>
      <c r="F238" s="342"/>
      <c r="G238" s="343"/>
      <c r="H238" s="346" t="s">
        <v>287</v>
      </c>
      <c r="I238" s="346" t="s">
        <v>282</v>
      </c>
      <c r="J238" s="344" t="s">
        <v>196</v>
      </c>
      <c r="K238" s="344"/>
      <c r="L238" s="344"/>
      <c r="M238" s="346"/>
      <c r="N238" s="346" t="s">
        <v>283</v>
      </c>
      <c r="O238" s="347"/>
      <c r="P238" s="348"/>
      <c r="Q238" s="347"/>
    </row>
    <row r="239">
      <c r="E239" s="341"/>
      <c r="F239" s="353"/>
      <c r="G239" s="354"/>
      <c r="H239" s="349" t="s">
        <v>289</v>
      </c>
      <c r="I239" s="349" t="s">
        <v>282</v>
      </c>
      <c r="J239" s="349">
        <f t="shared" ref="J239:M239" si="53">J237/SHARDING(J238)</f>
        <v>256</v>
      </c>
      <c r="K239" s="349">
        <f t="shared" si="53"/>
        <v>1</v>
      </c>
      <c r="L239" s="349">
        <f t="shared" si="53"/>
        <v>128</v>
      </c>
      <c r="M239" s="349">
        <f t="shared" si="53"/>
        <v>512</v>
      </c>
      <c r="N239" s="349" t="s">
        <v>283</v>
      </c>
      <c r="O239" s="316"/>
      <c r="P239" s="351">
        <f>SIZEOF_IN_MIB(J239:M239, $O236)</f>
        <v>32</v>
      </c>
      <c r="Q239" s="316"/>
    </row>
    <row r="240">
      <c r="E240" s="341"/>
      <c r="F240" s="474" t="s">
        <v>335</v>
      </c>
      <c r="G240" s="459" t="s">
        <v>109</v>
      </c>
      <c r="H240" s="497"/>
      <c r="I240" s="498"/>
      <c r="J240" s="345"/>
      <c r="K240" s="345"/>
      <c r="L240" s="346"/>
      <c r="M240" s="346"/>
      <c r="N240" s="346"/>
      <c r="O240" s="345"/>
      <c r="P240" s="348"/>
      <c r="Q240" s="379"/>
    </row>
    <row r="241">
      <c r="E241" s="341"/>
      <c r="F241" s="352"/>
      <c r="G241" s="459"/>
      <c r="H241" s="349"/>
      <c r="I241" s="492"/>
      <c r="J241" s="336"/>
      <c r="K241" s="336"/>
      <c r="L241" s="349"/>
      <c r="M241" s="349"/>
      <c r="N241" s="349"/>
      <c r="O241" s="336"/>
      <c r="P241" s="351"/>
      <c r="Q241" s="298"/>
    </row>
    <row r="242">
      <c r="E242" s="341"/>
      <c r="F242" s="458" t="s">
        <v>327</v>
      </c>
      <c r="G242" s="459" t="s">
        <v>328</v>
      </c>
      <c r="H242" s="346" t="str">
        <f>VLOOKUP(O228&amp;","&amp;O232,$T$2:$W$11,4, FALSE)</f>
        <v>bf16</v>
      </c>
      <c r="I242" s="493"/>
      <c r="J242" s="345"/>
      <c r="K242" s="345"/>
      <c r="L242" s="346"/>
      <c r="M242" s="346"/>
      <c r="N242" s="346"/>
      <c r="O242" s="345"/>
      <c r="P242" s="348"/>
      <c r="Q242" s="379"/>
    </row>
    <row r="243">
      <c r="E243" s="341"/>
      <c r="F243" s="341"/>
      <c r="G243" s="455" t="s">
        <v>341</v>
      </c>
      <c r="H243" s="494" t="str">
        <f>CALCULATE_FLOPS(J231:M231,J235:M235,L235,J235,H242)</f>
        <v>#N/A</v>
      </c>
      <c r="I243" s="492"/>
      <c r="J243" s="336"/>
      <c r="K243" s="336"/>
      <c r="L243" s="349"/>
      <c r="M243" s="349"/>
      <c r="N243" s="349"/>
      <c r="O243" s="336"/>
      <c r="P243" s="351"/>
      <c r="Q243" s="298"/>
    </row>
    <row r="244">
      <c r="E244" s="341"/>
      <c r="F244" s="352"/>
      <c r="G244" s="462" t="s">
        <v>330</v>
      </c>
      <c r="H244" s="495" t="str">
        <f>COMPUTE_TIME_MS(H243, H242)</f>
        <v>#N/A</v>
      </c>
      <c r="I244" s="464"/>
      <c r="J244" s="465"/>
      <c r="K244" s="465"/>
      <c r="L244" s="466"/>
      <c r="M244" s="466"/>
      <c r="N244" s="466"/>
      <c r="O244" s="465"/>
      <c r="P244" s="467"/>
      <c r="Q244" s="379"/>
    </row>
    <row r="245">
      <c r="E245" s="341"/>
      <c r="F245" s="458" t="s">
        <v>331</v>
      </c>
      <c r="G245" s="455" t="s">
        <v>332</v>
      </c>
      <c r="H245" s="377">
        <f>IF(Q228,0,P231)+IF(Q232,0,P235)+IF(Q236,0,P239)</f>
        <v>32</v>
      </c>
      <c r="I245" s="336"/>
      <c r="J245" s="336"/>
      <c r="K245" s="336"/>
      <c r="L245" s="349"/>
      <c r="M245" s="349"/>
      <c r="N245" s="349"/>
      <c r="O245" s="336"/>
      <c r="P245" s="351"/>
      <c r="Q245" s="298"/>
    </row>
    <row r="246">
      <c r="E246" s="352"/>
      <c r="F246" s="352"/>
      <c r="G246" s="469" t="s">
        <v>333</v>
      </c>
      <c r="H246" s="547">
        <f>HBM_TIME_MS(H245)</f>
        <v>0.01068010936</v>
      </c>
      <c r="I246" s="465"/>
      <c r="J246" s="465"/>
      <c r="K246" s="465"/>
      <c r="L246" s="466"/>
      <c r="M246" s="466"/>
      <c r="N246" s="466"/>
      <c r="O246" s="465"/>
      <c r="P246" s="467"/>
      <c r="Q246" s="379"/>
    </row>
    <row r="247">
      <c r="E247" s="333" t="s">
        <v>351</v>
      </c>
      <c r="F247" s="357" t="s">
        <v>292</v>
      </c>
      <c r="G247" s="335"/>
      <c r="H247" s="336" t="s">
        <v>281</v>
      </c>
      <c r="I247" s="336" t="s">
        <v>282</v>
      </c>
      <c r="J247" s="337" t="s">
        <v>104</v>
      </c>
      <c r="K247" s="337" t="s">
        <v>102</v>
      </c>
      <c r="L247" s="337" t="s">
        <v>207</v>
      </c>
      <c r="M247" s="499" t="s">
        <v>198</v>
      </c>
      <c r="N247" s="336" t="s">
        <v>283</v>
      </c>
      <c r="O247" s="338" t="s">
        <v>125</v>
      </c>
      <c r="P247" s="351"/>
      <c r="Q247" s="338" t="b">
        <v>0</v>
      </c>
    </row>
    <row r="248">
      <c r="E248" s="341"/>
      <c r="F248" s="342"/>
      <c r="G248" s="343"/>
      <c r="H248" s="344" t="s">
        <v>285</v>
      </c>
      <c r="I248" s="345" t="s">
        <v>282</v>
      </c>
      <c r="J248" s="346">
        <f t="shared" ref="J248:M248" si="54">PARAMS(J247)</f>
        <v>4096</v>
      </c>
      <c r="K248" s="345">
        <f t="shared" si="54"/>
        <v>1</v>
      </c>
      <c r="L248" s="345">
        <f t="shared" si="54"/>
        <v>128</v>
      </c>
      <c r="M248" s="345">
        <f t="shared" si="54"/>
        <v>512</v>
      </c>
      <c r="N248" s="345" t="s">
        <v>283</v>
      </c>
      <c r="O248" s="347"/>
      <c r="P248" s="348">
        <f>SIZEOF_IN_MIB(J248:M248, $O247)</f>
        <v>256</v>
      </c>
      <c r="Q248" s="347"/>
    </row>
    <row r="249">
      <c r="E249" s="341"/>
      <c r="F249" s="342"/>
      <c r="G249" s="343"/>
      <c r="H249" s="349" t="s">
        <v>287</v>
      </c>
      <c r="I249" s="349" t="s">
        <v>282</v>
      </c>
      <c r="J249" s="337" t="s">
        <v>196</v>
      </c>
      <c r="K249" s="337"/>
      <c r="L249" s="337"/>
      <c r="M249" s="349"/>
      <c r="N249" s="349" t="s">
        <v>283</v>
      </c>
      <c r="O249" s="350"/>
      <c r="P249" s="351"/>
      <c r="Q249" s="350"/>
    </row>
    <row r="250">
      <c r="E250" s="341"/>
      <c r="F250" s="353"/>
      <c r="G250" s="354"/>
      <c r="H250" s="344" t="s">
        <v>289</v>
      </c>
      <c r="I250" s="346" t="s">
        <v>282</v>
      </c>
      <c r="J250" s="346">
        <f t="shared" ref="J250:M250" si="55">J248/SHARDING(J249)</f>
        <v>256</v>
      </c>
      <c r="K250" s="346">
        <f t="shared" si="55"/>
        <v>1</v>
      </c>
      <c r="L250" s="346">
        <f t="shared" si="55"/>
        <v>128</v>
      </c>
      <c r="M250" s="346">
        <f t="shared" si="55"/>
        <v>512</v>
      </c>
      <c r="N250" s="346" t="s">
        <v>283</v>
      </c>
      <c r="O250" s="355"/>
      <c r="P250" s="348">
        <f>SIZEOF_IN_MIB(J250:M250, $O247)</f>
        <v>16</v>
      </c>
      <c r="Q250" s="355"/>
    </row>
    <row r="251">
      <c r="E251" s="341"/>
      <c r="F251" s="334" t="s">
        <v>296</v>
      </c>
      <c r="G251" s="335"/>
      <c r="H251" s="349" t="s">
        <v>281</v>
      </c>
      <c r="I251" s="349" t="s">
        <v>282</v>
      </c>
      <c r="J251" s="336"/>
      <c r="K251" s="337" t="s">
        <v>207</v>
      </c>
      <c r="L251" s="337" t="s">
        <v>201</v>
      </c>
      <c r="M251" s="499" t="s">
        <v>198</v>
      </c>
      <c r="N251" s="349" t="s">
        <v>283</v>
      </c>
      <c r="O251" s="338" t="s">
        <v>125</v>
      </c>
      <c r="P251" s="351"/>
      <c r="Q251" s="338" t="b">
        <v>0</v>
      </c>
    </row>
    <row r="252">
      <c r="E252" s="341"/>
      <c r="F252" s="342"/>
      <c r="G252" s="343"/>
      <c r="H252" s="344" t="s">
        <v>285</v>
      </c>
      <c r="I252" s="346" t="s">
        <v>282</v>
      </c>
      <c r="J252" s="345"/>
      <c r="K252" s="346">
        <f t="shared" ref="K252:M252" si="56">PARAMS(K251)</f>
        <v>128</v>
      </c>
      <c r="L252" s="346">
        <f t="shared" si="56"/>
        <v>128</v>
      </c>
      <c r="M252" s="346">
        <f t="shared" si="56"/>
        <v>512</v>
      </c>
      <c r="N252" s="346" t="s">
        <v>283</v>
      </c>
      <c r="O252" s="347"/>
      <c r="P252" s="348">
        <f>SIZEOF_IN_MIB(J252:M252, $O251)</f>
        <v>8</v>
      </c>
      <c r="Q252" s="347"/>
    </row>
    <row r="253">
      <c r="E253" s="341"/>
      <c r="F253" s="342"/>
      <c r="G253" s="343"/>
      <c r="H253" s="349" t="s">
        <v>287</v>
      </c>
      <c r="I253" s="349" t="s">
        <v>282</v>
      </c>
      <c r="J253" s="336"/>
      <c r="K253" s="336"/>
      <c r="L253" s="349"/>
      <c r="M253" s="349"/>
      <c r="N253" s="349" t="s">
        <v>283</v>
      </c>
      <c r="O253" s="350"/>
      <c r="P253" s="351"/>
      <c r="Q253" s="350"/>
    </row>
    <row r="254">
      <c r="E254" s="341"/>
      <c r="F254" s="353"/>
      <c r="G254" s="354"/>
      <c r="H254" s="346" t="s">
        <v>289</v>
      </c>
      <c r="I254" s="346" t="s">
        <v>282</v>
      </c>
      <c r="J254" s="345"/>
      <c r="K254" s="346">
        <f t="shared" ref="K254:M254" si="57">K252/SHARDING(K253)</f>
        <v>128</v>
      </c>
      <c r="L254" s="346">
        <f t="shared" si="57"/>
        <v>128</v>
      </c>
      <c r="M254" s="346">
        <f t="shared" si="57"/>
        <v>512</v>
      </c>
      <c r="N254" s="346" t="s">
        <v>283</v>
      </c>
      <c r="O254" s="355"/>
      <c r="P254" s="348">
        <f>SIZEOF_IN_MIB(J254:M254, $O251)</f>
        <v>8</v>
      </c>
      <c r="Q254" s="355"/>
    </row>
    <row r="255">
      <c r="E255" s="341"/>
      <c r="F255" s="334" t="s">
        <v>56</v>
      </c>
      <c r="G255" s="335"/>
      <c r="H255" s="349" t="s">
        <v>281</v>
      </c>
      <c r="I255" s="349" t="s">
        <v>282</v>
      </c>
      <c r="J255" s="337" t="s">
        <v>104</v>
      </c>
      <c r="K255" s="337" t="s">
        <v>102</v>
      </c>
      <c r="L255" s="337" t="s">
        <v>207</v>
      </c>
      <c r="M255" s="337" t="s">
        <v>201</v>
      </c>
      <c r="N255" s="349" t="s">
        <v>283</v>
      </c>
      <c r="O255" s="338" t="s">
        <v>133</v>
      </c>
      <c r="P255" s="351"/>
      <c r="Q255" s="338" t="b">
        <v>0</v>
      </c>
    </row>
    <row r="256">
      <c r="E256" s="341"/>
      <c r="F256" s="342"/>
      <c r="G256" s="343"/>
      <c r="H256" s="344" t="s">
        <v>285</v>
      </c>
      <c r="I256" s="346" t="s">
        <v>282</v>
      </c>
      <c r="J256" s="346">
        <f t="shared" ref="J256:M256" si="58">PARAMS(J255)</f>
        <v>4096</v>
      </c>
      <c r="K256" s="346">
        <f t="shared" si="58"/>
        <v>1</v>
      </c>
      <c r="L256" s="346">
        <f t="shared" si="58"/>
        <v>128</v>
      </c>
      <c r="M256" s="346">
        <f t="shared" si="58"/>
        <v>128</v>
      </c>
      <c r="N256" s="346" t="s">
        <v>283</v>
      </c>
      <c r="O256" s="347"/>
      <c r="P256" s="348">
        <f>SIZEOF_IN_MIB(J256:M256, $O255)</f>
        <v>128</v>
      </c>
      <c r="Q256" s="347"/>
    </row>
    <row r="257">
      <c r="E257" s="341"/>
      <c r="F257" s="342"/>
      <c r="G257" s="343"/>
      <c r="H257" s="349" t="s">
        <v>287</v>
      </c>
      <c r="I257" s="349" t="s">
        <v>282</v>
      </c>
      <c r="J257" s="337" t="s">
        <v>196</v>
      </c>
      <c r="K257" s="337"/>
      <c r="L257" s="337"/>
      <c r="M257" s="349"/>
      <c r="N257" s="349" t="s">
        <v>283</v>
      </c>
      <c r="O257" s="350"/>
      <c r="P257" s="351"/>
      <c r="Q257" s="350"/>
    </row>
    <row r="258">
      <c r="E258" s="341"/>
      <c r="F258" s="353"/>
      <c r="G258" s="354"/>
      <c r="H258" s="346" t="s">
        <v>289</v>
      </c>
      <c r="I258" s="346" t="s">
        <v>282</v>
      </c>
      <c r="J258" s="346">
        <f t="shared" ref="J258:M258" si="59">J256/SHARDING(J257)</f>
        <v>256</v>
      </c>
      <c r="K258" s="346">
        <f t="shared" si="59"/>
        <v>1</v>
      </c>
      <c r="L258" s="346">
        <f t="shared" si="59"/>
        <v>128</v>
      </c>
      <c r="M258" s="346">
        <f t="shared" si="59"/>
        <v>128</v>
      </c>
      <c r="N258" s="346" t="s">
        <v>283</v>
      </c>
      <c r="O258" s="355"/>
      <c r="P258" s="348">
        <f>SIZEOF_IN_MIB(J258:M258, $O255)</f>
        <v>8</v>
      </c>
      <c r="Q258" s="355"/>
    </row>
    <row r="259">
      <c r="E259" s="341"/>
      <c r="F259" s="474" t="s">
        <v>335</v>
      </c>
      <c r="G259" s="459" t="s">
        <v>109</v>
      </c>
      <c r="H259" s="548"/>
      <c r="I259" s="549"/>
      <c r="J259" s="336"/>
      <c r="K259" s="336"/>
      <c r="L259" s="349"/>
      <c r="M259" s="349"/>
      <c r="N259" s="349"/>
      <c r="O259" s="336"/>
      <c r="P259" s="351"/>
      <c r="Q259" s="298"/>
    </row>
    <row r="260">
      <c r="E260" s="341"/>
      <c r="F260" s="352"/>
      <c r="G260" s="459"/>
      <c r="H260" s="346"/>
      <c r="I260" s="493"/>
      <c r="J260" s="345"/>
      <c r="K260" s="345"/>
      <c r="L260" s="346"/>
      <c r="M260" s="346"/>
      <c r="N260" s="346"/>
      <c r="O260" s="345"/>
      <c r="P260" s="348"/>
      <c r="Q260" s="379"/>
    </row>
    <row r="261">
      <c r="E261" s="341"/>
      <c r="F261" s="458" t="s">
        <v>327</v>
      </c>
      <c r="G261" s="459" t="s">
        <v>328</v>
      </c>
      <c r="H261" s="349" t="str">
        <f>VLOOKUP(O247&amp;","&amp;O251,$T$2:$W$11,4, FALSE)</f>
        <v>fp8</v>
      </c>
      <c r="I261" s="492"/>
      <c r="J261" s="336"/>
      <c r="K261" s="336"/>
      <c r="L261" s="349"/>
      <c r="M261" s="349"/>
      <c r="N261" s="349"/>
      <c r="O261" s="336"/>
      <c r="P261" s="351"/>
      <c r="Q261" s="298"/>
    </row>
    <row r="262">
      <c r="E262" s="341"/>
      <c r="F262" s="341"/>
      <c r="G262" s="455" t="s">
        <v>341</v>
      </c>
      <c r="H262" s="550" t="str">
        <f>CALCULATE_FLOPS(J250:M250,J254:M254,M254,K254,H261)</f>
        <v>#N/A</v>
      </c>
      <c r="I262" s="493"/>
      <c r="J262" s="345"/>
      <c r="K262" s="345"/>
      <c r="L262" s="346"/>
      <c r="M262" s="346"/>
      <c r="N262" s="346"/>
      <c r="O262" s="345"/>
      <c r="P262" s="348"/>
      <c r="Q262" s="379"/>
    </row>
    <row r="263">
      <c r="E263" s="341"/>
      <c r="F263" s="352"/>
      <c r="G263" s="462" t="s">
        <v>330</v>
      </c>
      <c r="H263" s="495" t="str">
        <f>COMPUTE_TIME_MS(H262, H261)</f>
        <v>#N/A</v>
      </c>
      <c r="I263" s="464"/>
      <c r="J263" s="465"/>
      <c r="K263" s="465"/>
      <c r="L263" s="466"/>
      <c r="M263" s="466"/>
      <c r="N263" s="466"/>
      <c r="O263" s="465"/>
      <c r="P263" s="467"/>
      <c r="Q263" s="298"/>
    </row>
    <row r="264">
      <c r="E264" s="341"/>
      <c r="F264" s="458" t="s">
        <v>331</v>
      </c>
      <c r="G264" s="455" t="s">
        <v>332</v>
      </c>
      <c r="H264" s="509">
        <f>IF(Q247,0,P250)+IF(Q251,0,P254)+IF(Q255,0,P258)</f>
        <v>32</v>
      </c>
      <c r="I264" s="345"/>
      <c r="J264" s="345"/>
      <c r="K264" s="345"/>
      <c r="L264" s="346"/>
      <c r="M264" s="346"/>
      <c r="N264" s="346"/>
      <c r="O264" s="345"/>
      <c r="P264" s="348"/>
      <c r="Q264" s="379"/>
    </row>
    <row r="265">
      <c r="E265" s="352"/>
      <c r="F265" s="352"/>
      <c r="G265" s="469" t="s">
        <v>333</v>
      </c>
      <c r="H265" s="500">
        <f>HBM_TIME_MS(H264)</f>
        <v>0.01068010936</v>
      </c>
      <c r="I265" s="465"/>
      <c r="J265" s="465"/>
      <c r="K265" s="465"/>
      <c r="L265" s="466"/>
      <c r="M265" s="466"/>
      <c r="N265" s="466"/>
      <c r="O265" s="465"/>
      <c r="P265" s="467"/>
      <c r="Q265" s="298"/>
    </row>
    <row r="266">
      <c r="E266" s="333" t="s">
        <v>355</v>
      </c>
      <c r="F266" s="357" t="s">
        <v>292</v>
      </c>
      <c r="G266" s="335"/>
      <c r="H266" s="345" t="s">
        <v>281</v>
      </c>
      <c r="I266" s="345" t="s">
        <v>282</v>
      </c>
      <c r="J266" s="344" t="s">
        <v>104</v>
      </c>
      <c r="K266" s="344" t="s">
        <v>102</v>
      </c>
      <c r="L266" s="556" t="s">
        <v>207</v>
      </c>
      <c r="M266" s="556" t="s">
        <v>201</v>
      </c>
      <c r="N266" s="345" t="s">
        <v>283</v>
      </c>
      <c r="O266" s="473" t="s">
        <v>125</v>
      </c>
      <c r="P266" s="348"/>
      <c r="Q266" s="473" t="b">
        <v>0</v>
      </c>
    </row>
    <row r="267">
      <c r="E267" s="341"/>
      <c r="F267" s="342"/>
      <c r="G267" s="343"/>
      <c r="H267" s="337" t="s">
        <v>285</v>
      </c>
      <c r="I267" s="336" t="s">
        <v>282</v>
      </c>
      <c r="J267" s="349">
        <f t="shared" ref="J267:M267" si="60">PARAMS(J266)</f>
        <v>4096</v>
      </c>
      <c r="K267" s="336">
        <f t="shared" si="60"/>
        <v>1</v>
      </c>
      <c r="L267" s="336">
        <f t="shared" si="60"/>
        <v>128</v>
      </c>
      <c r="M267" s="336">
        <f t="shared" si="60"/>
        <v>128</v>
      </c>
      <c r="N267" s="336" t="s">
        <v>283</v>
      </c>
      <c r="O267" s="350"/>
      <c r="P267" s="351">
        <f>SIZEOF_IN_MIB(J267:M267, $O266)</f>
        <v>64</v>
      </c>
      <c r="Q267" s="350"/>
    </row>
    <row r="268">
      <c r="E268" s="341"/>
      <c r="F268" s="342"/>
      <c r="G268" s="343"/>
      <c r="H268" s="346" t="s">
        <v>287</v>
      </c>
      <c r="I268" s="346" t="s">
        <v>282</v>
      </c>
      <c r="J268" s="344" t="s">
        <v>196</v>
      </c>
      <c r="K268" s="344"/>
      <c r="L268" s="344"/>
      <c r="M268" s="346"/>
      <c r="N268" s="346" t="s">
        <v>283</v>
      </c>
      <c r="O268" s="347"/>
      <c r="P268" s="348"/>
      <c r="Q268" s="347"/>
    </row>
    <row r="269">
      <c r="E269" s="341"/>
      <c r="F269" s="353"/>
      <c r="G269" s="354"/>
      <c r="H269" s="337" t="s">
        <v>289</v>
      </c>
      <c r="I269" s="349" t="s">
        <v>282</v>
      </c>
      <c r="J269" s="349">
        <f t="shared" ref="J269:M269" si="61">J267/SHARDING(J268)</f>
        <v>256</v>
      </c>
      <c r="K269" s="349">
        <f t="shared" si="61"/>
        <v>1</v>
      </c>
      <c r="L269" s="349">
        <f t="shared" si="61"/>
        <v>128</v>
      </c>
      <c r="M269" s="349">
        <f t="shared" si="61"/>
        <v>128</v>
      </c>
      <c r="N269" s="349" t="s">
        <v>283</v>
      </c>
      <c r="O269" s="316"/>
      <c r="P269" s="351">
        <f>SIZEOF_IN_MIB(J269:M269, $O266)</f>
        <v>4</v>
      </c>
      <c r="Q269" s="316"/>
    </row>
    <row r="270">
      <c r="E270" s="341"/>
      <c r="F270" s="334" t="s">
        <v>296</v>
      </c>
      <c r="G270" s="335"/>
      <c r="H270" s="346" t="s">
        <v>281</v>
      </c>
      <c r="I270" s="346" t="s">
        <v>282</v>
      </c>
      <c r="J270" s="345"/>
      <c r="K270" s="556" t="s">
        <v>207</v>
      </c>
      <c r="L270" s="556" t="s">
        <v>201</v>
      </c>
      <c r="M270" s="344" t="s">
        <v>178</v>
      </c>
      <c r="N270" s="346" t="s">
        <v>283</v>
      </c>
      <c r="O270" s="473" t="s">
        <v>125</v>
      </c>
      <c r="P270" s="348"/>
      <c r="Q270" s="473" t="b">
        <v>0</v>
      </c>
    </row>
    <row r="271">
      <c r="E271" s="341"/>
      <c r="F271" s="342"/>
      <c r="G271" s="343"/>
      <c r="H271" s="337" t="s">
        <v>285</v>
      </c>
      <c r="I271" s="349" t="s">
        <v>282</v>
      </c>
      <c r="J271" s="336"/>
      <c r="K271" s="349">
        <f t="shared" ref="K271:M271" si="62">PARAMS(K270)</f>
        <v>128</v>
      </c>
      <c r="L271" s="349">
        <f t="shared" si="62"/>
        <v>128</v>
      </c>
      <c r="M271" s="349">
        <f t="shared" si="62"/>
        <v>7168</v>
      </c>
      <c r="N271" s="349" t="s">
        <v>283</v>
      </c>
      <c r="O271" s="350"/>
      <c r="P271" s="351">
        <f>SIZEOF_IN_MIB(J271:M271, $O270)</f>
        <v>112</v>
      </c>
      <c r="Q271" s="350"/>
    </row>
    <row r="272">
      <c r="E272" s="341"/>
      <c r="F272" s="342"/>
      <c r="G272" s="343"/>
      <c r="H272" s="346" t="s">
        <v>287</v>
      </c>
      <c r="I272" s="346" t="s">
        <v>282</v>
      </c>
      <c r="J272" s="345"/>
      <c r="K272" s="345"/>
      <c r="L272" s="346"/>
      <c r="M272" s="346"/>
      <c r="N272" s="346" t="s">
        <v>283</v>
      </c>
      <c r="O272" s="347"/>
      <c r="P272" s="348"/>
      <c r="Q272" s="347"/>
    </row>
    <row r="273">
      <c r="E273" s="341"/>
      <c r="F273" s="353"/>
      <c r="G273" s="354"/>
      <c r="H273" s="349" t="s">
        <v>289</v>
      </c>
      <c r="I273" s="349" t="s">
        <v>282</v>
      </c>
      <c r="J273" s="336"/>
      <c r="K273" s="349">
        <f t="shared" ref="K273:M273" si="63">K271/SHARDING(K272)</f>
        <v>128</v>
      </c>
      <c r="L273" s="349">
        <f t="shared" si="63"/>
        <v>128</v>
      </c>
      <c r="M273" s="349">
        <f t="shared" si="63"/>
        <v>7168</v>
      </c>
      <c r="N273" s="349" t="s">
        <v>283</v>
      </c>
      <c r="O273" s="316"/>
      <c r="P273" s="351">
        <f>SIZEOF_IN_MIB(J273:M273, $O270)</f>
        <v>112</v>
      </c>
      <c r="Q273" s="316"/>
    </row>
    <row r="274">
      <c r="E274" s="341"/>
      <c r="F274" s="334" t="s">
        <v>56</v>
      </c>
      <c r="G274" s="335"/>
      <c r="H274" s="346" t="s">
        <v>281</v>
      </c>
      <c r="I274" s="346" t="s">
        <v>282</v>
      </c>
      <c r="J274" s="345"/>
      <c r="K274" s="344" t="s">
        <v>104</v>
      </c>
      <c r="L274" s="344" t="s">
        <v>102</v>
      </c>
      <c r="M274" s="344" t="s">
        <v>178</v>
      </c>
      <c r="N274" s="346" t="s">
        <v>283</v>
      </c>
      <c r="O274" s="473" t="s">
        <v>133</v>
      </c>
      <c r="P274" s="348"/>
      <c r="Q274" s="473" t="b">
        <v>0</v>
      </c>
    </row>
    <row r="275">
      <c r="E275" s="341"/>
      <c r="F275" s="342"/>
      <c r="G275" s="343"/>
      <c r="H275" s="337" t="s">
        <v>285</v>
      </c>
      <c r="I275" s="349" t="s">
        <v>282</v>
      </c>
      <c r="J275" s="336"/>
      <c r="K275" s="349">
        <f t="shared" ref="K275:M275" si="64">PARAMS(K274)</f>
        <v>4096</v>
      </c>
      <c r="L275" s="349">
        <f t="shared" si="64"/>
        <v>1</v>
      </c>
      <c r="M275" s="349">
        <f t="shared" si="64"/>
        <v>7168</v>
      </c>
      <c r="N275" s="349" t="s">
        <v>283</v>
      </c>
      <c r="O275" s="350"/>
      <c r="P275" s="351">
        <f>SIZEOF_IN_MIB(K275:M275, $O274)</f>
        <v>56</v>
      </c>
      <c r="Q275" s="350"/>
    </row>
    <row r="276">
      <c r="E276" s="341"/>
      <c r="F276" s="342"/>
      <c r="G276" s="343"/>
      <c r="H276" s="346" t="s">
        <v>287</v>
      </c>
      <c r="I276" s="346" t="s">
        <v>282</v>
      </c>
      <c r="J276" s="345"/>
      <c r="K276" s="344" t="s">
        <v>196</v>
      </c>
      <c r="L276" s="344"/>
      <c r="M276" s="346"/>
      <c r="N276" s="346" t="s">
        <v>283</v>
      </c>
      <c r="O276" s="347"/>
      <c r="P276" s="348"/>
      <c r="Q276" s="347"/>
    </row>
    <row r="277">
      <c r="E277" s="341"/>
      <c r="F277" s="353"/>
      <c r="G277" s="354"/>
      <c r="H277" s="349" t="s">
        <v>289</v>
      </c>
      <c r="I277" s="349" t="s">
        <v>282</v>
      </c>
      <c r="J277" s="349"/>
      <c r="K277" s="349">
        <f t="shared" ref="K277:M277" si="65">K275/SHARDING(K276)</f>
        <v>256</v>
      </c>
      <c r="L277" s="349">
        <f t="shared" si="65"/>
        <v>1</v>
      </c>
      <c r="M277" s="349">
        <f t="shared" si="65"/>
        <v>7168</v>
      </c>
      <c r="N277" s="349" t="s">
        <v>283</v>
      </c>
      <c r="O277" s="316"/>
      <c r="P277" s="351">
        <f>SIZEOF_IN_MIB(K277:M277, $O274)</f>
        <v>3.5</v>
      </c>
      <c r="Q277" s="316"/>
    </row>
    <row r="278">
      <c r="E278" s="341"/>
      <c r="F278" s="474" t="s">
        <v>335</v>
      </c>
      <c r="G278" s="459" t="s">
        <v>109</v>
      </c>
      <c r="H278" s="497"/>
      <c r="I278" s="498"/>
      <c r="J278" s="345"/>
      <c r="K278" s="345"/>
      <c r="L278" s="346"/>
      <c r="M278" s="346"/>
      <c r="N278" s="346"/>
      <c r="O278" s="345"/>
      <c r="P278" s="348"/>
      <c r="Q278" s="379"/>
    </row>
    <row r="279">
      <c r="E279" s="341"/>
      <c r="F279" s="352"/>
      <c r="G279" s="459"/>
      <c r="H279" s="349"/>
      <c r="I279" s="492"/>
      <c r="J279" s="336"/>
      <c r="K279" s="336"/>
      <c r="L279" s="349"/>
      <c r="M279" s="349"/>
      <c r="N279" s="349"/>
      <c r="O279" s="336"/>
      <c r="P279" s="339"/>
      <c r="Q279" s="298"/>
    </row>
    <row r="280">
      <c r="E280" s="341"/>
      <c r="F280" s="458" t="s">
        <v>327</v>
      </c>
      <c r="G280" s="459" t="s">
        <v>328</v>
      </c>
      <c r="H280" s="346" t="str">
        <f>VLOOKUP(O266&amp;","&amp;O270,$T$2:$W$11,4, FALSE)</f>
        <v>fp8</v>
      </c>
      <c r="I280" s="493"/>
      <c r="J280" s="345"/>
      <c r="K280" s="345"/>
      <c r="L280" s="346"/>
      <c r="M280" s="346"/>
      <c r="N280" s="346"/>
      <c r="O280" s="345"/>
      <c r="P280" s="578"/>
      <c r="Q280" s="379"/>
    </row>
    <row r="281">
      <c r="E281" s="341"/>
      <c r="F281" s="341"/>
      <c r="G281" s="455" t="s">
        <v>341</v>
      </c>
      <c r="H281" s="494" t="str">
        <f>CALCULATE_FLOPS(J269:M269,J273:M273,K273:L273,1,H280)</f>
        <v>#N/A</v>
      </c>
      <c r="I281" s="883" t="s">
        <v>359</v>
      </c>
      <c r="J281" s="336"/>
      <c r="K281" s="336"/>
      <c r="L281" s="349"/>
      <c r="M281" s="349"/>
      <c r="N281" s="349"/>
      <c r="O281" s="336"/>
      <c r="P281" s="339"/>
      <c r="Q281" s="298"/>
    </row>
    <row r="282">
      <c r="E282" s="341"/>
      <c r="F282" s="352"/>
      <c r="G282" s="462" t="s">
        <v>330</v>
      </c>
      <c r="H282" s="585" t="str">
        <f>COMPUTE_TIME_MS(H281, H280)</f>
        <v>#N/A</v>
      </c>
      <c r="I282" s="464"/>
      <c r="J282" s="465"/>
      <c r="K282" s="465"/>
      <c r="L282" s="466"/>
      <c r="M282" s="466"/>
      <c r="N282" s="466"/>
      <c r="O282" s="465"/>
      <c r="P282" s="586"/>
      <c r="Q282" s="379"/>
    </row>
    <row r="283">
      <c r="E283" s="341"/>
      <c r="F283" s="458" t="s">
        <v>331</v>
      </c>
      <c r="G283" s="455" t="s">
        <v>332</v>
      </c>
      <c r="H283" s="377">
        <f>IF(Q266,0,P269)+IF(Q270,0,P273)+IF(Q274,0,P277)</f>
        <v>119.5</v>
      </c>
      <c r="I283" s="336"/>
      <c r="J283" s="336"/>
      <c r="K283" s="336"/>
      <c r="L283" s="349"/>
      <c r="M283" s="349"/>
      <c r="N283" s="349"/>
      <c r="O283" s="336"/>
      <c r="P283" s="339"/>
      <c r="Q283" s="298"/>
    </row>
    <row r="284">
      <c r="E284" s="352"/>
      <c r="F284" s="352"/>
      <c r="G284" s="469" t="s">
        <v>333</v>
      </c>
      <c r="H284" s="547">
        <f>HBM_TIME_MS(H283)</f>
        <v>0.03988353341</v>
      </c>
      <c r="I284" s="465"/>
      <c r="J284" s="465"/>
      <c r="K284" s="465"/>
      <c r="L284" s="466"/>
      <c r="M284" s="466"/>
      <c r="N284" s="466"/>
      <c r="O284" s="465"/>
      <c r="P284" s="586"/>
      <c r="Q284" s="379"/>
    </row>
    <row r="288">
      <c r="E288" s="884" t="s">
        <v>360</v>
      </c>
      <c r="F288" s="11"/>
      <c r="G288" s="11"/>
      <c r="H288" s="11"/>
      <c r="I288" s="11"/>
      <c r="J288" s="11"/>
      <c r="K288" s="11"/>
      <c r="L288" s="11"/>
      <c r="M288" s="11"/>
      <c r="N288" s="11"/>
      <c r="O288" s="11"/>
      <c r="P288" s="11"/>
      <c r="Q288" s="11"/>
    </row>
    <row r="289">
      <c r="E289" s="324" t="s">
        <v>272</v>
      </c>
      <c r="F289" s="587" t="s">
        <v>273</v>
      </c>
      <c r="G289" s="326"/>
      <c r="H289" s="588"/>
      <c r="I289" s="325" t="s">
        <v>274</v>
      </c>
      <c r="J289" s="589"/>
      <c r="K289" s="589"/>
      <c r="L289" s="589"/>
      <c r="M289" s="589"/>
      <c r="N289" s="588"/>
      <c r="O289" s="328" t="s">
        <v>275</v>
      </c>
      <c r="P289" s="328" t="s">
        <v>361</v>
      </c>
      <c r="Q289" s="330" t="s">
        <v>277</v>
      </c>
    </row>
    <row r="290">
      <c r="E290" s="333" t="s">
        <v>362</v>
      </c>
      <c r="F290" s="590" t="s">
        <v>335</v>
      </c>
      <c r="G290" s="591" t="s">
        <v>363</v>
      </c>
      <c r="H290" s="592" t="s">
        <v>364</v>
      </c>
      <c r="I290" s="448"/>
      <c r="J290" s="448"/>
      <c r="K290" s="553"/>
      <c r="L290" s="553"/>
      <c r="M290" s="593"/>
      <c r="N290" s="448"/>
      <c r="O290" s="553"/>
      <c r="P290" s="448"/>
      <c r="Q290" s="553"/>
    </row>
    <row r="291">
      <c r="E291" s="341"/>
      <c r="F291" s="341"/>
      <c r="G291" s="371" t="s">
        <v>301</v>
      </c>
      <c r="H291" s="531" t="s">
        <v>281</v>
      </c>
      <c r="I291" s="336" t="s">
        <v>282</v>
      </c>
      <c r="J291" s="336"/>
      <c r="K291" s="337" t="s">
        <v>104</v>
      </c>
      <c r="L291" s="337" t="s">
        <v>212</v>
      </c>
      <c r="M291" s="358" t="s">
        <v>178</v>
      </c>
      <c r="N291" s="336" t="s">
        <v>283</v>
      </c>
      <c r="O291" s="338" t="s">
        <v>125</v>
      </c>
      <c r="P291" s="336"/>
      <c r="Q291" s="338"/>
    </row>
    <row r="292">
      <c r="E292" s="341"/>
      <c r="F292" s="341"/>
      <c r="G292" s="341"/>
      <c r="H292" s="378" t="s">
        <v>285</v>
      </c>
      <c r="I292" s="345" t="s">
        <v>282</v>
      </c>
      <c r="J292" s="346"/>
      <c r="K292" s="345">
        <f t="shared" ref="K292:M292" si="66">PARAMS(K291)</f>
        <v>4096</v>
      </c>
      <c r="L292" s="345">
        <f t="shared" si="66"/>
        <v>8</v>
      </c>
      <c r="M292" s="345">
        <f t="shared" si="66"/>
        <v>7168</v>
      </c>
      <c r="N292" s="345" t="s">
        <v>283</v>
      </c>
      <c r="O292" s="347"/>
      <c r="P292" s="509">
        <f>SIZEOF_IN_MIB(J292:M292, O291)</f>
        <v>224</v>
      </c>
      <c r="Q292" s="347"/>
    </row>
    <row r="293">
      <c r="E293" s="341"/>
      <c r="F293" s="341"/>
      <c r="G293" s="341"/>
      <c r="H293" s="376" t="s">
        <v>302</v>
      </c>
      <c r="I293" s="349" t="s">
        <v>282</v>
      </c>
      <c r="J293" s="336"/>
      <c r="K293" s="337" t="s">
        <v>196</v>
      </c>
      <c r="L293" s="337"/>
      <c r="M293" s="337"/>
      <c r="N293" s="349" t="s">
        <v>283</v>
      </c>
      <c r="O293" s="350"/>
      <c r="P293" s="377"/>
      <c r="Q293" s="350"/>
    </row>
    <row r="294">
      <c r="E294" s="341"/>
      <c r="F294" s="341"/>
      <c r="G294" s="341"/>
      <c r="H294" s="378" t="s">
        <v>303</v>
      </c>
      <c r="I294" s="346" t="s">
        <v>282</v>
      </c>
      <c r="J294" s="345"/>
      <c r="K294" s="346">
        <f t="shared" ref="K294:M294" si="67">K292/SHARDING(K293)</f>
        <v>256</v>
      </c>
      <c r="L294" s="346">
        <f t="shared" si="67"/>
        <v>8</v>
      </c>
      <c r="M294" s="346">
        <f t="shared" si="67"/>
        <v>7168</v>
      </c>
      <c r="N294" s="344" t="s">
        <v>283</v>
      </c>
      <c r="O294" s="347"/>
      <c r="P294" s="509"/>
      <c r="Q294" s="347"/>
    </row>
    <row r="295">
      <c r="E295" s="341"/>
      <c r="F295" s="341"/>
      <c r="G295" s="352"/>
      <c r="H295" s="376" t="s">
        <v>304</v>
      </c>
      <c r="I295" s="349" t="s">
        <v>282</v>
      </c>
      <c r="J295" s="336"/>
      <c r="K295" s="337" t="s">
        <v>196</v>
      </c>
      <c r="L295" s="337"/>
      <c r="M295" s="337"/>
      <c r="N295" s="349" t="s">
        <v>283</v>
      </c>
      <c r="O295" s="316"/>
      <c r="P295" s="377">
        <f>SIZEOF_IN_MIB(J294:M294, O291)</f>
        <v>14</v>
      </c>
      <c r="Q295" s="316"/>
    </row>
    <row r="296">
      <c r="E296" s="341"/>
      <c r="F296" s="341"/>
      <c r="G296" s="594" t="s">
        <v>608</v>
      </c>
      <c r="H296" s="715">
        <f>P292</f>
        <v>224</v>
      </c>
      <c r="I296" s="379"/>
      <c r="J296" s="379"/>
      <c r="K296" s="379"/>
      <c r="L296" s="379"/>
      <c r="M296" s="379"/>
      <c r="N296" s="379"/>
      <c r="O296" s="379"/>
      <c r="P296" s="596"/>
      <c r="Q296" s="379"/>
    </row>
    <row r="297">
      <c r="E297" s="341"/>
      <c r="F297" s="341"/>
      <c r="G297" s="599" t="s">
        <v>609</v>
      </c>
      <c r="H297" s="885" t="str">
        <f>ALL2ALL_CHIP2CHIP_TIME_MS(H296)</f>
        <v>#N/A</v>
      </c>
      <c r="I297" s="298"/>
      <c r="J297" s="298"/>
      <c r="K297" s="298"/>
      <c r="L297" s="298"/>
      <c r="M297" s="298"/>
      <c r="N297" s="298"/>
      <c r="O297" s="298"/>
      <c r="P297" s="598"/>
      <c r="Q297" s="298"/>
    </row>
    <row r="298">
      <c r="E298" s="341"/>
      <c r="F298" s="341"/>
      <c r="G298" s="601"/>
      <c r="H298" s="517"/>
      <c r="I298" s="346"/>
      <c r="J298" s="345"/>
      <c r="K298" s="344"/>
      <c r="L298" s="556"/>
      <c r="M298" s="344"/>
      <c r="N298" s="346"/>
      <c r="O298" s="344"/>
      <c r="P298" s="509"/>
      <c r="Q298" s="344"/>
    </row>
    <row r="299">
      <c r="E299" s="341"/>
      <c r="F299" s="341"/>
      <c r="G299" s="591" t="s">
        <v>368</v>
      </c>
      <c r="H299" s="603" t="s">
        <v>633</v>
      </c>
      <c r="I299" s="449"/>
      <c r="J299" s="448"/>
      <c r="K299" s="553"/>
      <c r="L299" s="446"/>
      <c r="M299" s="553"/>
      <c r="N299" s="449"/>
      <c r="O299" s="553"/>
      <c r="P299" s="604"/>
      <c r="Q299" s="553"/>
    </row>
    <row r="300">
      <c r="E300" s="341"/>
      <c r="F300" s="341"/>
      <c r="G300" s="371" t="s">
        <v>301</v>
      </c>
      <c r="H300" s="517" t="s">
        <v>281</v>
      </c>
      <c r="I300" s="346" t="s">
        <v>282</v>
      </c>
      <c r="J300" s="345"/>
      <c r="K300" s="344" t="s">
        <v>104</v>
      </c>
      <c r="L300" s="556" t="s">
        <v>102</v>
      </c>
      <c r="M300" s="344" t="s">
        <v>178</v>
      </c>
      <c r="N300" s="346" t="s">
        <v>283</v>
      </c>
      <c r="O300" s="473" t="s">
        <v>125</v>
      </c>
      <c r="P300" s="509"/>
      <c r="Q300" s="473"/>
    </row>
    <row r="301">
      <c r="E301" s="341"/>
      <c r="F301" s="341"/>
      <c r="G301" s="341"/>
      <c r="H301" s="376" t="s">
        <v>285</v>
      </c>
      <c r="I301" s="349" t="s">
        <v>282</v>
      </c>
      <c r="J301" s="336"/>
      <c r="K301" s="349">
        <f t="shared" ref="K301:M301" si="68">PARAMS(K300)</f>
        <v>4096</v>
      </c>
      <c r="L301" s="349">
        <f t="shared" si="68"/>
        <v>1</v>
      </c>
      <c r="M301" s="349">
        <f t="shared" si="68"/>
        <v>7168</v>
      </c>
      <c r="N301" s="349" t="s">
        <v>283</v>
      </c>
      <c r="O301" s="350"/>
      <c r="P301" s="377">
        <f>SIZEOF_IN_MIB(J301:M301, O300)</f>
        <v>28</v>
      </c>
      <c r="Q301" s="350"/>
    </row>
    <row r="302">
      <c r="E302" s="341"/>
      <c r="F302" s="341"/>
      <c r="G302" s="341"/>
      <c r="H302" s="378" t="s">
        <v>302</v>
      </c>
      <c r="I302" s="346" t="s">
        <v>282</v>
      </c>
      <c r="J302" s="345"/>
      <c r="K302" s="344" t="s">
        <v>196</v>
      </c>
      <c r="L302" s="344"/>
      <c r="M302" s="344"/>
      <c r="N302" s="346" t="s">
        <v>283</v>
      </c>
      <c r="O302" s="347"/>
      <c r="P302" s="509"/>
      <c r="Q302" s="347"/>
    </row>
    <row r="303">
      <c r="E303" s="341"/>
      <c r="F303" s="341"/>
      <c r="G303" s="341"/>
      <c r="H303" s="602" t="s">
        <v>289</v>
      </c>
      <c r="I303" s="349" t="s">
        <v>282</v>
      </c>
      <c r="J303" s="336"/>
      <c r="K303" s="349">
        <f t="shared" ref="K303:M303" si="69">K301/SHARDING(K302)</f>
        <v>256</v>
      </c>
      <c r="L303" s="349">
        <f t="shared" si="69"/>
        <v>1</v>
      </c>
      <c r="M303" s="349">
        <f t="shared" si="69"/>
        <v>7168</v>
      </c>
      <c r="N303" s="349" t="s">
        <v>283</v>
      </c>
      <c r="O303" s="350"/>
      <c r="P303" s="377">
        <f>SIZEOF_IN_MIB(J303:M303, O300)</f>
        <v>1.75</v>
      </c>
      <c r="Q303" s="316"/>
    </row>
    <row r="304">
      <c r="E304" s="341"/>
      <c r="F304" s="341"/>
      <c r="G304" s="352"/>
      <c r="H304" s="610" t="s">
        <v>304</v>
      </c>
      <c r="I304" s="346" t="s">
        <v>282</v>
      </c>
      <c r="J304" s="379"/>
      <c r="K304" s="379"/>
      <c r="L304" s="379"/>
      <c r="M304" s="344"/>
      <c r="N304" s="346" t="s">
        <v>283</v>
      </c>
      <c r="O304" s="355"/>
      <c r="P304" s="596"/>
      <c r="Q304" s="379"/>
    </row>
    <row r="305">
      <c r="E305" s="341"/>
      <c r="F305" s="341"/>
      <c r="G305" s="385" t="s">
        <v>306</v>
      </c>
      <c r="H305" s="886">
        <f>SHARDING(K302)</f>
        <v>16</v>
      </c>
      <c r="I305" s="298"/>
      <c r="J305" s="298"/>
      <c r="K305" s="298"/>
      <c r="L305" s="298"/>
      <c r="M305" s="298"/>
      <c r="N305" s="298"/>
      <c r="O305" s="298"/>
      <c r="P305" s="598"/>
      <c r="Q305" s="298"/>
    </row>
    <row r="306">
      <c r="E306" s="341"/>
      <c r="F306" s="341"/>
      <c r="G306" s="385" t="s">
        <v>307</v>
      </c>
      <c r="H306" s="395">
        <f>P303 * (H305-1)</f>
        <v>26.25</v>
      </c>
      <c r="I306" s="379"/>
      <c r="J306" s="379"/>
      <c r="K306" s="379"/>
      <c r="L306" s="379"/>
      <c r="M306" s="379"/>
      <c r="N306" s="379"/>
      <c r="O306" s="379"/>
      <c r="P306" s="596"/>
      <c r="Q306" s="379"/>
    </row>
    <row r="307">
      <c r="E307" s="341"/>
      <c r="F307" s="341"/>
      <c r="G307" s="394" t="s">
        <v>308</v>
      </c>
      <c r="H307" s="390">
        <f>H306*H305</f>
        <v>420</v>
      </c>
      <c r="I307" s="349"/>
      <c r="J307" s="336"/>
      <c r="K307" s="336"/>
      <c r="L307" s="337"/>
      <c r="M307" s="349"/>
      <c r="N307" s="349"/>
      <c r="O307" s="337"/>
      <c r="P307" s="377"/>
      <c r="Q307" s="337"/>
    </row>
    <row r="308">
      <c r="E308" s="341"/>
      <c r="F308" s="341"/>
      <c r="G308" s="396" t="s">
        <v>309</v>
      </c>
      <c r="H308" s="887" t="str">
        <f>IFS(H305=8,12,
H305=4,4,
H305=2,1,
H305=1,0,
TRUE,NA())</f>
        <v>#N/A</v>
      </c>
      <c r="I308" s="346"/>
      <c r="J308" s="345"/>
      <c r="K308" s="345"/>
      <c r="L308" s="344"/>
      <c r="M308" s="346"/>
      <c r="N308" s="346"/>
      <c r="O308" s="344"/>
      <c r="P308" s="509"/>
      <c r="Q308" s="344"/>
    </row>
    <row r="309">
      <c r="E309" s="341"/>
      <c r="F309" s="341"/>
      <c r="G309" s="9" t="s">
        <v>310</v>
      </c>
      <c r="H309" s="293">
        <v>1.0</v>
      </c>
      <c r="I309" s="349"/>
      <c r="J309" s="336"/>
      <c r="K309" s="336"/>
      <c r="L309" s="337"/>
      <c r="M309" s="349"/>
      <c r="N309" s="349"/>
      <c r="O309" s="337"/>
      <c r="P309" s="377"/>
      <c r="Q309" s="337"/>
    </row>
    <row r="310">
      <c r="E310" s="341"/>
      <c r="F310" s="341"/>
      <c r="G310" s="402" t="s">
        <v>311</v>
      </c>
      <c r="H310" s="608" t="str">
        <f>ALL_GATHER_CHIP2CHIP_TIME_MS2(H307 * H309, H308)</f>
        <v>#N/A</v>
      </c>
      <c r="I310" s="346"/>
      <c r="J310" s="345"/>
      <c r="K310" s="345"/>
      <c r="L310" s="344"/>
      <c r="M310" s="346"/>
      <c r="N310" s="346"/>
      <c r="O310" s="344"/>
      <c r="P310" s="509"/>
      <c r="Q310" s="344"/>
    </row>
    <row r="311">
      <c r="E311" s="341"/>
      <c r="F311" s="341"/>
      <c r="G311" s="601"/>
      <c r="H311" s="602"/>
      <c r="I311" s="349"/>
      <c r="J311" s="336"/>
      <c r="K311" s="337"/>
      <c r="L311" s="499"/>
      <c r="M311" s="337"/>
      <c r="N311" s="349"/>
      <c r="O311" s="337"/>
      <c r="P311" s="377"/>
      <c r="Q311" s="337"/>
    </row>
    <row r="312">
      <c r="E312" s="341"/>
      <c r="F312" s="341"/>
      <c r="G312" s="591" t="s">
        <v>117</v>
      </c>
      <c r="H312" s="592" t="s">
        <v>371</v>
      </c>
      <c r="I312" s="449"/>
      <c r="J312" s="448"/>
      <c r="K312" s="553"/>
      <c r="L312" s="446"/>
      <c r="M312" s="553"/>
      <c r="N312" s="449"/>
      <c r="O312" s="553"/>
      <c r="P312" s="604"/>
      <c r="Q312" s="553"/>
    </row>
    <row r="313">
      <c r="E313" s="341"/>
      <c r="F313" s="341"/>
      <c r="G313" s="609" t="s">
        <v>301</v>
      </c>
      <c r="H313" s="602" t="s">
        <v>281</v>
      </c>
      <c r="I313" s="349" t="s">
        <v>282</v>
      </c>
      <c r="J313" s="336"/>
      <c r="K313" s="337" t="s">
        <v>104</v>
      </c>
      <c r="L313" s="499" t="s">
        <v>102</v>
      </c>
      <c r="M313" s="337" t="s">
        <v>178</v>
      </c>
      <c r="N313" s="349" t="s">
        <v>283</v>
      </c>
      <c r="O313" s="338" t="s">
        <v>125</v>
      </c>
      <c r="P313" s="377"/>
      <c r="Q313" s="337"/>
    </row>
    <row r="314">
      <c r="E314" s="341"/>
      <c r="F314" s="341"/>
      <c r="G314" s="341"/>
      <c r="H314" s="378" t="s">
        <v>285</v>
      </c>
      <c r="I314" s="346" t="s">
        <v>282</v>
      </c>
      <c r="J314" s="345"/>
      <c r="K314" s="346">
        <f t="shared" ref="K314:M314" si="70">PARAMS(K313)</f>
        <v>4096</v>
      </c>
      <c r="L314" s="346">
        <f t="shared" si="70"/>
        <v>1</v>
      </c>
      <c r="M314" s="346">
        <f t="shared" si="70"/>
        <v>7168</v>
      </c>
      <c r="N314" s="346" t="s">
        <v>283</v>
      </c>
      <c r="O314" s="347"/>
      <c r="P314" s="509">
        <f>SIZEOF_IN_MIB(J314:M314, O313)</f>
        <v>28</v>
      </c>
      <c r="Q314" s="344"/>
    </row>
    <row r="315">
      <c r="E315" s="341"/>
      <c r="F315" s="341"/>
      <c r="G315" s="341"/>
      <c r="H315" s="376" t="s">
        <v>302</v>
      </c>
      <c r="I315" s="349" t="s">
        <v>282</v>
      </c>
      <c r="J315" s="336"/>
      <c r="K315" s="337" t="s">
        <v>196</v>
      </c>
      <c r="L315" s="337"/>
      <c r="M315" s="337"/>
      <c r="N315" s="349" t="s">
        <v>283</v>
      </c>
      <c r="O315" s="350"/>
      <c r="P315" s="377"/>
      <c r="Q315" s="337"/>
    </row>
    <row r="316">
      <c r="E316" s="341"/>
      <c r="F316" s="341"/>
      <c r="G316" s="341"/>
      <c r="H316" s="378" t="s">
        <v>303</v>
      </c>
      <c r="I316" s="346" t="s">
        <v>282</v>
      </c>
      <c r="J316" s="345"/>
      <c r="K316" s="346">
        <f t="shared" ref="K316:M316" si="71">K314/SHARDING(K315)</f>
        <v>256</v>
      </c>
      <c r="L316" s="346">
        <f t="shared" si="71"/>
        <v>1</v>
      </c>
      <c r="M316" s="346">
        <f t="shared" si="71"/>
        <v>7168</v>
      </c>
      <c r="N316" s="346" t="s">
        <v>283</v>
      </c>
      <c r="O316" s="347"/>
      <c r="P316" s="509">
        <f>SIZEOF_IN_MIB(J316:M316, O313)</f>
        <v>1.75</v>
      </c>
      <c r="Q316" s="344"/>
    </row>
    <row r="317">
      <c r="E317" s="341"/>
      <c r="F317" s="341"/>
      <c r="G317" s="352"/>
      <c r="H317" s="605" t="s">
        <v>304</v>
      </c>
      <c r="I317" s="349" t="s">
        <v>282</v>
      </c>
      <c r="J317" s="298"/>
      <c r="K317" s="298"/>
      <c r="L317" s="298"/>
      <c r="M317" s="337"/>
      <c r="N317" s="349" t="s">
        <v>283</v>
      </c>
      <c r="O317" s="316"/>
      <c r="P317" s="298"/>
      <c r="Q317" s="337"/>
    </row>
    <row r="318">
      <c r="E318" s="341"/>
      <c r="F318" s="341"/>
      <c r="G318" s="458" t="s">
        <v>372</v>
      </c>
      <c r="H318" s="610" t="s">
        <v>306</v>
      </c>
      <c r="I318" s="379"/>
      <c r="J318" s="410">
        <f>SHARDING(K315) / HW_SPEC("# of TensorCore per Chip")</f>
        <v>8</v>
      </c>
      <c r="K318" s="345"/>
      <c r="L318" s="344"/>
      <c r="M318" s="346"/>
      <c r="N318" s="346"/>
      <c r="O318" s="344"/>
      <c r="P318" s="509"/>
      <c r="Q318" s="344"/>
    </row>
    <row r="319">
      <c r="E319" s="341"/>
      <c r="F319" s="341"/>
      <c r="G319" s="341"/>
      <c r="H319" s="605" t="s">
        <v>307</v>
      </c>
      <c r="I319" s="298"/>
      <c r="J319" s="390">
        <f>P316 * HW_SPEC("# of TensorCore per Chip") * (J318-1)</f>
        <v>24.5</v>
      </c>
      <c r="K319" s="336"/>
      <c r="L319" s="337"/>
      <c r="M319" s="349"/>
      <c r="N319" s="349"/>
      <c r="O319" s="337"/>
      <c r="P319" s="377"/>
      <c r="Q319" s="337"/>
    </row>
    <row r="320">
      <c r="E320" s="341"/>
      <c r="F320" s="341"/>
      <c r="G320" s="341"/>
      <c r="H320" s="410" t="s">
        <v>308</v>
      </c>
      <c r="I320" s="379"/>
      <c r="J320" s="395">
        <f>J319*J318</f>
        <v>196</v>
      </c>
      <c r="K320" s="345"/>
      <c r="L320" s="344"/>
      <c r="M320" s="346"/>
      <c r="N320" s="346"/>
      <c r="O320" s="344"/>
      <c r="P320" s="509"/>
      <c r="Q320" s="344"/>
    </row>
    <row r="321">
      <c r="E321" s="341"/>
      <c r="F321" s="341"/>
      <c r="G321" s="341"/>
      <c r="H321" s="478" t="s">
        <v>309</v>
      </c>
      <c r="I321" s="298"/>
      <c r="J321" s="397">
        <f>IFS(J318=8,12,
J318=4,4,
J318=2,1,
J318=1,0,
TRUE,NA())</f>
        <v>12</v>
      </c>
      <c r="K321" s="336"/>
      <c r="L321" s="337"/>
      <c r="M321" s="349"/>
      <c r="N321" s="349"/>
      <c r="O321" s="337"/>
      <c r="P321" s="377"/>
      <c r="Q321" s="337"/>
    </row>
    <row r="322">
      <c r="E322" s="341"/>
      <c r="F322" s="341"/>
      <c r="G322" s="341"/>
      <c r="H322" s="606" t="s">
        <v>310</v>
      </c>
      <c r="I322" s="379"/>
      <c r="J322" s="611" t="s">
        <v>611</v>
      </c>
      <c r="K322" s="345"/>
      <c r="L322" s="344"/>
      <c r="M322" s="346"/>
      <c r="N322" s="346"/>
      <c r="O322" s="344"/>
      <c r="P322" s="509"/>
      <c r="Q322" s="344"/>
    </row>
    <row r="323">
      <c r="E323" s="341"/>
      <c r="F323" s="341"/>
      <c r="G323" s="352"/>
      <c r="H323" s="612" t="s">
        <v>311</v>
      </c>
      <c r="I323" s="613"/>
      <c r="J323" s="403">
        <f>ALL_GATHER_CHIP2CHIP_TIME_MS2(J320 * J322, J321)</f>
        <v>0.09969075521</v>
      </c>
      <c r="K323" s="336"/>
      <c r="L323" s="337"/>
      <c r="M323" s="349"/>
      <c r="N323" s="349"/>
      <c r="O323" s="337"/>
      <c r="P323" s="377"/>
      <c r="Q323" s="337"/>
    </row>
    <row r="324">
      <c r="E324" s="341"/>
      <c r="F324" s="341"/>
      <c r="G324" s="458" t="s">
        <v>373</v>
      </c>
      <c r="H324" s="410" t="s">
        <v>306</v>
      </c>
      <c r="I324" s="387"/>
      <c r="J324" s="483">
        <f>HW_SPEC("# of TensorCore per Chip")</f>
        <v>2</v>
      </c>
      <c r="K324" s="345"/>
      <c r="L324" s="344"/>
      <c r="M324" s="346"/>
      <c r="N324" s="346"/>
      <c r="O324" s="344"/>
      <c r="P324" s="509"/>
      <c r="Q324" s="344"/>
    </row>
    <row r="325">
      <c r="E325" s="341"/>
      <c r="F325" s="341"/>
      <c r="G325" s="341"/>
      <c r="H325" s="478" t="s">
        <v>307</v>
      </c>
      <c r="I325" s="391"/>
      <c r="J325" s="390">
        <f> P314 / J324 * (J324-1)</f>
        <v>14</v>
      </c>
      <c r="K325" s="336"/>
      <c r="L325" s="337"/>
      <c r="M325" s="349"/>
      <c r="N325" s="349"/>
      <c r="O325" s="337"/>
      <c r="P325" s="377"/>
      <c r="Q325" s="337"/>
    </row>
    <row r="326">
      <c r="E326" s="341"/>
      <c r="F326" s="341"/>
      <c r="G326" s="341"/>
      <c r="H326" s="410" t="s">
        <v>308</v>
      </c>
      <c r="I326" s="387"/>
      <c r="J326" s="395">
        <f>J325*J324</f>
        <v>28</v>
      </c>
      <c r="K326" s="345"/>
      <c r="L326" s="344"/>
      <c r="M326" s="346"/>
      <c r="N326" s="346"/>
      <c r="O326" s="344"/>
      <c r="P326" s="509"/>
      <c r="Q326" s="344"/>
    </row>
    <row r="327">
      <c r="E327" s="341"/>
      <c r="F327" s="341"/>
      <c r="G327" s="341"/>
      <c r="H327" s="614" t="s">
        <v>311</v>
      </c>
      <c r="I327" s="615"/>
      <c r="J327" s="616">
        <f>ALL_GATHER_CORE2CORE_TIME_MS(J326)</f>
        <v>0.02278645833</v>
      </c>
      <c r="K327" s="336"/>
      <c r="L327" s="337"/>
      <c r="M327" s="349"/>
      <c r="N327" s="349"/>
      <c r="O327" s="337"/>
      <c r="P327" s="377"/>
      <c r="Q327" s="337"/>
    </row>
    <row r="328">
      <c r="E328" s="341"/>
      <c r="F328" s="341"/>
      <c r="G328" s="352"/>
      <c r="H328" s="617" t="s">
        <v>374</v>
      </c>
      <c r="I328" s="618"/>
      <c r="J328" s="619">
        <f>J327/J318</f>
        <v>0.002848307292</v>
      </c>
      <c r="K328" s="345"/>
      <c r="L328" s="344"/>
      <c r="M328" s="346"/>
      <c r="N328" s="346"/>
      <c r="O328" s="344"/>
      <c r="P328" s="509"/>
      <c r="Q328" s="344"/>
    </row>
    <row r="329">
      <c r="E329" s="341"/>
      <c r="F329" s="341"/>
      <c r="G329" s="402" t="s">
        <v>316</v>
      </c>
      <c r="H329" s="620">
        <f>J323+J328</f>
        <v>0.1025390625</v>
      </c>
      <c r="I329" s="298"/>
      <c r="J329" s="621"/>
      <c r="K329" s="336"/>
      <c r="L329" s="337"/>
      <c r="M329" s="349"/>
      <c r="N329" s="349"/>
      <c r="O329" s="337"/>
      <c r="P329" s="377"/>
      <c r="Q329" s="337"/>
    </row>
    <row r="330">
      <c r="E330" s="341"/>
      <c r="F330" s="341"/>
      <c r="G330" s="601"/>
      <c r="H330" s="622"/>
      <c r="I330" s="493"/>
      <c r="J330" s="345"/>
      <c r="K330" s="345"/>
      <c r="L330" s="346"/>
      <c r="M330" s="346"/>
      <c r="N330" s="346"/>
      <c r="O330" s="345"/>
      <c r="P330" s="509"/>
      <c r="Q330" s="379"/>
    </row>
    <row r="331">
      <c r="E331" s="341"/>
      <c r="F331" s="341"/>
      <c r="G331" s="623" t="s">
        <v>375</v>
      </c>
      <c r="H331" s="624" t="s">
        <v>117</v>
      </c>
      <c r="I331" s="581"/>
      <c r="J331" s="448"/>
      <c r="K331" s="448"/>
      <c r="L331" s="449"/>
      <c r="M331" s="449"/>
      <c r="N331" s="449"/>
      <c r="O331" s="448"/>
      <c r="P331" s="604"/>
      <c r="Q331" s="572"/>
    </row>
    <row r="332">
      <c r="E332" s="352"/>
      <c r="F332" s="352"/>
      <c r="G332" s="591" t="s">
        <v>340</v>
      </c>
      <c r="H332" s="625">
        <f>IFS(H331=G290,H297,H331=G299,H310,H331=G312,H329, TRUE,0)</f>
        <v>0.1025390625</v>
      </c>
      <c r="I332" s="581"/>
      <c r="J332" s="448"/>
      <c r="K332" s="448"/>
      <c r="L332" s="449"/>
      <c r="M332" s="449"/>
      <c r="N332" s="449"/>
      <c r="O332" s="448"/>
      <c r="P332" s="604"/>
      <c r="Q332" s="572"/>
    </row>
    <row r="333">
      <c r="E333" s="333" t="s">
        <v>377</v>
      </c>
      <c r="F333" s="627" t="s">
        <v>292</v>
      </c>
      <c r="G333" s="335"/>
      <c r="H333" s="372" t="s">
        <v>281</v>
      </c>
      <c r="I333" s="364" t="s">
        <v>282</v>
      </c>
      <c r="J333" s="364"/>
      <c r="K333" s="273" t="s">
        <v>104</v>
      </c>
      <c r="L333" s="273" t="s">
        <v>212</v>
      </c>
      <c r="M333" s="472" t="s">
        <v>178</v>
      </c>
      <c r="N333" s="364" t="s">
        <v>283</v>
      </c>
      <c r="O333" s="365" t="s">
        <v>125</v>
      </c>
      <c r="P333" s="375"/>
      <c r="Q333" s="365" t="b">
        <v>0</v>
      </c>
    </row>
    <row r="334">
      <c r="E334" s="341"/>
      <c r="F334" s="342"/>
      <c r="G334" s="343"/>
      <c r="H334" s="374" t="s">
        <v>285</v>
      </c>
      <c r="I334" s="364" t="s">
        <v>282</v>
      </c>
      <c r="J334" s="363"/>
      <c r="K334" s="364">
        <f t="shared" ref="K334:M334" si="72">PARAMS(K333)</f>
        <v>4096</v>
      </c>
      <c r="L334" s="364">
        <f t="shared" si="72"/>
        <v>8</v>
      </c>
      <c r="M334" s="364">
        <f t="shared" si="72"/>
        <v>7168</v>
      </c>
      <c r="N334" s="364" t="s">
        <v>283</v>
      </c>
      <c r="O334" s="341"/>
      <c r="P334" s="375">
        <f>SIZEOF_IN_MIB(J334:M334, O333)</f>
        <v>224</v>
      </c>
      <c r="Q334" s="341"/>
    </row>
    <row r="335">
      <c r="E335" s="341"/>
      <c r="F335" s="342"/>
      <c r="G335" s="343"/>
      <c r="H335" s="629" t="s">
        <v>287</v>
      </c>
      <c r="I335" s="363" t="s">
        <v>282</v>
      </c>
      <c r="J335" s="364"/>
      <c r="K335" s="273"/>
      <c r="L335" s="273"/>
      <c r="M335" s="273" t="s">
        <v>97</v>
      </c>
      <c r="N335" s="363" t="s">
        <v>283</v>
      </c>
      <c r="O335" s="341"/>
      <c r="P335" s="375"/>
      <c r="Q335" s="341"/>
    </row>
    <row r="336">
      <c r="E336" s="341"/>
      <c r="F336" s="353"/>
      <c r="G336" s="354"/>
      <c r="H336" s="376" t="s">
        <v>289</v>
      </c>
      <c r="I336" s="349" t="s">
        <v>282</v>
      </c>
      <c r="J336" s="336"/>
      <c r="K336" s="349">
        <f t="shared" ref="K336:M336" si="73">K334/SHARDING(K335)</f>
        <v>4096</v>
      </c>
      <c r="L336" s="349">
        <f t="shared" si="73"/>
        <v>8</v>
      </c>
      <c r="M336" s="349">
        <f t="shared" si="73"/>
        <v>3584</v>
      </c>
      <c r="N336" s="349" t="s">
        <v>283</v>
      </c>
      <c r="O336" s="316"/>
      <c r="P336" s="377">
        <f>SIZEOF_IN_MIB(J336:M336, O333)</f>
        <v>112</v>
      </c>
      <c r="Q336" s="316"/>
    </row>
    <row r="337">
      <c r="E337" s="341"/>
      <c r="F337" s="630" t="s">
        <v>296</v>
      </c>
      <c r="G337" s="335"/>
      <c r="H337" s="517" t="s">
        <v>281</v>
      </c>
      <c r="I337" s="346" t="s">
        <v>282</v>
      </c>
      <c r="J337" s="344">
        <v>2.0</v>
      </c>
      <c r="K337" s="344" t="s">
        <v>184</v>
      </c>
      <c r="L337" s="556" t="s">
        <v>178</v>
      </c>
      <c r="M337" s="344" t="s">
        <v>182</v>
      </c>
      <c r="N337" s="346" t="s">
        <v>283</v>
      </c>
      <c r="O337" s="473" t="s">
        <v>125</v>
      </c>
      <c r="P337" s="509"/>
      <c r="Q337" s="473" t="b">
        <v>0</v>
      </c>
    </row>
    <row r="338">
      <c r="E338" s="341"/>
      <c r="F338" s="342"/>
      <c r="G338" s="343"/>
      <c r="H338" s="376" t="s">
        <v>285</v>
      </c>
      <c r="I338" s="349" t="s">
        <v>282</v>
      </c>
      <c r="J338" s="349">
        <f t="shared" ref="J338:M338" si="74">PARAMS(J337)</f>
        <v>2</v>
      </c>
      <c r="K338" s="349">
        <f t="shared" si="74"/>
        <v>256</v>
      </c>
      <c r="L338" s="349">
        <f t="shared" si="74"/>
        <v>7168</v>
      </c>
      <c r="M338" s="349">
        <f t="shared" si="74"/>
        <v>2048</v>
      </c>
      <c r="N338" s="349" t="s">
        <v>283</v>
      </c>
      <c r="O338" s="350"/>
      <c r="P338" s="377">
        <f>SIZEOF_IN_MIB(J338:M338, O337)</f>
        <v>7168</v>
      </c>
      <c r="Q338" s="350"/>
    </row>
    <row r="339">
      <c r="E339" s="341"/>
      <c r="F339" s="342"/>
      <c r="G339" s="343"/>
      <c r="H339" s="517" t="s">
        <v>287</v>
      </c>
      <c r="I339" s="346"/>
      <c r="J339" s="345"/>
      <c r="K339" s="344"/>
      <c r="L339" s="344" t="s">
        <v>97</v>
      </c>
      <c r="M339" s="344" t="s">
        <v>96</v>
      </c>
      <c r="N339" s="346" t="s">
        <v>283</v>
      </c>
      <c r="O339" s="347"/>
      <c r="P339" s="509"/>
      <c r="Q339" s="347"/>
    </row>
    <row r="340">
      <c r="E340" s="341"/>
      <c r="F340" s="353"/>
      <c r="G340" s="354"/>
      <c r="H340" s="602" t="s">
        <v>289</v>
      </c>
      <c r="I340" s="349" t="s">
        <v>282</v>
      </c>
      <c r="J340" s="349">
        <f t="shared" ref="J340:M340" si="75">J338/SHARDING(J339)</f>
        <v>2</v>
      </c>
      <c r="K340" s="349">
        <f t="shared" si="75"/>
        <v>256</v>
      </c>
      <c r="L340" s="349">
        <f t="shared" si="75"/>
        <v>3584</v>
      </c>
      <c r="M340" s="349">
        <f t="shared" si="75"/>
        <v>256</v>
      </c>
      <c r="N340" s="349" t="s">
        <v>283</v>
      </c>
      <c r="O340" s="316"/>
      <c r="P340" s="377">
        <f>SIZEOF_IN_MIB(J340:M340, O337)</f>
        <v>448</v>
      </c>
      <c r="Q340" s="316"/>
    </row>
    <row r="341">
      <c r="E341" s="341"/>
      <c r="F341" s="630" t="s">
        <v>56</v>
      </c>
      <c r="G341" s="335"/>
      <c r="H341" s="517" t="s">
        <v>281</v>
      </c>
      <c r="I341" s="346" t="s">
        <v>282</v>
      </c>
      <c r="J341" s="344">
        <v>2.0</v>
      </c>
      <c r="K341" s="344" t="s">
        <v>104</v>
      </c>
      <c r="L341" s="344" t="s">
        <v>212</v>
      </c>
      <c r="M341" s="344" t="s">
        <v>182</v>
      </c>
      <c r="N341" s="346" t="s">
        <v>283</v>
      </c>
      <c r="O341" s="546" t="s">
        <v>133</v>
      </c>
      <c r="P341" s="509"/>
      <c r="Q341" s="473" t="b">
        <v>0</v>
      </c>
    </row>
    <row r="342">
      <c r="E342" s="341"/>
      <c r="F342" s="342"/>
      <c r="G342" s="343"/>
      <c r="H342" s="376" t="s">
        <v>285</v>
      </c>
      <c r="I342" s="349" t="s">
        <v>282</v>
      </c>
      <c r="J342" s="349">
        <f t="shared" ref="J342:M342" si="76">PARAMS(J341)</f>
        <v>2</v>
      </c>
      <c r="K342" s="349">
        <f t="shared" si="76"/>
        <v>4096</v>
      </c>
      <c r="L342" s="349">
        <f t="shared" si="76"/>
        <v>8</v>
      </c>
      <c r="M342" s="349">
        <f t="shared" si="76"/>
        <v>2048</v>
      </c>
      <c r="N342" s="349" t="s">
        <v>283</v>
      </c>
      <c r="O342" s="350"/>
      <c r="P342" s="377">
        <f>SIZEOF_IN_MIB(J342:M342, O341)</f>
        <v>256</v>
      </c>
      <c r="Q342" s="350"/>
    </row>
    <row r="343">
      <c r="E343" s="341"/>
      <c r="F343" s="342"/>
      <c r="G343" s="343"/>
      <c r="H343" s="517" t="s">
        <v>287</v>
      </c>
      <c r="I343" s="346" t="s">
        <v>282</v>
      </c>
      <c r="J343" s="345"/>
      <c r="K343" s="344"/>
      <c r="L343" s="344"/>
      <c r="M343" s="344" t="s">
        <v>96</v>
      </c>
      <c r="N343" s="346" t="s">
        <v>283</v>
      </c>
      <c r="O343" s="347"/>
      <c r="P343" s="509"/>
      <c r="Q343" s="347"/>
    </row>
    <row r="344">
      <c r="E344" s="341"/>
      <c r="F344" s="353"/>
      <c r="G344" s="354"/>
      <c r="H344" s="602" t="s">
        <v>289</v>
      </c>
      <c r="I344" s="349" t="s">
        <v>282</v>
      </c>
      <c r="J344" s="349">
        <f t="shared" ref="J344:M344" si="77">J342/SHARDING(J343)</f>
        <v>2</v>
      </c>
      <c r="K344" s="349">
        <f t="shared" si="77"/>
        <v>4096</v>
      </c>
      <c r="L344" s="349">
        <f t="shared" si="77"/>
        <v>8</v>
      </c>
      <c r="M344" s="349">
        <f t="shared" si="77"/>
        <v>256</v>
      </c>
      <c r="N344" s="349" t="s">
        <v>283</v>
      </c>
      <c r="O344" s="316"/>
      <c r="P344" s="377">
        <f>SIZEOF_IN_MIB(J344:M344, O341)</f>
        <v>32</v>
      </c>
      <c r="Q344" s="316"/>
    </row>
    <row r="345">
      <c r="E345" s="341"/>
      <c r="F345" s="370" t="s">
        <v>378</v>
      </c>
      <c r="G345" s="601" t="s">
        <v>634</v>
      </c>
      <c r="H345" s="498" t="str">
        <f>L339</f>
        <v>data</v>
      </c>
      <c r="I345" s="632" t="s">
        <v>635</v>
      </c>
      <c r="J345" s="345"/>
      <c r="K345" s="345"/>
      <c r="L345" s="346"/>
      <c r="M345" s="346"/>
      <c r="N345" s="346"/>
      <c r="O345" s="345"/>
      <c r="P345" s="509"/>
      <c r="Q345" s="379"/>
    </row>
    <row r="346">
      <c r="E346" s="341"/>
      <c r="F346" s="341"/>
      <c r="G346" s="591" t="s">
        <v>381</v>
      </c>
      <c r="H346" s="633" t="s">
        <v>382</v>
      </c>
      <c r="I346" s="633"/>
      <c r="J346" s="448"/>
      <c r="K346" s="448"/>
      <c r="L346" s="449"/>
      <c r="M346" s="449"/>
      <c r="N346" s="449"/>
      <c r="O346" s="448"/>
      <c r="P346" s="604"/>
      <c r="Q346" s="572"/>
    </row>
    <row r="347">
      <c r="E347" s="341"/>
      <c r="F347" s="341"/>
      <c r="G347" s="594" t="s">
        <v>306</v>
      </c>
      <c r="H347" s="634">
        <f>SHARDING(H345)</f>
        <v>2</v>
      </c>
      <c r="I347" s="498"/>
      <c r="J347" s="345"/>
      <c r="K347" s="345"/>
      <c r="L347" s="346"/>
      <c r="M347" s="346"/>
      <c r="N347" s="346"/>
      <c r="O347" s="345"/>
      <c r="P347" s="509"/>
      <c r="Q347" s="379"/>
    </row>
    <row r="348">
      <c r="E348" s="341"/>
      <c r="F348" s="341"/>
      <c r="G348" s="594" t="s">
        <v>383</v>
      </c>
      <c r="H348" s="635">
        <f>P344/H347*(H347-1)</f>
        <v>16</v>
      </c>
      <c r="I348" s="549"/>
      <c r="J348" s="336"/>
      <c r="K348" s="336"/>
      <c r="L348" s="349"/>
      <c r="M348" s="349"/>
      <c r="N348" s="349"/>
      <c r="O348" s="336"/>
      <c r="P348" s="377"/>
      <c r="Q348" s="298"/>
    </row>
    <row r="349">
      <c r="E349" s="341"/>
      <c r="F349" s="341"/>
      <c r="G349" s="594" t="s">
        <v>384</v>
      </c>
      <c r="H349" s="636">
        <f>H348*H347</f>
        <v>32</v>
      </c>
      <c r="I349" s="498"/>
      <c r="J349" s="345"/>
      <c r="K349" s="345"/>
      <c r="L349" s="346"/>
      <c r="M349" s="346"/>
      <c r="N349" s="346"/>
      <c r="O349" s="345"/>
      <c r="P349" s="509"/>
      <c r="Q349" s="379"/>
    </row>
    <row r="350">
      <c r="E350" s="341"/>
      <c r="F350" s="341"/>
      <c r="G350" s="637" t="s">
        <v>385</v>
      </c>
      <c r="H350" s="638" t="s">
        <v>309</v>
      </c>
      <c r="I350" s="549"/>
      <c r="J350" s="639">
        <f>IFS(H347=8,12,
H347=4,4,
H347=2,1,
H347=1,0,
TRUE,NA())</f>
        <v>1</v>
      </c>
      <c r="K350" s="336"/>
      <c r="L350" s="349"/>
      <c r="M350" s="349"/>
      <c r="N350" s="349"/>
      <c r="O350" s="336"/>
      <c r="P350" s="377"/>
      <c r="Q350" s="298"/>
    </row>
    <row r="351">
      <c r="E351" s="341"/>
      <c r="F351" s="341"/>
      <c r="G351" s="341"/>
      <c r="H351" s="640" t="s">
        <v>386</v>
      </c>
      <c r="I351" s="379"/>
      <c r="J351" s="641">
        <f>HW_SPEC("# of TensorCore per Chip")</f>
        <v>2</v>
      </c>
      <c r="K351" s="345"/>
      <c r="L351" s="346"/>
      <c r="M351" s="346"/>
      <c r="N351" s="346"/>
      <c r="O351" s="345"/>
      <c r="P351" s="509"/>
      <c r="Q351" s="379"/>
    </row>
    <row r="352">
      <c r="E352" s="341"/>
      <c r="F352" s="341"/>
      <c r="G352" s="352"/>
      <c r="H352" s="642" t="s">
        <v>311</v>
      </c>
      <c r="I352" s="549"/>
      <c r="J352" s="643">
        <f>REDUCE_SCATTER_CHIP2CHIP_TIME_MS2(H349*J351,J350)</f>
        <v>0.390625</v>
      </c>
      <c r="K352" s="336"/>
      <c r="L352" s="349"/>
      <c r="M352" s="349"/>
      <c r="N352" s="349"/>
      <c r="O352" s="336"/>
      <c r="P352" s="377"/>
      <c r="Q352" s="298"/>
    </row>
    <row r="353">
      <c r="E353" s="341"/>
      <c r="F353" s="341"/>
      <c r="G353" s="644" t="s">
        <v>387</v>
      </c>
      <c r="H353" s="645" t="s">
        <v>311</v>
      </c>
      <c r="I353" s="379"/>
      <c r="J353" s="646">
        <f>REDUCE_SCATTER_CORE2CORE_TIME_MS(H349)</f>
        <v>0.02604166667</v>
      </c>
      <c r="K353" s="345"/>
      <c r="L353" s="346"/>
      <c r="M353" s="346"/>
      <c r="N353" s="346"/>
      <c r="O353" s="345"/>
      <c r="P353" s="509"/>
      <c r="Q353" s="379"/>
    </row>
    <row r="354">
      <c r="E354" s="341"/>
      <c r="F354" s="341"/>
      <c r="G354" s="11"/>
      <c r="H354" s="298"/>
      <c r="I354" s="549"/>
      <c r="J354" s="336"/>
      <c r="K354" s="336"/>
      <c r="L354" s="349"/>
      <c r="M354" s="349"/>
      <c r="N354" s="349"/>
      <c r="O354" s="336"/>
      <c r="P354" s="377"/>
      <c r="Q354" s="298"/>
    </row>
    <row r="355">
      <c r="E355" s="341"/>
      <c r="F355" s="341"/>
      <c r="G355" s="591" t="s">
        <v>388</v>
      </c>
      <c r="H355" s="647" t="s">
        <v>389</v>
      </c>
      <c r="I355" s="648"/>
      <c r="J355" s="448"/>
      <c r="K355" s="448"/>
      <c r="L355" s="449"/>
      <c r="M355" s="449"/>
      <c r="N355" s="449"/>
      <c r="O355" s="448"/>
      <c r="P355" s="604"/>
      <c r="Q355" s="572"/>
    </row>
    <row r="356">
      <c r="E356" s="341"/>
      <c r="F356" s="341"/>
      <c r="G356" s="601" t="s">
        <v>390</v>
      </c>
      <c r="H356" s="649">
        <f>P344/2</f>
        <v>16</v>
      </c>
      <c r="I356" s="650"/>
      <c r="J356" s="454"/>
      <c r="K356" s="454"/>
      <c r="L356" s="455"/>
      <c r="M356" s="455"/>
      <c r="N356" s="455"/>
      <c r="O356" s="454"/>
      <c r="P356" s="468"/>
      <c r="Q356" s="11"/>
    </row>
    <row r="357">
      <c r="E357" s="341"/>
      <c r="F357" s="341"/>
      <c r="G357" s="11"/>
      <c r="H357" s="11"/>
      <c r="I357" s="650"/>
      <c r="J357" s="454"/>
      <c r="K357" s="454"/>
      <c r="L357" s="455"/>
      <c r="M357" s="455"/>
      <c r="N357" s="455"/>
      <c r="O357" s="454"/>
      <c r="P357" s="468"/>
      <c r="Q357" s="11"/>
    </row>
    <row r="358">
      <c r="E358" s="341"/>
      <c r="F358" s="341"/>
      <c r="G358" s="591" t="s">
        <v>263</v>
      </c>
      <c r="H358" s="647" t="s">
        <v>391</v>
      </c>
      <c r="I358" s="648"/>
      <c r="J358" s="448"/>
      <c r="K358" s="448"/>
      <c r="L358" s="449"/>
      <c r="M358" s="449"/>
      <c r="N358" s="449"/>
      <c r="O358" s="448"/>
      <c r="P358" s="604"/>
      <c r="Q358" s="572"/>
    </row>
    <row r="359">
      <c r="E359" s="341"/>
      <c r="F359" s="341"/>
      <c r="G359" s="594" t="s">
        <v>306</v>
      </c>
      <c r="H359" s="651">
        <f>H347</f>
        <v>2</v>
      </c>
      <c r="I359" s="650"/>
      <c r="J359" s="454"/>
      <c r="K359" s="454"/>
      <c r="L359" s="455"/>
      <c r="M359" s="455"/>
      <c r="N359" s="455"/>
      <c r="O359" s="454"/>
      <c r="P359" s="468"/>
      <c r="Q359" s="11"/>
    </row>
    <row r="360">
      <c r="E360" s="341"/>
      <c r="F360" s="341"/>
      <c r="G360" s="594" t="s">
        <v>392</v>
      </c>
      <c r="H360" s="652">
        <f>H356/H359 * (H359-1)</f>
        <v>8</v>
      </c>
      <c r="I360" s="650"/>
      <c r="J360" s="454"/>
      <c r="K360" s="454"/>
      <c r="L360" s="455"/>
      <c r="M360" s="455"/>
      <c r="N360" s="455"/>
      <c r="O360" s="454"/>
      <c r="P360" s="468"/>
      <c r="Q360" s="11"/>
    </row>
    <row r="361">
      <c r="E361" s="341"/>
      <c r="F361" s="341"/>
      <c r="G361" s="594" t="s">
        <v>308</v>
      </c>
      <c r="H361" s="652">
        <f>H360*H359</f>
        <v>16</v>
      </c>
      <c r="I361" s="650"/>
      <c r="J361" s="454"/>
      <c r="K361" s="454"/>
      <c r="L361" s="455"/>
      <c r="M361" s="455"/>
      <c r="N361" s="455"/>
      <c r="O361" s="454"/>
      <c r="P361" s="468"/>
      <c r="Q361" s="11"/>
    </row>
    <row r="362">
      <c r="E362" s="341"/>
      <c r="F362" s="341"/>
      <c r="G362" s="653" t="s">
        <v>385</v>
      </c>
      <c r="H362" s="385" t="s">
        <v>309</v>
      </c>
      <c r="I362" s="11"/>
      <c r="J362" s="654">
        <f>IFS(H359=8,12,
H359=4,4,
H359=2,1,
TRUE,NA())</f>
        <v>1</v>
      </c>
      <c r="K362" s="454"/>
      <c r="L362" s="455"/>
      <c r="M362" s="455"/>
      <c r="N362" s="455"/>
      <c r="O362" s="454"/>
      <c r="P362" s="468"/>
      <c r="Q362" s="11"/>
      <c r="S362" s="655"/>
    </row>
    <row r="363">
      <c r="E363" s="341"/>
      <c r="F363" s="341"/>
      <c r="G363" s="341"/>
      <c r="H363" s="385" t="s">
        <v>386</v>
      </c>
      <c r="I363" s="11"/>
      <c r="J363" s="656">
        <f>HW_SPEC("# of TensorCore per Chip")</f>
        <v>2</v>
      </c>
      <c r="K363" s="454"/>
      <c r="L363" s="455"/>
      <c r="M363" s="455"/>
      <c r="N363" s="455"/>
      <c r="O363" s="454"/>
      <c r="P363" s="468"/>
      <c r="Q363" s="11"/>
    </row>
    <row r="364">
      <c r="E364" s="341"/>
      <c r="F364" s="341"/>
      <c r="G364" s="352"/>
      <c r="H364" s="402" t="s">
        <v>311</v>
      </c>
      <c r="I364" s="650"/>
      <c r="J364" s="657">
        <f>REDUCE_SCATTER_CHIP2CHIP_TIME_MS2(H361*J363,J362)</f>
        <v>0.1953125</v>
      </c>
      <c r="K364" s="454"/>
      <c r="L364" s="455"/>
      <c r="M364" s="455"/>
      <c r="N364" s="455"/>
      <c r="O364" s="454"/>
      <c r="P364" s="468"/>
      <c r="Q364" s="11"/>
    </row>
    <row r="365">
      <c r="E365" s="341"/>
      <c r="F365" s="341"/>
      <c r="G365" s="658" t="s">
        <v>387</v>
      </c>
      <c r="H365" s="402" t="s">
        <v>311</v>
      </c>
      <c r="I365" s="650"/>
      <c r="J365" s="657">
        <f>REDUCE_SCATTER_CORE2CORE_TIME_MS(H361)</f>
        <v>0.01302083333</v>
      </c>
      <c r="K365" s="454"/>
      <c r="L365" s="455"/>
      <c r="M365" s="455"/>
      <c r="N365" s="455"/>
      <c r="O365" s="454"/>
      <c r="P365" s="468"/>
      <c r="Q365" s="11"/>
    </row>
    <row r="366">
      <c r="E366" s="341"/>
      <c r="F366" s="341"/>
      <c r="G366" s="594"/>
      <c r="H366" s="659"/>
      <c r="I366" s="650"/>
      <c r="J366" s="454"/>
      <c r="K366" s="454"/>
      <c r="L366" s="455"/>
      <c r="M366" s="455"/>
      <c r="N366" s="455"/>
      <c r="O366" s="454"/>
      <c r="P366" s="468"/>
      <c r="Q366" s="11"/>
    </row>
    <row r="367">
      <c r="E367" s="341"/>
      <c r="F367" s="341"/>
      <c r="G367" s="591" t="s">
        <v>393</v>
      </c>
      <c r="H367" s="660" t="s">
        <v>387</v>
      </c>
      <c r="I367" s="648"/>
      <c r="J367" s="448"/>
      <c r="K367" s="448"/>
      <c r="L367" s="449"/>
      <c r="M367" s="449"/>
      <c r="N367" s="449"/>
      <c r="O367" s="448"/>
      <c r="P367" s="604"/>
      <c r="Q367" s="572"/>
    </row>
    <row r="368">
      <c r="E368" s="341"/>
      <c r="F368" s="341"/>
      <c r="G368" s="661" t="s">
        <v>395</v>
      </c>
      <c r="H368" s="662">
        <f>IFS(H367=G350,J352,
H367=G353,J353 ,
TRUE,0)</f>
        <v>0.02604166667</v>
      </c>
      <c r="I368" s="650"/>
      <c r="J368" s="454"/>
      <c r="K368" s="454"/>
      <c r="L368" s="455"/>
      <c r="M368" s="455"/>
      <c r="N368" s="455"/>
      <c r="O368" s="454"/>
      <c r="P368" s="468"/>
      <c r="Q368" s="11"/>
    </row>
    <row r="369">
      <c r="E369" s="341"/>
      <c r="F369" s="341"/>
      <c r="G369" s="661" t="s">
        <v>396</v>
      </c>
      <c r="H369" s="662">
        <f>IFS(H367=G362,J364,
H367=G365,J365 ,
TRUE,0)</f>
        <v>0.01302083333</v>
      </c>
      <c r="I369" s="650"/>
      <c r="J369" s="454"/>
      <c r="K369" s="454"/>
      <c r="L369" s="455"/>
      <c r="M369" s="455"/>
      <c r="N369" s="455"/>
      <c r="O369" s="454"/>
      <c r="P369" s="468"/>
      <c r="Q369" s="11"/>
    </row>
    <row r="370">
      <c r="E370" s="341"/>
      <c r="F370" s="352"/>
      <c r="G370" s="591" t="s">
        <v>340</v>
      </c>
      <c r="H370" s="625">
        <f>SUM(H368:H369)</f>
        <v>0.0390625</v>
      </c>
      <c r="I370" s="581"/>
      <c r="J370" s="448"/>
      <c r="K370" s="448"/>
      <c r="L370" s="449"/>
      <c r="M370" s="449"/>
      <c r="N370" s="449"/>
      <c r="O370" s="448"/>
      <c r="P370" s="604"/>
      <c r="Q370" s="572"/>
    </row>
    <row r="371">
      <c r="E371" s="341"/>
      <c r="F371" s="609" t="s">
        <v>327</v>
      </c>
      <c r="G371" s="601" t="s">
        <v>328</v>
      </c>
      <c r="H371" s="663" t="str">
        <f>VLOOKUP(O333&amp;","&amp;O337,$T$2:$W$11,4, FALSE)</f>
        <v>fp8</v>
      </c>
      <c r="I371" s="460"/>
      <c r="J371" s="454"/>
      <c r="K371" s="454"/>
      <c r="L371" s="455"/>
      <c r="M371" s="455"/>
      <c r="N371" s="455"/>
      <c r="O371" s="454"/>
      <c r="P371" s="468"/>
      <c r="Q371" s="11"/>
    </row>
    <row r="372">
      <c r="E372" s="341"/>
      <c r="F372" s="341"/>
      <c r="G372" s="601" t="s">
        <v>403</v>
      </c>
      <c r="H372" s="667" t="str">
        <f>CALCULATE_FLOPS(J336:M336,J340:M340,L340,K340,H371)</f>
        <v>#N/A</v>
      </c>
      <c r="I372" s="460"/>
      <c r="J372" s="454"/>
      <c r="K372" s="454"/>
      <c r="L372" s="455"/>
      <c r="M372" s="455"/>
      <c r="N372" s="455"/>
      <c r="O372" s="454"/>
      <c r="P372" s="468"/>
      <c r="Q372" s="11"/>
    </row>
    <row r="373">
      <c r="E373" s="341"/>
      <c r="F373" s="352"/>
      <c r="G373" s="669" t="s">
        <v>330</v>
      </c>
      <c r="H373" s="670" t="str">
        <f>COMPUTE_TIME_MS(H372, H371)</f>
        <v>#N/A</v>
      </c>
      <c r="I373" s="464"/>
      <c r="J373" s="465"/>
      <c r="K373" s="465"/>
      <c r="L373" s="466"/>
      <c r="M373" s="466"/>
      <c r="N373" s="466"/>
      <c r="O373" s="465"/>
      <c r="P373" s="671"/>
      <c r="Q373" s="11"/>
    </row>
    <row r="374">
      <c r="E374" s="341"/>
      <c r="F374" s="609" t="s">
        <v>331</v>
      </c>
      <c r="G374" s="663" t="s">
        <v>332</v>
      </c>
      <c r="H374" s="672">
        <f>IF(Q333,0,P336)+IF(Q337,0,P340)+IF(Q341,0,P344 / 2)</f>
        <v>576</v>
      </c>
      <c r="I374" s="454"/>
      <c r="J374" s="454"/>
      <c r="K374" s="454"/>
      <c r="L374" s="455"/>
      <c r="M374" s="455"/>
      <c r="N374" s="455"/>
      <c r="O374" s="454"/>
      <c r="P374" s="468"/>
      <c r="Q374" s="11"/>
    </row>
    <row r="375">
      <c r="E375" s="352"/>
      <c r="F375" s="352"/>
      <c r="G375" s="673" t="s">
        <v>333</v>
      </c>
      <c r="H375" s="670">
        <f>HBM_TIME_MS(H374)</f>
        <v>0.1922419686</v>
      </c>
      <c r="I375" s="465"/>
      <c r="J375" s="465"/>
      <c r="K375" s="465"/>
      <c r="L375" s="466"/>
      <c r="M375" s="466"/>
      <c r="N375" s="466"/>
      <c r="O375" s="465"/>
      <c r="P375" s="671"/>
      <c r="Q375" s="11"/>
    </row>
    <row r="376">
      <c r="E376" s="333" t="s">
        <v>404</v>
      </c>
      <c r="F376" s="627" t="s">
        <v>292</v>
      </c>
      <c r="G376" s="335"/>
      <c r="H376" s="372" t="s">
        <v>281</v>
      </c>
      <c r="I376" s="364" t="s">
        <v>282</v>
      </c>
      <c r="J376" s="273"/>
      <c r="K376" s="273" t="s">
        <v>104</v>
      </c>
      <c r="L376" s="273" t="s">
        <v>212</v>
      </c>
      <c r="M376" s="472" t="s">
        <v>182</v>
      </c>
      <c r="N376" s="364" t="s">
        <v>283</v>
      </c>
      <c r="O376" s="365" t="s">
        <v>125</v>
      </c>
      <c r="P376" s="375"/>
      <c r="Q376" s="365" t="b">
        <v>0</v>
      </c>
    </row>
    <row r="377">
      <c r="E377" s="341"/>
      <c r="F377" s="342"/>
      <c r="G377" s="343"/>
      <c r="H377" s="374" t="s">
        <v>285</v>
      </c>
      <c r="I377" s="364" t="s">
        <v>282</v>
      </c>
      <c r="J377" s="363"/>
      <c r="K377" s="364">
        <f t="shared" ref="K377:M377" si="78">PARAMS(K376)</f>
        <v>4096</v>
      </c>
      <c r="L377" s="364">
        <f t="shared" si="78"/>
        <v>8</v>
      </c>
      <c r="M377" s="364">
        <f t="shared" si="78"/>
        <v>2048</v>
      </c>
      <c r="N377" s="364" t="s">
        <v>283</v>
      </c>
      <c r="O377" s="341"/>
      <c r="P377" s="375">
        <f>SIZEOF_IN_MIB(J377:M377, O376)</f>
        <v>64</v>
      </c>
      <c r="Q377" s="341"/>
    </row>
    <row r="378">
      <c r="E378" s="341"/>
      <c r="F378" s="342"/>
      <c r="G378" s="343"/>
      <c r="H378" s="629" t="s">
        <v>287</v>
      </c>
      <c r="I378" s="363" t="s">
        <v>282</v>
      </c>
      <c r="J378" s="364"/>
      <c r="K378" s="273"/>
      <c r="L378" s="273"/>
      <c r="M378" s="273" t="s">
        <v>96</v>
      </c>
      <c r="N378" s="363" t="s">
        <v>283</v>
      </c>
      <c r="O378" s="341"/>
      <c r="P378" s="375"/>
      <c r="Q378" s="341"/>
    </row>
    <row r="379">
      <c r="E379" s="341"/>
      <c r="F379" s="353"/>
      <c r="G379" s="354"/>
      <c r="H379" s="374" t="s">
        <v>289</v>
      </c>
      <c r="I379" s="363" t="s">
        <v>282</v>
      </c>
      <c r="J379" s="364"/>
      <c r="K379" s="363">
        <f t="shared" ref="K379:M379" si="79">K377/SHARDING(K378)</f>
        <v>4096</v>
      </c>
      <c r="L379" s="363">
        <f t="shared" si="79"/>
        <v>8</v>
      </c>
      <c r="M379" s="363">
        <f t="shared" si="79"/>
        <v>256</v>
      </c>
      <c r="N379" s="363" t="s">
        <v>283</v>
      </c>
      <c r="O379" s="352"/>
      <c r="P379" s="375">
        <f>SIZEOF_IN_MIB(J379:M379, O376)</f>
        <v>8</v>
      </c>
      <c r="Q379" s="352"/>
    </row>
    <row r="380">
      <c r="E380" s="341"/>
      <c r="F380" s="630" t="s">
        <v>296</v>
      </c>
      <c r="G380" s="335"/>
      <c r="H380" s="629" t="s">
        <v>281</v>
      </c>
      <c r="I380" s="363" t="s">
        <v>282</v>
      </c>
      <c r="J380" s="364"/>
      <c r="K380" s="273" t="s">
        <v>184</v>
      </c>
      <c r="L380" s="472" t="s">
        <v>182</v>
      </c>
      <c r="M380" s="273" t="s">
        <v>178</v>
      </c>
      <c r="N380" s="363" t="s">
        <v>283</v>
      </c>
      <c r="O380" s="365" t="s">
        <v>125</v>
      </c>
      <c r="P380" s="375"/>
      <c r="Q380" s="365" t="b">
        <v>0</v>
      </c>
    </row>
    <row r="381">
      <c r="E381" s="341"/>
      <c r="F381" s="342"/>
      <c r="G381" s="343"/>
      <c r="H381" s="374" t="s">
        <v>285</v>
      </c>
      <c r="I381" s="363" t="s">
        <v>282</v>
      </c>
      <c r="J381" s="364"/>
      <c r="K381" s="363">
        <f t="shared" ref="K381:M381" si="80">PARAMS(K380)</f>
        <v>256</v>
      </c>
      <c r="L381" s="363">
        <f t="shared" si="80"/>
        <v>2048</v>
      </c>
      <c r="M381" s="363">
        <f t="shared" si="80"/>
        <v>7168</v>
      </c>
      <c r="N381" s="363" t="s">
        <v>283</v>
      </c>
      <c r="O381" s="341"/>
      <c r="P381" s="375">
        <f>SIZEOF_IN_MIB(J381:M381, O380)</f>
        <v>3584</v>
      </c>
      <c r="Q381" s="341"/>
    </row>
    <row r="382">
      <c r="E382" s="341"/>
      <c r="F382" s="342"/>
      <c r="G382" s="343"/>
      <c r="H382" s="629" t="s">
        <v>287</v>
      </c>
      <c r="I382" s="363" t="s">
        <v>282</v>
      </c>
      <c r="J382" s="364"/>
      <c r="K382" s="273"/>
      <c r="L382" s="273" t="s">
        <v>96</v>
      </c>
      <c r="M382" s="273" t="s">
        <v>97</v>
      </c>
      <c r="N382" s="363" t="s">
        <v>283</v>
      </c>
      <c r="O382" s="341"/>
      <c r="P382" s="375"/>
      <c r="Q382" s="341"/>
    </row>
    <row r="383">
      <c r="E383" s="341"/>
      <c r="F383" s="353"/>
      <c r="G383" s="354"/>
      <c r="H383" s="629" t="s">
        <v>289</v>
      </c>
      <c r="I383" s="363" t="s">
        <v>282</v>
      </c>
      <c r="J383" s="364"/>
      <c r="K383" s="363">
        <f t="shared" ref="K383:M383" si="81">K381/SHARDING(K382)</f>
        <v>256</v>
      </c>
      <c r="L383" s="363">
        <f t="shared" si="81"/>
        <v>256</v>
      </c>
      <c r="M383" s="363">
        <f t="shared" si="81"/>
        <v>3584</v>
      </c>
      <c r="N383" s="363" t="s">
        <v>283</v>
      </c>
      <c r="O383" s="352"/>
      <c r="P383" s="375">
        <f>SIZEOF_IN_MIB(J383:M383, O380)</f>
        <v>224</v>
      </c>
      <c r="Q383" s="352"/>
    </row>
    <row r="384">
      <c r="E384" s="341"/>
      <c r="F384" s="630" t="s">
        <v>56</v>
      </c>
      <c r="G384" s="335"/>
      <c r="H384" s="629" t="s">
        <v>281</v>
      </c>
      <c r="I384" s="363" t="s">
        <v>282</v>
      </c>
      <c r="J384" s="364"/>
      <c r="K384" s="273" t="s">
        <v>104</v>
      </c>
      <c r="L384" s="273" t="s">
        <v>212</v>
      </c>
      <c r="M384" s="273" t="s">
        <v>178</v>
      </c>
      <c r="N384" s="363" t="s">
        <v>283</v>
      </c>
      <c r="O384" s="674" t="s">
        <v>133</v>
      </c>
      <c r="P384" s="375"/>
      <c r="Q384" s="365" t="b">
        <v>0</v>
      </c>
    </row>
    <row r="385">
      <c r="E385" s="341"/>
      <c r="F385" s="342"/>
      <c r="G385" s="343"/>
      <c r="H385" s="374" t="s">
        <v>285</v>
      </c>
      <c r="I385" s="363" t="s">
        <v>282</v>
      </c>
      <c r="J385" s="364"/>
      <c r="K385" s="363">
        <f t="shared" ref="K385:M385" si="82">PARAMS(K384)</f>
        <v>4096</v>
      </c>
      <c r="L385" s="363">
        <f t="shared" si="82"/>
        <v>8</v>
      </c>
      <c r="M385" s="363">
        <f t="shared" si="82"/>
        <v>7168</v>
      </c>
      <c r="N385" s="363" t="s">
        <v>283</v>
      </c>
      <c r="O385" s="341"/>
      <c r="P385" s="375">
        <f>SIZEOF_IN_MIB(J385:M385, O384)</f>
        <v>448</v>
      </c>
      <c r="Q385" s="341"/>
    </row>
    <row r="386">
      <c r="E386" s="341"/>
      <c r="F386" s="342"/>
      <c r="G386" s="343"/>
      <c r="H386" s="629" t="s">
        <v>287</v>
      </c>
      <c r="I386" s="363" t="s">
        <v>282</v>
      </c>
      <c r="J386" s="364"/>
      <c r="K386" s="273"/>
      <c r="L386" s="273"/>
      <c r="M386" s="273" t="s">
        <v>97</v>
      </c>
      <c r="N386" s="363" t="s">
        <v>283</v>
      </c>
      <c r="O386" s="341"/>
      <c r="P386" s="375"/>
      <c r="Q386" s="341"/>
    </row>
    <row r="387">
      <c r="E387" s="341"/>
      <c r="F387" s="353"/>
      <c r="G387" s="354"/>
      <c r="H387" s="629" t="s">
        <v>289</v>
      </c>
      <c r="I387" s="363" t="s">
        <v>282</v>
      </c>
      <c r="J387" s="363"/>
      <c r="K387" s="363">
        <f t="shared" ref="K387:M387" si="83">K385/SHARDING(K386)</f>
        <v>4096</v>
      </c>
      <c r="L387" s="363">
        <f t="shared" si="83"/>
        <v>8</v>
      </c>
      <c r="M387" s="363">
        <f t="shared" si="83"/>
        <v>3584</v>
      </c>
      <c r="N387" s="363" t="s">
        <v>283</v>
      </c>
      <c r="O387" s="352"/>
      <c r="P387" s="375">
        <f>SIZEOF_IN_MIB(J387:M387, O384)</f>
        <v>224</v>
      </c>
      <c r="Q387" s="352"/>
    </row>
    <row r="388">
      <c r="E388" s="341"/>
      <c r="F388" s="370" t="s">
        <v>378</v>
      </c>
      <c r="G388" s="675" t="s">
        <v>636</v>
      </c>
      <c r="H388" s="676" t="str">
        <f>L382</f>
        <v>model</v>
      </c>
      <c r="I388" s="364"/>
      <c r="J388" s="11"/>
      <c r="K388" s="364"/>
      <c r="L388" s="363"/>
      <c r="M388" s="363"/>
      <c r="N388" s="363"/>
      <c r="O388" s="364"/>
      <c r="P388" s="375"/>
      <c r="Q388" s="677"/>
    </row>
    <row r="389">
      <c r="E389" s="341"/>
      <c r="F389" s="341"/>
      <c r="G389" s="678" t="s">
        <v>406</v>
      </c>
      <c r="H389" s="679" t="s">
        <v>637</v>
      </c>
      <c r="I389" s="448"/>
      <c r="J389" s="448"/>
      <c r="K389" s="448"/>
      <c r="L389" s="449"/>
      <c r="M389" s="449"/>
      <c r="N389" s="449"/>
      <c r="O389" s="448"/>
      <c r="P389" s="604"/>
      <c r="Q389" s="450"/>
    </row>
    <row r="390">
      <c r="E390" s="341"/>
      <c r="F390" s="341"/>
      <c r="G390" s="680" t="s">
        <v>306</v>
      </c>
      <c r="H390" s="374">
        <f>SHARDING(H388)</f>
        <v>8</v>
      </c>
      <c r="I390" s="364"/>
      <c r="J390" s="364"/>
      <c r="K390" s="364"/>
      <c r="L390" s="363"/>
      <c r="M390" s="363"/>
      <c r="N390" s="363"/>
      <c r="O390" s="364"/>
      <c r="P390" s="375"/>
      <c r="Q390" s="677"/>
    </row>
    <row r="391">
      <c r="E391" s="341"/>
      <c r="F391" s="341"/>
      <c r="G391" s="680" t="s">
        <v>392</v>
      </c>
      <c r="H391" s="681">
        <f>P387 / H390 * (H390-1)</f>
        <v>196</v>
      </c>
      <c r="I391" s="364"/>
      <c r="J391" s="364"/>
      <c r="K391" s="364"/>
      <c r="L391" s="363"/>
      <c r="M391" s="363"/>
      <c r="N391" s="363"/>
      <c r="O391" s="364"/>
      <c r="P391" s="375"/>
      <c r="Q391" s="677"/>
    </row>
    <row r="392">
      <c r="E392" s="341"/>
      <c r="F392" s="341"/>
      <c r="G392" s="680" t="s">
        <v>308</v>
      </c>
      <c r="H392" s="681">
        <f>H391*H390</f>
        <v>1568</v>
      </c>
      <c r="I392" s="364"/>
      <c r="J392" s="364"/>
      <c r="K392" s="364"/>
      <c r="L392" s="363"/>
      <c r="M392" s="363"/>
      <c r="N392" s="363"/>
      <c r="O392" s="364"/>
      <c r="P392" s="375"/>
      <c r="Q392" s="677"/>
    </row>
    <row r="393">
      <c r="E393" s="341"/>
      <c r="F393" s="341"/>
      <c r="G393" s="385" t="s">
        <v>309</v>
      </c>
      <c r="H393" s="654">
        <f>IFS(H390=8,12,
H390=4,4,
H390=2,1,
TRUE,NA())</f>
        <v>12</v>
      </c>
      <c r="I393" s="11"/>
      <c r="J393" s="364"/>
      <c r="K393" s="364"/>
      <c r="L393" s="363"/>
      <c r="M393" s="363"/>
      <c r="N393" s="363"/>
      <c r="O393" s="364"/>
      <c r="P393" s="375"/>
      <c r="Q393" s="677"/>
    </row>
    <row r="394">
      <c r="E394" s="341"/>
      <c r="F394" s="341"/>
      <c r="G394" s="682" t="s">
        <v>340</v>
      </c>
      <c r="H394" s="683">
        <f>ALL_REDUCE_CHIP2CHIP_TIME_MS(H392,H393)</f>
        <v>1.595052083</v>
      </c>
      <c r="I394" s="364"/>
      <c r="J394" s="364"/>
      <c r="K394" s="364"/>
      <c r="L394" s="363"/>
      <c r="M394" s="363"/>
      <c r="N394" s="363"/>
      <c r="O394" s="364"/>
      <c r="P394" s="375"/>
      <c r="Q394" s="677"/>
    </row>
    <row r="395">
      <c r="E395" s="341"/>
      <c r="F395" s="341"/>
      <c r="G395" s="682"/>
      <c r="H395" s="683"/>
      <c r="I395" s="364"/>
      <c r="J395" s="364"/>
      <c r="K395" s="364"/>
      <c r="L395" s="363"/>
      <c r="M395" s="363"/>
      <c r="N395" s="363"/>
      <c r="O395" s="364"/>
      <c r="P395" s="375"/>
      <c r="Q395" s="677"/>
    </row>
    <row r="396">
      <c r="E396" s="341"/>
      <c r="F396" s="341"/>
      <c r="G396" s="678" t="s">
        <v>408</v>
      </c>
      <c r="H396" s="684" t="s">
        <v>409</v>
      </c>
      <c r="I396" s="448"/>
      <c r="J396" s="448"/>
      <c r="K396" s="448"/>
      <c r="L396" s="449"/>
      <c r="M396" s="449"/>
      <c r="N396" s="449"/>
      <c r="O396" s="448"/>
      <c r="P396" s="604"/>
      <c r="Q396" s="450"/>
    </row>
    <row r="397">
      <c r="E397" s="341"/>
      <c r="F397" s="341"/>
      <c r="G397" s="8" t="s">
        <v>340</v>
      </c>
      <c r="H397" s="670">
        <f>0</f>
        <v>0</v>
      </c>
      <c r="I397" s="364"/>
      <c r="J397" s="364"/>
      <c r="K397" s="364"/>
      <c r="L397" s="363"/>
      <c r="M397" s="363"/>
      <c r="N397" s="363"/>
      <c r="O397" s="364"/>
      <c r="P397" s="375"/>
      <c r="Q397" s="677"/>
    </row>
    <row r="398">
      <c r="E398" s="341"/>
      <c r="F398" s="341"/>
      <c r="G398" s="8"/>
      <c r="H398" s="670"/>
      <c r="I398" s="364"/>
      <c r="J398" s="364"/>
      <c r="K398" s="364"/>
      <c r="L398" s="363"/>
      <c r="M398" s="363"/>
      <c r="N398" s="363"/>
      <c r="O398" s="364"/>
      <c r="P398" s="375"/>
      <c r="Q398" s="677"/>
    </row>
    <row r="399">
      <c r="E399" s="341"/>
      <c r="F399" s="341"/>
      <c r="G399" s="591" t="s">
        <v>393</v>
      </c>
      <c r="H399" s="685" t="s">
        <v>408</v>
      </c>
      <c r="I399" s="448"/>
      <c r="J399" s="448"/>
      <c r="K399" s="448"/>
      <c r="L399" s="449"/>
      <c r="M399" s="449"/>
      <c r="N399" s="449"/>
      <c r="O399" s="448"/>
      <c r="P399" s="604"/>
      <c r="Q399" s="450"/>
    </row>
    <row r="400">
      <c r="E400" s="341"/>
      <c r="F400" s="352"/>
      <c r="G400" s="669" t="s">
        <v>340</v>
      </c>
      <c r="H400" s="670">
        <f>IFS(H399=G389,H394,H399=G396,H397,TRUE,0)</f>
        <v>0</v>
      </c>
      <c r="I400" s="686"/>
      <c r="J400" s="364"/>
      <c r="K400" s="364"/>
      <c r="L400" s="363"/>
      <c r="M400" s="363"/>
      <c r="N400" s="363"/>
      <c r="O400" s="364"/>
      <c r="P400" s="375"/>
      <c r="Q400" s="677"/>
    </row>
    <row r="401">
      <c r="E401" s="341"/>
      <c r="F401" s="609" t="s">
        <v>327</v>
      </c>
      <c r="G401" s="601" t="s">
        <v>328</v>
      </c>
      <c r="H401" s="663" t="str">
        <f>VLOOKUP(O376&amp;","&amp;O380,$T$2:$W$11,4, FALSE)</f>
        <v>fp8</v>
      </c>
      <c r="I401" s="460"/>
      <c r="J401" s="454"/>
      <c r="K401" s="454"/>
      <c r="L401" s="455"/>
      <c r="M401" s="455"/>
      <c r="N401" s="455"/>
      <c r="O401" s="454"/>
      <c r="P401" s="468"/>
      <c r="Q401" s="11"/>
    </row>
    <row r="402">
      <c r="E402" s="341"/>
      <c r="F402" s="341"/>
      <c r="G402" s="663" t="s">
        <v>341</v>
      </c>
      <c r="H402" s="687" t="str">
        <f>CALCULATE_FLOPS(J379:M379,J383:M383,L383,K383,H401)</f>
        <v>#N/A</v>
      </c>
      <c r="I402" s="492"/>
      <c r="J402" s="336"/>
      <c r="K402" s="336"/>
      <c r="L402" s="349"/>
      <c r="M402" s="349"/>
      <c r="N402" s="349"/>
      <c r="O402" s="336"/>
      <c r="P402" s="377"/>
      <c r="Q402" s="298"/>
    </row>
    <row r="403">
      <c r="E403" s="341"/>
      <c r="F403" s="352"/>
      <c r="G403" s="669" t="s">
        <v>330</v>
      </c>
      <c r="H403" s="688" t="str">
        <f>COMPUTE_TIME_MS(H402, H401)</f>
        <v>#N/A</v>
      </c>
      <c r="I403" s="464"/>
      <c r="J403" s="465"/>
      <c r="K403" s="465"/>
      <c r="L403" s="466"/>
      <c r="M403" s="466"/>
      <c r="N403" s="466"/>
      <c r="O403" s="465"/>
      <c r="P403" s="671"/>
      <c r="Q403" s="379"/>
    </row>
    <row r="404">
      <c r="E404" s="341"/>
      <c r="F404" s="609" t="s">
        <v>331</v>
      </c>
      <c r="G404" s="663" t="s">
        <v>332</v>
      </c>
      <c r="H404" s="689">
        <f>IF(Q376,0,P379)+IF(Q380,0,P383)+IF(Q384,0,P387)</f>
        <v>456</v>
      </c>
      <c r="I404" s="336"/>
      <c r="J404" s="336"/>
      <c r="K404" s="336"/>
      <c r="L404" s="349"/>
      <c r="M404" s="349"/>
      <c r="N404" s="349"/>
      <c r="O404" s="336"/>
      <c r="P404" s="377"/>
      <c r="Q404" s="298"/>
    </row>
    <row r="405">
      <c r="E405" s="352"/>
      <c r="F405" s="352"/>
      <c r="G405" s="673" t="s">
        <v>333</v>
      </c>
      <c r="H405" s="690">
        <f>HBM_TIME_MS(H404)</f>
        <v>0.1521915584</v>
      </c>
      <c r="I405" s="465"/>
      <c r="J405" s="465"/>
      <c r="K405" s="465"/>
      <c r="L405" s="466"/>
      <c r="M405" s="466"/>
      <c r="N405" s="466"/>
      <c r="O405" s="465"/>
      <c r="P405" s="671"/>
      <c r="Q405" s="379"/>
    </row>
    <row r="406">
      <c r="E406" s="333" t="s">
        <v>411</v>
      </c>
      <c r="F406" s="691" t="s">
        <v>412</v>
      </c>
      <c r="G406" s="371" t="s">
        <v>301</v>
      </c>
      <c r="H406" s="531" t="s">
        <v>281</v>
      </c>
      <c r="I406" s="336" t="s">
        <v>282</v>
      </c>
      <c r="J406" s="337"/>
      <c r="K406" s="337" t="s">
        <v>104</v>
      </c>
      <c r="L406" s="337" t="s">
        <v>212</v>
      </c>
      <c r="M406" s="499" t="s">
        <v>178</v>
      </c>
      <c r="N406" s="336" t="s">
        <v>283</v>
      </c>
      <c r="O406" s="338" t="s">
        <v>133</v>
      </c>
      <c r="P406" s="377"/>
      <c r="Q406" s="337"/>
    </row>
    <row r="407">
      <c r="E407" s="341"/>
      <c r="F407" s="341"/>
      <c r="G407" s="341"/>
      <c r="H407" s="378" t="s">
        <v>285</v>
      </c>
      <c r="I407" s="345" t="s">
        <v>282</v>
      </c>
      <c r="J407" s="346"/>
      <c r="K407" s="345">
        <f t="shared" ref="K407:M407" si="84">PARAMS(K406)</f>
        <v>4096</v>
      </c>
      <c r="L407" s="345">
        <f t="shared" si="84"/>
        <v>8</v>
      </c>
      <c r="M407" s="345">
        <f t="shared" si="84"/>
        <v>7168</v>
      </c>
      <c r="N407" s="345" t="s">
        <v>283</v>
      </c>
      <c r="O407" s="347"/>
      <c r="P407" s="509">
        <f>SIZEOF_IN_MIB(J407:M407, O406)</f>
        <v>448</v>
      </c>
      <c r="Q407" s="344"/>
    </row>
    <row r="408">
      <c r="E408" s="341"/>
      <c r="F408" s="341"/>
      <c r="G408" s="341"/>
      <c r="H408" s="602" t="s">
        <v>287</v>
      </c>
      <c r="I408" s="349" t="s">
        <v>282</v>
      </c>
      <c r="J408" s="336"/>
      <c r="K408" s="337"/>
      <c r="L408" s="337"/>
      <c r="M408" s="337" t="s">
        <v>97</v>
      </c>
      <c r="N408" s="349" t="s">
        <v>283</v>
      </c>
      <c r="O408" s="350"/>
      <c r="P408" s="377"/>
      <c r="Q408" s="337"/>
    </row>
    <row r="409">
      <c r="E409" s="341"/>
      <c r="F409" s="341"/>
      <c r="G409" s="352"/>
      <c r="H409" s="378" t="s">
        <v>289</v>
      </c>
      <c r="I409" s="346" t="s">
        <v>282</v>
      </c>
      <c r="J409" s="345"/>
      <c r="K409" s="346">
        <f t="shared" ref="K409:M409" si="85">K407/SHARDING(K408)</f>
        <v>4096</v>
      </c>
      <c r="L409" s="346">
        <f t="shared" si="85"/>
        <v>8</v>
      </c>
      <c r="M409" s="346">
        <f t="shared" si="85"/>
        <v>3584</v>
      </c>
      <c r="N409" s="346" t="s">
        <v>283</v>
      </c>
      <c r="O409" s="355"/>
      <c r="P409" s="509">
        <f>SIZEOF_IN_MIB(J409:M409, O406)</f>
        <v>224</v>
      </c>
      <c r="Q409" s="344"/>
    </row>
    <row r="410">
      <c r="E410" s="341"/>
      <c r="F410" s="341"/>
      <c r="G410" s="594" t="s">
        <v>616</v>
      </c>
      <c r="H410" s="888">
        <f>P407</f>
        <v>448</v>
      </c>
      <c r="I410" s="349"/>
      <c r="J410" s="336"/>
      <c r="K410" s="349"/>
      <c r="L410" s="349"/>
      <c r="M410" s="349"/>
      <c r="N410" s="349"/>
      <c r="O410" s="337"/>
      <c r="P410" s="377"/>
      <c r="Q410" s="337"/>
    </row>
    <row r="411">
      <c r="E411" s="341"/>
      <c r="F411" s="352"/>
      <c r="G411" s="594" t="s">
        <v>609</v>
      </c>
      <c r="H411" s="646" t="str">
        <f>ALL2ALL_CHIP2CHIP_TIME_MS(H410)</f>
        <v>#N/A</v>
      </c>
      <c r="I411" s="346"/>
      <c r="J411" s="345"/>
      <c r="K411" s="346"/>
      <c r="L411" s="346"/>
      <c r="M411" s="346"/>
      <c r="N411" s="346"/>
      <c r="O411" s="344"/>
      <c r="P411" s="509"/>
      <c r="Q411" s="344"/>
    </row>
    <row r="412">
      <c r="E412" s="341"/>
      <c r="F412" s="702" t="s">
        <v>417</v>
      </c>
      <c r="G412" s="661" t="s">
        <v>169</v>
      </c>
      <c r="H412" s="703" t="s">
        <v>638</v>
      </c>
      <c r="I412" s="336"/>
      <c r="J412" s="337"/>
      <c r="K412" s="337"/>
      <c r="L412" s="337"/>
      <c r="M412" s="337"/>
      <c r="N412" s="349"/>
      <c r="O412" s="337"/>
      <c r="P412" s="377"/>
      <c r="Q412" s="337"/>
    </row>
    <row r="413">
      <c r="E413" s="341"/>
      <c r="F413" s="341"/>
      <c r="G413" s="371" t="s">
        <v>301</v>
      </c>
      <c r="H413" s="529" t="s">
        <v>281</v>
      </c>
      <c r="I413" s="345" t="s">
        <v>282</v>
      </c>
      <c r="J413" s="344"/>
      <c r="K413" s="344" t="s">
        <v>104</v>
      </c>
      <c r="L413" s="344" t="s">
        <v>102</v>
      </c>
      <c r="M413" s="344" t="s">
        <v>178</v>
      </c>
      <c r="N413" s="346"/>
      <c r="O413" s="473" t="s">
        <v>133</v>
      </c>
      <c r="P413" s="509"/>
      <c r="Q413" s="344"/>
    </row>
    <row r="414">
      <c r="E414" s="341"/>
      <c r="F414" s="341"/>
      <c r="G414" s="341"/>
      <c r="H414" s="376" t="s">
        <v>285</v>
      </c>
      <c r="I414" s="336" t="s">
        <v>282</v>
      </c>
      <c r="J414" s="349"/>
      <c r="K414" s="336">
        <f t="shared" ref="K414:M414" si="86">PARAMS(K413)</f>
        <v>4096</v>
      </c>
      <c r="L414" s="336">
        <f t="shared" si="86"/>
        <v>1</v>
      </c>
      <c r="M414" s="336">
        <f t="shared" si="86"/>
        <v>7168</v>
      </c>
      <c r="N414" s="349"/>
      <c r="O414" s="350"/>
      <c r="P414" s="377">
        <f>SIZEOF_IN_MIB(J414:M414, O413)</f>
        <v>56</v>
      </c>
      <c r="Q414" s="337"/>
    </row>
    <row r="415">
      <c r="E415" s="341"/>
      <c r="F415" s="341"/>
      <c r="G415" s="341"/>
      <c r="H415" s="517" t="s">
        <v>287</v>
      </c>
      <c r="I415" s="346" t="s">
        <v>282</v>
      </c>
      <c r="J415" s="345"/>
      <c r="K415" s="344"/>
      <c r="L415" s="344"/>
      <c r="M415" s="344" t="s">
        <v>97</v>
      </c>
      <c r="N415" s="346"/>
      <c r="O415" s="347"/>
      <c r="P415" s="509"/>
      <c r="Q415" s="344"/>
    </row>
    <row r="416">
      <c r="E416" s="341"/>
      <c r="F416" s="341"/>
      <c r="G416" s="341"/>
      <c r="H416" s="374" t="s">
        <v>289</v>
      </c>
      <c r="I416" s="363" t="s">
        <v>282</v>
      </c>
      <c r="J416" s="364"/>
      <c r="K416" s="363">
        <f t="shared" ref="K416:M416" si="87">K414/SHARDING(K415)</f>
        <v>4096</v>
      </c>
      <c r="L416" s="363">
        <f t="shared" si="87"/>
        <v>1</v>
      </c>
      <c r="M416" s="363">
        <f t="shared" si="87"/>
        <v>3584</v>
      </c>
      <c r="N416" s="363"/>
      <c r="O416" s="352"/>
      <c r="P416" s="375">
        <f>SIZEOF_IN_MIB(J416:M416, O413)</f>
        <v>28</v>
      </c>
      <c r="Q416" s="273"/>
    </row>
    <row r="417">
      <c r="E417" s="341"/>
      <c r="F417" s="341"/>
      <c r="G417" s="352"/>
      <c r="H417" s="704" t="s">
        <v>419</v>
      </c>
      <c r="I417" s="705"/>
      <c r="J417" s="273"/>
      <c r="K417" s="363"/>
      <c r="L417" s="363"/>
      <c r="M417" s="363"/>
      <c r="N417" s="363"/>
      <c r="O417" s="273"/>
      <c r="P417" s="706"/>
      <c r="Q417" s="273"/>
    </row>
    <row r="418">
      <c r="E418" s="341"/>
      <c r="F418" s="341"/>
      <c r="G418" s="385" t="s">
        <v>306</v>
      </c>
      <c r="H418" s="707">
        <f>SHARDING(J417) * SHARDING(H388)</f>
        <v>8</v>
      </c>
      <c r="I418" s="363"/>
      <c r="J418" s="364"/>
      <c r="K418" s="363"/>
      <c r="L418" s="363"/>
      <c r="M418" s="363"/>
      <c r="N418" s="363"/>
      <c r="O418" s="273"/>
      <c r="P418" s="706"/>
      <c r="Q418" s="273"/>
    </row>
    <row r="419">
      <c r="E419" s="341"/>
      <c r="F419" s="341"/>
      <c r="G419" s="594" t="s">
        <v>383</v>
      </c>
      <c r="H419" s="652">
        <f>P416 / H418 * (H418-1)</f>
        <v>24.5</v>
      </c>
      <c r="I419" s="363"/>
      <c r="J419" s="364"/>
      <c r="K419" s="363"/>
      <c r="L419" s="363"/>
      <c r="M419" s="363"/>
      <c r="N419" s="363"/>
      <c r="O419" s="273"/>
      <c r="P419" s="706"/>
      <c r="Q419" s="273"/>
    </row>
    <row r="420">
      <c r="E420" s="341"/>
      <c r="F420" s="341"/>
      <c r="G420" s="594" t="s">
        <v>384</v>
      </c>
      <c r="H420" s="708">
        <f>H419*H418</f>
        <v>196</v>
      </c>
      <c r="I420" s="601"/>
      <c r="J420" s="364"/>
      <c r="K420" s="363"/>
      <c r="L420" s="363"/>
      <c r="M420" s="363"/>
      <c r="N420" s="363"/>
      <c r="O420" s="273"/>
      <c r="P420" s="706"/>
      <c r="Q420" s="273"/>
    </row>
    <row r="421">
      <c r="E421" s="341"/>
      <c r="F421" s="341"/>
      <c r="G421" s="594" t="s">
        <v>420</v>
      </c>
      <c r="H421" s="709">
        <f>HW_SPEC("# of TensorCore per Chip")</f>
        <v>2</v>
      </c>
      <c r="I421" s="703" t="s">
        <v>421</v>
      </c>
      <c r="J421" s="336"/>
      <c r="K421" s="349"/>
      <c r="L421" s="349"/>
      <c r="M421" s="349"/>
      <c r="N421" s="349"/>
      <c r="O421" s="337"/>
      <c r="P421" s="710"/>
      <c r="Q421" s="337"/>
    </row>
    <row r="422">
      <c r="E422" s="341"/>
      <c r="F422" s="341"/>
      <c r="G422" s="385" t="s">
        <v>309</v>
      </c>
      <c r="H422" s="410">
        <f>IFS(H418=8,12,
H418=4,4,
H418=2,1,
TRUE,NA())</f>
        <v>12</v>
      </c>
      <c r="I422" s="711"/>
      <c r="J422" s="345"/>
      <c r="K422" s="346"/>
      <c r="L422" s="346"/>
      <c r="M422" s="346"/>
      <c r="N422" s="346"/>
      <c r="O422" s="344"/>
      <c r="P422" s="712"/>
      <c r="Q422" s="344"/>
    </row>
    <row r="423">
      <c r="E423" s="341"/>
      <c r="F423" s="352"/>
      <c r="G423" s="594" t="s">
        <v>423</v>
      </c>
      <c r="H423" s="643">
        <f>REDUCE_SCATTER_CHIP2CHIP_TIME_MS2(H420*H421,H422)</f>
        <v>0.1993815104</v>
      </c>
      <c r="I423" s="602"/>
      <c r="J423" s="336"/>
      <c r="K423" s="349"/>
      <c r="L423" s="349"/>
      <c r="M423" s="349"/>
      <c r="N423" s="349"/>
      <c r="O423" s="337"/>
      <c r="P423" s="710"/>
      <c r="Q423" s="337"/>
    </row>
    <row r="424">
      <c r="E424" s="341"/>
      <c r="F424" s="702" t="s">
        <v>119</v>
      </c>
      <c r="G424" s="713" t="s">
        <v>169</v>
      </c>
      <c r="H424" s="398" t="s">
        <v>639</v>
      </c>
      <c r="I424" s="344"/>
      <c r="J424" s="345"/>
      <c r="K424" s="344"/>
      <c r="L424" s="556"/>
      <c r="M424" s="344"/>
      <c r="N424" s="346"/>
      <c r="O424" s="344"/>
      <c r="P424" s="509"/>
      <c r="Q424" s="344"/>
    </row>
    <row r="425">
      <c r="E425" s="341"/>
      <c r="F425" s="341"/>
      <c r="G425" s="609" t="s">
        <v>301</v>
      </c>
      <c r="H425" s="602" t="s">
        <v>281</v>
      </c>
      <c r="I425" s="602"/>
      <c r="J425" s="336"/>
      <c r="K425" s="337" t="s">
        <v>104</v>
      </c>
      <c r="L425" s="499" t="s">
        <v>102</v>
      </c>
      <c r="M425" s="337" t="s">
        <v>178</v>
      </c>
      <c r="N425" s="349"/>
      <c r="O425" s="338" t="s">
        <v>133</v>
      </c>
      <c r="P425" s="377"/>
      <c r="Q425" s="337"/>
    </row>
    <row r="426">
      <c r="E426" s="341"/>
      <c r="F426" s="341"/>
      <c r="G426" s="341"/>
      <c r="H426" s="378" t="s">
        <v>285</v>
      </c>
      <c r="I426" s="378"/>
      <c r="J426" s="345"/>
      <c r="K426" s="346">
        <f t="shared" ref="K426:M426" si="88">PARAMS(K425)</f>
        <v>4096</v>
      </c>
      <c r="L426" s="346">
        <f t="shared" si="88"/>
        <v>1</v>
      </c>
      <c r="M426" s="346">
        <f t="shared" si="88"/>
        <v>7168</v>
      </c>
      <c r="N426" s="346"/>
      <c r="O426" s="347"/>
      <c r="P426" s="509">
        <f>SIZEOF_IN_MIB(J426:M426, O425)</f>
        <v>56</v>
      </c>
      <c r="Q426" s="344"/>
    </row>
    <row r="427">
      <c r="E427" s="341"/>
      <c r="F427" s="341"/>
      <c r="G427" s="341"/>
      <c r="H427" s="602" t="s">
        <v>287</v>
      </c>
      <c r="I427" s="602"/>
      <c r="J427" s="336"/>
      <c r="K427" s="337"/>
      <c r="L427" s="337"/>
      <c r="M427" s="337" t="s">
        <v>97</v>
      </c>
      <c r="N427" s="349"/>
      <c r="O427" s="350"/>
      <c r="P427" s="377"/>
      <c r="Q427" s="337"/>
    </row>
    <row r="428">
      <c r="E428" s="341"/>
      <c r="F428" s="341"/>
      <c r="G428" s="341"/>
      <c r="H428" s="517" t="s">
        <v>289</v>
      </c>
      <c r="I428" s="517"/>
      <c r="J428" s="345"/>
      <c r="K428" s="346">
        <f t="shared" ref="K428:M428" si="89">K426/SHARDING(K427)</f>
        <v>4096</v>
      </c>
      <c r="L428" s="346">
        <f t="shared" si="89"/>
        <v>1</v>
      </c>
      <c r="M428" s="346">
        <f t="shared" si="89"/>
        <v>3584</v>
      </c>
      <c r="N428" s="346"/>
      <c r="O428" s="355"/>
      <c r="P428" s="509">
        <f>SIZEOF_IN_MIB(J428:M428, O425)</f>
        <v>28</v>
      </c>
      <c r="Q428" s="344"/>
    </row>
    <row r="429">
      <c r="E429" s="341"/>
      <c r="F429" s="341"/>
      <c r="G429" s="352"/>
      <c r="H429" s="639" t="s">
        <v>419</v>
      </c>
      <c r="I429" s="376"/>
      <c r="J429" s="639"/>
      <c r="K429" s="336"/>
      <c r="L429" s="337"/>
      <c r="M429" s="349"/>
      <c r="N429" s="349"/>
      <c r="O429" s="337"/>
      <c r="P429" s="377"/>
      <c r="Q429" s="337"/>
    </row>
    <row r="430">
      <c r="E430" s="341"/>
      <c r="F430" s="341"/>
      <c r="G430" s="458" t="s">
        <v>425</v>
      </c>
      <c r="H430" s="606" t="s">
        <v>306</v>
      </c>
      <c r="I430" s="379"/>
      <c r="J430" s="595">
        <f>SHARDING(J429)*SHARDING(H388)/HW_SPEC("# of TensorCore per Chip")</f>
        <v>4</v>
      </c>
      <c r="K430" s="345"/>
      <c r="L430" s="344"/>
      <c r="M430" s="346"/>
      <c r="N430" s="346"/>
      <c r="O430" s="344"/>
      <c r="P430" s="509"/>
      <c r="Q430" s="344"/>
    </row>
    <row r="431">
      <c r="E431" s="341"/>
      <c r="F431" s="341"/>
      <c r="G431" s="341"/>
      <c r="H431" s="639" t="s">
        <v>426</v>
      </c>
      <c r="I431" s="298"/>
      <c r="J431" s="716">
        <f>P428 / J430 * (J430-1)</f>
        <v>21</v>
      </c>
      <c r="K431" s="336"/>
      <c r="L431" s="337"/>
      <c r="M431" s="349"/>
      <c r="N431" s="349"/>
      <c r="O431" s="337"/>
      <c r="P431" s="377"/>
      <c r="Q431" s="337"/>
    </row>
    <row r="432">
      <c r="E432" s="341"/>
      <c r="F432" s="341"/>
      <c r="G432" s="341"/>
      <c r="H432" s="634" t="s">
        <v>384</v>
      </c>
      <c r="I432" s="379"/>
      <c r="J432" s="715">
        <f>J431*J430</f>
        <v>84</v>
      </c>
      <c r="K432" s="345"/>
      <c r="L432" s="344"/>
      <c r="M432" s="346"/>
      <c r="N432" s="346"/>
      <c r="O432" s="344"/>
      <c r="P432" s="509"/>
      <c r="Q432" s="344"/>
    </row>
    <row r="433">
      <c r="E433" s="341"/>
      <c r="F433" s="341"/>
      <c r="G433" s="341"/>
      <c r="H433" s="639" t="s">
        <v>309</v>
      </c>
      <c r="I433" s="298"/>
      <c r="J433" s="714">
        <f>IFS(J430=8,12,
J430=4,4,
J430=2,1,
TRUE,NA())</f>
        <v>4</v>
      </c>
      <c r="K433" s="336"/>
      <c r="L433" s="337"/>
      <c r="M433" s="349"/>
      <c r="N433" s="349"/>
      <c r="O433" s="337"/>
      <c r="P433" s="377"/>
      <c r="Q433" s="337"/>
    </row>
    <row r="434">
      <c r="E434" s="341"/>
      <c r="F434" s="341"/>
      <c r="G434" s="352"/>
      <c r="H434" s="634" t="s">
        <v>311</v>
      </c>
      <c r="I434" s="379"/>
      <c r="J434" s="889">
        <f>IF(J432=0,0, REDUCE_SCATTER_CHIP2CHIP_TIME_MS2(J432,J433))</f>
        <v>0.1281738281</v>
      </c>
      <c r="K434" s="345"/>
      <c r="L434" s="344"/>
      <c r="M434" s="346"/>
      <c r="N434" s="346"/>
      <c r="O434" s="344"/>
      <c r="P434" s="509"/>
      <c r="Q434" s="344"/>
    </row>
    <row r="435">
      <c r="E435" s="341"/>
      <c r="F435" s="341"/>
      <c r="G435" s="609" t="s">
        <v>427</v>
      </c>
      <c r="H435" s="416" t="s">
        <v>306</v>
      </c>
      <c r="I435" s="601"/>
      <c r="J435" s="717">
        <f>HW_SPEC("# of TensorCore per Chip")</f>
        <v>2</v>
      </c>
      <c r="K435" s="364"/>
      <c r="L435" s="273"/>
      <c r="M435" s="363"/>
      <c r="N435" s="363"/>
      <c r="O435" s="273"/>
      <c r="P435" s="375"/>
      <c r="Q435" s="273"/>
    </row>
    <row r="436">
      <c r="E436" s="341"/>
      <c r="F436" s="341"/>
      <c r="G436" s="341"/>
      <c r="H436" s="704" t="s">
        <v>416</v>
      </c>
      <c r="I436" s="11"/>
      <c r="J436" s="718">
        <f>P428 * (J435-1)/J435</f>
        <v>14</v>
      </c>
      <c r="K436" s="364"/>
      <c r="L436" s="273"/>
      <c r="M436" s="363"/>
      <c r="N436" s="363"/>
      <c r="O436" s="273"/>
      <c r="P436" s="375"/>
      <c r="Q436" s="273"/>
    </row>
    <row r="437">
      <c r="E437" s="341"/>
      <c r="F437" s="341"/>
      <c r="G437" s="341"/>
      <c r="H437" s="704" t="s">
        <v>384</v>
      </c>
      <c r="I437" s="11"/>
      <c r="J437" s="718">
        <f>J436*J435</f>
        <v>28</v>
      </c>
      <c r="K437" s="364"/>
      <c r="L437" s="273"/>
      <c r="M437" s="363"/>
      <c r="N437" s="363"/>
      <c r="O437" s="273"/>
      <c r="P437" s="375"/>
      <c r="Q437" s="273"/>
    </row>
    <row r="438">
      <c r="E438" s="341"/>
      <c r="F438" s="341"/>
      <c r="G438" s="341"/>
      <c r="H438" s="704" t="s">
        <v>311</v>
      </c>
      <c r="I438" s="11"/>
      <c r="J438" s="719">
        <f>REDUCE_SCATTER_CORE2CORE_TIME_MS(J437)</f>
        <v>0.02278645833</v>
      </c>
      <c r="K438" s="364"/>
      <c r="L438" s="273"/>
      <c r="M438" s="363"/>
      <c r="N438" s="363"/>
      <c r="O438" s="273"/>
      <c r="P438" s="375"/>
      <c r="Q438" s="273"/>
    </row>
    <row r="439">
      <c r="E439" s="341"/>
      <c r="F439" s="341"/>
      <c r="G439" s="352"/>
      <c r="H439" s="704" t="s">
        <v>428</v>
      </c>
      <c r="I439" s="11"/>
      <c r="J439" s="719">
        <f>J438/J430</f>
        <v>0.005696614583</v>
      </c>
      <c r="K439" s="364"/>
      <c r="L439" s="273"/>
      <c r="M439" s="363"/>
      <c r="N439" s="363"/>
      <c r="O439" s="273"/>
      <c r="P439" s="375"/>
      <c r="Q439" s="273"/>
    </row>
    <row r="440">
      <c r="E440" s="341"/>
      <c r="F440" s="352"/>
      <c r="G440" s="599" t="s">
        <v>429</v>
      </c>
      <c r="H440" s="895">
        <f>SUM(J434+J439)</f>
        <v>0.1338704427</v>
      </c>
      <c r="I440" s="719"/>
      <c r="J440" s="364"/>
      <c r="K440" s="364"/>
      <c r="L440" s="273"/>
      <c r="M440" s="363"/>
      <c r="N440" s="363"/>
      <c r="O440" s="273"/>
      <c r="P440" s="375"/>
      <c r="Q440" s="273"/>
    </row>
    <row r="441">
      <c r="E441" s="341"/>
      <c r="F441" s="370" t="s">
        <v>335</v>
      </c>
      <c r="G441" s="720" t="s">
        <v>322</v>
      </c>
      <c r="H441" s="721" t="s">
        <v>417</v>
      </c>
      <c r="I441" s="650"/>
      <c r="J441" s="454"/>
      <c r="K441" s="454"/>
      <c r="L441" s="455"/>
      <c r="M441" s="455"/>
      <c r="N441" s="455"/>
      <c r="O441" s="454"/>
      <c r="P441" s="722"/>
      <c r="Q441" s="11"/>
    </row>
    <row r="442">
      <c r="E442" s="341"/>
      <c r="F442" s="352"/>
      <c r="G442" s="669" t="s">
        <v>340</v>
      </c>
      <c r="H442" s="662">
        <f>IFS(H441=F406,H411,H441=F412,H423,F424=H441,H440, TRUE,0)</f>
        <v>0.1993815104</v>
      </c>
      <c r="I442" s="686"/>
      <c r="J442" s="364"/>
      <c r="K442" s="364"/>
      <c r="L442" s="363"/>
      <c r="M442" s="363"/>
      <c r="N442" s="363"/>
      <c r="O442" s="364"/>
      <c r="P442" s="890"/>
      <c r="Q442" s="677"/>
    </row>
    <row r="443">
      <c r="E443" s="341"/>
      <c r="F443" s="609" t="s">
        <v>327</v>
      </c>
      <c r="G443" s="601" t="s">
        <v>109</v>
      </c>
      <c r="H443" s="891"/>
      <c r="I443" s="650"/>
      <c r="J443" s="454"/>
      <c r="K443" s="454"/>
      <c r="L443" s="455"/>
      <c r="M443" s="455"/>
      <c r="N443" s="455"/>
      <c r="O443" s="454"/>
      <c r="P443" s="722"/>
      <c r="Q443" s="11"/>
    </row>
    <row r="444">
      <c r="E444" s="341"/>
      <c r="F444" s="341"/>
      <c r="G444" s="601"/>
      <c r="H444" s="663"/>
      <c r="I444" s="460"/>
      <c r="J444" s="454"/>
      <c r="K444" s="454"/>
      <c r="L444" s="455"/>
      <c r="M444" s="455"/>
      <c r="N444" s="455"/>
      <c r="O444" s="454"/>
      <c r="P444" s="722"/>
      <c r="Q444" s="11"/>
    </row>
    <row r="445">
      <c r="E445" s="341"/>
      <c r="F445" s="352"/>
      <c r="G445" s="601"/>
      <c r="H445" s="663"/>
      <c r="I445" s="460"/>
      <c r="J445" s="454"/>
      <c r="K445" s="454"/>
      <c r="L445" s="455"/>
      <c r="M445" s="455"/>
      <c r="N445" s="455"/>
      <c r="O445" s="454"/>
      <c r="P445" s="722"/>
      <c r="Q445" s="11"/>
    </row>
    <row r="446">
      <c r="E446" s="341"/>
      <c r="F446" s="609" t="s">
        <v>331</v>
      </c>
      <c r="G446" s="601" t="s">
        <v>109</v>
      </c>
      <c r="H446" s="663"/>
      <c r="I446" s="460"/>
      <c r="J446" s="454"/>
      <c r="K446" s="454"/>
      <c r="L446" s="455"/>
      <c r="M446" s="455"/>
      <c r="N446" s="455"/>
      <c r="O446" s="454"/>
      <c r="P446" s="722"/>
      <c r="Q446" s="11"/>
    </row>
    <row r="447">
      <c r="E447" s="352"/>
      <c r="F447" s="352"/>
      <c r="G447" s="601"/>
      <c r="H447" s="663"/>
      <c r="I447" s="460"/>
      <c r="J447" s="454"/>
      <c r="K447" s="454"/>
      <c r="L447" s="455"/>
      <c r="M447" s="455"/>
      <c r="N447" s="455"/>
      <c r="O447" s="454"/>
      <c r="P447" s="722"/>
      <c r="Q447" s="11"/>
    </row>
    <row r="448">
      <c r="E448" s="333" t="s">
        <v>430</v>
      </c>
      <c r="F448" s="725" t="s">
        <v>292</v>
      </c>
      <c r="G448" s="335"/>
      <c r="H448" s="531" t="s">
        <v>281</v>
      </c>
      <c r="I448" s="336" t="s">
        <v>282</v>
      </c>
      <c r="J448" s="337"/>
      <c r="K448" s="337" t="s">
        <v>104</v>
      </c>
      <c r="L448" s="337" t="s">
        <v>102</v>
      </c>
      <c r="M448" s="499" t="s">
        <v>178</v>
      </c>
      <c r="N448" s="336" t="s">
        <v>283</v>
      </c>
      <c r="O448" s="338" t="s">
        <v>125</v>
      </c>
      <c r="P448" s="377"/>
      <c r="Q448" s="338" t="b">
        <v>0</v>
      </c>
    </row>
    <row r="449">
      <c r="E449" s="341"/>
      <c r="F449" s="342"/>
      <c r="G449" s="343"/>
      <c r="H449" s="378" t="s">
        <v>285</v>
      </c>
      <c r="I449" s="345" t="s">
        <v>282</v>
      </c>
      <c r="J449" s="346"/>
      <c r="K449" s="345">
        <f t="shared" ref="K449:M449" si="90">PARAMS(K448)</f>
        <v>4096</v>
      </c>
      <c r="L449" s="345">
        <f t="shared" si="90"/>
        <v>1</v>
      </c>
      <c r="M449" s="345">
        <f t="shared" si="90"/>
        <v>7168</v>
      </c>
      <c r="N449" s="345" t="s">
        <v>283</v>
      </c>
      <c r="O449" s="347"/>
      <c r="P449" s="509">
        <f>SIZEOF_IN_MIB(J449:M449, O448)</f>
        <v>28</v>
      </c>
      <c r="Q449" s="347"/>
    </row>
    <row r="450">
      <c r="E450" s="341"/>
      <c r="F450" s="342"/>
      <c r="G450" s="343"/>
      <c r="H450" s="602" t="s">
        <v>287</v>
      </c>
      <c r="I450" s="349" t="s">
        <v>282</v>
      </c>
      <c r="J450" s="336"/>
      <c r="K450" s="337" t="s">
        <v>97</v>
      </c>
      <c r="L450" s="337"/>
      <c r="M450" s="337"/>
      <c r="N450" s="349" t="s">
        <v>283</v>
      </c>
      <c r="O450" s="350"/>
      <c r="P450" s="377"/>
      <c r="Q450" s="350"/>
    </row>
    <row r="451">
      <c r="E451" s="341"/>
      <c r="F451" s="353"/>
      <c r="G451" s="354"/>
      <c r="H451" s="378" t="s">
        <v>289</v>
      </c>
      <c r="I451" s="346" t="s">
        <v>282</v>
      </c>
      <c r="J451" s="345"/>
      <c r="K451" s="346">
        <f t="shared" ref="K451:M451" si="91">K449/SHARDING(K450)</f>
        <v>2048</v>
      </c>
      <c r="L451" s="346">
        <f t="shared" si="91"/>
        <v>1</v>
      </c>
      <c r="M451" s="346">
        <f t="shared" si="91"/>
        <v>7168</v>
      </c>
      <c r="N451" s="346" t="s">
        <v>283</v>
      </c>
      <c r="O451" s="355"/>
      <c r="P451" s="509">
        <f>SIZEOF_IN_MIB(J451:M451, O448)</f>
        <v>14</v>
      </c>
      <c r="Q451" s="355"/>
    </row>
    <row r="452">
      <c r="E452" s="341"/>
      <c r="F452" s="726" t="s">
        <v>296</v>
      </c>
      <c r="G452" s="335"/>
      <c r="H452" s="602" t="s">
        <v>281</v>
      </c>
      <c r="I452" s="349" t="s">
        <v>282</v>
      </c>
      <c r="J452" s="336"/>
      <c r="K452" s="298"/>
      <c r="L452" s="337" t="s">
        <v>178</v>
      </c>
      <c r="M452" s="499" t="s">
        <v>182</v>
      </c>
      <c r="N452" s="349" t="s">
        <v>283</v>
      </c>
      <c r="O452" s="338" t="s">
        <v>180</v>
      </c>
      <c r="P452" s="377"/>
      <c r="Q452" s="338" t="b">
        <v>0</v>
      </c>
    </row>
    <row r="453">
      <c r="E453" s="341"/>
      <c r="F453" s="342"/>
      <c r="G453" s="343"/>
      <c r="H453" s="378" t="s">
        <v>285</v>
      </c>
      <c r="I453" s="346" t="s">
        <v>282</v>
      </c>
      <c r="J453" s="345"/>
      <c r="K453" s="398">
        <v>2.0</v>
      </c>
      <c r="L453" s="346">
        <f t="shared" ref="L453:M453" si="92">PARAMS(L452)</f>
        <v>7168</v>
      </c>
      <c r="M453" s="346">
        <f t="shared" si="92"/>
        <v>2048</v>
      </c>
      <c r="N453" s="346" t="s">
        <v>283</v>
      </c>
      <c r="O453" s="347"/>
      <c r="P453" s="509">
        <f>SIZEOF_IN_MIB(J453:M453, O452)</f>
        <v>14</v>
      </c>
      <c r="Q453" s="347"/>
    </row>
    <row r="454">
      <c r="E454" s="341"/>
      <c r="F454" s="342"/>
      <c r="G454" s="343"/>
      <c r="H454" s="602" t="s">
        <v>287</v>
      </c>
      <c r="I454" s="349" t="s">
        <v>282</v>
      </c>
      <c r="J454" s="336"/>
      <c r="K454" s="298"/>
      <c r="L454" s="337"/>
      <c r="M454" s="337"/>
      <c r="N454" s="349" t="s">
        <v>283</v>
      </c>
      <c r="O454" s="350"/>
      <c r="P454" s="377"/>
      <c r="Q454" s="350"/>
    </row>
    <row r="455">
      <c r="E455" s="341"/>
      <c r="F455" s="353"/>
      <c r="G455" s="354"/>
      <c r="H455" s="517" t="s">
        <v>289</v>
      </c>
      <c r="I455" s="346" t="s">
        <v>282</v>
      </c>
      <c r="J455" s="345"/>
      <c r="K455" s="398">
        <v>2.0</v>
      </c>
      <c r="L455" s="346">
        <f t="shared" ref="L455:M455" si="93">L453/SHARDING(L454)</f>
        <v>7168</v>
      </c>
      <c r="M455" s="346">
        <f t="shared" si="93"/>
        <v>2048</v>
      </c>
      <c r="N455" s="346" t="s">
        <v>283</v>
      </c>
      <c r="O455" s="355"/>
      <c r="P455" s="509">
        <f>SIZEOF_IN_MIB(J455:M455, O452)</f>
        <v>14</v>
      </c>
      <c r="Q455" s="355"/>
    </row>
    <row r="456">
      <c r="E456" s="341"/>
      <c r="F456" s="726" t="s">
        <v>56</v>
      </c>
      <c r="G456" s="335"/>
      <c r="H456" s="602" t="s">
        <v>281</v>
      </c>
      <c r="I456" s="349" t="s">
        <v>282</v>
      </c>
      <c r="J456" s="336"/>
      <c r="K456" s="337" t="s">
        <v>104</v>
      </c>
      <c r="L456" s="337" t="s">
        <v>102</v>
      </c>
      <c r="M456" s="337" t="s">
        <v>182</v>
      </c>
      <c r="N456" s="349" t="s">
        <v>283</v>
      </c>
      <c r="O456" s="727" t="s">
        <v>133</v>
      </c>
      <c r="P456" s="377"/>
      <c r="Q456" s="338" t="b">
        <v>0</v>
      </c>
    </row>
    <row r="457">
      <c r="E457" s="341"/>
      <c r="F457" s="342"/>
      <c r="G457" s="343"/>
      <c r="H457" s="378" t="s">
        <v>285</v>
      </c>
      <c r="I457" s="346" t="s">
        <v>282</v>
      </c>
      <c r="J457" s="344">
        <v>2.0</v>
      </c>
      <c r="K457" s="346">
        <f t="shared" ref="K457:M457" si="94">PARAMS(K456)</f>
        <v>4096</v>
      </c>
      <c r="L457" s="346">
        <f t="shared" si="94"/>
        <v>1</v>
      </c>
      <c r="M457" s="346">
        <f t="shared" si="94"/>
        <v>2048</v>
      </c>
      <c r="N457" s="346" t="s">
        <v>283</v>
      </c>
      <c r="O457" s="347"/>
      <c r="P457" s="509">
        <f>SIZEOF_IN_MIB(J457:M457, O456)</f>
        <v>32</v>
      </c>
      <c r="Q457" s="347"/>
    </row>
    <row r="458">
      <c r="E458" s="341"/>
      <c r="F458" s="342"/>
      <c r="G458" s="343"/>
      <c r="H458" s="602" t="s">
        <v>287</v>
      </c>
      <c r="I458" s="349" t="s">
        <v>282</v>
      </c>
      <c r="J458" s="336"/>
      <c r="K458" s="337" t="s">
        <v>97</v>
      </c>
      <c r="L458" s="337"/>
      <c r="M458" s="349"/>
      <c r="N458" s="349" t="s">
        <v>283</v>
      </c>
      <c r="O458" s="350"/>
      <c r="P458" s="377"/>
      <c r="Q458" s="350"/>
    </row>
    <row r="459">
      <c r="E459" s="341"/>
      <c r="F459" s="353"/>
      <c r="G459" s="354"/>
      <c r="H459" s="517" t="s">
        <v>289</v>
      </c>
      <c r="I459" s="346" t="s">
        <v>282</v>
      </c>
      <c r="J459" s="344">
        <v>2.0</v>
      </c>
      <c r="K459" s="346">
        <f t="shared" ref="K459:M459" si="95">K457/SHARDING(K458)</f>
        <v>2048</v>
      </c>
      <c r="L459" s="346">
        <f t="shared" si="95"/>
        <v>1</v>
      </c>
      <c r="M459" s="346">
        <f t="shared" si="95"/>
        <v>2048</v>
      </c>
      <c r="N459" s="346" t="s">
        <v>283</v>
      </c>
      <c r="O459" s="355"/>
      <c r="P459" s="509">
        <f>SIZEOF_IN_MIB(J459:M459, O456)</f>
        <v>16</v>
      </c>
      <c r="Q459" s="355"/>
    </row>
    <row r="460">
      <c r="E460" s="341"/>
      <c r="F460" s="371" t="s">
        <v>335</v>
      </c>
      <c r="G460" s="601"/>
      <c r="H460" s="728"/>
      <c r="I460" s="336"/>
      <c r="J460" s="336"/>
      <c r="K460" s="336"/>
      <c r="L460" s="349"/>
      <c r="M460" s="349"/>
      <c r="N460" s="349"/>
      <c r="O460" s="336"/>
      <c r="P460" s="377"/>
      <c r="Q460" s="729"/>
    </row>
    <row r="461">
      <c r="E461" s="341"/>
      <c r="F461" s="352"/>
      <c r="G461" s="669" t="s">
        <v>340</v>
      </c>
      <c r="H461" s="730"/>
      <c r="I461" s="493"/>
      <c r="J461" s="345"/>
      <c r="K461" s="345"/>
      <c r="L461" s="346"/>
      <c r="M461" s="346"/>
      <c r="N461" s="346"/>
      <c r="O461" s="345"/>
      <c r="P461" s="509"/>
      <c r="Q461" s="545"/>
    </row>
    <row r="462">
      <c r="E462" s="341"/>
      <c r="F462" s="731" t="s">
        <v>327</v>
      </c>
      <c r="G462" s="601" t="s">
        <v>328</v>
      </c>
      <c r="H462" s="663" t="str">
        <f>VLOOKUP(O448&amp;","&amp;O452,$T$2:$W$11,4, FALSE)</f>
        <v>fp8</v>
      </c>
      <c r="I462" s="460"/>
      <c r="J462" s="454"/>
      <c r="K462" s="454"/>
      <c r="L462" s="455"/>
      <c r="M462" s="455"/>
      <c r="N462" s="455"/>
      <c r="O462" s="454"/>
      <c r="P462" s="468"/>
      <c r="Q462" s="11"/>
    </row>
    <row r="463">
      <c r="E463" s="341"/>
      <c r="F463" s="341"/>
      <c r="G463" s="663" t="s">
        <v>341</v>
      </c>
      <c r="H463" s="667" t="str">
        <f>CALCULATE_FLOPS(J451:M451,J455:M455,M455,L455,H462)</f>
        <v>#N/A</v>
      </c>
      <c r="I463" s="460"/>
      <c r="J463" s="454"/>
      <c r="K463" s="454"/>
      <c r="L463" s="455"/>
      <c r="M463" s="455"/>
      <c r="N463" s="455"/>
      <c r="O463" s="454"/>
      <c r="P463" s="468"/>
      <c r="Q463" s="11"/>
    </row>
    <row r="464">
      <c r="E464" s="341"/>
      <c r="F464" s="352"/>
      <c r="G464" s="669" t="s">
        <v>330</v>
      </c>
      <c r="H464" s="732" t="str">
        <f>COMPUTE_TIME_MS(H463, H462)</f>
        <v>#N/A</v>
      </c>
      <c r="I464" s="464"/>
      <c r="J464" s="465"/>
      <c r="K464" s="465"/>
      <c r="L464" s="466"/>
      <c r="M464" s="466"/>
      <c r="N464" s="466"/>
      <c r="O464" s="465"/>
      <c r="P464" s="671"/>
      <c r="Q464" s="11"/>
    </row>
    <row r="465">
      <c r="E465" s="341"/>
      <c r="F465" s="731" t="s">
        <v>331</v>
      </c>
      <c r="G465" s="663" t="s">
        <v>332</v>
      </c>
      <c r="H465" s="672">
        <f>IF(Q448,0,P451)+IF(Q452,0,P455)+IF(Q456,0,P459)</f>
        <v>44</v>
      </c>
      <c r="I465" s="454"/>
      <c r="J465" s="454"/>
      <c r="K465" s="454"/>
      <c r="L465" s="455"/>
      <c r="M465" s="455"/>
      <c r="N465" s="455"/>
      <c r="O465" s="454"/>
      <c r="P465" s="468"/>
      <c r="Q465" s="11"/>
    </row>
    <row r="466">
      <c r="E466" s="352"/>
      <c r="F466" s="352"/>
      <c r="G466" s="673" t="s">
        <v>333</v>
      </c>
      <c r="H466" s="733">
        <f>HBM_TIME_MS(H465)</f>
        <v>0.01468515038</v>
      </c>
      <c r="I466" s="465"/>
      <c r="J466" s="465"/>
      <c r="K466" s="465"/>
      <c r="L466" s="466"/>
      <c r="M466" s="466"/>
      <c r="N466" s="466"/>
      <c r="O466" s="465"/>
      <c r="P466" s="671"/>
      <c r="Q466" s="11"/>
    </row>
    <row r="467">
      <c r="E467" s="333" t="s">
        <v>431</v>
      </c>
      <c r="F467" s="725" t="s">
        <v>292</v>
      </c>
      <c r="G467" s="335"/>
      <c r="H467" s="531" t="s">
        <v>281</v>
      </c>
      <c r="I467" s="336" t="s">
        <v>282</v>
      </c>
      <c r="J467" s="405"/>
      <c r="K467" s="734" t="s">
        <v>104</v>
      </c>
      <c r="L467" s="734" t="s">
        <v>102</v>
      </c>
      <c r="M467" s="735" t="s">
        <v>182</v>
      </c>
      <c r="N467" s="336" t="s">
        <v>283</v>
      </c>
      <c r="O467" s="338" t="s">
        <v>125</v>
      </c>
      <c r="P467" s="377"/>
      <c r="Q467" s="338" t="b">
        <v>0</v>
      </c>
    </row>
    <row r="468">
      <c r="E468" s="341"/>
      <c r="F468" s="342"/>
      <c r="G468" s="343"/>
      <c r="H468" s="378" t="s">
        <v>285</v>
      </c>
      <c r="I468" s="345" t="s">
        <v>282</v>
      </c>
      <c r="J468" s="400"/>
      <c r="K468" s="739">
        <f t="shared" ref="K468:M468" si="96">PARAMS(K467)</f>
        <v>4096</v>
      </c>
      <c r="L468" s="737">
        <f t="shared" si="96"/>
        <v>1</v>
      </c>
      <c r="M468" s="737">
        <f t="shared" si="96"/>
        <v>2048</v>
      </c>
      <c r="N468" s="345" t="s">
        <v>283</v>
      </c>
      <c r="O468" s="347"/>
      <c r="P468" s="509">
        <f>SIZEOF_IN_MIB(J468:M468, O467)</f>
        <v>8</v>
      </c>
      <c r="Q468" s="347"/>
    </row>
    <row r="469">
      <c r="E469" s="341"/>
      <c r="F469" s="342"/>
      <c r="G469" s="343"/>
      <c r="H469" s="602" t="s">
        <v>287</v>
      </c>
      <c r="I469" s="349" t="s">
        <v>282</v>
      </c>
      <c r="J469" s="404"/>
      <c r="K469" s="734" t="s">
        <v>97</v>
      </c>
      <c r="L469" s="405"/>
      <c r="M469" s="405"/>
      <c r="N469" s="349" t="s">
        <v>283</v>
      </c>
      <c r="O469" s="350"/>
      <c r="P469" s="377"/>
      <c r="Q469" s="350"/>
    </row>
    <row r="470">
      <c r="E470" s="341"/>
      <c r="F470" s="353"/>
      <c r="G470" s="354"/>
      <c r="H470" s="378" t="s">
        <v>289</v>
      </c>
      <c r="I470" s="346" t="s">
        <v>282</v>
      </c>
      <c r="J470" s="399"/>
      <c r="K470" s="736">
        <f t="shared" ref="K470:M470" si="97">K468/SHARDING(K469)</f>
        <v>2048</v>
      </c>
      <c r="L470" s="736">
        <f t="shared" si="97"/>
        <v>1</v>
      </c>
      <c r="M470" s="736">
        <f t="shared" si="97"/>
        <v>2048</v>
      </c>
      <c r="N470" s="346" t="s">
        <v>283</v>
      </c>
      <c r="O470" s="355"/>
      <c r="P470" s="509">
        <f>SIZEOF_IN_MIB(J470:M470, O467)</f>
        <v>4</v>
      </c>
      <c r="Q470" s="355"/>
    </row>
    <row r="471">
      <c r="E471" s="341"/>
      <c r="F471" s="726" t="s">
        <v>296</v>
      </c>
      <c r="G471" s="335"/>
      <c r="H471" s="602" t="s">
        <v>281</v>
      </c>
      <c r="I471" s="349" t="s">
        <v>282</v>
      </c>
      <c r="J471" s="404"/>
      <c r="K471" s="391"/>
      <c r="L471" s="734" t="s">
        <v>182</v>
      </c>
      <c r="M471" s="735" t="s">
        <v>178</v>
      </c>
      <c r="N471" s="349" t="s">
        <v>283</v>
      </c>
      <c r="O471" s="338" t="s">
        <v>180</v>
      </c>
      <c r="P471" s="377"/>
      <c r="Q471" s="338" t="b">
        <v>0</v>
      </c>
    </row>
    <row r="472">
      <c r="E472" s="341"/>
      <c r="F472" s="342"/>
      <c r="G472" s="343"/>
      <c r="H472" s="378" t="s">
        <v>285</v>
      </c>
      <c r="I472" s="346" t="s">
        <v>282</v>
      </c>
      <c r="J472" s="399"/>
      <c r="K472" s="388"/>
      <c r="L472" s="736">
        <f t="shared" ref="L472:M472" si="98">PARAMS(L471)</f>
        <v>2048</v>
      </c>
      <c r="M472" s="736">
        <f t="shared" si="98"/>
        <v>7168</v>
      </c>
      <c r="N472" s="346" t="s">
        <v>283</v>
      </c>
      <c r="O472" s="347"/>
      <c r="P472" s="509">
        <f>SIZEOF_IN_MIB(J472:M472, O471)</f>
        <v>7</v>
      </c>
      <c r="Q472" s="347"/>
    </row>
    <row r="473">
      <c r="E473" s="341"/>
      <c r="F473" s="342"/>
      <c r="G473" s="343"/>
      <c r="H473" s="602" t="s">
        <v>287</v>
      </c>
      <c r="I473" s="349" t="s">
        <v>282</v>
      </c>
      <c r="J473" s="404"/>
      <c r="K473" s="391"/>
      <c r="L473" s="405"/>
      <c r="M473" s="405"/>
      <c r="N473" s="349" t="s">
        <v>283</v>
      </c>
      <c r="O473" s="350"/>
      <c r="P473" s="377"/>
      <c r="Q473" s="350"/>
    </row>
    <row r="474">
      <c r="E474" s="341"/>
      <c r="F474" s="353"/>
      <c r="G474" s="354"/>
      <c r="H474" s="517" t="s">
        <v>289</v>
      </c>
      <c r="I474" s="346" t="s">
        <v>282</v>
      </c>
      <c r="J474" s="399"/>
      <c r="K474" s="388"/>
      <c r="L474" s="736">
        <f t="shared" ref="L474:M474" si="99">L472/SHARDING(L473)</f>
        <v>2048</v>
      </c>
      <c r="M474" s="736">
        <f t="shared" si="99"/>
        <v>7168</v>
      </c>
      <c r="N474" s="346" t="s">
        <v>283</v>
      </c>
      <c r="O474" s="355"/>
      <c r="P474" s="509">
        <f>SIZEOF_IN_MIB(J474:M474, O471)</f>
        <v>7</v>
      </c>
      <c r="Q474" s="355"/>
    </row>
    <row r="475">
      <c r="E475" s="341"/>
      <c r="F475" s="726" t="s">
        <v>56</v>
      </c>
      <c r="G475" s="335"/>
      <c r="H475" s="602" t="s">
        <v>281</v>
      </c>
      <c r="I475" s="349" t="s">
        <v>282</v>
      </c>
      <c r="J475" s="404"/>
      <c r="K475" s="734" t="s">
        <v>104</v>
      </c>
      <c r="L475" s="734" t="s">
        <v>102</v>
      </c>
      <c r="M475" s="734" t="s">
        <v>178</v>
      </c>
      <c r="N475" s="349" t="s">
        <v>283</v>
      </c>
      <c r="O475" s="727" t="s">
        <v>133</v>
      </c>
      <c r="P475" s="377"/>
      <c r="Q475" s="338" t="b">
        <v>0</v>
      </c>
    </row>
    <row r="476">
      <c r="E476" s="341"/>
      <c r="F476" s="342"/>
      <c r="G476" s="343"/>
      <c r="H476" s="378" t="s">
        <v>285</v>
      </c>
      <c r="I476" s="346" t="s">
        <v>282</v>
      </c>
      <c r="J476" s="400"/>
      <c r="K476" s="739">
        <f t="shared" ref="K476:M476" si="100">PARAMS(K475)</f>
        <v>4096</v>
      </c>
      <c r="L476" s="736">
        <f t="shared" si="100"/>
        <v>1</v>
      </c>
      <c r="M476" s="736">
        <f t="shared" si="100"/>
        <v>7168</v>
      </c>
      <c r="N476" s="346" t="s">
        <v>283</v>
      </c>
      <c r="O476" s="347"/>
      <c r="P476" s="509">
        <f>SIZEOF_IN_MIB(J476:M476, O475)</f>
        <v>56</v>
      </c>
      <c r="Q476" s="347"/>
    </row>
    <row r="477">
      <c r="E477" s="341"/>
      <c r="F477" s="342"/>
      <c r="G477" s="343"/>
      <c r="H477" s="602" t="s">
        <v>287</v>
      </c>
      <c r="I477" s="349" t="s">
        <v>282</v>
      </c>
      <c r="J477" s="404"/>
      <c r="K477" s="734" t="s">
        <v>97</v>
      </c>
      <c r="L477" s="405"/>
      <c r="M477" s="405"/>
      <c r="N477" s="349" t="s">
        <v>283</v>
      </c>
      <c r="O477" s="350"/>
      <c r="P477" s="377"/>
      <c r="Q477" s="350"/>
    </row>
    <row r="478">
      <c r="E478" s="341"/>
      <c r="F478" s="353"/>
      <c r="G478" s="354"/>
      <c r="H478" s="517" t="s">
        <v>289</v>
      </c>
      <c r="I478" s="346" t="s">
        <v>282</v>
      </c>
      <c r="J478" s="400"/>
      <c r="K478" s="736">
        <f t="shared" ref="K478:M478" si="101">K476/SHARDING(K477)</f>
        <v>2048</v>
      </c>
      <c r="L478" s="736">
        <f t="shared" si="101"/>
        <v>1</v>
      </c>
      <c r="M478" s="736">
        <f t="shared" si="101"/>
        <v>7168</v>
      </c>
      <c r="N478" s="346" t="s">
        <v>283</v>
      </c>
      <c r="O478" s="355"/>
      <c r="P478" s="509">
        <f>SIZEOF_IN_MIB(J478:M478, O475)</f>
        <v>28</v>
      </c>
      <c r="Q478" s="355"/>
    </row>
    <row r="479">
      <c r="E479" s="341"/>
      <c r="F479" s="371" t="s">
        <v>335</v>
      </c>
      <c r="G479" s="601"/>
      <c r="H479" s="728"/>
      <c r="I479" s="336"/>
      <c r="J479" s="336"/>
      <c r="K479" s="336"/>
      <c r="L479" s="349"/>
      <c r="M479" s="349"/>
      <c r="N479" s="349"/>
      <c r="O479" s="336"/>
      <c r="P479" s="377"/>
      <c r="Q479" s="729"/>
    </row>
    <row r="480">
      <c r="E480" s="341"/>
      <c r="F480" s="352"/>
      <c r="G480" s="669" t="s">
        <v>340</v>
      </c>
      <c r="H480" s="730"/>
      <c r="I480" s="493"/>
      <c r="J480" s="345"/>
      <c r="K480" s="345"/>
      <c r="L480" s="346"/>
      <c r="M480" s="346"/>
      <c r="N480" s="346"/>
      <c r="O480" s="345"/>
      <c r="P480" s="509"/>
      <c r="Q480" s="545"/>
    </row>
    <row r="481">
      <c r="E481" s="341"/>
      <c r="F481" s="731" t="s">
        <v>327</v>
      </c>
      <c r="G481" s="601" t="s">
        <v>328</v>
      </c>
      <c r="H481" s="663" t="str">
        <f>VLOOKUP(O467&amp;","&amp;O471,$T$2:$W$11,4, FALSE)</f>
        <v>fp8</v>
      </c>
      <c r="I481" s="460"/>
      <c r="J481" s="454"/>
      <c r="K481" s="454"/>
      <c r="L481" s="455"/>
      <c r="M481" s="455"/>
      <c r="N481" s="455"/>
      <c r="O481" s="454"/>
      <c r="P481" s="468"/>
      <c r="Q481" s="11"/>
    </row>
    <row r="482">
      <c r="E482" s="341"/>
      <c r="F482" s="341"/>
      <c r="G482" s="663" t="s">
        <v>341</v>
      </c>
      <c r="H482" s="667" t="str">
        <f>CALCULATE_FLOPS(J470:M470,J474:M474,M474,L474,H481)</f>
        <v>#N/A</v>
      </c>
      <c r="I482" s="460"/>
      <c r="J482" s="454"/>
      <c r="K482" s="454"/>
      <c r="L482" s="455"/>
      <c r="M482" s="455"/>
      <c r="N482" s="455"/>
      <c r="O482" s="454"/>
      <c r="P482" s="468"/>
      <c r="Q482" s="11"/>
    </row>
    <row r="483">
      <c r="E483" s="341"/>
      <c r="F483" s="352"/>
      <c r="G483" s="669" t="s">
        <v>330</v>
      </c>
      <c r="H483" s="732" t="str">
        <f>COMPUTE_TIME_MS(H482, H481)</f>
        <v>#N/A</v>
      </c>
      <c r="I483" s="464"/>
      <c r="J483" s="465"/>
      <c r="K483" s="465"/>
      <c r="L483" s="466"/>
      <c r="M483" s="466"/>
      <c r="N483" s="466"/>
      <c r="O483" s="465"/>
      <c r="P483" s="671"/>
      <c r="Q483" s="11"/>
    </row>
    <row r="484">
      <c r="E484" s="341"/>
      <c r="F484" s="731" t="s">
        <v>331</v>
      </c>
      <c r="G484" s="663" t="s">
        <v>332</v>
      </c>
      <c r="H484" s="672">
        <f>IF(Q467,0,P470)+IF(Q471,0,P474)+IF(Q475,0,P478)</f>
        <v>39</v>
      </c>
      <c r="I484" s="454"/>
      <c r="J484" s="454"/>
      <c r="K484" s="454"/>
      <c r="L484" s="455"/>
      <c r="M484" s="455"/>
      <c r="N484" s="455"/>
      <c r="O484" s="454"/>
      <c r="P484" s="468"/>
      <c r="Q484" s="11"/>
    </row>
    <row r="485">
      <c r="E485" s="352"/>
      <c r="F485" s="352"/>
      <c r="G485" s="673" t="s">
        <v>333</v>
      </c>
      <c r="H485" s="733">
        <f>HBM_TIME_MS(H484)</f>
        <v>0.01301638329</v>
      </c>
      <c r="I485" s="465"/>
      <c r="J485" s="465"/>
      <c r="K485" s="465"/>
      <c r="L485" s="466"/>
      <c r="M485" s="466"/>
      <c r="N485" s="466"/>
      <c r="O485" s="465"/>
      <c r="P485" s="671"/>
      <c r="Q485" s="11"/>
    </row>
    <row r="486">
      <c r="P486" s="227"/>
    </row>
    <row r="487">
      <c r="P487" s="227"/>
    </row>
    <row r="488">
      <c r="P488" s="227"/>
    </row>
    <row r="489">
      <c r="P489" s="227"/>
    </row>
    <row r="490">
      <c r="P490" s="227"/>
    </row>
    <row r="491">
      <c r="P491" s="227"/>
    </row>
    <row r="492">
      <c r="P492" s="227"/>
    </row>
    <row r="493">
      <c r="P493" s="227"/>
    </row>
    <row r="494">
      <c r="P494" s="227"/>
    </row>
    <row r="495">
      <c r="P495" s="227"/>
    </row>
    <row r="496">
      <c r="P496" s="227"/>
    </row>
    <row r="497">
      <c r="P497" s="227"/>
    </row>
    <row r="498">
      <c r="P498" s="227"/>
    </row>
    <row r="499">
      <c r="P499" s="227"/>
    </row>
    <row r="500">
      <c r="P500" s="227"/>
    </row>
    <row r="501">
      <c r="P501" s="227"/>
    </row>
    <row r="502">
      <c r="P502" s="227"/>
    </row>
    <row r="503">
      <c r="P503" s="227"/>
    </row>
    <row r="504">
      <c r="P504" s="227"/>
    </row>
    <row r="505">
      <c r="P505" s="227"/>
    </row>
    <row r="506">
      <c r="P506" s="227"/>
    </row>
    <row r="507">
      <c r="P507" s="227"/>
    </row>
    <row r="508">
      <c r="P508" s="227"/>
    </row>
    <row r="509">
      <c r="P509" s="227"/>
    </row>
    <row r="510">
      <c r="P510" s="227"/>
    </row>
    <row r="511">
      <c r="P511" s="227"/>
    </row>
    <row r="512">
      <c r="P512" s="227"/>
    </row>
    <row r="513">
      <c r="P513" s="227"/>
    </row>
    <row r="514">
      <c r="P514" s="227"/>
    </row>
    <row r="515">
      <c r="P515" s="227"/>
    </row>
    <row r="516">
      <c r="P516" s="227"/>
    </row>
    <row r="517">
      <c r="P517" s="227"/>
    </row>
    <row r="518">
      <c r="P518" s="227"/>
    </row>
    <row r="519">
      <c r="P519" s="227"/>
    </row>
    <row r="520">
      <c r="P520" s="227"/>
    </row>
    <row r="521">
      <c r="P521" s="227"/>
    </row>
    <row r="522">
      <c r="P522" s="227"/>
    </row>
    <row r="523">
      <c r="P523" s="227"/>
    </row>
    <row r="524">
      <c r="P524" s="227"/>
    </row>
    <row r="525">
      <c r="P525" s="227"/>
    </row>
    <row r="526">
      <c r="P526" s="227"/>
    </row>
    <row r="527">
      <c r="P527" s="227"/>
    </row>
    <row r="528">
      <c r="P528" s="227"/>
    </row>
    <row r="529">
      <c r="P529" s="227"/>
    </row>
    <row r="530">
      <c r="P530" s="227"/>
    </row>
    <row r="531">
      <c r="P531" s="227"/>
    </row>
    <row r="532">
      <c r="P532" s="227"/>
    </row>
    <row r="533">
      <c r="P533" s="227"/>
    </row>
    <row r="534">
      <c r="P534" s="227"/>
    </row>
    <row r="535">
      <c r="P535" s="227"/>
    </row>
    <row r="536">
      <c r="P536" s="227"/>
    </row>
    <row r="537">
      <c r="P537" s="227"/>
    </row>
    <row r="538">
      <c r="P538" s="227"/>
    </row>
    <row r="539">
      <c r="P539" s="227"/>
    </row>
    <row r="540">
      <c r="P540" s="227"/>
    </row>
    <row r="541">
      <c r="P541" s="227"/>
    </row>
    <row r="542">
      <c r="P542" s="227"/>
    </row>
    <row r="543">
      <c r="P543" s="227"/>
    </row>
    <row r="544">
      <c r="P544" s="227"/>
    </row>
    <row r="545">
      <c r="P545" s="227"/>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null!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216" t="s">
        <v>169</v>
      </c>
      <c r="B1" s="216" t="s">
        <v>170</v>
      </c>
      <c r="C1" s="216" t="s">
        <v>171</v>
      </c>
      <c r="D1" s="842"/>
      <c r="E1" s="218"/>
      <c r="F1" s="219" t="s">
        <v>172</v>
      </c>
      <c r="G1" s="219" t="s">
        <v>173</v>
      </c>
      <c r="H1" s="220" t="s">
        <v>174</v>
      </c>
      <c r="I1" s="218"/>
      <c r="J1" s="218"/>
      <c r="K1" s="218"/>
      <c r="L1" s="218"/>
      <c r="M1" s="218"/>
      <c r="N1" s="218"/>
      <c r="O1" s="218"/>
      <c r="P1" s="221"/>
      <c r="Q1" s="222" t="s">
        <v>175</v>
      </c>
      <c r="R1" s="218"/>
      <c r="S1" s="218"/>
      <c r="T1" s="222" t="s">
        <v>176</v>
      </c>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row>
    <row r="2">
      <c r="A2" s="223" t="s">
        <v>177</v>
      </c>
      <c r="B2" s="223" t="s">
        <v>178</v>
      </c>
      <c r="C2" s="223">
        <v>7168.0</v>
      </c>
      <c r="D2" s="843"/>
      <c r="F2" s="219" t="s">
        <v>179</v>
      </c>
      <c r="G2" s="225"/>
      <c r="H2" s="226"/>
      <c r="P2" s="227"/>
      <c r="Q2" s="181" t="s">
        <v>180</v>
      </c>
      <c r="R2" s="181">
        <v>0.5</v>
      </c>
      <c r="T2" s="66" t="str">
        <f t="shared" ref="T2:T6" si="1">U2&amp;","&amp;V2</f>
        <v>fp4,fp4</v>
      </c>
      <c r="U2" s="181" t="s">
        <v>180</v>
      </c>
      <c r="V2" s="181" t="s">
        <v>180</v>
      </c>
      <c r="W2" s="181" t="s">
        <v>180</v>
      </c>
      <c r="AR2" s="228"/>
      <c r="AS2" s="228"/>
      <c r="AT2" s="228"/>
    </row>
    <row r="3">
      <c r="A3" s="223" t="s">
        <v>181</v>
      </c>
      <c r="B3" s="223" t="s">
        <v>182</v>
      </c>
      <c r="C3" s="223">
        <v>2048.0</v>
      </c>
      <c r="D3" s="843"/>
      <c r="F3" s="230" t="s">
        <v>96</v>
      </c>
      <c r="G3" s="225">
        <v>8.0</v>
      </c>
      <c r="H3" s="226"/>
      <c r="P3" s="227"/>
      <c r="Q3" s="181" t="s">
        <v>125</v>
      </c>
      <c r="R3" s="181">
        <v>1.0</v>
      </c>
      <c r="T3" s="66" t="str">
        <f t="shared" si="1"/>
        <v>fp4,fp8</v>
      </c>
      <c r="U3" s="181" t="s">
        <v>180</v>
      </c>
      <c r="V3" s="181" t="s">
        <v>125</v>
      </c>
      <c r="W3" s="181" t="s">
        <v>125</v>
      </c>
    </row>
    <row r="4">
      <c r="A4" s="223" t="s">
        <v>183</v>
      </c>
      <c r="B4" s="223" t="s">
        <v>184</v>
      </c>
      <c r="C4" s="223">
        <v>256.0</v>
      </c>
      <c r="D4" s="843"/>
      <c r="F4" s="230" t="s">
        <v>97</v>
      </c>
      <c r="G4" s="225">
        <v>2.0</v>
      </c>
      <c r="H4" s="226" t="s">
        <v>185</v>
      </c>
      <c r="P4" s="227"/>
      <c r="Q4" s="181" t="s">
        <v>133</v>
      </c>
      <c r="R4" s="181">
        <v>2.0</v>
      </c>
      <c r="T4" s="66" t="str">
        <f t="shared" si="1"/>
        <v>fp4,bf16</v>
      </c>
      <c r="U4" s="181" t="s">
        <v>180</v>
      </c>
      <c r="V4" s="181" t="s">
        <v>133</v>
      </c>
      <c r="W4" s="181" t="s">
        <v>133</v>
      </c>
      <c r="AR4" s="228"/>
      <c r="AS4" s="228"/>
      <c r="AT4" s="228"/>
    </row>
    <row r="5">
      <c r="A5" s="223" t="s">
        <v>186</v>
      </c>
      <c r="B5" s="223" t="s">
        <v>187</v>
      </c>
      <c r="C5" s="223">
        <v>61.0</v>
      </c>
      <c r="D5" s="843"/>
      <c r="F5" s="230" t="s">
        <v>98</v>
      </c>
      <c r="G5" s="225">
        <v>1.0</v>
      </c>
      <c r="H5" s="226"/>
      <c r="P5" s="227"/>
      <c r="T5" s="66" t="str">
        <f t="shared" si="1"/>
        <v>fp8,fp4</v>
      </c>
      <c r="U5" s="181" t="s">
        <v>125</v>
      </c>
      <c r="V5" s="181" t="s">
        <v>180</v>
      </c>
      <c r="W5" s="181" t="s">
        <v>125</v>
      </c>
    </row>
    <row r="6">
      <c r="A6" s="231" t="s">
        <v>188</v>
      </c>
      <c r="B6" s="231" t="s">
        <v>189</v>
      </c>
      <c r="C6" s="231">
        <v>3.0</v>
      </c>
      <c r="D6" s="843"/>
      <c r="F6" s="230" t="s">
        <v>99</v>
      </c>
      <c r="G6" s="225">
        <v>1.0</v>
      </c>
      <c r="H6" s="226" t="s">
        <v>190</v>
      </c>
      <c r="P6" s="227"/>
      <c r="T6" s="66" t="str">
        <f t="shared" si="1"/>
        <v>fp8,fp8</v>
      </c>
      <c r="U6" s="181" t="s">
        <v>125</v>
      </c>
      <c r="V6" s="181" t="s">
        <v>125</v>
      </c>
      <c r="W6" s="181" t="s">
        <v>125</v>
      </c>
      <c r="AR6" s="161"/>
      <c r="AS6" s="161"/>
      <c r="AT6" s="161"/>
    </row>
    <row r="7">
      <c r="A7" s="223" t="s">
        <v>191</v>
      </c>
      <c r="B7" s="223" t="s">
        <v>192</v>
      </c>
      <c r="C7" s="223">
        <v>8.0</v>
      </c>
      <c r="D7" s="843"/>
      <c r="F7" s="219" t="s">
        <v>193</v>
      </c>
      <c r="P7" s="227"/>
      <c r="U7" s="181"/>
      <c r="V7" s="181"/>
      <c r="W7" s="181"/>
      <c r="AB7" s="181"/>
      <c r="AC7" s="181"/>
      <c r="AD7" s="181"/>
      <c r="AE7" s="181"/>
    </row>
    <row r="8">
      <c r="A8" s="232" t="s">
        <v>194</v>
      </c>
      <c r="B8" s="233" t="s">
        <v>195</v>
      </c>
      <c r="C8" s="223">
        <v>1536.0</v>
      </c>
      <c r="D8" s="843"/>
      <c r="F8" s="234" t="s">
        <v>196</v>
      </c>
      <c r="G8" s="235">
        <f>G4*G3</f>
        <v>16</v>
      </c>
      <c r="H8" s="236"/>
      <c r="P8" s="227"/>
      <c r="T8" s="66" t="str">
        <f t="shared" ref="T8:T10" si="2">U8&amp;","&amp;V8</f>
        <v>fp8,bf16</v>
      </c>
      <c r="U8" s="181" t="s">
        <v>125</v>
      </c>
      <c r="V8" s="181" t="s">
        <v>133</v>
      </c>
      <c r="W8" s="181" t="s">
        <v>133</v>
      </c>
      <c r="AB8" s="181"/>
      <c r="AC8" s="181"/>
      <c r="AD8" s="181"/>
      <c r="AE8" s="181"/>
    </row>
    <row r="9">
      <c r="A9" s="232" t="s">
        <v>197</v>
      </c>
      <c r="B9" s="233" t="s">
        <v>198</v>
      </c>
      <c r="C9" s="223">
        <v>512.0</v>
      </c>
      <c r="D9" s="843"/>
      <c r="F9" s="237" t="s">
        <v>199</v>
      </c>
      <c r="G9" s="238">
        <f>PRODUCT(G2:G5)</f>
        <v>16</v>
      </c>
      <c r="H9" s="239"/>
      <c r="P9" s="227"/>
      <c r="T9" s="66" t="str">
        <f t="shared" si="2"/>
        <v>bf16,fp4</v>
      </c>
      <c r="U9" s="181" t="s">
        <v>133</v>
      </c>
      <c r="V9" s="181" t="s">
        <v>180</v>
      </c>
      <c r="W9" s="181" t="s">
        <v>133</v>
      </c>
      <c r="AP9" s="218"/>
      <c r="AQ9" s="218"/>
      <c r="AT9" s="228"/>
    </row>
    <row r="10">
      <c r="A10" s="232" t="s">
        <v>200</v>
      </c>
      <c r="B10" s="233" t="s">
        <v>201</v>
      </c>
      <c r="C10" s="223">
        <v>128.0</v>
      </c>
      <c r="D10" s="843"/>
      <c r="F10" s="237" t="s">
        <v>202</v>
      </c>
      <c r="G10" s="238">
        <f>$G$9/$H$17</f>
        <v>8</v>
      </c>
      <c r="H10" s="239"/>
      <c r="P10" s="227"/>
      <c r="T10" s="66" t="str">
        <f t="shared" si="2"/>
        <v>bf16,fp8</v>
      </c>
      <c r="U10" s="181" t="s">
        <v>133</v>
      </c>
      <c r="V10" s="181" t="s">
        <v>125</v>
      </c>
      <c r="W10" s="181" t="s">
        <v>133</v>
      </c>
      <c r="AP10" s="222"/>
    </row>
    <row r="11">
      <c r="A11" s="232" t="s">
        <v>203</v>
      </c>
      <c r="B11" s="233" t="s">
        <v>204</v>
      </c>
      <c r="C11" s="223">
        <v>64.0</v>
      </c>
      <c r="D11" s="843"/>
      <c r="L11" s="844" t="s">
        <v>584</v>
      </c>
      <c r="P11" s="227"/>
      <c r="T11" s="66" t="s">
        <v>205</v>
      </c>
      <c r="U11" s="181" t="s">
        <v>133</v>
      </c>
      <c r="V11" s="181" t="s">
        <v>133</v>
      </c>
      <c r="W11" s="181" t="s">
        <v>133</v>
      </c>
      <c r="AP11" s="218"/>
      <c r="AQ11" s="218"/>
      <c r="AT11" s="228"/>
    </row>
    <row r="12">
      <c r="A12" s="223" t="s">
        <v>206</v>
      </c>
      <c r="B12" s="233" t="s">
        <v>207</v>
      </c>
      <c r="C12" s="223">
        <v>128.0</v>
      </c>
      <c r="D12" s="843"/>
    </row>
    <row r="13">
      <c r="A13" s="241" t="s">
        <v>208</v>
      </c>
      <c r="B13" s="242"/>
      <c r="C13" s="242"/>
      <c r="D13" s="845"/>
      <c r="AG13" s="207"/>
      <c r="AH13" s="207"/>
      <c r="AI13" s="161"/>
      <c r="AJ13" s="2"/>
      <c r="AK13" s="2"/>
      <c r="AL13" s="2"/>
      <c r="AM13" s="2"/>
      <c r="AN13" s="161"/>
      <c r="AO13" s="2"/>
      <c r="AP13" s="207"/>
      <c r="AQ13" s="2"/>
      <c r="AR13" s="2"/>
      <c r="AS13" s="161"/>
      <c r="AT13" s="161"/>
    </row>
    <row r="14">
      <c r="A14" s="244" t="s">
        <v>209</v>
      </c>
      <c r="B14" s="244" t="s">
        <v>209</v>
      </c>
      <c r="C14" s="245">
        <f>$C$10+$C$11</f>
        <v>192</v>
      </c>
      <c r="D14" s="846"/>
      <c r="AG14" s="2"/>
      <c r="AH14" s="2"/>
      <c r="AI14" s="161"/>
      <c r="AJ14" s="2"/>
      <c r="AK14" s="2"/>
      <c r="AL14" s="2"/>
      <c r="AM14" s="2"/>
      <c r="AN14" s="161"/>
      <c r="AO14" s="2"/>
      <c r="AP14" s="247"/>
      <c r="AQ14" s="247"/>
      <c r="AR14" s="2"/>
      <c r="AS14" s="161"/>
      <c r="AT14" s="248"/>
    </row>
    <row r="15">
      <c r="A15" s="244" t="s">
        <v>210</v>
      </c>
      <c r="B15" s="244" t="s">
        <v>210</v>
      </c>
      <c r="C15" s="249">
        <f>$C$9+$C$11</f>
        <v>576</v>
      </c>
      <c r="D15" s="843"/>
      <c r="AG15" s="2"/>
      <c r="AH15" s="2"/>
      <c r="AI15" s="161"/>
      <c r="AJ15" s="2"/>
      <c r="AK15" s="2"/>
      <c r="AL15" s="2"/>
      <c r="AM15" s="2"/>
      <c r="AN15" s="161"/>
      <c r="AO15" s="2"/>
      <c r="AP15" s="247"/>
      <c r="AQ15" s="247"/>
      <c r="AR15" s="2"/>
      <c r="AS15" s="161"/>
      <c r="AT15" s="248"/>
    </row>
    <row r="16">
      <c r="A16" s="249" t="s">
        <v>211</v>
      </c>
      <c r="B16" s="249" t="s">
        <v>212</v>
      </c>
      <c r="C16" s="245">
        <f>C7*$C$24</f>
        <v>8</v>
      </c>
      <c r="D16" s="846"/>
      <c r="F16" s="250" t="s">
        <v>213</v>
      </c>
      <c r="G16" s="251" t="s">
        <v>585</v>
      </c>
      <c r="H16" s="251" t="s">
        <v>522</v>
      </c>
      <c r="AG16" s="2"/>
      <c r="AH16" s="2"/>
      <c r="AI16" s="161"/>
      <c r="AJ16" s="2"/>
      <c r="AK16" s="2"/>
      <c r="AL16" s="2"/>
      <c r="AM16" s="2"/>
      <c r="AN16" s="161"/>
      <c r="AO16" s="2"/>
      <c r="AP16" s="247"/>
      <c r="AQ16" s="247"/>
      <c r="AR16" s="2"/>
      <c r="AS16" s="161"/>
      <c r="AT16" s="248"/>
    </row>
    <row r="17">
      <c r="A17" s="252" t="s">
        <v>173</v>
      </c>
      <c r="B17" s="252" t="s">
        <v>214</v>
      </c>
      <c r="C17" s="253">
        <f>$G$9</f>
        <v>16</v>
      </c>
      <c r="D17" s="846"/>
      <c r="F17" s="185" t="str">
        <f t="array" ref="F17:F29">DB!A2:A14</f>
        <v># of TensorCore per Chip</v>
      </c>
      <c r="G17" s="847">
        <v>1.0</v>
      </c>
      <c r="H17" s="254">
        <f t="array" ref="H17:H29">xlookup($H$16,DB!1:1,DB!2:14) * G17:G29</f>
        <v>2</v>
      </c>
      <c r="AG17" s="2"/>
      <c r="AH17" s="2"/>
      <c r="AI17" s="161"/>
      <c r="AJ17" s="2"/>
      <c r="AK17" s="2"/>
      <c r="AL17" s="2"/>
      <c r="AM17" s="2"/>
      <c r="AN17" s="161"/>
      <c r="AO17" s="2"/>
      <c r="AP17" s="247"/>
      <c r="AQ17" s="2"/>
      <c r="AR17" s="2"/>
      <c r="AS17" s="161"/>
      <c r="AT17" s="161"/>
    </row>
    <row r="18">
      <c r="A18" s="252" t="s">
        <v>215</v>
      </c>
      <c r="B18" s="252" t="s">
        <v>216</v>
      </c>
      <c r="C18" s="253">
        <f>$G$10</f>
        <v>8</v>
      </c>
      <c r="D18" s="846"/>
      <c r="F18" s="185" t="s">
        <v>217</v>
      </c>
      <c r="G18" s="847">
        <v>1.0</v>
      </c>
      <c r="H18" s="254">
        <v>7315.0</v>
      </c>
      <c r="AG18" s="2"/>
      <c r="AH18" s="2"/>
      <c r="AI18" s="161"/>
      <c r="AJ18" s="2"/>
      <c r="AK18" s="2"/>
      <c r="AL18" s="2"/>
      <c r="AM18" s="2"/>
      <c r="AN18" s="161"/>
      <c r="AO18" s="2"/>
      <c r="AP18" s="247"/>
      <c r="AQ18" s="2"/>
      <c r="AR18" s="2"/>
      <c r="AS18" s="161"/>
      <c r="AT18" s="161"/>
    </row>
    <row r="19">
      <c r="A19" s="256" t="s">
        <v>587</v>
      </c>
      <c r="B19" s="256" t="s">
        <v>219</v>
      </c>
      <c r="C19" s="257" t="str">
        <f>IFS(C18=8,"2x2x2",C18=4,"2x2",TRUE,NA)</f>
        <v>2x2x2</v>
      </c>
      <c r="D19" s="848"/>
      <c r="F19" s="185" t="s">
        <v>220</v>
      </c>
      <c r="G19" s="847">
        <v>1.0</v>
      </c>
      <c r="H19" s="254">
        <v>3968.04</v>
      </c>
      <c r="AG19" s="2"/>
      <c r="AH19" s="2"/>
      <c r="AI19" s="161"/>
      <c r="AJ19" s="2"/>
      <c r="AK19" s="2"/>
      <c r="AL19" s="2"/>
      <c r="AM19" s="2"/>
      <c r="AN19" s="161"/>
      <c r="AO19" s="2"/>
      <c r="AP19" s="247"/>
      <c r="AQ19" s="2"/>
      <c r="AR19" s="2"/>
      <c r="AS19" s="161"/>
      <c r="AT19" s="161"/>
    </row>
    <row r="20">
      <c r="A20" s="260" t="s">
        <v>588</v>
      </c>
      <c r="B20" s="260" t="s">
        <v>222</v>
      </c>
      <c r="C20" s="849">
        <f>IFS(C19="2x2x2",12,C19="2x2",4,TRUE,NA())</f>
        <v>12</v>
      </c>
      <c r="D20" s="850"/>
      <c r="F20" s="185" t="s">
        <v>223</v>
      </c>
      <c r="G20" s="847">
        <v>1.0</v>
      </c>
      <c r="H20" s="254">
        <v>3968.04</v>
      </c>
      <c r="AG20" s="2"/>
      <c r="AH20" s="2"/>
      <c r="AI20" s="161"/>
      <c r="AJ20" s="2"/>
      <c r="AK20" s="2"/>
      <c r="AL20" s="2"/>
      <c r="AM20" s="2"/>
      <c r="AN20" s="161"/>
      <c r="AO20" s="2"/>
      <c r="AP20" s="247"/>
      <c r="AQ20" s="2"/>
      <c r="AR20" s="2"/>
      <c r="AS20" s="161"/>
      <c r="AT20" s="161"/>
    </row>
    <row r="21">
      <c r="A21" s="253"/>
      <c r="B21" s="253"/>
      <c r="C21" s="253"/>
      <c r="D21" s="846"/>
      <c r="F21" s="185" t="s">
        <v>224</v>
      </c>
      <c r="G21" s="847">
        <v>1.0</v>
      </c>
      <c r="H21" s="254">
        <v>1984.02</v>
      </c>
      <c r="AG21" s="2"/>
      <c r="AH21" s="2"/>
      <c r="AI21" s="161"/>
      <c r="AJ21" s="2"/>
      <c r="AK21" s="2"/>
      <c r="AL21" s="2"/>
      <c r="AM21" s="2"/>
      <c r="AN21" s="161"/>
      <c r="AO21" s="2"/>
      <c r="AP21" s="247"/>
      <c r="AQ21" s="247"/>
      <c r="AR21" s="2"/>
      <c r="AS21" s="161"/>
      <c r="AT21" s="248"/>
    </row>
    <row r="22">
      <c r="A22" s="262" t="s">
        <v>225</v>
      </c>
      <c r="B22" s="263"/>
      <c r="C22" s="264"/>
      <c r="D22" s="851"/>
      <c r="F22" s="185" t="s">
        <v>226</v>
      </c>
      <c r="G22" s="847">
        <v>0.987</v>
      </c>
      <c r="H22" s="266">
        <v>189.504</v>
      </c>
      <c r="AG22" s="2"/>
      <c r="AH22" s="2"/>
      <c r="AI22" s="161"/>
      <c r="AJ22" s="2"/>
      <c r="AK22" s="2"/>
      <c r="AL22" s="2"/>
      <c r="AM22" s="2"/>
      <c r="AN22" s="161"/>
      <c r="AO22" s="2"/>
      <c r="AP22" s="247"/>
      <c r="AQ22" s="247"/>
      <c r="AR22" s="2"/>
      <c r="AS22" s="161"/>
      <c r="AT22" s="248"/>
    </row>
    <row r="23">
      <c r="A23" s="249" t="s">
        <v>227</v>
      </c>
      <c r="B23" s="249" t="s">
        <v>228</v>
      </c>
      <c r="C23" s="249" t="s">
        <v>18</v>
      </c>
      <c r="D23" s="843"/>
      <c r="F23" s="185" t="s">
        <v>229</v>
      </c>
      <c r="G23" s="847">
        <v>0.8</v>
      </c>
      <c r="H23" s="266">
        <v>2926.0</v>
      </c>
      <c r="AG23" s="2"/>
      <c r="AH23" s="2"/>
      <c r="AI23" s="161"/>
      <c r="AJ23" s="2"/>
      <c r="AK23" s="2"/>
      <c r="AL23" s="2"/>
      <c r="AM23" s="2"/>
      <c r="AN23" s="161"/>
      <c r="AO23" s="2"/>
      <c r="AP23" s="247"/>
      <c r="AQ23" s="247"/>
      <c r="AR23" s="2"/>
      <c r="AS23" s="161"/>
      <c r="AT23" s="248"/>
    </row>
    <row r="24">
      <c r="A24" s="852" t="s">
        <v>101</v>
      </c>
      <c r="B24" s="852" t="s">
        <v>102</v>
      </c>
      <c r="C24" s="852">
        <f>IF(C23="Decode", 1, 2048)</f>
        <v>1</v>
      </c>
      <c r="D24" s="843"/>
      <c r="F24" s="185" t="s">
        <v>230</v>
      </c>
      <c r="G24" s="847">
        <v>1.0</v>
      </c>
      <c r="H24" s="254">
        <v>1984.02</v>
      </c>
      <c r="AG24" s="2"/>
      <c r="AH24" s="2"/>
      <c r="AI24" s="161"/>
      <c r="AJ24" s="248"/>
      <c r="AK24" s="2"/>
      <c r="AL24" s="2"/>
      <c r="AM24" s="2"/>
    </row>
    <row r="25">
      <c r="A25" s="223" t="s">
        <v>103</v>
      </c>
      <c r="B25" s="223" t="s">
        <v>104</v>
      </c>
      <c r="C25" s="223">
        <f>2^INT(LOG(G44, 2))</f>
        <v>1024</v>
      </c>
      <c r="D25" s="853"/>
      <c r="F25" s="185" t="s">
        <v>231</v>
      </c>
      <c r="G25" s="847">
        <v>1.0</v>
      </c>
      <c r="H25" s="254">
        <v>1984.02</v>
      </c>
      <c r="AG25" s="207"/>
      <c r="AH25" s="207"/>
      <c r="AI25" s="207"/>
      <c r="AK25" s="2"/>
      <c r="AL25" s="2"/>
      <c r="AM25" s="2"/>
      <c r="AN25" s="161"/>
      <c r="AO25" s="2"/>
      <c r="AP25" s="2"/>
      <c r="AQ25" s="2"/>
      <c r="AR25" s="2"/>
      <c r="AS25" s="161"/>
      <c r="AT25" s="161"/>
    </row>
    <row r="26">
      <c r="A26" s="854" t="s">
        <v>105</v>
      </c>
      <c r="B26" s="855" t="s">
        <v>106</v>
      </c>
      <c r="C26" s="855">
        <f>1024+4096</f>
        <v>5120</v>
      </c>
      <c r="D26" s="843"/>
      <c r="F26" s="185" t="s">
        <v>233</v>
      </c>
      <c r="G26" s="847">
        <v>1.0</v>
      </c>
      <c r="H26" s="254">
        <v>992.01</v>
      </c>
      <c r="AG26" s="207"/>
      <c r="AH26" s="207"/>
      <c r="AI26" s="207"/>
      <c r="AK26" s="2"/>
      <c r="AL26" s="2"/>
      <c r="AM26" s="2"/>
      <c r="AN26" s="161"/>
      <c r="AO26" s="2"/>
      <c r="AP26" s="2"/>
      <c r="AQ26" s="2"/>
      <c r="AR26" s="2"/>
      <c r="AS26" s="161"/>
      <c r="AT26" s="161"/>
    </row>
    <row r="27">
      <c r="A27" s="249" t="s">
        <v>110</v>
      </c>
      <c r="B27" s="253"/>
      <c r="C27" s="252">
        <v>0.15</v>
      </c>
      <c r="D27" s="843"/>
      <c r="F27" s="185" t="s">
        <v>234</v>
      </c>
      <c r="G27" s="847">
        <v>0.987</v>
      </c>
      <c r="H27" s="271">
        <v>94.752</v>
      </c>
      <c r="AG27" s="207"/>
      <c r="AH27" s="207"/>
      <c r="AI27" s="207"/>
      <c r="AL27" s="2"/>
      <c r="AM27" s="2"/>
      <c r="AN27" s="161"/>
      <c r="AO27" s="2"/>
      <c r="AP27" s="2"/>
      <c r="AQ27" s="2"/>
      <c r="AR27" s="2"/>
      <c r="AS27" s="161"/>
      <c r="AT27" s="161"/>
    </row>
    <row r="28">
      <c r="A28" s="249" t="s">
        <v>111</v>
      </c>
      <c r="B28" s="253"/>
      <c r="C28" s="252">
        <v>1.0</v>
      </c>
      <c r="D28" s="843"/>
      <c r="F28" s="185" t="s">
        <v>235</v>
      </c>
      <c r="G28" s="847">
        <v>0.375</v>
      </c>
      <c r="H28" s="254">
        <v>600.0</v>
      </c>
      <c r="AB28" s="181"/>
      <c r="AC28" s="181"/>
      <c r="AD28" s="181"/>
      <c r="AE28" s="181"/>
      <c r="AM28" s="222"/>
      <c r="AN28" s="218"/>
      <c r="AO28" s="222"/>
      <c r="AP28" s="222"/>
      <c r="AQ28" s="272"/>
      <c r="AR28" s="222"/>
      <c r="AS28" s="66"/>
    </row>
    <row r="29">
      <c r="A29" s="852" t="s">
        <v>123</v>
      </c>
      <c r="B29" s="856" t="s">
        <v>589</v>
      </c>
      <c r="C29" s="273" t="s">
        <v>133</v>
      </c>
      <c r="D29" s="857"/>
      <c r="F29" s="11" t="s">
        <v>236</v>
      </c>
      <c r="G29" s="858">
        <v>0.8</v>
      </c>
      <c r="H29" s="275">
        <v>80.0</v>
      </c>
      <c r="AB29" s="181"/>
      <c r="AC29" s="181"/>
      <c r="AD29" s="181"/>
      <c r="AE29" s="181"/>
      <c r="AM29" s="222"/>
      <c r="AN29" s="218"/>
      <c r="AO29" s="222"/>
      <c r="AP29" s="222"/>
      <c r="AQ29" s="272"/>
      <c r="AR29" s="222"/>
      <c r="AS29" s="66"/>
    </row>
    <row r="30">
      <c r="A30" s="223" t="s">
        <v>112</v>
      </c>
      <c r="B30" s="859" t="s">
        <v>113</v>
      </c>
      <c r="C30" s="860" t="b">
        <v>1</v>
      </c>
      <c r="D30" s="846"/>
      <c r="AM30" s="222"/>
      <c r="AN30" s="218"/>
      <c r="AO30" s="218"/>
      <c r="AP30" s="218"/>
      <c r="AQ30" s="218"/>
      <c r="AR30" s="222"/>
      <c r="AT30" s="228"/>
    </row>
    <row r="31">
      <c r="A31" s="181"/>
      <c r="B31" s="278"/>
      <c r="C31" s="278"/>
      <c r="D31" s="278"/>
      <c r="AM31" s="222"/>
      <c r="AN31" s="218"/>
      <c r="AO31" s="218"/>
      <c r="AP31" s="222"/>
      <c r="AQ31" s="222"/>
      <c r="AR31" s="222"/>
    </row>
    <row r="32" ht="27.0" customHeight="1">
      <c r="A32" s="281" t="s">
        <v>241</v>
      </c>
      <c r="F32" s="861" t="s">
        <v>590</v>
      </c>
      <c r="G32" s="862"/>
      <c r="AG32" s="2"/>
      <c r="AH32" s="2"/>
      <c r="AI32" s="2"/>
      <c r="AJ32" s="2"/>
      <c r="AK32" s="2"/>
      <c r="AL32" s="2"/>
      <c r="AM32" s="247"/>
      <c r="AN32" s="247"/>
      <c r="AO32" s="279"/>
      <c r="AP32" s="222"/>
      <c r="AQ32" s="247"/>
      <c r="AR32" s="247"/>
      <c r="AT32" s="280"/>
    </row>
    <row r="33" ht="30.0" customHeight="1">
      <c r="A33" s="250" t="s">
        <v>242</v>
      </c>
      <c r="B33" s="250" t="str">
        <f> "Value (" &amp; H16 &amp; ")"</f>
        <v>Value (GhostFish (P3))</v>
      </c>
      <c r="C33" s="282" t="s">
        <v>591</v>
      </c>
      <c r="F33" s="436" t="s">
        <v>592</v>
      </c>
      <c r="G33" s="863" t="s">
        <v>125</v>
      </c>
      <c r="P33" s="227"/>
      <c r="AG33" s="2"/>
      <c r="AH33" s="2"/>
      <c r="AI33" s="2"/>
      <c r="AJ33" s="2"/>
      <c r="AK33" s="2"/>
      <c r="AL33" s="2"/>
      <c r="AM33" s="247"/>
      <c r="AN33" s="247"/>
      <c r="AO33" s="279"/>
      <c r="AP33" s="222"/>
      <c r="AQ33" s="247"/>
      <c r="AR33" s="247"/>
      <c r="AT33" s="280"/>
    </row>
    <row r="34" ht="15.0" customHeight="1">
      <c r="A34" s="185" t="s">
        <v>76</v>
      </c>
      <c r="B34" s="271">
        <f>$C25*$C24</f>
        <v>1024</v>
      </c>
      <c r="C34" s="182">
        <f>492*8</f>
        <v>3936</v>
      </c>
      <c r="F34" s="864" t="s">
        <v>593</v>
      </c>
      <c r="G34" s="863" t="str">
        <f>C29</f>
        <v>bf16</v>
      </c>
      <c r="P34" s="227"/>
      <c r="AG34" s="2"/>
      <c r="AH34" s="2"/>
      <c r="AI34" s="2"/>
      <c r="AJ34" s="2"/>
      <c r="AK34" s="2"/>
      <c r="AL34" s="2"/>
      <c r="AM34" s="247"/>
      <c r="AN34" s="247"/>
      <c r="AO34" s="279"/>
      <c r="AP34" s="222"/>
      <c r="AQ34" s="247"/>
      <c r="AR34" s="247"/>
      <c r="AT34" s="280"/>
    </row>
    <row r="35" ht="15.0" customHeight="1">
      <c r="A35" s="185" t="s">
        <v>243</v>
      </c>
      <c r="B35" s="288">
        <f>G9</f>
        <v>16</v>
      </c>
      <c r="C35" s="9">
        <v>8.0</v>
      </c>
      <c r="F35" s="865" t="s">
        <v>594</v>
      </c>
      <c r="G35" s="866" t="s">
        <v>595</v>
      </c>
      <c r="P35" s="227"/>
      <c r="AG35" s="2"/>
      <c r="AH35" s="2"/>
      <c r="AI35" s="2"/>
      <c r="AJ35" s="2"/>
      <c r="AK35" s="2"/>
      <c r="AL35" s="2"/>
      <c r="AM35" s="247"/>
      <c r="AN35" s="247"/>
      <c r="AO35" s="279"/>
      <c r="AP35" s="222"/>
      <c r="AQ35" s="247"/>
      <c r="AR35" s="247"/>
      <c r="AT35" s="280"/>
    </row>
    <row r="36" ht="15.0" customHeight="1">
      <c r="A36" s="185" t="s">
        <v>146</v>
      </c>
      <c r="B36" s="289" t="str">
        <f>$G$78/1000 * $C$5</f>
        <v>#N/A</v>
      </c>
      <c r="C36" s="11">
        <f>0.0734</f>
        <v>0.0734</v>
      </c>
      <c r="F36" s="867" t="s">
        <v>596</v>
      </c>
      <c r="G36" s="868">
        <f>671*1000000000</f>
        <v>671000000000</v>
      </c>
      <c r="P36" s="227"/>
      <c r="AG36" s="2"/>
      <c r="AH36" s="2"/>
      <c r="AI36" s="2"/>
      <c r="AJ36" s="2"/>
      <c r="AK36" s="2"/>
      <c r="AL36" s="2"/>
      <c r="AM36" s="247"/>
      <c r="AN36" s="247"/>
      <c r="AO36" s="279"/>
      <c r="AP36" s="222"/>
      <c r="AQ36" s="247"/>
      <c r="AR36" s="247"/>
      <c r="AT36" s="280"/>
    </row>
    <row r="37" ht="15.0" customHeight="1">
      <c r="A37" s="185" t="s">
        <v>147</v>
      </c>
      <c r="B37" s="271" t="str">
        <f>$B$34/$B$36</f>
        <v>#N/A</v>
      </c>
      <c r="C37" s="193">
        <f>492/0.0733 * C35</f>
        <v>53697.13506</v>
      </c>
      <c r="F37" s="436" t="s">
        <v>597</v>
      </c>
      <c r="G37" s="869">
        <f>SUM(PRODUCT(L92:M92), PRODUCT(K138:M138), PRODUCT(K157:M157), PRODUCT(L176:M176), PRODUCT(K252:M252), PRODUCT(K271:M271)) * PARAMS("L")</f>
        <v>11413422080</v>
      </c>
      <c r="P37" s="227"/>
      <c r="AG37" s="2"/>
      <c r="AH37" s="2"/>
      <c r="AI37" s="2"/>
      <c r="AJ37" s="2"/>
      <c r="AK37" s="2"/>
      <c r="AL37" s="2"/>
      <c r="AM37" s="247"/>
      <c r="AN37" s="247"/>
      <c r="AO37" s="279"/>
      <c r="AP37" s="222"/>
      <c r="AQ37" s="247"/>
      <c r="AR37" s="247"/>
      <c r="AT37" s="280"/>
    </row>
    <row r="38" ht="15.0" customHeight="1">
      <c r="A38" s="185" t="s">
        <v>148</v>
      </c>
      <c r="B38" s="193" t="str">
        <f>B34/(B36*(1+C27))*C28</f>
        <v>#N/A</v>
      </c>
      <c r="C38" s="193"/>
      <c r="F38" s="867"/>
      <c r="G38" s="870"/>
      <c r="P38" s="227"/>
      <c r="AG38" s="2"/>
      <c r="AH38" s="2"/>
      <c r="AI38" s="2"/>
      <c r="AJ38" s="2"/>
      <c r="AK38" s="2"/>
      <c r="AL38" s="2"/>
      <c r="AM38" s="247"/>
      <c r="AN38" s="247"/>
      <c r="AO38" s="279"/>
      <c r="AP38" s="222"/>
      <c r="AQ38" s="247"/>
      <c r="AR38" s="247"/>
      <c r="AT38" s="280"/>
    </row>
    <row r="39" ht="15.0" customHeight="1">
      <c r="A39" s="185" t="s">
        <v>149</v>
      </c>
      <c r="B39" s="193" t="str">
        <f>B38/$G$10</f>
        <v>#N/A</v>
      </c>
      <c r="C39" s="193">
        <f>C37/C35</f>
        <v>6712.141883</v>
      </c>
      <c r="F39" s="867" t="s">
        <v>598</v>
      </c>
      <c r="G39" s="870">
        <f>G36-G37</f>
        <v>659586577920</v>
      </c>
      <c r="P39" s="227"/>
      <c r="AG39" s="2"/>
      <c r="AH39" s="2"/>
      <c r="AI39" s="2"/>
      <c r="AJ39" s="2"/>
      <c r="AK39" s="2"/>
      <c r="AL39" s="2"/>
      <c r="AM39" s="247"/>
      <c r="AN39" s="247"/>
      <c r="AO39" s="279"/>
      <c r="AP39" s="222"/>
      <c r="AQ39" s="247"/>
      <c r="AR39" s="247"/>
      <c r="AT39" s="280"/>
    </row>
    <row r="40" ht="15.0" customHeight="1">
      <c r="F40" s="436" t="s">
        <v>599</v>
      </c>
      <c r="G40" s="869">
        <f>SUM(P92, P138, P157, P176, P252, P271) * PARAMS(B5) / 1024</f>
        <v>10.62957764</v>
      </c>
      <c r="P40" s="227"/>
      <c r="AG40" s="2"/>
      <c r="AH40" s="2"/>
      <c r="AI40" s="2"/>
      <c r="AJ40" s="2"/>
      <c r="AK40" s="2"/>
      <c r="AL40" s="2"/>
      <c r="AM40" s="247"/>
      <c r="AN40" s="247"/>
      <c r="AO40" s="279"/>
      <c r="AP40" s="222"/>
      <c r="AQ40" s="247"/>
      <c r="AR40" s="247"/>
      <c r="AT40" s="280"/>
    </row>
    <row r="41" ht="15.0" customHeight="1">
      <c r="F41" s="867" t="s">
        <v>600</v>
      </c>
      <c r="G41" s="870">
        <f>(G39*  SWITCH(G33, "fp32", 4, "bf16", 2, "fp8", 1, "fp4", 0.5)/1024^3 + G40*G9) + (G9-1) * SUM(P453, P472) * (C5-3)/1024</f>
        <v>802.202909</v>
      </c>
      <c r="P41" s="227"/>
      <c r="AG41" s="2"/>
      <c r="AH41" s="2"/>
      <c r="AI41" s="2"/>
      <c r="AJ41" s="2"/>
      <c r="AK41" s="2"/>
      <c r="AL41" s="2"/>
      <c r="AM41" s="247"/>
      <c r="AN41" s="247"/>
      <c r="AO41" s="279"/>
      <c r="AP41" s="222"/>
      <c r="AQ41" s="247"/>
      <c r="AR41" s="247"/>
      <c r="AT41" s="280"/>
    </row>
    <row r="42" ht="15.0" customHeight="1">
      <c r="F42" s="436" t="s">
        <v>601</v>
      </c>
      <c r="G42" s="869">
        <f>G41/G9</f>
        <v>50.13768181</v>
      </c>
      <c r="P42" s="227"/>
      <c r="AG42" s="2"/>
      <c r="AH42" s="2"/>
      <c r="AI42" s="2"/>
      <c r="AJ42" s="2"/>
      <c r="AK42" s="2"/>
      <c r="AL42" s="2"/>
      <c r="AM42" s="247"/>
      <c r="AN42" s="247"/>
      <c r="AO42" s="279"/>
      <c r="AP42" s="222"/>
      <c r="AQ42" s="247"/>
      <c r="AR42" s="247"/>
      <c r="AT42" s="280"/>
    </row>
    <row r="43" ht="29.25" customHeight="1">
      <c r="A43" s="323" t="s">
        <v>269</v>
      </c>
      <c r="F43" s="867" t="s">
        <v>602</v>
      </c>
      <c r="G43" s="871">
        <v>0.9</v>
      </c>
      <c r="P43" s="227"/>
      <c r="AG43" s="2"/>
      <c r="AH43" s="2"/>
      <c r="AI43" s="2"/>
      <c r="AJ43" s="2"/>
      <c r="AK43" s="2"/>
      <c r="AL43" s="2"/>
      <c r="AM43" s="247"/>
      <c r="AN43" s="247"/>
      <c r="AO43" s="279"/>
      <c r="AP43" s="222"/>
      <c r="AQ43" s="247"/>
      <c r="AR43" s="247"/>
      <c r="AT43" s="280"/>
    </row>
    <row r="44" ht="15.0" customHeight="1">
      <c r="A44" s="183" t="s">
        <v>271</v>
      </c>
      <c r="B44" s="183" t="s">
        <v>171</v>
      </c>
      <c r="C44" s="183" t="s">
        <v>174</v>
      </c>
      <c r="F44" s="436" t="s">
        <v>603</v>
      </c>
      <c r="G44" s="869">
        <f>(((H27 * G43 - G42)*1024^3) * G8) / (PARAMS(B26) * PAD_128(C9+C11) * SWITCH(PARAMS("kvcache_dtype"), "fp32", 4, "bf16", 2, "fp8", 1, "fp4", 0.5)*PARAMS(B5))</f>
        <v>1510.083442</v>
      </c>
      <c r="P44" s="227"/>
      <c r="AG44" s="2"/>
      <c r="AH44" s="2"/>
      <c r="AI44" s="2"/>
      <c r="AJ44" s="2"/>
      <c r="AK44" s="2"/>
      <c r="AL44" s="2"/>
      <c r="AM44" s="247"/>
      <c r="AN44" s="247"/>
      <c r="AO44" s="279"/>
      <c r="AP44" s="222"/>
      <c r="AQ44" s="247"/>
      <c r="AR44" s="247"/>
      <c r="AT44" s="280"/>
    </row>
    <row r="45" ht="15.0" customHeight="1">
      <c r="A45" s="185" t="s">
        <v>278</v>
      </c>
      <c r="B45" s="331">
        <f>SUM(P92,P138,P157,P176,P252,P271) * PARAMS("L") / 1024</f>
        <v>10.62957764</v>
      </c>
      <c r="C45" s="332"/>
      <c r="F45" s="872"/>
      <c r="G45" s="873"/>
      <c r="J45" s="873">
        <f>SUM(G43+G45+G47)</f>
        <v>0.9</v>
      </c>
      <c r="P45" s="227"/>
      <c r="AG45" s="2"/>
      <c r="AH45" s="2"/>
      <c r="AI45" s="2"/>
      <c r="AJ45" s="2"/>
      <c r="AK45" s="2"/>
      <c r="AL45" s="2"/>
      <c r="AM45" s="247"/>
      <c r="AN45" s="247"/>
      <c r="AO45" s="279"/>
      <c r="AP45" s="222"/>
      <c r="AQ45" s="247"/>
      <c r="AR45" s="247"/>
      <c r="AT45" s="280"/>
    </row>
    <row r="46" ht="15.0" customHeight="1">
      <c r="A46" s="185" t="s">
        <v>284</v>
      </c>
      <c r="B46" s="340">
        <f>SUM($P$292,$P$381) * PARAMS("L") / 1024</f>
        <v>216.8359375</v>
      </c>
      <c r="C46" s="11"/>
      <c r="F46" s="872"/>
      <c r="G46" s="873"/>
      <c r="M46" s="874">
        <f>(2*129280*7168 + 3*2048*7168)</f>
        <v>1897398272</v>
      </c>
      <c r="P46" s="227"/>
      <c r="AG46" s="2"/>
      <c r="AH46" s="2"/>
      <c r="AI46" s="2"/>
      <c r="AJ46" s="2"/>
      <c r="AK46" s="2"/>
      <c r="AL46" s="2"/>
      <c r="AM46" s="247"/>
      <c r="AN46" s="247"/>
      <c r="AO46" s="279"/>
      <c r="AP46" s="222"/>
      <c r="AQ46" s="247"/>
      <c r="AR46" s="247"/>
      <c r="AT46" s="280"/>
    </row>
    <row r="47" ht="15.0" customHeight="1">
      <c r="A47" s="9" t="s">
        <v>286</v>
      </c>
      <c r="B47" s="11"/>
      <c r="C47" s="11"/>
      <c r="F47" s="872"/>
      <c r="G47" s="873"/>
      <c r="P47" s="227"/>
      <c r="AG47" s="2"/>
      <c r="AH47" s="2"/>
      <c r="AI47" s="2"/>
      <c r="AJ47" s="2"/>
      <c r="AK47" s="2"/>
      <c r="AL47" s="2"/>
      <c r="AM47" s="247"/>
      <c r="AN47" s="247"/>
      <c r="AO47" s="279"/>
      <c r="AP47" s="222"/>
      <c r="AQ47" s="247"/>
      <c r="AR47" s="247"/>
      <c r="AT47" s="280"/>
    </row>
    <row r="48" ht="15.0" customHeight="1">
      <c r="A48" s="185" t="s">
        <v>288</v>
      </c>
      <c r="B48" s="340">
        <f>SIZEOF_IN_MIB(PARAMS("B")*PARAMS("S")*PARAMS("L")*(PARAMS("c_kv")+PARAMS("h_rope")), PARAMS("kvcache_dtype"))/1024</f>
        <v>343.125</v>
      </c>
      <c r="C48" s="11"/>
      <c r="F48" s="872"/>
      <c r="G48" s="873"/>
      <c r="P48" s="227"/>
      <c r="AG48" s="2"/>
      <c r="AH48" s="2"/>
      <c r="AI48" s="2"/>
      <c r="AJ48" s="2"/>
      <c r="AK48" s="2"/>
      <c r="AL48" s="2"/>
      <c r="AM48" s="247"/>
      <c r="AN48" s="247"/>
      <c r="AO48" s="279"/>
      <c r="AP48" s="222"/>
      <c r="AQ48" s="247"/>
      <c r="AR48" s="247"/>
      <c r="AT48" s="280"/>
    </row>
    <row r="49" ht="15.0" customHeight="1">
      <c r="A49" s="9" t="s">
        <v>290</v>
      </c>
      <c r="B49" s="356">
        <f>MAX(P92,P111,P130,P149,P168,P187,P206,P225,P244,P260,P298,P345,P411,P430)/1024</f>
        <v>0.01025390625</v>
      </c>
      <c r="C49" s="9"/>
      <c r="F49" s="872"/>
      <c r="G49" s="873"/>
      <c r="P49" s="227"/>
      <c r="AG49" s="2"/>
      <c r="AH49" s="2"/>
      <c r="AI49" s="2"/>
      <c r="AJ49" s="2"/>
      <c r="AK49" s="2"/>
      <c r="AL49" s="2"/>
      <c r="AM49" s="247"/>
      <c r="AN49" s="247"/>
      <c r="AO49" s="279"/>
      <c r="AP49" s="222"/>
      <c r="AQ49" s="247"/>
      <c r="AR49" s="247"/>
      <c r="AT49" s="280"/>
    </row>
    <row r="50" ht="15.0" customHeight="1">
      <c r="A50" s="8" t="s">
        <v>293</v>
      </c>
      <c r="B50" s="359">
        <f>SUM(B45:B48)</f>
        <v>570.5905151</v>
      </c>
      <c r="C50" s="8" t="str">
        <f>"&lt;=" &amp; ($H$27 * PARAMS("num_devices")) &amp; " (Capacity)?"</f>
        <v>&lt;=1516.032 (Capacity)?</v>
      </c>
      <c r="F50" s="872"/>
      <c r="G50" s="873"/>
      <c r="P50" s="227"/>
      <c r="AG50" s="2"/>
      <c r="AH50" s="2"/>
      <c r="AI50" s="2"/>
      <c r="AJ50" s="2"/>
      <c r="AK50" s="2"/>
      <c r="AL50" s="2"/>
      <c r="AM50" s="247"/>
      <c r="AN50" s="247"/>
      <c r="AO50" s="279"/>
      <c r="AP50" s="222"/>
      <c r="AQ50" s="247"/>
      <c r="AR50" s="247"/>
      <c r="AT50" s="280"/>
    </row>
    <row r="51">
      <c r="A51" s="11"/>
      <c r="B51" s="11"/>
      <c r="C51" s="11"/>
      <c r="D51" s="181"/>
      <c r="E51" s="181"/>
      <c r="F51" s="872"/>
      <c r="G51" s="873"/>
      <c r="AM51" s="222"/>
      <c r="AN51" s="218"/>
      <c r="AO51" s="218"/>
      <c r="AP51" s="218"/>
      <c r="AQ51" s="218"/>
      <c r="AR51" s="222"/>
      <c r="AT51" s="280"/>
    </row>
    <row r="52">
      <c r="A52" s="185" t="s">
        <v>294</v>
      </c>
      <c r="B52" s="331">
        <f>SUM(P94,P140,P159,P178,P254,P273) * PARAMS("L") / 1024</f>
        <v>10.62957764</v>
      </c>
      <c r="C52" s="332"/>
      <c r="D52" s="181"/>
      <c r="E52" s="181"/>
      <c r="F52" s="872"/>
      <c r="G52" s="873"/>
      <c r="AM52" s="222"/>
      <c r="AN52" s="218"/>
      <c r="AO52" s="218"/>
      <c r="AP52" s="218"/>
      <c r="AQ52" s="218"/>
      <c r="AR52" s="222"/>
      <c r="AT52" s="280"/>
    </row>
    <row r="53">
      <c r="A53" s="185" t="s">
        <v>295</v>
      </c>
      <c r="B53" s="340">
        <f>SUM(P340,P383) * PARAMS("L") / 1024</f>
        <v>40.03125</v>
      </c>
      <c r="C53" s="332"/>
      <c r="D53" s="181"/>
      <c r="F53" s="872"/>
      <c r="G53" s="873"/>
      <c r="AM53" s="222"/>
      <c r="AN53" s="218"/>
      <c r="AO53" s="218"/>
      <c r="AP53" s="218"/>
      <c r="AQ53" s="218"/>
      <c r="AR53" s="222"/>
      <c r="AT53" s="280"/>
    </row>
    <row r="54">
      <c r="A54" s="9" t="s">
        <v>286</v>
      </c>
      <c r="B54" s="11"/>
      <c r="C54" s="332"/>
      <c r="D54" s="181"/>
      <c r="E54" s="181"/>
      <c r="F54" s="872"/>
      <c r="G54" s="873"/>
      <c r="AM54" s="222"/>
      <c r="AN54" s="218"/>
      <c r="AO54" s="218"/>
      <c r="AP54" s="218"/>
      <c r="AQ54" s="218"/>
      <c r="AR54" s="222"/>
      <c r="AT54" s="280"/>
    </row>
    <row r="55">
      <c r="A55" s="185" t="s">
        <v>297</v>
      </c>
      <c r="B55" s="340">
        <f>B48/PARAMS("num_devices")</f>
        <v>21.4453125</v>
      </c>
      <c r="C55" s="332"/>
      <c r="D55" s="181"/>
      <c r="E55" s="181"/>
      <c r="F55" s="181"/>
      <c r="G55" s="181"/>
      <c r="AM55" s="222"/>
      <c r="AN55" s="218"/>
      <c r="AO55" s="218"/>
      <c r="AP55" s="218"/>
      <c r="AQ55" s="218"/>
      <c r="AR55" s="222"/>
      <c r="AT55" s="280"/>
    </row>
    <row r="56">
      <c r="A56" s="185" t="s">
        <v>298</v>
      </c>
      <c r="B56" s="340">
        <f>MAX(P94,P113,P132,P151,P170,P189,P208,P227,P246,P262,P300,P347,P413,P432)/1024</f>
        <v>0.01025390625</v>
      </c>
      <c r="C56" s="332"/>
      <c r="D56" s="181"/>
      <c r="E56" s="181"/>
      <c r="F56" s="181"/>
      <c r="G56" s="181"/>
      <c r="AM56" s="222"/>
      <c r="AN56" s="218"/>
      <c r="AO56" s="218"/>
      <c r="AP56" s="218"/>
      <c r="AQ56" s="218"/>
      <c r="AR56" s="222"/>
      <c r="AT56" s="280"/>
    </row>
    <row r="57">
      <c r="A57" s="199" t="s">
        <v>299</v>
      </c>
      <c r="B57" s="361">
        <f>SUM(B52:B55)</f>
        <v>72.10614014</v>
      </c>
      <c r="C57" s="362" t="str">
        <f>"&lt;=" &amp; ($H$27) &amp; " (Capacity)?"</f>
        <v>&lt;=94.752 (Capacity)?</v>
      </c>
      <c r="D57" s="181"/>
      <c r="E57" s="181"/>
      <c r="F57" s="181"/>
      <c r="G57" s="181"/>
      <c r="AM57" s="222"/>
      <c r="AN57" s="218"/>
      <c r="AO57" s="218"/>
      <c r="AP57" s="218"/>
      <c r="AQ57" s="218"/>
      <c r="AR57" s="222"/>
      <c r="AT57" s="280"/>
    </row>
    <row r="58">
      <c r="A58" s="281"/>
      <c r="B58" s="281"/>
      <c r="D58" s="181"/>
      <c r="E58" s="181"/>
      <c r="F58" s="181"/>
      <c r="G58" s="181"/>
      <c r="AM58" s="222"/>
      <c r="AN58" s="218"/>
      <c r="AO58" s="218"/>
      <c r="AP58" s="218"/>
      <c r="AQ58" s="218"/>
      <c r="AR58" s="222"/>
      <c r="AT58" s="280"/>
    </row>
    <row r="59">
      <c r="A59" s="281" t="s">
        <v>244</v>
      </c>
      <c r="B59" s="281"/>
      <c r="D59" s="181"/>
      <c r="E59" s="181"/>
      <c r="F59" s="181"/>
      <c r="G59" s="181"/>
      <c r="AM59" s="222"/>
      <c r="AN59" s="218"/>
      <c r="AO59" s="218"/>
      <c r="AP59" s="218"/>
      <c r="AQ59" s="218"/>
      <c r="AR59" s="222"/>
      <c r="AT59" s="280"/>
    </row>
    <row r="60">
      <c r="A60" s="290" t="s">
        <v>245</v>
      </c>
      <c r="B60" s="290" t="s">
        <v>246</v>
      </c>
      <c r="C60" s="290" t="s">
        <v>247</v>
      </c>
      <c r="D60" s="290" t="s">
        <v>248</v>
      </c>
      <c r="E60" s="290" t="s">
        <v>249</v>
      </c>
      <c r="F60" s="290" t="s">
        <v>250</v>
      </c>
      <c r="G60" s="290" t="s">
        <v>251</v>
      </c>
      <c r="H60" s="290" t="s">
        <v>252</v>
      </c>
      <c r="I60" s="875"/>
      <c r="J60" s="290" t="s">
        <v>604</v>
      </c>
      <c r="AG60" s="207"/>
      <c r="AH60" s="207"/>
      <c r="AI60" s="2"/>
      <c r="AJ60" s="2"/>
      <c r="AK60" s="2"/>
      <c r="AL60" s="2"/>
      <c r="AM60" s="247"/>
      <c r="AN60" s="279"/>
      <c r="AO60" s="279"/>
      <c r="AP60" s="292"/>
      <c r="AQ60" s="279"/>
      <c r="AR60" s="247"/>
      <c r="AS60" s="66"/>
      <c r="AT60" s="280"/>
    </row>
    <row r="61">
      <c r="A61" s="293" t="s">
        <v>29</v>
      </c>
      <c r="B61" s="294" t="s">
        <v>255</v>
      </c>
      <c r="C61" s="295">
        <f>$H$132</f>
        <v>0.003713006771</v>
      </c>
      <c r="D61" s="295" t="str">
        <f>$H$130</f>
        <v>#N/A</v>
      </c>
      <c r="E61" s="297"/>
      <c r="F61" s="295">
        <f>H127</f>
        <v>0.04988988241</v>
      </c>
      <c r="G61" s="295" t="str">
        <f t="shared" ref="G61:G64" si="3">max(C61:F61)</f>
        <v>#N/A</v>
      </c>
      <c r="H61" s="297" t="str">
        <f t="shared" ref="H61:H64" si="4">IFS(C61=G61, "HBM", D61=G61, "Compute", E61=G61, "ICI Lt", F61=G61, "ICI BW")</f>
        <v>#N/A</v>
      </c>
      <c r="I61" s="808"/>
      <c r="J61" s="876" t="str">
        <f t="shared" ref="J61:J66" si="5">G61/$G$76</f>
        <v>#N/A</v>
      </c>
      <c r="P61" s="877"/>
      <c r="AG61" s="2"/>
      <c r="AH61" s="2"/>
      <c r="AI61" s="207"/>
      <c r="AJ61" s="2"/>
      <c r="AK61" s="2"/>
      <c r="AL61" s="2"/>
      <c r="AM61" s="247"/>
      <c r="AN61" s="218"/>
      <c r="AO61" s="218"/>
      <c r="AP61" s="218"/>
      <c r="AQ61" s="218"/>
      <c r="AR61" s="247"/>
      <c r="AT61" s="280"/>
    </row>
    <row r="62">
      <c r="A62" s="293" t="s">
        <v>29</v>
      </c>
      <c r="B62" s="294" t="s">
        <v>32</v>
      </c>
      <c r="C62" s="295">
        <f>$H$151</f>
        <v>0.01304767267</v>
      </c>
      <c r="D62" s="295" t="str">
        <f>$H$149</f>
        <v>#N/A</v>
      </c>
      <c r="E62" s="297"/>
      <c r="F62" s="295"/>
      <c r="G62" s="295" t="str">
        <f t="shared" si="3"/>
        <v>#N/A</v>
      </c>
      <c r="H62" s="297" t="str">
        <f t="shared" si="4"/>
        <v>#N/A</v>
      </c>
      <c r="I62" s="808"/>
      <c r="J62" s="876" t="str">
        <f t="shared" si="5"/>
        <v>#N/A</v>
      </c>
      <c r="P62" s="878"/>
      <c r="AG62" s="2"/>
      <c r="AH62" s="2"/>
      <c r="AI62" s="2"/>
      <c r="AJ62" s="2"/>
      <c r="AK62" s="2"/>
      <c r="AL62" s="2"/>
      <c r="AM62" s="247"/>
      <c r="AN62" s="247"/>
      <c r="AO62" s="279"/>
      <c r="AP62" s="222"/>
      <c r="AQ62" s="247"/>
      <c r="AR62" s="247"/>
      <c r="AT62" s="280"/>
    </row>
    <row r="63">
      <c r="A63" s="293" t="s">
        <v>29</v>
      </c>
      <c r="B63" s="294" t="s">
        <v>34</v>
      </c>
      <c r="C63" s="295">
        <f>$H$170</f>
        <v>0.0056738081</v>
      </c>
      <c r="D63" s="295" t="str">
        <f>$H$168</f>
        <v>#N/A</v>
      </c>
      <c r="E63" s="297"/>
      <c r="F63" s="295"/>
      <c r="G63" s="295" t="str">
        <f t="shared" si="3"/>
        <v>#N/A</v>
      </c>
      <c r="H63" s="297" t="str">
        <f t="shared" si="4"/>
        <v>#N/A</v>
      </c>
      <c r="I63" s="808"/>
      <c r="J63" s="876" t="str">
        <f t="shared" si="5"/>
        <v>#N/A</v>
      </c>
      <c r="P63" s="878"/>
      <c r="AG63" s="2"/>
      <c r="AH63" s="2"/>
      <c r="AI63" s="2"/>
      <c r="AJ63" s="2"/>
      <c r="AK63" s="2"/>
      <c r="AL63" s="2"/>
      <c r="AM63" s="247"/>
      <c r="AN63" s="218"/>
      <c r="AO63" s="218"/>
      <c r="AP63" s="218"/>
      <c r="AQ63" s="218"/>
      <c r="AR63" s="247"/>
      <c r="AT63" s="280"/>
    </row>
    <row r="64">
      <c r="A64" s="293" t="s">
        <v>29</v>
      </c>
      <c r="B64" s="294" t="s">
        <v>256</v>
      </c>
      <c r="C64" s="295">
        <f>$H$189</f>
        <v>0.001483638239</v>
      </c>
      <c r="D64" s="295" t="str">
        <f>$H$187</f>
        <v>#N/A</v>
      </c>
      <c r="E64" s="297"/>
      <c r="F64" s="295"/>
      <c r="G64" s="295" t="str">
        <f t="shared" si="3"/>
        <v>#N/A</v>
      </c>
      <c r="H64" s="297" t="str">
        <f t="shared" si="4"/>
        <v>#N/A</v>
      </c>
      <c r="I64" s="808"/>
      <c r="J64" s="876" t="str">
        <f t="shared" si="5"/>
        <v>#N/A</v>
      </c>
      <c r="P64" s="878"/>
      <c r="AM64" s="222"/>
      <c r="AO64" s="222"/>
      <c r="AP64" s="222"/>
      <c r="AQ64" s="222"/>
      <c r="AR64" s="247"/>
      <c r="AS64" s="66"/>
      <c r="AT64" s="280"/>
    </row>
    <row r="65">
      <c r="A65" s="293" t="s">
        <v>29</v>
      </c>
      <c r="B65" s="302" t="s">
        <v>258</v>
      </c>
      <c r="C65" s="295">
        <f t="shared" ref="C65:D65" si="6">SUM(C67:C69)</f>
        <v>0.1258250384</v>
      </c>
      <c r="D65" s="295" t="str">
        <f t="shared" si="6"/>
        <v>#N/A</v>
      </c>
      <c r="E65" s="297"/>
      <c r="F65" s="295"/>
      <c r="G65" s="295" t="str">
        <f>IF(PARAMS("flash_attn"),MAX(C65:F65),0)</f>
        <v>#N/A</v>
      </c>
      <c r="H65" s="297" t="str">
        <f>IFS(G65=0,"",C65=G65, "HBM", D65=G65, "Compute", E65=G65, "ICI Lt", F65=G65, "ICI BW")</f>
        <v>#N/A</v>
      </c>
      <c r="I65" s="808"/>
      <c r="J65" s="876" t="str">
        <f t="shared" si="5"/>
        <v>#N/A</v>
      </c>
      <c r="P65" s="878"/>
      <c r="R65" s="203"/>
      <c r="S65" s="203"/>
      <c r="T65" s="203"/>
      <c r="U65" s="203"/>
      <c r="V65" s="203"/>
      <c r="W65" s="2"/>
      <c r="AM65" s="222"/>
      <c r="AO65" s="218"/>
      <c r="AP65" s="218"/>
      <c r="AQ65" s="218"/>
      <c r="AR65" s="247"/>
      <c r="AT65" s="280"/>
    </row>
    <row r="66">
      <c r="A66" s="293" t="s">
        <v>29</v>
      </c>
      <c r="B66" s="302" t="s">
        <v>259</v>
      </c>
      <c r="C66" s="295"/>
      <c r="D66" s="295"/>
      <c r="E66" s="297"/>
      <c r="F66" s="295"/>
      <c r="G66" s="295">
        <f>IF(PARAMS("flash_attn"),0,SUM(G67:G69))</f>
        <v>0</v>
      </c>
      <c r="H66" s="297"/>
      <c r="I66" s="808"/>
      <c r="J66" s="876" t="str">
        <f t="shared" si="5"/>
        <v>#N/A</v>
      </c>
      <c r="P66" s="878"/>
      <c r="R66" s="203"/>
      <c r="S66" s="203"/>
      <c r="T66" s="203"/>
      <c r="U66" s="203"/>
      <c r="V66" s="203"/>
      <c r="W66" s="2"/>
      <c r="AM66" s="222"/>
      <c r="AO66" s="218"/>
      <c r="AP66" s="218"/>
      <c r="AQ66" s="218"/>
      <c r="AR66" s="247"/>
      <c r="AT66" s="280"/>
    </row>
    <row r="67">
      <c r="A67" s="293" t="s">
        <v>29</v>
      </c>
      <c r="B67" s="294" t="s">
        <v>640</v>
      </c>
      <c r="C67" s="295">
        <f>$H$208</f>
        <v>0.109471121</v>
      </c>
      <c r="D67" s="295" t="str">
        <f>$H$206</f>
        <v>#N/A</v>
      </c>
      <c r="E67" s="297"/>
      <c r="F67" s="295"/>
      <c r="G67" s="295" t="str">
        <f t="shared" ref="G67:G75" si="7">max(C67:F67)</f>
        <v>#N/A</v>
      </c>
      <c r="H67" s="297" t="str">
        <f t="shared" ref="H67:H75" si="8">IFS(C67=G67, "HBM", D67=G67, "Compute", E67=G67, "ICI Lt", F67=G67, "ICI BW")</f>
        <v>#N/A</v>
      </c>
      <c r="I67" s="808"/>
      <c r="J67" s="876"/>
      <c r="P67" s="878"/>
      <c r="R67" s="203"/>
      <c r="S67" s="203"/>
      <c r="T67" s="203"/>
      <c r="U67" s="203"/>
      <c r="V67" s="203"/>
      <c r="W67" s="2"/>
      <c r="AM67" s="222"/>
      <c r="AO67" s="218"/>
      <c r="AP67" s="218"/>
      <c r="AQ67" s="218"/>
      <c r="AR67" s="247"/>
      <c r="AT67" s="280"/>
    </row>
    <row r="68">
      <c r="A68" s="293" t="s">
        <v>29</v>
      </c>
      <c r="B68" s="294" t="s">
        <v>641</v>
      </c>
      <c r="C68" s="295">
        <f>$H$227</f>
        <v>0.01368389012</v>
      </c>
      <c r="D68" s="295" t="str">
        <f>$H$225</f>
        <v>#N/A</v>
      </c>
      <c r="E68" s="297"/>
      <c r="F68" s="295"/>
      <c r="G68" s="295" t="str">
        <f t="shared" si="7"/>
        <v>#N/A</v>
      </c>
      <c r="H68" s="297" t="str">
        <f t="shared" si="8"/>
        <v>#N/A</v>
      </c>
      <c r="I68" s="808"/>
      <c r="J68" s="876"/>
      <c r="P68" s="878"/>
      <c r="R68" s="303"/>
      <c r="S68" s="303"/>
      <c r="T68" s="303"/>
      <c r="U68" s="303"/>
      <c r="V68" s="303"/>
      <c r="W68" s="2"/>
      <c r="AM68" s="222"/>
      <c r="AN68" s="218"/>
      <c r="AO68" s="222"/>
      <c r="AP68" s="222"/>
      <c r="AQ68" s="218"/>
      <c r="AR68" s="247"/>
      <c r="AT68" s="280"/>
    </row>
    <row r="69">
      <c r="A69" s="293" t="s">
        <v>29</v>
      </c>
      <c r="B69" s="294" t="s">
        <v>642</v>
      </c>
      <c r="C69" s="295">
        <f>$H$246</f>
        <v>0.002670027341</v>
      </c>
      <c r="D69" s="295" t="str">
        <f>$H$244</f>
        <v>#N/A</v>
      </c>
      <c r="E69" s="297"/>
      <c r="F69" s="295"/>
      <c r="G69" s="295" t="str">
        <f t="shared" si="7"/>
        <v>#N/A</v>
      </c>
      <c r="H69" s="297" t="str">
        <f t="shared" si="8"/>
        <v>#N/A</v>
      </c>
      <c r="I69" s="808"/>
      <c r="J69" s="876"/>
      <c r="P69" s="878"/>
      <c r="R69" s="303"/>
      <c r="S69" s="303"/>
      <c r="T69" s="303"/>
      <c r="U69" s="303"/>
      <c r="V69" s="303"/>
      <c r="W69" s="2"/>
      <c r="AM69" s="222"/>
      <c r="AN69" s="218"/>
      <c r="AO69" s="218"/>
      <c r="AP69" s="218"/>
      <c r="AQ69" s="218"/>
      <c r="AR69" s="247"/>
      <c r="AT69" s="280"/>
    </row>
    <row r="70">
      <c r="A70" s="293" t="s">
        <v>29</v>
      </c>
      <c r="B70" s="294" t="s">
        <v>38</v>
      </c>
      <c r="C70" s="295">
        <f>H265</f>
        <v>0.004672547847</v>
      </c>
      <c r="D70" s="295" t="str">
        <f>H263</f>
        <v>#N/A</v>
      </c>
      <c r="E70" s="297"/>
      <c r="F70" s="295"/>
      <c r="G70" s="295" t="str">
        <f t="shared" si="7"/>
        <v>#N/A</v>
      </c>
      <c r="H70" s="297" t="str">
        <f t="shared" si="8"/>
        <v>#N/A</v>
      </c>
      <c r="I70" s="808"/>
      <c r="J70" s="876" t="str">
        <f t="shared" ref="J70:J76" si="9">G70/$G$76</f>
        <v>#N/A</v>
      </c>
      <c r="P70" s="878"/>
      <c r="R70" s="303"/>
      <c r="S70" s="303"/>
      <c r="T70" s="303"/>
      <c r="U70" s="303"/>
      <c r="V70" s="303"/>
      <c r="W70" s="304"/>
      <c r="AK70" s="280"/>
      <c r="AM70" s="222"/>
      <c r="AN70" s="218"/>
      <c r="AO70" s="218"/>
      <c r="AP70" s="218"/>
      <c r="AQ70" s="218"/>
      <c r="AR70" s="247"/>
      <c r="AT70" s="280"/>
    </row>
    <row r="71">
      <c r="A71" s="293" t="s">
        <v>29</v>
      </c>
      <c r="B71" s="294" t="s">
        <v>40</v>
      </c>
      <c r="C71" s="295">
        <f>H284</f>
        <v>0.03800617043</v>
      </c>
      <c r="D71" s="295" t="str">
        <f>H282</f>
        <v>#N/A</v>
      </c>
      <c r="E71" s="297"/>
      <c r="F71" s="295"/>
      <c r="G71" s="295" t="str">
        <f t="shared" si="7"/>
        <v>#N/A</v>
      </c>
      <c r="H71" s="297" t="str">
        <f t="shared" si="8"/>
        <v>#N/A</v>
      </c>
      <c r="I71" s="808"/>
      <c r="J71" s="876" t="str">
        <f t="shared" si="9"/>
        <v>#N/A</v>
      </c>
      <c r="P71" s="878"/>
      <c r="R71" s="303"/>
      <c r="S71" s="303"/>
      <c r="T71" s="303"/>
      <c r="U71" s="305"/>
      <c r="V71" s="305"/>
      <c r="W71" s="2"/>
      <c r="AK71" s="306"/>
      <c r="AL71" s="307"/>
      <c r="AM71" s="247"/>
      <c r="AN71" s="218"/>
      <c r="AO71" s="218"/>
      <c r="AP71" s="218"/>
      <c r="AQ71" s="218"/>
      <c r="AR71" s="247"/>
      <c r="AT71" s="280"/>
    </row>
    <row r="72">
      <c r="A72" s="293" t="s">
        <v>264</v>
      </c>
      <c r="B72" s="308" t="s">
        <v>44</v>
      </c>
      <c r="C72" s="295"/>
      <c r="D72" s="295"/>
      <c r="E72" s="297"/>
      <c r="F72" s="295">
        <f>$H$332</f>
        <v>0.02563476563</v>
      </c>
      <c r="G72" s="295">
        <f t="shared" si="7"/>
        <v>0.02563476563</v>
      </c>
      <c r="H72" s="297" t="str">
        <f t="shared" si="8"/>
        <v>ICI BW</v>
      </c>
      <c r="I72" s="808"/>
      <c r="J72" s="876" t="str">
        <f t="shared" si="9"/>
        <v>#N/A</v>
      </c>
      <c r="P72" s="878"/>
      <c r="R72" s="2"/>
      <c r="S72" s="2"/>
      <c r="T72" s="2"/>
      <c r="U72" s="2"/>
      <c r="V72" s="2"/>
      <c r="W72" s="2"/>
      <c r="AM72" s="222"/>
      <c r="AN72" s="218"/>
      <c r="AO72" s="222"/>
      <c r="AP72" s="222"/>
      <c r="AQ72" s="272"/>
      <c r="AR72" s="222"/>
    </row>
    <row r="73">
      <c r="A73" s="293" t="s">
        <v>264</v>
      </c>
      <c r="B73" s="308" t="s">
        <v>46</v>
      </c>
      <c r="C73" s="295">
        <f>$H$375</f>
        <v>0.1602016405</v>
      </c>
      <c r="D73" s="295" t="str">
        <f>$H$373</f>
        <v>#N/A</v>
      </c>
      <c r="E73" s="297"/>
      <c r="F73" s="295">
        <f>$H$370</f>
        <v>0.009765625</v>
      </c>
      <c r="G73" s="295" t="str">
        <f t="shared" si="7"/>
        <v>#N/A</v>
      </c>
      <c r="H73" s="297" t="str">
        <f t="shared" si="8"/>
        <v>#N/A</v>
      </c>
      <c r="I73" s="808"/>
      <c r="J73" s="876" t="str">
        <f t="shared" si="9"/>
        <v>#N/A</v>
      </c>
      <c r="P73" s="878"/>
      <c r="R73" s="2"/>
      <c r="S73" s="2"/>
      <c r="T73" s="2"/>
      <c r="U73" s="2"/>
      <c r="V73" s="2"/>
      <c r="W73" s="309"/>
      <c r="AM73" s="222"/>
      <c r="AN73" s="218"/>
      <c r="AO73" s="218"/>
      <c r="AP73" s="218"/>
      <c r="AQ73" s="218"/>
      <c r="AR73" s="222"/>
      <c r="AT73" s="228"/>
    </row>
    <row r="74">
      <c r="A74" s="293" t="s">
        <v>264</v>
      </c>
      <c r="B74" s="308" t="s">
        <v>48</v>
      </c>
      <c r="C74" s="295">
        <f>$H$405</f>
        <v>0.09411846377</v>
      </c>
      <c r="D74" s="295" t="str">
        <f>$H$403</f>
        <v>#N/A</v>
      </c>
      <c r="E74" s="297"/>
      <c r="F74" s="295">
        <f>$H$400</f>
        <v>0</v>
      </c>
      <c r="G74" s="295" t="str">
        <f t="shared" si="7"/>
        <v>#N/A</v>
      </c>
      <c r="H74" s="297" t="str">
        <f t="shared" si="8"/>
        <v>#N/A</v>
      </c>
      <c r="I74" s="808"/>
      <c r="J74" s="876" t="str">
        <f t="shared" si="9"/>
        <v>#N/A</v>
      </c>
      <c r="P74" s="878"/>
      <c r="R74" s="2"/>
      <c r="S74" s="2"/>
      <c r="T74" s="2"/>
      <c r="U74" s="2"/>
      <c r="V74" s="2"/>
      <c r="W74" s="309"/>
      <c r="AM74" s="222"/>
      <c r="AN74" s="218"/>
      <c r="AO74" s="218"/>
      <c r="AP74" s="222"/>
      <c r="AQ74" s="222"/>
      <c r="AR74" s="222"/>
    </row>
    <row r="75">
      <c r="A75" s="293" t="s">
        <v>264</v>
      </c>
      <c r="B75" s="308" t="s">
        <v>52</v>
      </c>
      <c r="C75" s="295"/>
      <c r="D75" s="295"/>
      <c r="E75" s="297"/>
      <c r="F75" s="295">
        <f>$H$442</f>
        <v>0.0498453776</v>
      </c>
      <c r="G75" s="295">
        <f t="shared" si="7"/>
        <v>0.0498453776</v>
      </c>
      <c r="H75" s="297" t="str">
        <f t="shared" si="8"/>
        <v>ICI BW</v>
      </c>
      <c r="I75" s="808"/>
      <c r="J75" s="876" t="str">
        <f t="shared" si="9"/>
        <v>#N/A</v>
      </c>
      <c r="P75" s="878"/>
      <c r="AM75" s="222"/>
      <c r="AN75" s="218"/>
      <c r="AO75" s="218"/>
      <c r="AP75" s="218"/>
      <c r="AQ75" s="218"/>
      <c r="AR75" s="222"/>
      <c r="AT75" s="280"/>
    </row>
    <row r="76">
      <c r="A76" s="310"/>
      <c r="B76" s="311"/>
      <c r="C76" s="311"/>
      <c r="D76" s="311"/>
      <c r="E76" s="310" t="s">
        <v>265</v>
      </c>
      <c r="F76" s="312" t="s">
        <v>121</v>
      </c>
      <c r="G76" s="311" t="str">
        <f>SUM(G61:G66,G70:G75)</f>
        <v>#N/A</v>
      </c>
      <c r="H76" s="311"/>
      <c r="I76" s="314"/>
      <c r="J76" s="315" t="str">
        <f t="shared" si="9"/>
        <v>#N/A</v>
      </c>
      <c r="P76" s="878"/>
      <c r="AG76" s="207"/>
      <c r="AH76" s="207"/>
      <c r="AI76" s="2"/>
      <c r="AJ76" s="2"/>
      <c r="AK76" s="2"/>
      <c r="AL76" s="2"/>
      <c r="AM76" s="247"/>
      <c r="AN76" s="279"/>
      <c r="AO76" s="279"/>
      <c r="AP76" s="292"/>
      <c r="AQ76" s="279"/>
      <c r="AR76" s="247"/>
      <c r="AT76" s="280"/>
    </row>
    <row r="77">
      <c r="A77" s="316"/>
      <c r="B77" s="311"/>
      <c r="C77" s="311"/>
      <c r="D77" s="311"/>
      <c r="E77" s="316"/>
      <c r="F77" s="312" t="s">
        <v>266</v>
      </c>
      <c r="G77" s="879" t="str">
        <f>SUM(G61:G66,G70:G71)+MAX(G72:G73)+MAX(G74:G75)</f>
        <v>#N/A</v>
      </c>
      <c r="H77" s="311"/>
      <c r="I77" s="314"/>
      <c r="J77" s="315"/>
      <c r="P77" s="878"/>
      <c r="AG77" s="207"/>
      <c r="AH77" s="207"/>
      <c r="AI77" s="2"/>
      <c r="AJ77" s="2"/>
      <c r="AK77" s="2"/>
      <c r="AL77" s="2"/>
      <c r="AM77" s="247"/>
      <c r="AN77" s="279"/>
      <c r="AO77" s="279"/>
      <c r="AP77" s="292"/>
      <c r="AQ77" s="279"/>
      <c r="AR77" s="247"/>
      <c r="AT77" s="280"/>
    </row>
    <row r="78">
      <c r="A78" s="318" t="s">
        <v>267</v>
      </c>
      <c r="B78" s="319"/>
      <c r="C78" s="319"/>
      <c r="D78" s="319"/>
      <c r="E78" s="318" t="s">
        <v>268</v>
      </c>
      <c r="F78" s="320" t="s">
        <v>121</v>
      </c>
      <c r="G78" s="880" t="str">
        <f>IF(F78=F76,G76,G77)</f>
        <v>#N/A</v>
      </c>
      <c r="H78" s="319"/>
      <c r="I78" s="322"/>
      <c r="J78" s="322"/>
      <c r="P78" s="881"/>
      <c r="AG78" s="2"/>
      <c r="AH78" s="2"/>
      <c r="AI78" s="2"/>
      <c r="AJ78" s="2"/>
      <c r="AK78" s="2"/>
      <c r="AL78" s="2"/>
      <c r="AM78" s="247"/>
      <c r="AN78" s="247"/>
      <c r="AO78" s="279"/>
      <c r="AP78" s="222"/>
      <c r="AQ78" s="247"/>
      <c r="AR78" s="247"/>
      <c r="AT78" s="280"/>
    </row>
    <row r="79" ht="15.0" customHeight="1">
      <c r="P79" s="227"/>
      <c r="AG79" s="2"/>
      <c r="AH79" s="2"/>
      <c r="AI79" s="2"/>
      <c r="AJ79" s="2"/>
      <c r="AK79" s="2"/>
      <c r="AL79" s="2"/>
      <c r="AM79" s="247"/>
      <c r="AN79" s="247"/>
      <c r="AO79" s="279"/>
      <c r="AP79" s="222"/>
      <c r="AQ79" s="247"/>
      <c r="AR79" s="247"/>
      <c r="AT79" s="280"/>
    </row>
    <row r="80">
      <c r="P80" s="227"/>
      <c r="AG80" s="2"/>
      <c r="AH80" s="2"/>
      <c r="AI80" s="2"/>
      <c r="AJ80" s="2"/>
      <c r="AK80" s="2"/>
      <c r="AL80" s="2"/>
      <c r="AM80" s="247"/>
      <c r="AN80" s="247"/>
      <c r="AO80" s="279"/>
      <c r="AP80" s="222"/>
      <c r="AQ80" s="247"/>
      <c r="AR80" s="247"/>
      <c r="AT80" s="280"/>
    </row>
    <row r="81">
      <c r="E81" s="281" t="s">
        <v>270</v>
      </c>
      <c r="P81" s="227"/>
      <c r="AG81" s="2"/>
      <c r="AH81" s="2"/>
      <c r="AI81" s="2"/>
      <c r="AJ81" s="2"/>
      <c r="AK81" s="2"/>
      <c r="AL81" s="2"/>
      <c r="AM81" s="247"/>
      <c r="AN81" s="218"/>
      <c r="AO81" s="218"/>
      <c r="AP81" s="218"/>
      <c r="AQ81" s="218"/>
      <c r="AR81" s="247"/>
      <c r="AT81" s="280"/>
    </row>
    <row r="82">
      <c r="A82" s="207"/>
      <c r="B82" s="2"/>
      <c r="C82" s="2"/>
      <c r="E82" s="324" t="s">
        <v>272</v>
      </c>
      <c r="F82" s="325" t="s">
        <v>273</v>
      </c>
      <c r="G82" s="326"/>
      <c r="H82" s="327"/>
      <c r="I82" s="325" t="s">
        <v>274</v>
      </c>
      <c r="J82" s="326"/>
      <c r="K82" s="326"/>
      <c r="L82" s="326"/>
      <c r="M82" s="326"/>
      <c r="N82" s="327"/>
      <c r="O82" s="328" t="s">
        <v>275</v>
      </c>
      <c r="P82" s="329" t="s">
        <v>276</v>
      </c>
      <c r="Q82" s="330" t="s">
        <v>277</v>
      </c>
      <c r="AM82" s="222"/>
      <c r="AO82" s="222"/>
      <c r="AP82" s="222"/>
      <c r="AQ82" s="222"/>
      <c r="AR82" s="247"/>
      <c r="AT82" s="280"/>
    </row>
    <row r="83">
      <c r="A83" s="207"/>
      <c r="B83" s="2"/>
      <c r="C83" s="2"/>
      <c r="D83" s="2"/>
      <c r="E83" s="333" t="s">
        <v>279</v>
      </c>
      <c r="F83" s="334" t="s">
        <v>280</v>
      </c>
      <c r="G83" s="335"/>
      <c r="H83" s="336" t="s">
        <v>281</v>
      </c>
      <c r="I83" s="336" t="s">
        <v>282</v>
      </c>
      <c r="J83" s="336"/>
      <c r="K83" s="337" t="s">
        <v>104</v>
      </c>
      <c r="L83" s="337" t="s">
        <v>102</v>
      </c>
      <c r="M83" s="336" t="s">
        <v>178</v>
      </c>
      <c r="N83" s="336" t="s">
        <v>283</v>
      </c>
      <c r="O83" s="338" t="s">
        <v>125</v>
      </c>
      <c r="P83" s="339"/>
      <c r="Q83" s="337" t="b">
        <v>0</v>
      </c>
      <c r="AM83" s="222"/>
      <c r="AO83" s="218"/>
      <c r="AP83" s="218"/>
      <c r="AQ83" s="218"/>
      <c r="AR83" s="247"/>
      <c r="AT83" s="280"/>
    </row>
    <row r="84">
      <c r="A84" s="207"/>
      <c r="B84" s="2"/>
      <c r="C84" s="2"/>
      <c r="D84" s="2"/>
      <c r="E84" s="341"/>
      <c r="F84" s="342"/>
      <c r="G84" s="343"/>
      <c r="H84" s="344" t="s">
        <v>285</v>
      </c>
      <c r="I84" s="345" t="s">
        <v>282</v>
      </c>
      <c r="J84" s="346"/>
      <c r="K84" s="345">
        <f t="shared" ref="K84:M84" si="10">PARAMS(K83)</f>
        <v>1024</v>
      </c>
      <c r="L84" s="345">
        <f t="shared" si="10"/>
        <v>1</v>
      </c>
      <c r="M84" s="345">
        <f t="shared" si="10"/>
        <v>7168</v>
      </c>
      <c r="N84" s="345" t="s">
        <v>283</v>
      </c>
      <c r="O84" s="347"/>
      <c r="P84" s="348">
        <f>SIZEOF_IN_MIB(J84:M84, $O83)</f>
        <v>7</v>
      </c>
      <c r="Q84" s="344" t="b">
        <v>0</v>
      </c>
      <c r="AM84" s="222"/>
      <c r="AN84" s="218"/>
      <c r="AO84" s="222"/>
      <c r="AP84" s="222"/>
      <c r="AQ84" s="218"/>
      <c r="AR84" s="247"/>
      <c r="AT84" s="280"/>
    </row>
    <row r="85">
      <c r="A85" s="207"/>
      <c r="B85" s="2"/>
      <c r="C85" s="2"/>
      <c r="D85" s="2"/>
      <c r="E85" s="341"/>
      <c r="F85" s="342"/>
      <c r="G85" s="343"/>
      <c r="H85" s="349" t="s">
        <v>287</v>
      </c>
      <c r="I85" s="349" t="s">
        <v>282</v>
      </c>
      <c r="J85" s="336"/>
      <c r="K85" s="337" t="s">
        <v>96</v>
      </c>
      <c r="L85" s="337"/>
      <c r="M85" s="337" t="s">
        <v>97</v>
      </c>
      <c r="N85" s="349" t="s">
        <v>283</v>
      </c>
      <c r="O85" s="350"/>
      <c r="P85" s="351"/>
      <c r="Q85" s="337" t="b">
        <v>0</v>
      </c>
      <c r="AM85" s="222"/>
      <c r="AN85" s="218"/>
      <c r="AO85" s="218"/>
      <c r="AP85" s="218"/>
      <c r="AQ85" s="218"/>
      <c r="AR85" s="247"/>
      <c r="AT85" s="280"/>
    </row>
    <row r="86">
      <c r="A86" s="207"/>
      <c r="B86" s="2"/>
      <c r="C86" s="2"/>
      <c r="D86" s="2"/>
      <c r="E86" s="352"/>
      <c r="F86" s="353"/>
      <c r="G86" s="354"/>
      <c r="H86" s="344" t="s">
        <v>289</v>
      </c>
      <c r="I86" s="346" t="s">
        <v>282</v>
      </c>
      <c r="J86" s="345"/>
      <c r="K86" s="346">
        <f t="shared" ref="K86:M86" si="11">K84/SHARDING(K85)</f>
        <v>128</v>
      </c>
      <c r="L86" s="346">
        <f t="shared" si="11"/>
        <v>1</v>
      </c>
      <c r="M86" s="346">
        <f t="shared" si="11"/>
        <v>3584</v>
      </c>
      <c r="N86" s="346" t="s">
        <v>283</v>
      </c>
      <c r="O86" s="355"/>
      <c r="P86" s="348">
        <f>SIZEOF_IN_MIB(J86:M86, $O83)</f>
        <v>0.4375</v>
      </c>
      <c r="Q86" s="344" t="b">
        <v>0</v>
      </c>
      <c r="AG86" s="181"/>
      <c r="AK86" s="280"/>
      <c r="AM86" s="222"/>
      <c r="AN86" s="218"/>
      <c r="AO86" s="218"/>
      <c r="AP86" s="218"/>
      <c r="AQ86" s="218"/>
      <c r="AR86" s="247"/>
      <c r="AT86" s="280"/>
    </row>
    <row r="87">
      <c r="A87" s="207"/>
      <c r="B87" s="2"/>
      <c r="C87" s="2"/>
      <c r="D87" s="2"/>
      <c r="E87" s="333" t="s">
        <v>291</v>
      </c>
      <c r="F87" s="357" t="s">
        <v>292</v>
      </c>
      <c r="G87" s="335"/>
      <c r="H87" s="336" t="s">
        <v>281</v>
      </c>
      <c r="I87" s="336" t="s">
        <v>282</v>
      </c>
      <c r="J87" s="336"/>
      <c r="K87" s="337" t="s">
        <v>104</v>
      </c>
      <c r="L87" s="337" t="s">
        <v>102</v>
      </c>
      <c r="M87" s="358" t="s">
        <v>178</v>
      </c>
      <c r="N87" s="336" t="s">
        <v>283</v>
      </c>
      <c r="O87" s="338" t="s">
        <v>125</v>
      </c>
      <c r="P87" s="339"/>
      <c r="Q87" s="338" t="b">
        <v>0</v>
      </c>
      <c r="AG87" s="181"/>
      <c r="AK87" s="306"/>
      <c r="AL87" s="307"/>
      <c r="AM87" s="247"/>
      <c r="AN87" s="218"/>
      <c r="AO87" s="218"/>
      <c r="AP87" s="218"/>
      <c r="AQ87" s="218"/>
      <c r="AR87" s="247"/>
      <c r="AT87" s="280"/>
    </row>
    <row r="88">
      <c r="A88" s="2"/>
      <c r="B88" s="2"/>
      <c r="C88" s="2"/>
      <c r="D88" s="2"/>
      <c r="E88" s="341"/>
      <c r="F88" s="342"/>
      <c r="G88" s="343"/>
      <c r="H88" s="344" t="s">
        <v>285</v>
      </c>
      <c r="I88" s="345" t="s">
        <v>282</v>
      </c>
      <c r="J88" s="346"/>
      <c r="K88" s="345">
        <f t="shared" ref="K88:M88" si="12">PARAMS(K87)</f>
        <v>1024</v>
      </c>
      <c r="L88" s="345">
        <f t="shared" si="12"/>
        <v>1</v>
      </c>
      <c r="M88" s="345">
        <f t="shared" si="12"/>
        <v>7168</v>
      </c>
      <c r="N88" s="345" t="s">
        <v>283</v>
      </c>
      <c r="O88" s="347"/>
      <c r="P88" s="348">
        <f>SIZEOF_IN_MIB(J88:M88, $O87)</f>
        <v>7</v>
      </c>
      <c r="Q88" s="347"/>
      <c r="AG88" s="181"/>
      <c r="AM88" s="2"/>
      <c r="AR88" s="2"/>
    </row>
    <row r="89">
      <c r="A89" s="161"/>
      <c r="B89" s="161"/>
      <c r="C89" s="161"/>
      <c r="D89" s="161"/>
      <c r="E89" s="341"/>
      <c r="F89" s="342"/>
      <c r="G89" s="343"/>
      <c r="H89" s="349" t="s">
        <v>287</v>
      </c>
      <c r="I89" s="349" t="s">
        <v>282</v>
      </c>
      <c r="J89" s="336"/>
      <c r="K89" s="337" t="s">
        <v>196</v>
      </c>
      <c r="L89" s="337"/>
      <c r="M89" s="349"/>
      <c r="N89" s="349" t="s">
        <v>283</v>
      </c>
      <c r="O89" s="350"/>
      <c r="P89" s="351"/>
      <c r="Q89" s="350"/>
    </row>
    <row r="90">
      <c r="A90" s="161"/>
      <c r="B90" s="161"/>
      <c r="C90" s="161"/>
      <c r="D90" s="161"/>
      <c r="E90" s="341"/>
      <c r="F90" s="353"/>
      <c r="G90" s="354"/>
      <c r="H90" s="344" t="s">
        <v>289</v>
      </c>
      <c r="I90" s="346" t="s">
        <v>282</v>
      </c>
      <c r="J90" s="345"/>
      <c r="K90" s="346">
        <f t="shared" ref="K90:M90" si="13">K88/SHARDING(K89)</f>
        <v>64</v>
      </c>
      <c r="L90" s="346">
        <f t="shared" si="13"/>
        <v>1</v>
      </c>
      <c r="M90" s="346">
        <f t="shared" si="13"/>
        <v>7168</v>
      </c>
      <c r="N90" s="346" t="s">
        <v>283</v>
      </c>
      <c r="O90" s="355"/>
      <c r="P90" s="348">
        <f>SIZEOF_IN_MIB(J90:M90, $O87)</f>
        <v>0.4375</v>
      </c>
      <c r="Q90" s="355"/>
      <c r="AG90" s="181"/>
    </row>
    <row r="91">
      <c r="A91" s="161"/>
      <c r="B91" s="161"/>
      <c r="C91" s="161"/>
      <c r="D91" s="161"/>
      <c r="E91" s="341"/>
      <c r="F91" s="334" t="s">
        <v>296</v>
      </c>
      <c r="G91" s="335"/>
      <c r="H91" s="349" t="s">
        <v>281</v>
      </c>
      <c r="I91" s="349" t="s">
        <v>282</v>
      </c>
      <c r="J91" s="336"/>
      <c r="K91" s="336"/>
      <c r="L91" s="360" t="s">
        <v>178</v>
      </c>
      <c r="M91" s="337" t="s">
        <v>195</v>
      </c>
      <c r="N91" s="349" t="s">
        <v>283</v>
      </c>
      <c r="O91" s="338" t="s">
        <v>125</v>
      </c>
      <c r="P91" s="351"/>
      <c r="Q91" s="338" t="b">
        <v>0</v>
      </c>
      <c r="AP91" s="218"/>
      <c r="AQ91" s="218"/>
      <c r="AT91" s="228"/>
    </row>
    <row r="92">
      <c r="A92" s="161"/>
      <c r="B92" s="161"/>
      <c r="C92" s="161"/>
      <c r="D92" s="161"/>
      <c r="E92" s="341"/>
      <c r="F92" s="342"/>
      <c r="G92" s="343"/>
      <c r="H92" s="344" t="s">
        <v>285</v>
      </c>
      <c r="I92" s="346" t="s">
        <v>282</v>
      </c>
      <c r="J92" s="345"/>
      <c r="K92" s="345"/>
      <c r="L92" s="346">
        <f t="shared" ref="L92:M92" si="14">PARAMS(L91)</f>
        <v>7168</v>
      </c>
      <c r="M92" s="346">
        <f t="shared" si="14"/>
        <v>1536</v>
      </c>
      <c r="N92" s="346" t="s">
        <v>283</v>
      </c>
      <c r="O92" s="347"/>
      <c r="P92" s="348">
        <f>SIZEOF_IN_MIB(J92:M92, $O91)</f>
        <v>10.5</v>
      </c>
      <c r="Q92" s="347"/>
      <c r="AP92" s="222"/>
    </row>
    <row r="93">
      <c r="A93" s="161"/>
      <c r="B93" s="161"/>
      <c r="C93" s="161"/>
      <c r="D93" s="161"/>
      <c r="E93" s="341"/>
      <c r="F93" s="342"/>
      <c r="G93" s="343"/>
      <c r="H93" s="349" t="s">
        <v>287</v>
      </c>
      <c r="I93" s="349" t="s">
        <v>282</v>
      </c>
      <c r="J93" s="336"/>
      <c r="K93" s="336"/>
      <c r="L93" s="349"/>
      <c r="M93" s="349"/>
      <c r="N93" s="349" t="s">
        <v>283</v>
      </c>
      <c r="O93" s="350"/>
      <c r="P93" s="351"/>
      <c r="Q93" s="350"/>
      <c r="AP93" s="218"/>
      <c r="AQ93" s="218"/>
      <c r="AT93" s="228"/>
    </row>
    <row r="94">
      <c r="A94" s="161"/>
      <c r="B94" s="161"/>
      <c r="C94" s="161"/>
      <c r="D94" s="161"/>
      <c r="E94" s="341"/>
      <c r="F94" s="353"/>
      <c r="G94" s="354"/>
      <c r="H94" s="346" t="s">
        <v>289</v>
      </c>
      <c r="I94" s="346" t="s">
        <v>282</v>
      </c>
      <c r="J94" s="345"/>
      <c r="K94" s="345"/>
      <c r="L94" s="346">
        <f t="shared" ref="L94:M94" si="15">L92/SHARDING(L93)</f>
        <v>7168</v>
      </c>
      <c r="M94" s="346">
        <f t="shared" si="15"/>
        <v>1536</v>
      </c>
      <c r="N94" s="346" t="s">
        <v>283</v>
      </c>
      <c r="O94" s="355"/>
      <c r="P94" s="348">
        <f>SIZEOF_IN_MIB(J94:M94, $O91)</f>
        <v>10.5</v>
      </c>
      <c r="Q94" s="355"/>
    </row>
    <row r="95">
      <c r="A95" s="161"/>
      <c r="B95" s="161"/>
      <c r="C95" s="161"/>
      <c r="D95" s="161"/>
      <c r="E95" s="341"/>
      <c r="F95" s="334" t="s">
        <v>56</v>
      </c>
      <c r="G95" s="335"/>
      <c r="H95" s="363" t="s">
        <v>281</v>
      </c>
      <c r="I95" s="363" t="s">
        <v>282</v>
      </c>
      <c r="J95" s="364"/>
      <c r="K95" s="273" t="s">
        <v>104</v>
      </c>
      <c r="L95" s="273" t="s">
        <v>102</v>
      </c>
      <c r="M95" s="273" t="s">
        <v>195</v>
      </c>
      <c r="N95" s="363" t="s">
        <v>283</v>
      </c>
      <c r="O95" s="365" t="s">
        <v>133</v>
      </c>
      <c r="P95" s="366"/>
      <c r="Q95" s="365" t="b">
        <v>0</v>
      </c>
    </row>
    <row r="96">
      <c r="A96" s="161"/>
      <c r="B96" s="161"/>
      <c r="C96" s="161"/>
      <c r="D96" s="161"/>
      <c r="E96" s="341"/>
      <c r="F96" s="342"/>
      <c r="G96" s="343"/>
      <c r="H96" s="273" t="s">
        <v>285</v>
      </c>
      <c r="I96" s="363" t="s">
        <v>282</v>
      </c>
      <c r="J96" s="364"/>
      <c r="K96" s="363">
        <f t="shared" ref="K96:M96" si="16">PARAMS(K95)</f>
        <v>1024</v>
      </c>
      <c r="L96" s="364">
        <f t="shared" si="16"/>
        <v>1</v>
      </c>
      <c r="M96" s="363">
        <f t="shared" si="16"/>
        <v>1536</v>
      </c>
      <c r="N96" s="363" t="s">
        <v>283</v>
      </c>
      <c r="O96" s="341"/>
      <c r="P96" s="366">
        <f>SIZEOF_IN_MIB(K96:M96, $O95)</f>
        <v>3</v>
      </c>
      <c r="Q96" s="341"/>
    </row>
    <row r="97">
      <c r="A97" s="161"/>
      <c r="B97" s="161"/>
      <c r="C97" s="161"/>
      <c r="D97" s="161"/>
      <c r="E97" s="341"/>
      <c r="F97" s="342"/>
      <c r="G97" s="343"/>
      <c r="H97" s="363" t="s">
        <v>287</v>
      </c>
      <c r="I97" s="363" t="s">
        <v>282</v>
      </c>
      <c r="J97" s="364"/>
      <c r="K97" s="273" t="s">
        <v>196</v>
      </c>
      <c r="L97" s="273"/>
      <c r="M97" s="363"/>
      <c r="N97" s="363" t="s">
        <v>283</v>
      </c>
      <c r="O97" s="341"/>
      <c r="P97" s="366"/>
      <c r="Q97" s="341"/>
    </row>
    <row r="98">
      <c r="A98" s="161"/>
      <c r="B98" s="161"/>
      <c r="C98" s="161"/>
      <c r="D98" s="161"/>
      <c r="E98" s="341"/>
      <c r="F98" s="353"/>
      <c r="G98" s="354"/>
      <c r="H98" s="363" t="s">
        <v>289</v>
      </c>
      <c r="I98" s="363" t="s">
        <v>282</v>
      </c>
      <c r="J98" s="364"/>
      <c r="K98" s="363">
        <f t="shared" ref="K98:M98" si="17">K96/SHARDING(K97)</f>
        <v>64</v>
      </c>
      <c r="L98" s="363">
        <f t="shared" si="17"/>
        <v>1</v>
      </c>
      <c r="M98" s="363">
        <f t="shared" si="17"/>
        <v>1536</v>
      </c>
      <c r="N98" s="363" t="s">
        <v>283</v>
      </c>
      <c r="O98" s="352"/>
      <c r="P98" s="366">
        <f>SIZEOF_IN_MIB(K98:M98, $O95)</f>
        <v>0.1875</v>
      </c>
      <c r="Q98" s="352"/>
    </row>
    <row r="99">
      <c r="A99" s="161"/>
      <c r="B99" s="161"/>
      <c r="C99" s="161"/>
      <c r="E99" s="341"/>
      <c r="F99" s="370" t="s">
        <v>300</v>
      </c>
      <c r="G99" s="371" t="s">
        <v>301</v>
      </c>
      <c r="H99" s="372" t="s">
        <v>281</v>
      </c>
      <c r="I99" s="364" t="s">
        <v>282</v>
      </c>
      <c r="J99" s="364" t="str">
        <f t="array" ref="J99:M102">J83:M86</f>
        <v/>
      </c>
      <c r="K99" s="273" t="s">
        <v>104</v>
      </c>
      <c r="L99" s="273" t="s">
        <v>102</v>
      </c>
      <c r="M99" s="373" t="s">
        <v>178</v>
      </c>
      <c r="N99" s="364" t="s">
        <v>283</v>
      </c>
      <c r="O99" s="365" t="s">
        <v>125</v>
      </c>
      <c r="P99" s="364"/>
      <c r="Q99" s="365"/>
    </row>
    <row r="100">
      <c r="A100" s="161"/>
      <c r="B100" s="161"/>
      <c r="C100" s="161"/>
      <c r="E100" s="341"/>
      <c r="F100" s="341"/>
      <c r="G100" s="341"/>
      <c r="H100" s="374" t="s">
        <v>285</v>
      </c>
      <c r="I100" s="364" t="s">
        <v>282</v>
      </c>
      <c r="J100" s="363"/>
      <c r="K100" s="364">
        <v>1024.0</v>
      </c>
      <c r="L100" s="364">
        <v>1.0</v>
      </c>
      <c r="M100" s="364">
        <v>7168.0</v>
      </c>
      <c r="N100" s="364" t="s">
        <v>283</v>
      </c>
      <c r="O100" s="341"/>
      <c r="P100" s="375">
        <f>SIZEOF_IN_MIB(J100:M100, O99)</f>
        <v>7</v>
      </c>
      <c r="Q100" s="341"/>
    </row>
    <row r="101">
      <c r="A101" s="161"/>
      <c r="B101" s="161"/>
      <c r="C101" s="161"/>
      <c r="E101" s="341"/>
      <c r="F101" s="341"/>
      <c r="G101" s="341"/>
      <c r="H101" s="374" t="s">
        <v>302</v>
      </c>
      <c r="I101" s="363" t="s">
        <v>282</v>
      </c>
      <c r="J101" s="364"/>
      <c r="K101" s="273" t="s">
        <v>96</v>
      </c>
      <c r="L101" s="273"/>
      <c r="M101" s="273" t="s">
        <v>97</v>
      </c>
      <c r="N101" s="363" t="s">
        <v>283</v>
      </c>
      <c r="O101" s="341"/>
      <c r="P101" s="375"/>
      <c r="Q101" s="341"/>
    </row>
    <row r="102">
      <c r="A102" s="161"/>
      <c r="B102" s="161"/>
      <c r="C102" s="161"/>
      <c r="E102" s="341"/>
      <c r="F102" s="341"/>
      <c r="G102" s="341"/>
      <c r="H102" s="376" t="s">
        <v>303</v>
      </c>
      <c r="I102" s="349" t="s">
        <v>282</v>
      </c>
      <c r="J102" s="336"/>
      <c r="K102" s="349">
        <v>128.0</v>
      </c>
      <c r="L102" s="349">
        <v>1.0</v>
      </c>
      <c r="M102" s="349">
        <v>3584.0</v>
      </c>
      <c r="N102" s="337" t="s">
        <v>283</v>
      </c>
      <c r="O102" s="350"/>
      <c r="P102" s="377">
        <f>SIZEOF_IN_MIB(J102:M102, O99)</f>
        <v>0.4375</v>
      </c>
      <c r="Q102" s="350"/>
    </row>
    <row r="103">
      <c r="A103" s="161"/>
      <c r="B103" s="161"/>
      <c r="C103" s="161"/>
      <c r="E103" s="341"/>
      <c r="F103" s="341"/>
      <c r="G103" s="352"/>
      <c r="H103" s="378" t="s">
        <v>304</v>
      </c>
      <c r="I103" s="346" t="s">
        <v>282</v>
      </c>
      <c r="J103" s="345"/>
      <c r="K103" s="344"/>
      <c r="L103" s="344"/>
      <c r="M103" s="344"/>
      <c r="N103" s="346" t="s">
        <v>283</v>
      </c>
      <c r="O103" s="355"/>
      <c r="P103" s="379"/>
      <c r="Q103" s="355"/>
      <c r="R103" s="2"/>
      <c r="S103" s="2"/>
      <c r="AG103" s="2"/>
      <c r="AH103" s="2"/>
      <c r="AI103" s="2"/>
      <c r="AJ103" s="2"/>
      <c r="AK103" s="2"/>
      <c r="AL103" s="2"/>
      <c r="AM103" s="2"/>
      <c r="AN103" s="2"/>
      <c r="AO103" s="2"/>
      <c r="AP103" s="2"/>
      <c r="AQ103" s="2"/>
      <c r="AR103" s="2"/>
      <c r="AS103" s="2"/>
      <c r="AT103" s="2"/>
    </row>
    <row r="104">
      <c r="A104" s="161"/>
      <c r="B104" s="161"/>
      <c r="C104" s="161"/>
      <c r="E104" s="341"/>
      <c r="F104" s="341"/>
      <c r="G104" s="380" t="s">
        <v>305</v>
      </c>
      <c r="H104" s="381"/>
      <c r="I104" s="382"/>
      <c r="J104" s="382"/>
      <c r="K104" s="382"/>
      <c r="L104" s="383"/>
      <c r="M104" s="383"/>
      <c r="N104" s="383"/>
      <c r="O104" s="382"/>
      <c r="P104" s="384"/>
      <c r="Q104" s="382"/>
      <c r="R104" s="2"/>
      <c r="S104" s="2"/>
      <c r="AG104" s="2"/>
      <c r="AH104" s="2"/>
      <c r="AI104" s="2"/>
      <c r="AJ104" s="2"/>
      <c r="AK104" s="2"/>
      <c r="AL104" s="2"/>
      <c r="AM104" s="2"/>
      <c r="AN104" s="2"/>
      <c r="AO104" s="2"/>
      <c r="AP104" s="2"/>
      <c r="AQ104" s="2"/>
      <c r="AR104" s="2"/>
      <c r="AS104" s="2"/>
      <c r="AT104" s="2"/>
    </row>
    <row r="105">
      <c r="A105" s="161"/>
      <c r="B105" s="161"/>
      <c r="C105" s="161"/>
      <c r="E105" s="341"/>
      <c r="F105" s="341"/>
      <c r="G105" s="385" t="s">
        <v>306</v>
      </c>
      <c r="H105" s="386">
        <f>SHARDING(K101)*SHARDING(L101)*SHARDING(M101)</f>
        <v>16</v>
      </c>
      <c r="I105" s="387"/>
      <c r="J105" s="387"/>
      <c r="K105" s="387"/>
      <c r="L105" s="388"/>
      <c r="M105" s="388"/>
      <c r="N105" s="388"/>
      <c r="O105" s="387"/>
      <c r="P105" s="389"/>
      <c r="Q105" s="387"/>
      <c r="R105" s="2"/>
      <c r="S105" s="2"/>
      <c r="AG105" s="2"/>
      <c r="AH105" s="2"/>
      <c r="AI105" s="2"/>
      <c r="AJ105" s="2"/>
      <c r="AK105" s="2"/>
      <c r="AL105" s="2"/>
      <c r="AM105" s="2"/>
      <c r="AN105" s="2"/>
      <c r="AO105" s="2"/>
      <c r="AP105" s="2"/>
      <c r="AQ105" s="2"/>
      <c r="AR105" s="2"/>
      <c r="AS105" s="2"/>
      <c r="AT105" s="2"/>
    </row>
    <row r="106">
      <c r="A106" s="161"/>
      <c r="B106" s="161"/>
      <c r="C106" s="161"/>
      <c r="E106" s="341"/>
      <c r="F106" s="341"/>
      <c r="G106" s="385" t="s">
        <v>307</v>
      </c>
      <c r="H106" s="390">
        <f>P102 * (H105-1)</f>
        <v>6.5625</v>
      </c>
      <c r="I106" s="298"/>
      <c r="J106" s="391"/>
      <c r="K106" s="391"/>
      <c r="L106" s="392"/>
      <c r="M106" s="392"/>
      <c r="N106" s="392"/>
      <c r="O106" s="391"/>
      <c r="P106" s="393"/>
      <c r="Q106" s="391"/>
      <c r="R106" s="2"/>
      <c r="S106" s="2"/>
      <c r="AG106" s="2"/>
      <c r="AH106" s="2"/>
      <c r="AI106" s="2"/>
      <c r="AJ106" s="2"/>
      <c r="AK106" s="2"/>
      <c r="AL106" s="2"/>
      <c r="AM106" s="2"/>
      <c r="AN106" s="2"/>
      <c r="AO106" s="2"/>
      <c r="AP106" s="2"/>
      <c r="AQ106" s="2"/>
      <c r="AR106" s="2"/>
      <c r="AS106" s="2"/>
      <c r="AT106" s="2"/>
    </row>
    <row r="107">
      <c r="A107" s="161"/>
      <c r="B107" s="161"/>
      <c r="C107" s="161"/>
      <c r="E107" s="341"/>
      <c r="F107" s="341"/>
      <c r="G107" s="394" t="s">
        <v>308</v>
      </c>
      <c r="H107" s="395">
        <f>H106*H105</f>
        <v>105</v>
      </c>
      <c r="I107" s="387"/>
      <c r="J107" s="379"/>
      <c r="K107" s="379"/>
      <c r="L107" s="388"/>
      <c r="M107" s="388"/>
      <c r="N107" s="388"/>
      <c r="O107" s="387"/>
      <c r="P107" s="389"/>
      <c r="Q107" s="387"/>
      <c r="R107" s="2"/>
      <c r="S107" s="2"/>
      <c r="AG107" s="2"/>
      <c r="AH107" s="2"/>
      <c r="AI107" s="2"/>
      <c r="AJ107" s="2"/>
      <c r="AK107" s="2"/>
      <c r="AL107" s="2"/>
      <c r="AM107" s="2"/>
      <c r="AN107" s="2"/>
      <c r="AO107" s="2"/>
      <c r="AP107" s="2"/>
      <c r="AQ107" s="2"/>
      <c r="AR107" s="2"/>
      <c r="AS107" s="2"/>
      <c r="AT107" s="2"/>
    </row>
    <row r="108">
      <c r="A108" s="161"/>
      <c r="B108" s="161"/>
      <c r="C108" s="161"/>
      <c r="E108" s="341"/>
      <c r="F108" s="341"/>
      <c r="G108" s="396" t="s">
        <v>309</v>
      </c>
      <c r="H108" s="397" t="str">
        <f>IFS(H105=8,12,
H105=4,4,
H105=2,1,
H105=1,0,
TRUE,NA())</f>
        <v>#N/A</v>
      </c>
      <c r="I108" s="391"/>
      <c r="J108" s="391"/>
      <c r="K108" s="391"/>
      <c r="L108" s="392"/>
      <c r="M108" s="392"/>
      <c r="N108" s="392"/>
      <c r="O108" s="391"/>
      <c r="P108" s="393"/>
      <c r="Q108" s="391"/>
      <c r="R108" s="2"/>
      <c r="S108" s="2"/>
      <c r="AG108" s="2"/>
      <c r="AH108" s="2"/>
      <c r="AI108" s="2"/>
      <c r="AJ108" s="2"/>
      <c r="AK108" s="2"/>
      <c r="AL108" s="2"/>
      <c r="AM108" s="2"/>
      <c r="AN108" s="2"/>
      <c r="AO108" s="2"/>
      <c r="AP108" s="2"/>
      <c r="AQ108" s="2"/>
      <c r="AR108" s="2"/>
      <c r="AS108" s="2"/>
      <c r="AT108" s="2"/>
    </row>
    <row r="109">
      <c r="A109" s="161"/>
      <c r="B109" s="161"/>
      <c r="C109" s="161"/>
      <c r="E109" s="341"/>
      <c r="F109" s="341"/>
      <c r="G109" s="9" t="s">
        <v>310</v>
      </c>
      <c r="H109" s="398">
        <v>1.0</v>
      </c>
      <c r="I109" s="399"/>
      <c r="J109" s="399"/>
      <c r="K109" s="399"/>
      <c r="L109" s="400"/>
      <c r="M109" s="400"/>
      <c r="N109" s="400"/>
      <c r="O109" s="399"/>
      <c r="P109" s="401"/>
      <c r="Q109" s="399"/>
      <c r="R109" s="2"/>
      <c r="S109" s="2"/>
      <c r="AG109" s="2"/>
      <c r="AH109" s="2"/>
      <c r="AI109" s="2"/>
      <c r="AJ109" s="2"/>
      <c r="AK109" s="2"/>
      <c r="AL109" s="2"/>
      <c r="AM109" s="2"/>
      <c r="AN109" s="2"/>
      <c r="AO109" s="2"/>
      <c r="AP109" s="2"/>
      <c r="AQ109" s="2"/>
      <c r="AR109" s="2"/>
      <c r="AS109" s="2"/>
      <c r="AT109" s="2"/>
    </row>
    <row r="110">
      <c r="A110" s="161"/>
      <c r="B110" s="161"/>
      <c r="C110" s="161"/>
      <c r="E110" s="341"/>
      <c r="F110" s="341"/>
      <c r="G110" s="402" t="s">
        <v>311</v>
      </c>
      <c r="H110" s="403" t="str">
        <f>ALL_GATHER_CHIP2CHIP_TIME_MS2(H107 * H109, H108)</f>
        <v>#N/A</v>
      </c>
      <c r="I110" s="404"/>
      <c r="J110" s="404"/>
      <c r="K110" s="404"/>
      <c r="L110" s="405"/>
      <c r="M110" s="405"/>
      <c r="N110" s="405"/>
      <c r="O110" s="404"/>
      <c r="P110" s="406"/>
      <c r="Q110" s="404"/>
      <c r="R110" s="2"/>
      <c r="S110" s="2"/>
      <c r="AG110" s="2"/>
      <c r="AH110" s="2"/>
      <c r="AI110" s="2"/>
      <c r="AJ110" s="2"/>
      <c r="AK110" s="2"/>
      <c r="AL110" s="2"/>
      <c r="AM110" s="2"/>
      <c r="AN110" s="2"/>
      <c r="AO110" s="2"/>
      <c r="AP110" s="2"/>
      <c r="AQ110" s="2"/>
      <c r="AR110" s="2"/>
      <c r="AS110" s="2"/>
      <c r="AT110" s="2"/>
    </row>
    <row r="111">
      <c r="A111" s="161"/>
      <c r="B111" s="161"/>
      <c r="C111" s="161"/>
      <c r="E111" s="341"/>
      <c r="F111" s="341"/>
      <c r="G111" s="394"/>
      <c r="H111" s="407"/>
      <c r="I111" s="399"/>
      <c r="J111" s="399"/>
      <c r="K111" s="399"/>
      <c r="L111" s="400"/>
      <c r="M111" s="400"/>
      <c r="N111" s="400"/>
      <c r="O111" s="399"/>
      <c r="P111" s="401"/>
      <c r="Q111" s="399"/>
      <c r="R111" s="2"/>
      <c r="S111" s="2"/>
      <c r="AG111" s="2"/>
      <c r="AH111" s="2"/>
      <c r="AI111" s="2"/>
      <c r="AJ111" s="2"/>
      <c r="AK111" s="2"/>
      <c r="AL111" s="2"/>
      <c r="AM111" s="2"/>
      <c r="AN111" s="2"/>
      <c r="AO111" s="2"/>
      <c r="AP111" s="2"/>
      <c r="AQ111" s="2"/>
      <c r="AR111" s="2"/>
      <c r="AS111" s="2"/>
      <c r="AT111" s="2"/>
    </row>
    <row r="112">
      <c r="A112" s="161"/>
      <c r="B112" s="161"/>
      <c r="C112" s="161"/>
      <c r="E112" s="341"/>
      <c r="F112" s="341"/>
      <c r="G112" s="380" t="s">
        <v>312</v>
      </c>
      <c r="H112" s="381"/>
      <c r="I112" s="382"/>
      <c r="J112" s="382"/>
      <c r="K112" s="382"/>
      <c r="L112" s="383"/>
      <c r="M112" s="383"/>
      <c r="N112" s="383"/>
      <c r="O112" s="382"/>
      <c r="P112" s="384"/>
      <c r="Q112" s="382"/>
      <c r="R112" s="2"/>
      <c r="S112" s="2"/>
      <c r="AG112" s="2"/>
      <c r="AH112" s="2"/>
      <c r="AI112" s="2"/>
      <c r="AJ112" s="2"/>
      <c r="AK112" s="2"/>
      <c r="AL112" s="2"/>
      <c r="AM112" s="2"/>
      <c r="AN112" s="2"/>
      <c r="AO112" s="2"/>
      <c r="AP112" s="2"/>
      <c r="AQ112" s="2"/>
      <c r="AR112" s="2"/>
      <c r="AS112" s="2"/>
      <c r="AT112" s="2"/>
    </row>
    <row r="113">
      <c r="A113" s="161"/>
      <c r="B113" s="161"/>
      <c r="C113" s="161"/>
      <c r="E113" s="341"/>
      <c r="F113" s="341"/>
      <c r="G113" s="408" t="s">
        <v>313</v>
      </c>
      <c r="H113" s="409" t="s">
        <v>306</v>
      </c>
      <c r="I113" s="379"/>
      <c r="J113" s="410">
        <f>SHARDING(K101)*SHARDING(L101)*SHARDING(M101)/HW_SPEC("# of TensorCore per Chip")</f>
        <v>8</v>
      </c>
      <c r="K113" s="399"/>
      <c r="L113" s="400"/>
      <c r="M113" s="400"/>
      <c r="N113" s="400"/>
      <c r="O113" s="399"/>
      <c r="P113" s="401"/>
      <c r="Q113" s="399"/>
      <c r="R113" s="2"/>
      <c r="S113" s="2"/>
      <c r="AG113" s="2"/>
      <c r="AH113" s="2"/>
      <c r="AI113" s="2"/>
      <c r="AJ113" s="2"/>
      <c r="AK113" s="2"/>
      <c r="AL113" s="2"/>
      <c r="AM113" s="2"/>
      <c r="AN113" s="2"/>
      <c r="AO113" s="2"/>
      <c r="AP113" s="2"/>
      <c r="AQ113" s="2"/>
      <c r="AR113" s="2"/>
      <c r="AS113" s="2"/>
      <c r="AT113" s="2"/>
    </row>
    <row r="114">
      <c r="A114" s="161"/>
      <c r="B114" s="161"/>
      <c r="C114" s="161"/>
      <c r="E114" s="341"/>
      <c r="F114" s="341"/>
      <c r="G114" s="341"/>
      <c r="H114" s="385" t="s">
        <v>307</v>
      </c>
      <c r="I114" s="11"/>
      <c r="J114" s="411">
        <f>P102 * HW_SPEC("# of TensorCore per Chip") * (J113-1)</f>
        <v>6.125</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4" t="s">
        <v>308</v>
      </c>
      <c r="I115" s="11"/>
      <c r="J115" s="411">
        <f>J114*J113</f>
        <v>49</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309</v>
      </c>
      <c r="I116" s="11"/>
      <c r="J116" s="415">
        <f>IFS(J113=8,12,
J113=4,4,
J113=2,1,
J113=1,0,
TRUE,NA())</f>
        <v>12</v>
      </c>
      <c r="K116" s="412"/>
      <c r="L116" s="413"/>
      <c r="M116" s="413"/>
      <c r="N116" s="413"/>
      <c r="O116" s="412"/>
      <c r="P116" s="414"/>
      <c r="Q116" s="412"/>
      <c r="R116" s="2"/>
      <c r="S116" s="2"/>
      <c r="AG116" s="2"/>
      <c r="AH116" s="2"/>
      <c r="AI116" s="2"/>
      <c r="AJ116" s="2"/>
      <c r="AK116" s="2"/>
      <c r="AL116" s="2"/>
      <c r="AM116" s="2"/>
      <c r="AN116" s="2"/>
      <c r="AO116" s="2"/>
      <c r="AP116" s="2"/>
      <c r="AQ116" s="2"/>
      <c r="AR116" s="2"/>
      <c r="AS116" s="2"/>
      <c r="AT116" s="2"/>
    </row>
    <row r="117">
      <c r="A117" s="161"/>
      <c r="B117" s="161"/>
      <c r="C117" s="161"/>
      <c r="E117" s="341"/>
      <c r="F117" s="341"/>
      <c r="G117" s="341"/>
      <c r="H117" s="9" t="s">
        <v>310</v>
      </c>
      <c r="I117" s="11"/>
      <c r="J117" s="416">
        <v>2.0</v>
      </c>
      <c r="K117" s="412"/>
      <c r="L117" s="413"/>
      <c r="M117" s="413"/>
      <c r="N117" s="413"/>
      <c r="O117" s="412"/>
      <c r="P117" s="414"/>
      <c r="Q117" s="412"/>
      <c r="R117" s="2"/>
      <c r="S117" s="2"/>
      <c r="AG117" s="2"/>
      <c r="AH117" s="2"/>
      <c r="AI117" s="2"/>
      <c r="AJ117" s="2"/>
      <c r="AK117" s="2"/>
      <c r="AL117" s="2"/>
      <c r="AM117" s="2"/>
      <c r="AN117" s="2"/>
      <c r="AO117" s="2"/>
      <c r="AP117" s="2"/>
      <c r="AQ117" s="2"/>
      <c r="AR117" s="2"/>
      <c r="AS117" s="2"/>
      <c r="AT117" s="2"/>
    </row>
    <row r="118">
      <c r="A118" s="161"/>
      <c r="B118" s="161"/>
      <c r="C118" s="161"/>
      <c r="E118" s="341"/>
      <c r="F118" s="341"/>
      <c r="G118" s="352"/>
      <c r="H118" s="385" t="s">
        <v>311</v>
      </c>
      <c r="I118" s="11"/>
      <c r="J118" s="417">
        <f>ALL_GATHER_CHIP2CHIP_TIME_MS2(J115 * J117, J116)</f>
        <v>0.0498453776</v>
      </c>
      <c r="K118" s="412"/>
      <c r="L118" s="413"/>
      <c r="M118" s="413"/>
      <c r="N118" s="413"/>
      <c r="O118" s="412"/>
      <c r="P118" s="414"/>
      <c r="Q118" s="412"/>
      <c r="R118" s="2"/>
      <c r="S118" s="2"/>
      <c r="AG118" s="2"/>
      <c r="AH118" s="2"/>
      <c r="AI118" s="2"/>
      <c r="AJ118" s="2"/>
      <c r="AK118" s="2"/>
      <c r="AL118" s="2"/>
      <c r="AM118" s="2"/>
      <c r="AN118" s="2"/>
      <c r="AO118" s="2"/>
      <c r="AP118" s="2"/>
      <c r="AQ118" s="2"/>
      <c r="AR118" s="2"/>
      <c r="AS118" s="2"/>
      <c r="AT118" s="2"/>
    </row>
    <row r="119">
      <c r="A119" s="161"/>
      <c r="B119" s="161"/>
      <c r="C119" s="161"/>
      <c r="E119" s="341"/>
      <c r="F119" s="341"/>
      <c r="G119" s="408" t="s">
        <v>314</v>
      </c>
      <c r="H119" s="396" t="s">
        <v>306</v>
      </c>
      <c r="I119" s="418"/>
      <c r="J119" s="419">
        <f>HW_SPEC("# of TensorCore per Chip")</f>
        <v>2</v>
      </c>
      <c r="K119" s="412"/>
      <c r="L119" s="413"/>
      <c r="M119" s="413"/>
      <c r="N119" s="413"/>
      <c r="O119" s="412"/>
      <c r="P119" s="414"/>
      <c r="Q119" s="412"/>
      <c r="R119" s="2"/>
      <c r="S119" s="2"/>
      <c r="AG119" s="2"/>
      <c r="AH119" s="2"/>
      <c r="AI119" s="2"/>
      <c r="AJ119" s="2"/>
      <c r="AK119" s="2"/>
      <c r="AL119" s="2"/>
      <c r="AM119" s="2"/>
      <c r="AN119" s="2"/>
      <c r="AO119" s="2"/>
      <c r="AP119" s="2"/>
      <c r="AQ119" s="2"/>
      <c r="AR119" s="2"/>
      <c r="AS119" s="2"/>
      <c r="AT119" s="2"/>
    </row>
    <row r="120">
      <c r="A120" s="161"/>
      <c r="B120" s="161"/>
      <c r="C120" s="161"/>
      <c r="E120" s="341"/>
      <c r="F120" s="341"/>
      <c r="G120" s="341"/>
      <c r="H120" s="396" t="s">
        <v>307</v>
      </c>
      <c r="I120" s="418"/>
      <c r="J120" s="411">
        <f>P86 / J119 * (J119-1)</f>
        <v>0.21875</v>
      </c>
      <c r="K120" s="412"/>
      <c r="L120" s="413"/>
      <c r="M120" s="413"/>
      <c r="N120" s="413"/>
      <c r="O120" s="412"/>
      <c r="P120" s="414"/>
      <c r="Q120" s="412"/>
      <c r="R120" s="2"/>
      <c r="S120" s="2"/>
      <c r="AG120" s="2"/>
      <c r="AH120" s="2"/>
      <c r="AI120" s="2"/>
      <c r="AJ120" s="2"/>
      <c r="AK120" s="2"/>
      <c r="AL120" s="2"/>
      <c r="AM120" s="2"/>
      <c r="AN120" s="2"/>
      <c r="AO120" s="2"/>
      <c r="AP120" s="2"/>
      <c r="AQ120" s="2"/>
      <c r="AR120" s="2"/>
      <c r="AS120" s="2"/>
      <c r="AT120" s="2"/>
    </row>
    <row r="121">
      <c r="A121" s="161"/>
      <c r="B121" s="161"/>
      <c r="C121" s="161"/>
      <c r="E121" s="341"/>
      <c r="F121" s="341"/>
      <c r="G121" s="341"/>
      <c r="H121" s="396" t="s">
        <v>308</v>
      </c>
      <c r="I121" s="418"/>
      <c r="J121" s="411">
        <f>J120*J119</f>
        <v>0.4375</v>
      </c>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341"/>
      <c r="H122" s="396" t="s">
        <v>311</v>
      </c>
      <c r="I122" s="418"/>
      <c r="J122" s="421">
        <f>ALL_GATHER_CORE2CORE_TIME_MS(J121)</f>
        <v>0.0003560384115</v>
      </c>
      <c r="K122" s="412"/>
      <c r="L122" s="413"/>
      <c r="M122" s="413"/>
      <c r="N122" s="413"/>
      <c r="O122" s="412"/>
      <c r="P122" s="414"/>
      <c r="Q122" s="412"/>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352"/>
      <c r="H123" s="394" t="s">
        <v>315</v>
      </c>
      <c r="I123" s="11"/>
      <c r="J123" s="421">
        <f>J122/J113</f>
        <v>0.00004450480143</v>
      </c>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02" t="s">
        <v>316</v>
      </c>
      <c r="H124" s="422">
        <f>J118+J123</f>
        <v>0.04988988241</v>
      </c>
      <c r="I124" s="11"/>
      <c r="J124" s="417"/>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94"/>
      <c r="H125" s="422"/>
      <c r="I125" s="11"/>
      <c r="J125" s="417"/>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443" t="s">
        <v>322</v>
      </c>
      <c r="H126" s="882" t="s">
        <v>312</v>
      </c>
      <c r="I126" s="445"/>
      <c r="J126" s="445"/>
      <c r="K126" s="382"/>
      <c r="L126" s="383"/>
      <c r="M126" s="383"/>
      <c r="N126" s="383"/>
      <c r="O126" s="382"/>
      <c r="P126" s="384"/>
      <c r="Q126" s="382"/>
      <c r="R126" s="420"/>
      <c r="S126" s="420"/>
      <c r="AG126" s="2"/>
      <c r="AH126" s="2"/>
      <c r="AI126" s="2"/>
      <c r="AJ126" s="2"/>
      <c r="AK126" s="2"/>
      <c r="AL126" s="2"/>
      <c r="AM126" s="2"/>
      <c r="AN126" s="2"/>
      <c r="AO126" s="2"/>
      <c r="AP126" s="2"/>
      <c r="AQ126" s="2"/>
      <c r="AR126" s="2"/>
      <c r="AS126" s="2"/>
      <c r="AT126" s="2"/>
    </row>
    <row r="127">
      <c r="A127" s="161"/>
      <c r="B127" s="161"/>
      <c r="C127" s="161"/>
      <c r="E127" s="341"/>
      <c r="F127" s="352"/>
      <c r="G127" s="446" t="s">
        <v>340</v>
      </c>
      <c r="H127" s="447">
        <f>IFS(H126=G104,H110,
H126=G112,H124 ,
TRUE,0)</f>
        <v>0.04988988241</v>
      </c>
      <c r="I127" s="448"/>
      <c r="J127" s="448"/>
      <c r="K127" s="448"/>
      <c r="L127" s="449"/>
      <c r="M127" s="449"/>
      <c r="N127" s="449"/>
      <c r="O127" s="450"/>
      <c r="P127" s="451"/>
      <c r="Q127" s="450"/>
      <c r="AG127" s="2"/>
      <c r="AH127" s="2"/>
      <c r="AI127" s="2"/>
      <c r="AJ127" s="2"/>
      <c r="AK127" s="2"/>
      <c r="AL127" s="2"/>
      <c r="AM127" s="2"/>
      <c r="AN127" s="2"/>
      <c r="AO127" s="2"/>
      <c r="AP127" s="2"/>
      <c r="AQ127" s="2"/>
      <c r="AR127" s="2"/>
      <c r="AS127" s="2"/>
      <c r="AT127" s="2"/>
    </row>
    <row r="128">
      <c r="A128" s="161"/>
      <c r="B128" s="161"/>
      <c r="C128" s="161"/>
      <c r="E128" s="341"/>
      <c r="F128" s="458" t="s">
        <v>327</v>
      </c>
      <c r="G128" s="459" t="s">
        <v>328</v>
      </c>
      <c r="H128" s="455" t="str">
        <f>VLOOKUP(O87&amp;","&amp;O91,$T$2:$W$11,4, FALSE)</f>
        <v>fp8</v>
      </c>
      <c r="I128" s="460"/>
      <c r="J128" s="454"/>
      <c r="K128" s="454"/>
      <c r="L128" s="455"/>
      <c r="M128" s="455"/>
      <c r="N128" s="455"/>
      <c r="O128" s="454"/>
      <c r="P128" s="457"/>
      <c r="Q128" s="11"/>
      <c r="AG128" s="2"/>
      <c r="AH128" s="2"/>
      <c r="AI128" s="2"/>
      <c r="AJ128" s="2"/>
      <c r="AK128" s="2"/>
      <c r="AL128" s="2"/>
      <c r="AM128" s="2"/>
      <c r="AN128" s="2"/>
      <c r="AO128" s="2"/>
      <c r="AP128" s="2"/>
      <c r="AQ128" s="2"/>
      <c r="AR128" s="2"/>
      <c r="AS128" s="2"/>
      <c r="AT128" s="2"/>
    </row>
    <row r="129">
      <c r="A129" s="161"/>
      <c r="B129" s="161"/>
      <c r="C129" s="161"/>
      <c r="E129" s="341"/>
      <c r="F129" s="341"/>
      <c r="G129" s="459" t="s">
        <v>329</v>
      </c>
      <c r="H129" s="461" t="str">
        <f>CALCULATE_FLOPS(J90:M90,J94:M94,L94,1,H128)</f>
        <v>#N/A</v>
      </c>
      <c r="I129" s="460"/>
      <c r="J129" s="454"/>
      <c r="K129" s="454"/>
      <c r="L129" s="455"/>
      <c r="M129" s="455"/>
      <c r="N129" s="455"/>
      <c r="O129" s="454"/>
      <c r="P129" s="457"/>
      <c r="Q129" s="11"/>
      <c r="AG129" s="2"/>
      <c r="AH129" s="2"/>
      <c r="AI129" s="2"/>
      <c r="AJ129" s="2"/>
      <c r="AK129" s="2"/>
      <c r="AL129" s="2"/>
      <c r="AM129" s="2"/>
      <c r="AN129" s="2"/>
      <c r="AO129" s="2"/>
      <c r="AP129" s="2"/>
      <c r="AQ129" s="2"/>
      <c r="AR129" s="2"/>
      <c r="AS129" s="2"/>
      <c r="AT129" s="2"/>
    </row>
    <row r="130">
      <c r="A130" s="161"/>
      <c r="B130" s="161"/>
      <c r="C130" s="161"/>
      <c r="E130" s="341"/>
      <c r="F130" s="352"/>
      <c r="G130" s="462" t="s">
        <v>330</v>
      </c>
      <c r="H130" s="463" t="str">
        <f>COMPUTE_TIME_MS(H129, H128)</f>
        <v>#N/A</v>
      </c>
      <c r="I130" s="464"/>
      <c r="J130" s="465"/>
      <c r="K130" s="465"/>
      <c r="L130" s="466"/>
      <c r="M130" s="466"/>
      <c r="N130" s="466"/>
      <c r="O130" s="465"/>
      <c r="P130" s="467"/>
      <c r="Q130" s="11"/>
      <c r="AG130" s="2"/>
      <c r="AH130" s="2"/>
      <c r="AI130" s="2"/>
      <c r="AJ130" s="2"/>
      <c r="AK130" s="2"/>
      <c r="AL130" s="2"/>
      <c r="AM130" s="2"/>
      <c r="AN130" s="2"/>
      <c r="AO130" s="2"/>
      <c r="AP130" s="2"/>
      <c r="AQ130" s="2"/>
      <c r="AR130" s="2"/>
      <c r="AS130" s="2"/>
      <c r="AT130" s="2"/>
    </row>
    <row r="131">
      <c r="A131" s="161"/>
      <c r="B131" s="161"/>
      <c r="C131" s="161"/>
      <c r="E131" s="341"/>
      <c r="F131" s="458" t="s">
        <v>331</v>
      </c>
      <c r="G131" s="455" t="s">
        <v>332</v>
      </c>
      <c r="H131" s="468">
        <f>IF(Q87,0,P90)+IF(Q91,0,P94)+IF(Q95,0,P98)</f>
        <v>11.125</v>
      </c>
      <c r="I131" s="454"/>
      <c r="J131" s="454"/>
      <c r="K131" s="454"/>
      <c r="L131" s="455"/>
      <c r="M131" s="455"/>
      <c r="N131" s="455"/>
      <c r="O131" s="454"/>
      <c r="P131" s="457"/>
      <c r="Q131" s="11"/>
      <c r="AG131" s="2"/>
      <c r="AH131" s="2"/>
      <c r="AI131" s="2"/>
      <c r="AJ131" s="2"/>
      <c r="AK131" s="2"/>
      <c r="AL131" s="2"/>
      <c r="AM131" s="2"/>
      <c r="AN131" s="2"/>
      <c r="AO131" s="2"/>
      <c r="AP131" s="2"/>
      <c r="AQ131" s="2"/>
      <c r="AR131" s="2"/>
      <c r="AS131" s="2"/>
      <c r="AT131" s="2"/>
    </row>
    <row r="132">
      <c r="A132" s="161"/>
      <c r="B132" s="161"/>
      <c r="C132" s="161"/>
      <c r="E132" s="352"/>
      <c r="F132" s="352"/>
      <c r="G132" s="469" t="s">
        <v>333</v>
      </c>
      <c r="H132" s="470">
        <f>HBM_TIME_MS(H131)</f>
        <v>0.003713006771</v>
      </c>
      <c r="I132" s="465"/>
      <c r="J132" s="465"/>
      <c r="K132" s="465"/>
      <c r="L132" s="466"/>
      <c r="M132" s="466"/>
      <c r="N132" s="466"/>
      <c r="O132" s="465"/>
      <c r="P132" s="467"/>
      <c r="Q132" s="11"/>
      <c r="AH132" s="471"/>
      <c r="AI132" s="471"/>
      <c r="AJ132" s="471"/>
      <c r="AK132" s="2"/>
      <c r="AL132" s="2"/>
      <c r="AM132" s="2"/>
      <c r="AN132" s="2"/>
      <c r="AO132" s="2"/>
      <c r="AP132" s="2"/>
      <c r="AQ132" s="2"/>
      <c r="AR132" s="2"/>
      <c r="AS132" s="2"/>
      <c r="AT132" s="2"/>
    </row>
    <row r="133">
      <c r="E133" s="333" t="s">
        <v>334</v>
      </c>
      <c r="F133" s="357" t="s">
        <v>292</v>
      </c>
      <c r="G133" s="335"/>
      <c r="H133" s="364" t="s">
        <v>281</v>
      </c>
      <c r="I133" s="364" t="s">
        <v>282</v>
      </c>
      <c r="J133" s="364"/>
      <c r="K133" s="273" t="s">
        <v>104</v>
      </c>
      <c r="L133" s="273" t="s">
        <v>102</v>
      </c>
      <c r="M133" s="472" t="s">
        <v>195</v>
      </c>
      <c r="N133" s="364" t="s">
        <v>283</v>
      </c>
      <c r="O133" s="365" t="s">
        <v>125</v>
      </c>
      <c r="P133" s="366"/>
      <c r="Q133" s="365" t="b">
        <v>0</v>
      </c>
      <c r="R133" s="2"/>
      <c r="S133" s="2"/>
      <c r="AH133" s="471"/>
      <c r="AI133" s="471"/>
      <c r="AJ133" s="471"/>
      <c r="AK133" s="2"/>
      <c r="AL133" s="2"/>
      <c r="AM133" s="2"/>
      <c r="AN133" s="2"/>
      <c r="AO133" s="2"/>
      <c r="AP133" s="2"/>
      <c r="AQ133" s="2"/>
      <c r="AR133" s="2"/>
      <c r="AS133" s="2"/>
      <c r="AT133" s="2"/>
    </row>
    <row r="134">
      <c r="E134" s="341"/>
      <c r="F134" s="342"/>
      <c r="G134" s="343"/>
      <c r="H134" s="273" t="s">
        <v>285</v>
      </c>
      <c r="I134" s="364" t="s">
        <v>282</v>
      </c>
      <c r="J134" s="363"/>
      <c r="K134" s="363">
        <f t="shared" ref="K134:M134" si="18">PARAMS(K133)</f>
        <v>1024</v>
      </c>
      <c r="L134" s="364">
        <f t="shared" si="18"/>
        <v>1</v>
      </c>
      <c r="M134" s="364">
        <f t="shared" si="18"/>
        <v>1536</v>
      </c>
      <c r="N134" s="364" t="s">
        <v>283</v>
      </c>
      <c r="O134" s="341"/>
      <c r="P134" s="366">
        <f>SIZEOF_IN_MIB(J134:M134, $O133)</f>
        <v>1.5</v>
      </c>
      <c r="Q134" s="341"/>
      <c r="R134" s="2"/>
      <c r="S134" s="2"/>
      <c r="AH134" s="471"/>
      <c r="AI134" s="471"/>
      <c r="AJ134" s="471"/>
      <c r="AK134" s="2"/>
      <c r="AL134" s="2"/>
      <c r="AM134" s="2"/>
      <c r="AN134" s="2"/>
      <c r="AO134" s="2"/>
      <c r="AP134" s="2"/>
      <c r="AQ134" s="2"/>
      <c r="AR134" s="2"/>
      <c r="AS134" s="2"/>
      <c r="AT134" s="2"/>
    </row>
    <row r="135">
      <c r="E135" s="341"/>
      <c r="F135" s="342"/>
      <c r="G135" s="343"/>
      <c r="H135" s="363" t="s">
        <v>287</v>
      </c>
      <c r="I135" s="363" t="s">
        <v>282</v>
      </c>
      <c r="J135" s="364"/>
      <c r="K135" s="273" t="s">
        <v>196</v>
      </c>
      <c r="L135" s="273"/>
      <c r="M135" s="363"/>
      <c r="N135" s="363" t="s">
        <v>283</v>
      </c>
      <c r="O135" s="341"/>
      <c r="P135" s="366"/>
      <c r="Q135" s="341"/>
      <c r="R135" s="2"/>
      <c r="S135" s="2"/>
      <c r="AH135" s="471"/>
      <c r="AI135" s="471"/>
      <c r="AJ135" s="471"/>
      <c r="AK135" s="2"/>
      <c r="AL135" s="2"/>
      <c r="AM135" s="2"/>
      <c r="AN135" s="2"/>
      <c r="AO135" s="2"/>
      <c r="AP135" s="2"/>
      <c r="AQ135" s="2"/>
      <c r="AR135" s="2"/>
      <c r="AS135" s="2"/>
      <c r="AT135" s="2"/>
    </row>
    <row r="136">
      <c r="E136" s="341"/>
      <c r="F136" s="353"/>
      <c r="G136" s="354"/>
      <c r="H136" s="273" t="s">
        <v>289</v>
      </c>
      <c r="I136" s="363" t="s">
        <v>282</v>
      </c>
      <c r="J136" s="364"/>
      <c r="K136" s="363">
        <f t="shared" ref="K136:M136" si="19">K134/SHARDING(K135)</f>
        <v>64</v>
      </c>
      <c r="L136" s="363">
        <f t="shared" si="19"/>
        <v>1</v>
      </c>
      <c r="M136" s="363">
        <f t="shared" si="19"/>
        <v>1536</v>
      </c>
      <c r="N136" s="363" t="s">
        <v>283</v>
      </c>
      <c r="O136" s="352"/>
      <c r="P136" s="366">
        <f>SIZEOF_IN_MIB(J136:M136, $O133)</f>
        <v>0.09375</v>
      </c>
      <c r="Q136" s="352"/>
      <c r="R136" s="2"/>
      <c r="S136" s="2"/>
      <c r="AK136" s="2"/>
      <c r="AL136" s="2"/>
      <c r="AM136" s="2"/>
      <c r="AN136" s="2"/>
      <c r="AO136" s="2"/>
      <c r="AP136" s="2"/>
      <c r="AQ136" s="2"/>
      <c r="AR136" s="2"/>
      <c r="AS136" s="2"/>
      <c r="AT136" s="2"/>
    </row>
    <row r="137">
      <c r="E137" s="341"/>
      <c r="F137" s="334" t="s">
        <v>296</v>
      </c>
      <c r="G137" s="335"/>
      <c r="H137" s="363" t="s">
        <v>281</v>
      </c>
      <c r="I137" s="363" t="s">
        <v>282</v>
      </c>
      <c r="J137" s="364"/>
      <c r="K137" s="472" t="s">
        <v>195</v>
      </c>
      <c r="L137" s="273" t="s">
        <v>207</v>
      </c>
      <c r="M137" s="273" t="s">
        <v>209</v>
      </c>
      <c r="N137" s="363" t="s">
        <v>283</v>
      </c>
      <c r="O137" s="365" t="s">
        <v>125</v>
      </c>
      <c r="P137" s="366"/>
      <c r="Q137" s="365" t="b">
        <v>0</v>
      </c>
      <c r="R137" s="2"/>
      <c r="S137" s="2"/>
      <c r="AK137" s="2"/>
      <c r="AL137" s="2"/>
      <c r="AM137" s="2"/>
      <c r="AN137" s="2"/>
      <c r="AO137" s="2"/>
      <c r="AP137" s="2"/>
      <c r="AQ137" s="2"/>
      <c r="AR137" s="2"/>
      <c r="AS137" s="2"/>
      <c r="AT137" s="2"/>
    </row>
    <row r="138">
      <c r="E138" s="341"/>
      <c r="F138" s="342"/>
      <c r="G138" s="343"/>
      <c r="H138" s="273" t="s">
        <v>285</v>
      </c>
      <c r="I138" s="363" t="s">
        <v>282</v>
      </c>
      <c r="J138" s="364"/>
      <c r="K138" s="363">
        <f t="shared" ref="K138:M138" si="20">PARAMS(K137)</f>
        <v>1536</v>
      </c>
      <c r="L138" s="363">
        <f t="shared" si="20"/>
        <v>128</v>
      </c>
      <c r="M138" s="363">
        <f t="shared" si="20"/>
        <v>192</v>
      </c>
      <c r="N138" s="363" t="s">
        <v>283</v>
      </c>
      <c r="O138" s="341"/>
      <c r="P138" s="366">
        <f>SIZEOF_IN_MIB(J138:M138, $O137)</f>
        <v>36</v>
      </c>
      <c r="Q138" s="341"/>
      <c r="R138" s="2"/>
      <c r="S138" s="2"/>
      <c r="AK138" s="2"/>
      <c r="AL138" s="2"/>
      <c r="AM138" s="2"/>
      <c r="AN138" s="2"/>
      <c r="AO138" s="2"/>
      <c r="AP138" s="2"/>
      <c r="AQ138" s="2"/>
      <c r="AR138" s="2"/>
      <c r="AS138" s="2"/>
      <c r="AT138" s="2"/>
    </row>
    <row r="139">
      <c r="E139" s="341"/>
      <c r="F139" s="342"/>
      <c r="G139" s="343"/>
      <c r="H139" s="363" t="s">
        <v>287</v>
      </c>
      <c r="I139" s="363" t="s">
        <v>282</v>
      </c>
      <c r="J139" s="364"/>
      <c r="K139" s="364"/>
      <c r="L139" s="363"/>
      <c r="M139" s="363"/>
      <c r="N139" s="363" t="s">
        <v>283</v>
      </c>
      <c r="O139" s="341"/>
      <c r="P139" s="366"/>
      <c r="Q139" s="341"/>
      <c r="R139" s="2"/>
      <c r="S139" s="2"/>
      <c r="AK139" s="2"/>
      <c r="AL139" s="2"/>
      <c r="AM139" s="2"/>
      <c r="AN139" s="2"/>
      <c r="AO139" s="2"/>
      <c r="AP139" s="2"/>
      <c r="AQ139" s="2"/>
      <c r="AR139" s="2"/>
      <c r="AS139" s="2"/>
      <c r="AT139" s="2"/>
    </row>
    <row r="140">
      <c r="E140" s="341"/>
      <c r="F140" s="353"/>
      <c r="G140" s="354"/>
      <c r="H140" s="349" t="s">
        <v>289</v>
      </c>
      <c r="I140" s="349" t="s">
        <v>282</v>
      </c>
      <c r="J140" s="336"/>
      <c r="K140" s="349">
        <f t="shared" ref="K140:M140" si="21">K138/SHARDING(K139)</f>
        <v>1536</v>
      </c>
      <c r="L140" s="349">
        <f t="shared" si="21"/>
        <v>128</v>
      </c>
      <c r="M140" s="349">
        <f t="shared" si="21"/>
        <v>192</v>
      </c>
      <c r="N140" s="349" t="s">
        <v>283</v>
      </c>
      <c r="O140" s="316"/>
      <c r="P140" s="351">
        <f>SIZEOF_IN_MIB(J140:M140, $O137)</f>
        <v>36</v>
      </c>
      <c r="Q140" s="316"/>
      <c r="R140" s="2"/>
      <c r="S140" s="2"/>
      <c r="AK140" s="2"/>
      <c r="AL140" s="2"/>
      <c r="AM140" s="2"/>
      <c r="AN140" s="2"/>
      <c r="AO140" s="2"/>
      <c r="AP140" s="2"/>
      <c r="AQ140" s="2"/>
      <c r="AR140" s="2"/>
      <c r="AS140" s="2"/>
      <c r="AT140" s="2"/>
    </row>
    <row r="141">
      <c r="E141" s="341"/>
      <c r="F141" s="334" t="s">
        <v>56</v>
      </c>
      <c r="G141" s="335"/>
      <c r="H141" s="346" t="s">
        <v>281</v>
      </c>
      <c r="I141" s="346" t="s">
        <v>282</v>
      </c>
      <c r="J141" s="344" t="s">
        <v>104</v>
      </c>
      <c r="K141" s="344" t="s">
        <v>102</v>
      </c>
      <c r="L141" s="344" t="s">
        <v>207</v>
      </c>
      <c r="M141" s="344" t="s">
        <v>209</v>
      </c>
      <c r="N141" s="346" t="s">
        <v>283</v>
      </c>
      <c r="O141" s="473" t="s">
        <v>133</v>
      </c>
      <c r="P141" s="348"/>
      <c r="Q141" s="473" t="b">
        <v>0</v>
      </c>
      <c r="R141" s="2"/>
      <c r="S141" s="2"/>
      <c r="AK141" s="2"/>
      <c r="AL141" s="2"/>
      <c r="AM141" s="2"/>
      <c r="AN141" s="2"/>
      <c r="AO141" s="2"/>
      <c r="AP141" s="2"/>
      <c r="AQ141" s="2"/>
      <c r="AR141" s="2"/>
      <c r="AS141" s="2"/>
      <c r="AT141" s="2"/>
    </row>
    <row r="142">
      <c r="E142" s="341"/>
      <c r="F142" s="342"/>
      <c r="G142" s="343"/>
      <c r="H142" s="337" t="s">
        <v>285</v>
      </c>
      <c r="I142" s="349" t="s">
        <v>282</v>
      </c>
      <c r="J142" s="349">
        <f t="shared" ref="J142:M142" si="22">PARAMS(J141)</f>
        <v>1024</v>
      </c>
      <c r="K142" s="349">
        <f t="shared" si="22"/>
        <v>1</v>
      </c>
      <c r="L142" s="349">
        <f t="shared" si="22"/>
        <v>128</v>
      </c>
      <c r="M142" s="349">
        <f t="shared" si="22"/>
        <v>192</v>
      </c>
      <c r="N142" s="349" t="s">
        <v>283</v>
      </c>
      <c r="O142" s="350"/>
      <c r="P142" s="351">
        <f>SIZEOF_IN_MIB(J142:M142, $O141)</f>
        <v>48</v>
      </c>
      <c r="Q142" s="350"/>
      <c r="R142" s="2"/>
      <c r="S142" s="2"/>
      <c r="AK142" s="2"/>
      <c r="AL142" s="2"/>
      <c r="AM142" s="2"/>
      <c r="AN142" s="2"/>
      <c r="AO142" s="2"/>
      <c r="AP142" s="2"/>
      <c r="AQ142" s="2"/>
      <c r="AR142" s="2"/>
      <c r="AS142" s="2"/>
      <c r="AT142" s="2"/>
    </row>
    <row r="143">
      <c r="E143" s="341"/>
      <c r="F143" s="342"/>
      <c r="G143" s="343"/>
      <c r="H143" s="346" t="s">
        <v>287</v>
      </c>
      <c r="I143" s="346" t="s">
        <v>282</v>
      </c>
      <c r="J143" s="344" t="s">
        <v>196</v>
      </c>
      <c r="K143" s="344"/>
      <c r="L143" s="344"/>
      <c r="M143" s="346"/>
      <c r="N143" s="346" t="s">
        <v>283</v>
      </c>
      <c r="O143" s="347"/>
      <c r="P143" s="348"/>
      <c r="Q143" s="347"/>
      <c r="R143" s="2"/>
      <c r="S143" s="2"/>
      <c r="AK143" s="2"/>
      <c r="AL143" s="2"/>
      <c r="AM143" s="2"/>
      <c r="AN143" s="2"/>
      <c r="AO143" s="2"/>
      <c r="AP143" s="2"/>
      <c r="AQ143" s="2"/>
      <c r="AR143" s="2"/>
      <c r="AS143" s="2"/>
      <c r="AT143" s="2"/>
    </row>
    <row r="144">
      <c r="E144" s="341"/>
      <c r="F144" s="353"/>
      <c r="G144" s="354"/>
      <c r="H144" s="349" t="s">
        <v>289</v>
      </c>
      <c r="I144" s="349" t="s">
        <v>282</v>
      </c>
      <c r="J144" s="349">
        <f t="shared" ref="J144:M144" si="23">J142/SHARDING(J143)</f>
        <v>64</v>
      </c>
      <c r="K144" s="349">
        <f t="shared" si="23"/>
        <v>1</v>
      </c>
      <c r="L144" s="349">
        <f t="shared" si="23"/>
        <v>128</v>
      </c>
      <c r="M144" s="349">
        <f t="shared" si="23"/>
        <v>192</v>
      </c>
      <c r="N144" s="349" t="s">
        <v>283</v>
      </c>
      <c r="O144" s="316"/>
      <c r="P144" s="351">
        <f>SIZEOF_IN_MIB(J144:M144, $O141)</f>
        <v>3</v>
      </c>
      <c r="Q144" s="316"/>
      <c r="R144" s="2"/>
      <c r="S144" s="2"/>
      <c r="AK144" s="2"/>
      <c r="AL144" s="2"/>
      <c r="AM144" s="2"/>
      <c r="AN144" s="2"/>
      <c r="AO144" s="2"/>
      <c r="AP144" s="2"/>
      <c r="AQ144" s="2"/>
      <c r="AR144" s="2"/>
      <c r="AS144" s="2"/>
      <c r="AT144" s="2"/>
    </row>
    <row r="145">
      <c r="E145" s="341"/>
      <c r="F145" s="474" t="s">
        <v>335</v>
      </c>
      <c r="G145" s="459" t="s">
        <v>109</v>
      </c>
      <c r="H145" s="497"/>
      <c r="I145" s="498"/>
      <c r="J145" s="345"/>
      <c r="K145" s="345"/>
      <c r="L145" s="346"/>
      <c r="M145" s="346"/>
      <c r="N145" s="346"/>
      <c r="O145" s="345"/>
      <c r="P145" s="348"/>
      <c r="Q145" s="379"/>
      <c r="R145" s="2"/>
      <c r="S145" s="2"/>
      <c r="AK145" s="2"/>
      <c r="AL145" s="2"/>
      <c r="AM145" s="2"/>
      <c r="AN145" s="2"/>
      <c r="AO145" s="2"/>
      <c r="AP145" s="2"/>
      <c r="AQ145" s="2"/>
      <c r="AR145" s="2"/>
      <c r="AS145" s="2"/>
      <c r="AT145" s="2"/>
    </row>
    <row r="146">
      <c r="E146" s="341"/>
      <c r="F146" s="352"/>
      <c r="G146" s="459"/>
      <c r="H146" s="349"/>
      <c r="I146" s="492"/>
      <c r="J146" s="336"/>
      <c r="K146" s="336"/>
      <c r="L146" s="349"/>
      <c r="M146" s="349"/>
      <c r="N146" s="349"/>
      <c r="O146" s="336"/>
      <c r="P146" s="351"/>
      <c r="Q146" s="298"/>
      <c r="R146" s="2"/>
      <c r="S146" s="2"/>
      <c r="AK146" s="2"/>
      <c r="AL146" s="2"/>
      <c r="AM146" s="2"/>
      <c r="AN146" s="2"/>
      <c r="AO146" s="2"/>
      <c r="AP146" s="2"/>
      <c r="AQ146" s="2"/>
      <c r="AR146" s="2"/>
      <c r="AS146" s="2"/>
      <c r="AT146" s="2"/>
    </row>
    <row r="147">
      <c r="E147" s="341"/>
      <c r="F147" s="458" t="s">
        <v>327</v>
      </c>
      <c r="G147" s="459" t="s">
        <v>328</v>
      </c>
      <c r="H147" s="346" t="str">
        <f>VLOOKUP(O133&amp;","&amp;O137,$T$2:$W$11,4, FALSE)</f>
        <v>fp8</v>
      </c>
      <c r="I147" s="493"/>
      <c r="J147" s="345"/>
      <c r="K147" s="345"/>
      <c r="L147" s="346"/>
      <c r="M147" s="346"/>
      <c r="N147" s="346"/>
      <c r="O147" s="345"/>
      <c r="P147" s="348"/>
      <c r="Q147" s="379"/>
      <c r="R147" s="2"/>
      <c r="S147" s="2"/>
      <c r="AK147" s="2"/>
      <c r="AL147" s="2"/>
      <c r="AM147" s="2"/>
      <c r="AN147" s="2"/>
      <c r="AO147" s="2"/>
      <c r="AP147" s="2"/>
      <c r="AQ147" s="2"/>
      <c r="AR147" s="2"/>
      <c r="AS147" s="2"/>
      <c r="AT147" s="2"/>
    </row>
    <row r="148">
      <c r="E148" s="341"/>
      <c r="F148" s="341"/>
      <c r="G148" s="455" t="s">
        <v>341</v>
      </c>
      <c r="H148" s="494" t="str">
        <f>CALCULATE_FLOPS(K136:M136,K140:M140,K140,1,H147)</f>
        <v>#N/A</v>
      </c>
      <c r="I148" s="492"/>
      <c r="J148" s="336"/>
      <c r="K148" s="336"/>
      <c r="L148" s="349"/>
      <c r="M148" s="349"/>
      <c r="N148" s="349"/>
      <c r="O148" s="336"/>
      <c r="P148" s="351"/>
      <c r="Q148" s="298"/>
      <c r="R148" s="2"/>
      <c r="S148" s="2"/>
      <c r="AK148" s="2"/>
      <c r="AL148" s="2"/>
      <c r="AM148" s="2"/>
      <c r="AN148" s="2"/>
      <c r="AO148" s="2"/>
      <c r="AP148" s="2"/>
      <c r="AQ148" s="2"/>
      <c r="AR148" s="2"/>
      <c r="AS148" s="2"/>
      <c r="AT148" s="2"/>
    </row>
    <row r="149">
      <c r="A149" s="207"/>
      <c r="B149" s="2"/>
      <c r="C149" s="2"/>
      <c r="D149" s="2"/>
      <c r="E149" s="341"/>
      <c r="F149" s="352"/>
      <c r="G149" s="462" t="s">
        <v>330</v>
      </c>
      <c r="H149" s="495" t="str">
        <f>COMPUTE_TIME_MS(H148, H147)</f>
        <v>#N/A</v>
      </c>
      <c r="I149" s="464"/>
      <c r="J149" s="465"/>
      <c r="K149" s="465"/>
      <c r="L149" s="466"/>
      <c r="M149" s="466"/>
      <c r="N149" s="466"/>
      <c r="O149" s="465"/>
      <c r="P149" s="467"/>
      <c r="Q149" s="379"/>
      <c r="R149" s="2"/>
      <c r="S149" s="2"/>
      <c r="AK149" s="2"/>
      <c r="AL149" s="2"/>
      <c r="AM149" s="2"/>
      <c r="AN149" s="2"/>
      <c r="AO149" s="2"/>
      <c r="AP149" s="2"/>
      <c r="AQ149" s="2"/>
      <c r="AR149" s="2"/>
      <c r="AS149" s="2"/>
      <c r="AT149" s="2"/>
    </row>
    <row r="150">
      <c r="A150" s="207"/>
      <c r="B150" s="2"/>
      <c r="C150" s="2"/>
      <c r="D150" s="2"/>
      <c r="E150" s="341"/>
      <c r="F150" s="458" t="s">
        <v>331</v>
      </c>
      <c r="G150" s="455" t="s">
        <v>332</v>
      </c>
      <c r="H150" s="377">
        <f>IF(Q133,0,P136)+IF(Q137,0,P140)+IF(Q141,0,P144)</f>
        <v>39.09375</v>
      </c>
      <c r="I150" s="336"/>
      <c r="J150" s="336"/>
      <c r="K150" s="336"/>
      <c r="L150" s="349"/>
      <c r="M150" s="349"/>
      <c r="N150" s="349"/>
      <c r="O150" s="336"/>
      <c r="P150" s="351"/>
      <c r="Q150" s="298"/>
      <c r="R150" s="2"/>
      <c r="S150" s="2"/>
      <c r="AK150" s="2"/>
      <c r="AL150" s="2"/>
      <c r="AM150" s="2"/>
      <c r="AN150" s="2"/>
      <c r="AO150" s="2"/>
      <c r="AP150" s="2"/>
      <c r="AQ150" s="2"/>
      <c r="AR150" s="2"/>
      <c r="AS150" s="2"/>
      <c r="AT150" s="2"/>
    </row>
    <row r="151">
      <c r="A151" s="2"/>
      <c r="B151" s="2"/>
      <c r="C151" s="2"/>
      <c r="D151" s="2"/>
      <c r="E151" s="352"/>
      <c r="F151" s="352"/>
      <c r="G151" s="469" t="s">
        <v>333</v>
      </c>
      <c r="H151" s="496">
        <f>HBM_TIME_MS(H150)</f>
        <v>0.01304767267</v>
      </c>
      <c r="I151" s="465"/>
      <c r="J151" s="465"/>
      <c r="K151" s="465"/>
      <c r="L151" s="466"/>
      <c r="M151" s="466"/>
      <c r="N151" s="466"/>
      <c r="O151" s="465"/>
      <c r="P151" s="467"/>
      <c r="Q151" s="379"/>
      <c r="R151" s="2"/>
      <c r="S151" s="2"/>
      <c r="AK151" s="2"/>
      <c r="AL151" s="2"/>
      <c r="AM151" s="2"/>
      <c r="AN151" s="2"/>
      <c r="AO151" s="2"/>
      <c r="AP151" s="2"/>
      <c r="AQ151" s="2"/>
      <c r="AR151" s="2"/>
      <c r="AS151" s="2"/>
      <c r="AT151" s="2"/>
    </row>
    <row r="152">
      <c r="A152" s="161"/>
      <c r="B152" s="161"/>
      <c r="C152" s="161"/>
      <c r="D152" s="161"/>
      <c r="E152" s="333" t="s">
        <v>342</v>
      </c>
      <c r="F152" s="357" t="s">
        <v>292</v>
      </c>
      <c r="G152" s="335"/>
      <c r="H152" s="364" t="s">
        <v>281</v>
      </c>
      <c r="I152" s="364" t="s">
        <v>282</v>
      </c>
      <c r="J152" s="273" t="s">
        <v>104</v>
      </c>
      <c r="K152" s="273" t="s">
        <v>102</v>
      </c>
      <c r="L152" s="273" t="s">
        <v>207</v>
      </c>
      <c r="M152" s="472" t="s">
        <v>201</v>
      </c>
      <c r="N152" s="364" t="s">
        <v>283</v>
      </c>
      <c r="O152" s="365" t="s">
        <v>125</v>
      </c>
      <c r="P152" s="366"/>
      <c r="Q152" s="365" t="b">
        <v>0</v>
      </c>
      <c r="R152" s="2"/>
      <c r="S152" s="2"/>
      <c r="AK152" s="2"/>
      <c r="AL152" s="2"/>
      <c r="AM152" s="2"/>
      <c r="AN152" s="2"/>
      <c r="AO152" s="2"/>
      <c r="AP152" s="2"/>
      <c r="AQ152" s="2"/>
      <c r="AR152" s="2"/>
      <c r="AS152" s="2"/>
      <c r="AT152" s="2"/>
    </row>
    <row r="153">
      <c r="A153" s="161"/>
      <c r="B153" s="161"/>
      <c r="C153" s="161"/>
      <c r="D153" s="161"/>
      <c r="E153" s="341"/>
      <c r="F153" s="342"/>
      <c r="G153" s="343"/>
      <c r="H153" s="273" t="s">
        <v>285</v>
      </c>
      <c r="I153" s="364" t="s">
        <v>282</v>
      </c>
      <c r="J153" s="363">
        <f t="shared" ref="J153:M153" si="24">PARAMS(J152)</f>
        <v>1024</v>
      </c>
      <c r="K153" s="364">
        <f t="shared" si="24"/>
        <v>1</v>
      </c>
      <c r="L153" s="364">
        <f t="shared" si="24"/>
        <v>128</v>
      </c>
      <c r="M153" s="364">
        <f t="shared" si="24"/>
        <v>128</v>
      </c>
      <c r="N153" s="364" t="s">
        <v>283</v>
      </c>
      <c r="O153" s="341"/>
      <c r="P153" s="366">
        <f>SIZEOF_IN_MIB(J153:M153, $O152)</f>
        <v>16</v>
      </c>
      <c r="Q153" s="341"/>
      <c r="R153" s="2"/>
      <c r="S153" s="2"/>
      <c r="AK153" s="2"/>
      <c r="AL153" s="2"/>
      <c r="AM153" s="2"/>
      <c r="AN153" s="2"/>
      <c r="AO153" s="2"/>
      <c r="AP153" s="2"/>
      <c r="AQ153" s="2"/>
      <c r="AR153" s="2"/>
      <c r="AS153" s="2"/>
      <c r="AT153" s="2"/>
    </row>
    <row r="154">
      <c r="A154" s="161"/>
      <c r="B154" s="161"/>
      <c r="C154" s="161"/>
      <c r="D154" s="161"/>
      <c r="E154" s="341"/>
      <c r="F154" s="342"/>
      <c r="G154" s="343"/>
      <c r="H154" s="363" t="s">
        <v>287</v>
      </c>
      <c r="I154" s="363" t="s">
        <v>282</v>
      </c>
      <c r="J154" s="273" t="s">
        <v>196</v>
      </c>
      <c r="K154" s="273"/>
      <c r="L154" s="273"/>
      <c r="M154" s="363"/>
      <c r="N154" s="363" t="s">
        <v>283</v>
      </c>
      <c r="O154" s="341"/>
      <c r="P154" s="366"/>
      <c r="Q154" s="341"/>
      <c r="R154" s="2"/>
      <c r="S154" s="2"/>
      <c r="AG154" s="2"/>
      <c r="AH154" s="2"/>
      <c r="AI154" s="2"/>
      <c r="AJ154" s="2"/>
      <c r="AK154" s="2"/>
      <c r="AL154" s="2"/>
      <c r="AM154" s="2"/>
      <c r="AN154" s="2"/>
      <c r="AO154" s="2"/>
      <c r="AP154" s="2"/>
      <c r="AQ154" s="2"/>
      <c r="AR154" s="2"/>
      <c r="AS154" s="2"/>
      <c r="AT154" s="2"/>
    </row>
    <row r="155">
      <c r="A155" s="161"/>
      <c r="B155" s="161"/>
      <c r="C155" s="161"/>
      <c r="D155" s="161"/>
      <c r="E155" s="341"/>
      <c r="F155" s="353"/>
      <c r="G155" s="354"/>
      <c r="H155" s="273" t="s">
        <v>289</v>
      </c>
      <c r="I155" s="363" t="s">
        <v>282</v>
      </c>
      <c r="J155" s="363">
        <f t="shared" ref="J155:M155" si="25">J153/SHARDING(J154)</f>
        <v>64</v>
      </c>
      <c r="K155" s="363">
        <f t="shared" si="25"/>
        <v>1</v>
      </c>
      <c r="L155" s="363">
        <f t="shared" si="25"/>
        <v>128</v>
      </c>
      <c r="M155" s="363">
        <f t="shared" si="25"/>
        <v>128</v>
      </c>
      <c r="N155" s="363" t="s">
        <v>283</v>
      </c>
      <c r="O155" s="352"/>
      <c r="P155" s="366">
        <f>SIZEOF_IN_MIB(J155:M155, $O152)</f>
        <v>1</v>
      </c>
      <c r="Q155" s="352"/>
      <c r="R155" s="2"/>
      <c r="S155" s="2"/>
      <c r="AG155" s="2"/>
      <c r="AH155" s="2"/>
      <c r="AI155" s="2"/>
      <c r="AJ155" s="2"/>
      <c r="AK155" s="2"/>
      <c r="AL155" s="2"/>
      <c r="AM155" s="2"/>
      <c r="AN155" s="2"/>
      <c r="AO155" s="2"/>
      <c r="AP155" s="2"/>
      <c r="AQ155" s="2"/>
      <c r="AR155" s="2"/>
      <c r="AS155" s="2"/>
      <c r="AT155" s="2"/>
    </row>
    <row r="156">
      <c r="A156" s="161"/>
      <c r="B156" s="161"/>
      <c r="C156" s="161"/>
      <c r="D156" s="161"/>
      <c r="E156" s="341"/>
      <c r="F156" s="334" t="s">
        <v>296</v>
      </c>
      <c r="G156" s="335"/>
      <c r="H156" s="363" t="s">
        <v>281</v>
      </c>
      <c r="I156" s="363" t="s">
        <v>282</v>
      </c>
      <c r="J156" s="364"/>
      <c r="K156" s="273" t="s">
        <v>207</v>
      </c>
      <c r="L156" s="472" t="s">
        <v>201</v>
      </c>
      <c r="M156" s="273" t="s">
        <v>198</v>
      </c>
      <c r="N156" s="363" t="s">
        <v>283</v>
      </c>
      <c r="O156" s="365" t="s">
        <v>125</v>
      </c>
      <c r="P156" s="366"/>
      <c r="Q156" s="365" t="b">
        <v>0</v>
      </c>
      <c r="R156" s="2"/>
      <c r="S156" s="2"/>
      <c r="AG156" s="2"/>
      <c r="AH156" s="2"/>
      <c r="AI156" s="2"/>
      <c r="AJ156" s="2"/>
      <c r="AK156" s="2"/>
      <c r="AL156" s="2"/>
      <c r="AM156" s="2"/>
      <c r="AN156" s="2"/>
      <c r="AO156" s="2"/>
      <c r="AP156" s="2"/>
      <c r="AQ156" s="2"/>
      <c r="AR156" s="2"/>
      <c r="AS156" s="2"/>
      <c r="AT156" s="2"/>
    </row>
    <row r="157">
      <c r="A157" s="161"/>
      <c r="B157" s="161"/>
      <c r="C157" s="161"/>
      <c r="D157" s="161"/>
      <c r="E157" s="341"/>
      <c r="F157" s="342"/>
      <c r="G157" s="343"/>
      <c r="H157" s="273" t="s">
        <v>285</v>
      </c>
      <c r="I157" s="363" t="s">
        <v>282</v>
      </c>
      <c r="J157" s="364"/>
      <c r="K157" s="363">
        <f t="shared" ref="K157:M157" si="26">PARAMS(K156)</f>
        <v>128</v>
      </c>
      <c r="L157" s="363">
        <f t="shared" si="26"/>
        <v>128</v>
      </c>
      <c r="M157" s="363">
        <f t="shared" si="26"/>
        <v>512</v>
      </c>
      <c r="N157" s="363" t="s">
        <v>283</v>
      </c>
      <c r="O157" s="341"/>
      <c r="P157" s="366">
        <f>SIZEOF_IN_MIB(J157:M157, $O156)</f>
        <v>8</v>
      </c>
      <c r="Q157" s="341"/>
      <c r="R157" s="2"/>
      <c r="S157" s="2"/>
      <c r="AG157" s="2"/>
      <c r="AH157" s="2"/>
      <c r="AI157" s="2"/>
      <c r="AJ157" s="2"/>
      <c r="AK157" s="2"/>
      <c r="AL157" s="2"/>
      <c r="AM157" s="2"/>
      <c r="AN157" s="2"/>
      <c r="AO157" s="2"/>
      <c r="AP157" s="2"/>
      <c r="AQ157" s="2"/>
      <c r="AR157" s="2"/>
      <c r="AS157" s="2"/>
      <c r="AT157" s="2"/>
    </row>
    <row r="158">
      <c r="A158" s="161"/>
      <c r="B158" s="161"/>
      <c r="C158" s="161"/>
      <c r="D158" s="161"/>
      <c r="E158" s="341"/>
      <c r="F158" s="342"/>
      <c r="G158" s="343"/>
      <c r="H158" s="363" t="s">
        <v>287</v>
      </c>
      <c r="I158" s="363" t="s">
        <v>282</v>
      </c>
      <c r="J158" s="364"/>
      <c r="K158" s="364"/>
      <c r="L158" s="363"/>
      <c r="M158" s="363"/>
      <c r="N158" s="363" t="s">
        <v>283</v>
      </c>
      <c r="O158" s="341"/>
      <c r="P158" s="366"/>
      <c r="Q158" s="341"/>
      <c r="R158" s="2"/>
      <c r="S158" s="2"/>
      <c r="AG158" s="2"/>
      <c r="AH158" s="2"/>
      <c r="AI158" s="2"/>
      <c r="AJ158" s="2"/>
      <c r="AK158" s="2"/>
      <c r="AL158" s="2"/>
      <c r="AM158" s="2"/>
      <c r="AN158" s="2"/>
      <c r="AO158" s="2"/>
      <c r="AP158" s="2"/>
      <c r="AQ158" s="2"/>
      <c r="AR158" s="2"/>
      <c r="AS158" s="2"/>
      <c r="AT158" s="2"/>
    </row>
    <row r="159">
      <c r="A159" s="161"/>
      <c r="B159" s="161"/>
      <c r="C159" s="161"/>
      <c r="D159" s="161"/>
      <c r="E159" s="341"/>
      <c r="F159" s="353"/>
      <c r="G159" s="354"/>
      <c r="H159" s="349" t="s">
        <v>289</v>
      </c>
      <c r="I159" s="349" t="s">
        <v>282</v>
      </c>
      <c r="J159" s="336"/>
      <c r="K159" s="349">
        <f t="shared" ref="K159:M159" si="27">K157/SHARDING(K158)</f>
        <v>128</v>
      </c>
      <c r="L159" s="349">
        <f t="shared" si="27"/>
        <v>128</v>
      </c>
      <c r="M159" s="349">
        <f t="shared" si="27"/>
        <v>512</v>
      </c>
      <c r="N159" s="349" t="s">
        <v>283</v>
      </c>
      <c r="O159" s="316"/>
      <c r="P159" s="351">
        <f>SIZEOF_IN_MIB(J159:M159, $O156)</f>
        <v>8</v>
      </c>
      <c r="Q159" s="316"/>
      <c r="R159" s="2"/>
      <c r="S159" s="2"/>
      <c r="T159" s="284"/>
      <c r="U159" s="284"/>
      <c r="V159" s="284"/>
      <c r="W159" s="284"/>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61"/>
      <c r="B160" s="161"/>
      <c r="C160" s="161"/>
      <c r="D160" s="161"/>
      <c r="E160" s="341"/>
      <c r="F160" s="334" t="s">
        <v>56</v>
      </c>
      <c r="G160" s="335"/>
      <c r="H160" s="346" t="s">
        <v>281</v>
      </c>
      <c r="I160" s="346" t="s">
        <v>282</v>
      </c>
      <c r="J160" s="344" t="s">
        <v>104</v>
      </c>
      <c r="K160" s="344" t="s">
        <v>102</v>
      </c>
      <c r="L160" s="344" t="s">
        <v>207</v>
      </c>
      <c r="M160" s="344" t="s">
        <v>198</v>
      </c>
      <c r="N160" s="346" t="s">
        <v>283</v>
      </c>
      <c r="O160" s="473" t="s">
        <v>133</v>
      </c>
      <c r="P160" s="348"/>
      <c r="Q160" s="473" t="b">
        <v>0</v>
      </c>
      <c r="R160" s="2"/>
      <c r="S160" s="2"/>
      <c r="T160" s="284"/>
      <c r="U160" s="284"/>
      <c r="V160" s="284"/>
      <c r="W160" s="284"/>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61"/>
      <c r="B161" s="161"/>
      <c r="C161" s="161"/>
      <c r="D161" s="161"/>
      <c r="E161" s="341"/>
      <c r="F161" s="342"/>
      <c r="G161" s="343"/>
      <c r="H161" s="337" t="s">
        <v>285</v>
      </c>
      <c r="I161" s="349" t="s">
        <v>282</v>
      </c>
      <c r="J161" s="349">
        <f t="shared" ref="J161:M161" si="28">PARAMS(J160)</f>
        <v>1024</v>
      </c>
      <c r="K161" s="349">
        <f t="shared" si="28"/>
        <v>1</v>
      </c>
      <c r="L161" s="349">
        <f t="shared" si="28"/>
        <v>128</v>
      </c>
      <c r="M161" s="349">
        <f t="shared" si="28"/>
        <v>512</v>
      </c>
      <c r="N161" s="349" t="s">
        <v>283</v>
      </c>
      <c r="O161" s="350"/>
      <c r="P161" s="351">
        <f>SIZEOF_IN_MIB(J161:M161, $O160)</f>
        <v>128</v>
      </c>
      <c r="Q161" s="350"/>
      <c r="R161" s="2"/>
      <c r="S161" s="2"/>
      <c r="T161" s="284"/>
      <c r="U161" s="284"/>
      <c r="V161" s="284"/>
      <c r="W161" s="284"/>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161"/>
      <c r="B162" s="161"/>
      <c r="C162" s="161"/>
      <c r="D162" s="161"/>
      <c r="E162" s="341"/>
      <c r="F162" s="342"/>
      <c r="G162" s="343"/>
      <c r="H162" s="346" t="s">
        <v>287</v>
      </c>
      <c r="I162" s="346" t="s">
        <v>282</v>
      </c>
      <c r="J162" s="344" t="s">
        <v>196</v>
      </c>
      <c r="K162" s="344"/>
      <c r="L162" s="344"/>
      <c r="M162" s="346"/>
      <c r="N162" s="346" t="s">
        <v>283</v>
      </c>
      <c r="O162" s="347"/>
      <c r="P162" s="348"/>
      <c r="Q162" s="347"/>
      <c r="R162" s="2"/>
      <c r="S162" s="2"/>
      <c r="T162" s="284"/>
      <c r="U162" s="284"/>
      <c r="V162" s="284"/>
      <c r="W162" s="284"/>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161"/>
      <c r="B163" s="161"/>
      <c r="C163" s="161"/>
      <c r="D163" s="161"/>
      <c r="E163" s="341"/>
      <c r="F163" s="353"/>
      <c r="G163" s="354"/>
      <c r="H163" s="349" t="s">
        <v>289</v>
      </c>
      <c r="I163" s="349" t="s">
        <v>282</v>
      </c>
      <c r="J163" s="349">
        <f t="shared" ref="J163:M163" si="29">J161/SHARDING(J162)</f>
        <v>64</v>
      </c>
      <c r="K163" s="349">
        <f t="shared" si="29"/>
        <v>1</v>
      </c>
      <c r="L163" s="349">
        <f t="shared" si="29"/>
        <v>128</v>
      </c>
      <c r="M163" s="349">
        <f t="shared" si="29"/>
        <v>512</v>
      </c>
      <c r="N163" s="349" t="s">
        <v>283</v>
      </c>
      <c r="O163" s="316"/>
      <c r="P163" s="351">
        <f>SIZEOF_IN_MIB(J163:M163, $O160)</f>
        <v>8</v>
      </c>
      <c r="Q163" s="316"/>
      <c r="R163" s="2"/>
      <c r="S163" s="2"/>
      <c r="T163" s="284"/>
      <c r="U163" s="284"/>
      <c r="V163" s="284"/>
      <c r="W163" s="284"/>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161"/>
      <c r="B164" s="161"/>
      <c r="C164" s="161"/>
      <c r="D164" s="161"/>
      <c r="E164" s="341"/>
      <c r="F164" s="474" t="s">
        <v>335</v>
      </c>
      <c r="G164" s="459" t="s">
        <v>109</v>
      </c>
      <c r="H164" s="497"/>
      <c r="I164" s="498"/>
      <c r="J164" s="345"/>
      <c r="K164" s="345"/>
      <c r="L164" s="346"/>
      <c r="M164" s="346"/>
      <c r="N164" s="346"/>
      <c r="O164" s="345"/>
      <c r="P164" s="348"/>
      <c r="Q164" s="379"/>
      <c r="T164" s="4"/>
      <c r="U164" s="4"/>
      <c r="V164" s="4"/>
      <c r="W164" s="4"/>
    </row>
    <row r="165">
      <c r="A165" s="161"/>
      <c r="B165" s="2"/>
      <c r="C165" s="2"/>
      <c r="D165" s="2"/>
      <c r="E165" s="341"/>
      <c r="F165" s="352"/>
      <c r="G165" s="459"/>
      <c r="H165" s="349"/>
      <c r="I165" s="492"/>
      <c r="J165" s="336"/>
      <c r="K165" s="336"/>
      <c r="L165" s="349"/>
      <c r="M165" s="349"/>
      <c r="N165" s="349"/>
      <c r="O165" s="336"/>
      <c r="P165" s="351"/>
      <c r="Q165" s="298"/>
      <c r="T165" s="4"/>
      <c r="U165" s="4"/>
      <c r="V165" s="4"/>
      <c r="W165" s="4"/>
    </row>
    <row r="166">
      <c r="A166" s="2"/>
      <c r="B166" s="2"/>
      <c r="C166" s="2"/>
      <c r="D166" s="2"/>
      <c r="E166" s="341"/>
      <c r="F166" s="458" t="s">
        <v>327</v>
      </c>
      <c r="G166" s="459" t="s">
        <v>328</v>
      </c>
      <c r="H166" s="346" t="str">
        <f>VLOOKUP(O152&amp;","&amp;O156,$T$2:$W$11,4, FALSE)</f>
        <v>fp8</v>
      </c>
      <c r="I166" s="493"/>
      <c r="J166" s="345"/>
      <c r="K166" s="345"/>
      <c r="L166" s="346"/>
      <c r="M166" s="346"/>
      <c r="N166" s="346"/>
      <c r="O166" s="345"/>
      <c r="P166" s="348"/>
      <c r="Q166" s="379"/>
      <c r="T166" s="4"/>
      <c r="U166" s="4"/>
      <c r="V166" s="4"/>
      <c r="W166" s="4"/>
    </row>
    <row r="167">
      <c r="A167" s="161"/>
      <c r="B167" s="161"/>
      <c r="C167" s="161"/>
      <c r="D167" s="161"/>
      <c r="E167" s="341"/>
      <c r="F167" s="341"/>
      <c r="G167" s="455" t="s">
        <v>341</v>
      </c>
      <c r="H167" s="494" t="str">
        <f>CALCULATE_FLOPS(J155:M155,J159:M159,L159,K159,H166)</f>
        <v>#N/A</v>
      </c>
      <c r="I167" s="492"/>
      <c r="J167" s="336"/>
      <c r="K167" s="336"/>
      <c r="L167" s="349"/>
      <c r="M167" s="349"/>
      <c r="N167" s="349"/>
      <c r="O167" s="336"/>
      <c r="P167" s="351"/>
      <c r="Q167" s="298"/>
      <c r="T167" s="4"/>
      <c r="U167" s="4"/>
      <c r="V167" s="4"/>
      <c r="W167" s="4"/>
    </row>
    <row r="168">
      <c r="A168" s="161"/>
      <c r="B168" s="161"/>
      <c r="C168" s="161"/>
      <c r="D168" s="161"/>
      <c r="E168" s="341"/>
      <c r="F168" s="352"/>
      <c r="G168" s="462" t="s">
        <v>330</v>
      </c>
      <c r="H168" s="463" t="str">
        <f>COMPUTE_TIME_MS(H167, H166)</f>
        <v>#N/A</v>
      </c>
      <c r="I168" s="464"/>
      <c r="J168" s="465"/>
      <c r="K168" s="465"/>
      <c r="L168" s="466"/>
      <c r="M168" s="466"/>
      <c r="N168" s="466"/>
      <c r="O168" s="465"/>
      <c r="P168" s="467"/>
      <c r="Q168" s="379"/>
      <c r="T168" s="4"/>
      <c r="U168" s="4"/>
      <c r="V168" s="4"/>
      <c r="W168" s="4"/>
    </row>
    <row r="169">
      <c r="A169" s="161"/>
      <c r="B169" s="161"/>
      <c r="C169" s="161"/>
      <c r="D169" s="161"/>
      <c r="E169" s="341"/>
      <c r="F169" s="458" t="s">
        <v>331</v>
      </c>
      <c r="G169" s="455" t="s">
        <v>332</v>
      </c>
      <c r="H169" s="377">
        <f>IF(Q152,0,P155)+IF(Q156,0,P159)+IF(Q160,0,P163)</f>
        <v>17</v>
      </c>
      <c r="I169" s="336"/>
      <c r="J169" s="336"/>
      <c r="K169" s="336"/>
      <c r="L169" s="349"/>
      <c r="M169" s="349"/>
      <c r="N169" s="349"/>
      <c r="O169" s="336"/>
      <c r="P169" s="351"/>
      <c r="Q169" s="298"/>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52"/>
      <c r="F170" s="352"/>
      <c r="G170" s="469" t="s">
        <v>333</v>
      </c>
      <c r="H170" s="496">
        <f>HBM_TIME_MS(H169)</f>
        <v>0.0056738081</v>
      </c>
      <c r="I170" s="465"/>
      <c r="J170" s="465"/>
      <c r="K170" s="465"/>
      <c r="L170" s="466"/>
      <c r="M170" s="466"/>
      <c r="N170" s="466"/>
      <c r="O170" s="465"/>
      <c r="P170" s="467"/>
      <c r="Q170" s="379"/>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33" t="s">
        <v>343</v>
      </c>
      <c r="F171" s="357" t="s">
        <v>292</v>
      </c>
      <c r="G171" s="335"/>
      <c r="H171" s="336" t="s">
        <v>281</v>
      </c>
      <c r="I171" s="336" t="s">
        <v>282</v>
      </c>
      <c r="J171" s="337"/>
      <c r="K171" s="337" t="s">
        <v>104</v>
      </c>
      <c r="L171" s="337" t="s">
        <v>102</v>
      </c>
      <c r="M171" s="499" t="s">
        <v>178</v>
      </c>
      <c r="N171" s="336" t="s">
        <v>283</v>
      </c>
      <c r="O171" s="338" t="s">
        <v>125</v>
      </c>
      <c r="P171" s="351"/>
      <c r="Q171" s="338" t="b">
        <v>0</v>
      </c>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42"/>
      <c r="G172" s="343"/>
      <c r="H172" s="273" t="s">
        <v>285</v>
      </c>
      <c r="I172" s="364" t="s">
        <v>282</v>
      </c>
      <c r="J172" s="363"/>
      <c r="K172" s="363">
        <f t="shared" ref="K172:M172" si="30">PARAMS(K171)</f>
        <v>1024</v>
      </c>
      <c r="L172" s="364">
        <f t="shared" si="30"/>
        <v>1</v>
      </c>
      <c r="M172" s="364">
        <f t="shared" si="30"/>
        <v>7168</v>
      </c>
      <c r="N172" s="364" t="s">
        <v>283</v>
      </c>
      <c r="O172" s="341"/>
      <c r="P172" s="366">
        <f>SIZEOF_IN_MIB(J172:M172, $O171)</f>
        <v>7</v>
      </c>
      <c r="Q172" s="341"/>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342"/>
      <c r="G173" s="343"/>
      <c r="H173" s="363" t="s">
        <v>287</v>
      </c>
      <c r="I173" s="363" t="s">
        <v>282</v>
      </c>
      <c r="J173" s="364"/>
      <c r="K173" s="273" t="s">
        <v>196</v>
      </c>
      <c r="L173" s="273"/>
      <c r="M173" s="363"/>
      <c r="N173" s="363" t="s">
        <v>283</v>
      </c>
      <c r="O173" s="341"/>
      <c r="P173" s="366"/>
      <c r="Q173" s="341"/>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61"/>
      <c r="B174" s="161"/>
      <c r="C174" s="161"/>
      <c r="D174" s="161"/>
      <c r="E174" s="341"/>
      <c r="F174" s="353"/>
      <c r="G174" s="354"/>
      <c r="H174" s="273" t="s">
        <v>289</v>
      </c>
      <c r="I174" s="363" t="s">
        <v>282</v>
      </c>
      <c r="J174" s="364"/>
      <c r="K174" s="363">
        <f t="shared" ref="K174:M174" si="31">K172/SHARDING(K173)</f>
        <v>64</v>
      </c>
      <c r="L174" s="363">
        <f t="shared" si="31"/>
        <v>1</v>
      </c>
      <c r="M174" s="363">
        <f t="shared" si="31"/>
        <v>7168</v>
      </c>
      <c r="N174" s="363" t="s">
        <v>283</v>
      </c>
      <c r="O174" s="352"/>
      <c r="P174" s="366">
        <f>SIZEOF_IN_MIB(J174:M174, $O171)</f>
        <v>0.4375</v>
      </c>
      <c r="Q174" s="35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161"/>
      <c r="B175" s="161"/>
      <c r="C175" s="161"/>
      <c r="D175" s="161"/>
      <c r="E175" s="341"/>
      <c r="F175" s="334" t="s">
        <v>296</v>
      </c>
      <c r="G175" s="335"/>
      <c r="H175" s="363" t="s">
        <v>281</v>
      </c>
      <c r="I175" s="363" t="s">
        <v>282</v>
      </c>
      <c r="J175" s="364"/>
      <c r="K175" s="273"/>
      <c r="L175" s="472" t="s">
        <v>178</v>
      </c>
      <c r="M175" s="273" t="s">
        <v>210</v>
      </c>
      <c r="N175" s="363" t="s">
        <v>283</v>
      </c>
      <c r="O175" s="365" t="s">
        <v>125</v>
      </c>
      <c r="P175" s="366"/>
      <c r="Q175" s="365" t="b">
        <v>0</v>
      </c>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161"/>
      <c r="B176" s="161"/>
      <c r="C176" s="161"/>
      <c r="D176" s="161"/>
      <c r="E176" s="341"/>
      <c r="F176" s="342"/>
      <c r="G176" s="343"/>
      <c r="H176" s="273" t="s">
        <v>285</v>
      </c>
      <c r="I176" s="363" t="s">
        <v>282</v>
      </c>
      <c r="J176" s="364"/>
      <c r="K176" s="363"/>
      <c r="L176" s="363">
        <f t="shared" ref="L176:M176" si="32">PARAMS(L175)</f>
        <v>7168</v>
      </c>
      <c r="M176" s="363">
        <f t="shared" si="32"/>
        <v>576</v>
      </c>
      <c r="N176" s="363" t="s">
        <v>283</v>
      </c>
      <c r="O176" s="341"/>
      <c r="P176" s="366">
        <f>SIZEOF_IN_MIB(J176:M176, $O175)</f>
        <v>3.9375</v>
      </c>
      <c r="Q176" s="341"/>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61"/>
      <c r="B177" s="161"/>
      <c r="C177" s="161"/>
      <c r="D177" s="161"/>
      <c r="E177" s="341"/>
      <c r="F177" s="342"/>
      <c r="G177" s="343"/>
      <c r="H177" s="363" t="s">
        <v>287</v>
      </c>
      <c r="I177" s="363" t="s">
        <v>282</v>
      </c>
      <c r="J177" s="364"/>
      <c r="K177" s="364"/>
      <c r="L177" s="363"/>
      <c r="M177" s="363"/>
      <c r="N177" s="363" t="s">
        <v>283</v>
      </c>
      <c r="O177" s="341"/>
      <c r="P177" s="366"/>
      <c r="Q177" s="341"/>
    </row>
    <row r="178">
      <c r="A178" s="161"/>
      <c r="B178" s="161"/>
      <c r="C178" s="161"/>
      <c r="D178" s="161"/>
      <c r="E178" s="341"/>
      <c r="F178" s="353"/>
      <c r="G178" s="354"/>
      <c r="H178" s="349" t="s">
        <v>289</v>
      </c>
      <c r="I178" s="349" t="s">
        <v>282</v>
      </c>
      <c r="J178" s="336"/>
      <c r="K178" s="349"/>
      <c r="L178" s="349">
        <f t="shared" ref="L178:M178" si="33">L176/SHARDING(L177)</f>
        <v>7168</v>
      </c>
      <c r="M178" s="349">
        <f t="shared" si="33"/>
        <v>576</v>
      </c>
      <c r="N178" s="349" t="s">
        <v>283</v>
      </c>
      <c r="O178" s="316"/>
      <c r="P178" s="351">
        <f>SIZEOF_IN_MIB(J178:M178, $O175)</f>
        <v>3.9375</v>
      </c>
      <c r="Q178" s="316"/>
    </row>
    <row r="179">
      <c r="A179" s="161"/>
      <c r="B179" s="161"/>
      <c r="C179" s="161"/>
      <c r="D179" s="161"/>
      <c r="E179" s="341"/>
      <c r="F179" s="334" t="s">
        <v>56</v>
      </c>
      <c r="G179" s="335"/>
      <c r="H179" s="346" t="s">
        <v>281</v>
      </c>
      <c r="I179" s="346" t="s">
        <v>282</v>
      </c>
      <c r="J179" s="345"/>
      <c r="K179" s="344" t="s">
        <v>104</v>
      </c>
      <c r="L179" s="344" t="s">
        <v>102</v>
      </c>
      <c r="M179" s="344" t="s">
        <v>210</v>
      </c>
      <c r="N179" s="346" t="s">
        <v>283</v>
      </c>
      <c r="O179" s="473" t="s">
        <v>133</v>
      </c>
      <c r="P179" s="348"/>
      <c r="Q179" s="473" t="b">
        <v>0</v>
      </c>
    </row>
    <row r="180">
      <c r="A180" s="161"/>
      <c r="B180" s="2"/>
      <c r="C180" s="2"/>
      <c r="D180" s="2"/>
      <c r="E180" s="341"/>
      <c r="F180" s="342"/>
      <c r="G180" s="343"/>
      <c r="H180" s="337" t="s">
        <v>285</v>
      </c>
      <c r="I180" s="349" t="s">
        <v>282</v>
      </c>
      <c r="J180" s="336"/>
      <c r="K180" s="349">
        <f t="shared" ref="K180:M180" si="34">PARAMS(K179)</f>
        <v>1024</v>
      </c>
      <c r="L180" s="349">
        <f t="shared" si="34"/>
        <v>1</v>
      </c>
      <c r="M180" s="349">
        <f t="shared" si="34"/>
        <v>576</v>
      </c>
      <c r="N180" s="349" t="s">
        <v>283</v>
      </c>
      <c r="O180" s="350"/>
      <c r="P180" s="351">
        <f>SIZEOF_IN_MIB(K180:M180, $O179)</f>
        <v>1.125</v>
      </c>
      <c r="Q180" s="350"/>
    </row>
    <row r="181">
      <c r="A181" s="2"/>
      <c r="B181" s="2"/>
      <c r="C181" s="2"/>
      <c r="D181" s="2"/>
      <c r="E181" s="341"/>
      <c r="F181" s="342"/>
      <c r="G181" s="343"/>
      <c r="H181" s="346" t="s">
        <v>287</v>
      </c>
      <c r="I181" s="346" t="s">
        <v>282</v>
      </c>
      <c r="J181" s="345"/>
      <c r="K181" s="344" t="s">
        <v>196</v>
      </c>
      <c r="L181" s="344"/>
      <c r="M181" s="346"/>
      <c r="N181" s="346" t="s">
        <v>283</v>
      </c>
      <c r="O181" s="347"/>
      <c r="P181" s="348"/>
      <c r="Q181" s="347"/>
    </row>
    <row r="182">
      <c r="A182" s="161"/>
      <c r="B182" s="161"/>
      <c r="C182" s="161"/>
      <c r="D182" s="161"/>
      <c r="E182" s="341"/>
      <c r="F182" s="353"/>
      <c r="G182" s="354"/>
      <c r="H182" s="349" t="s">
        <v>289</v>
      </c>
      <c r="I182" s="349" t="s">
        <v>282</v>
      </c>
      <c r="J182" s="349"/>
      <c r="K182" s="349">
        <f t="shared" ref="K182:M182" si="35">K180/SHARDING(K181)</f>
        <v>64</v>
      </c>
      <c r="L182" s="349">
        <f t="shared" si="35"/>
        <v>1</v>
      </c>
      <c r="M182" s="349">
        <f t="shared" si="35"/>
        <v>576</v>
      </c>
      <c r="N182" s="349" t="s">
        <v>283</v>
      </c>
      <c r="O182" s="316"/>
      <c r="P182" s="351">
        <f>SIZEOF_IN_MIB(K182:M182, $O179)</f>
        <v>0.0703125</v>
      </c>
      <c r="Q182" s="316"/>
    </row>
    <row r="183">
      <c r="A183" s="161"/>
      <c r="B183" s="161"/>
      <c r="C183" s="161"/>
      <c r="D183" s="161"/>
      <c r="E183" s="341"/>
      <c r="F183" s="474" t="s">
        <v>335</v>
      </c>
      <c r="G183" s="459" t="s">
        <v>109</v>
      </c>
      <c r="H183" s="497"/>
      <c r="I183" s="498"/>
      <c r="J183" s="345"/>
      <c r="K183" s="345"/>
      <c r="L183" s="346"/>
      <c r="M183" s="346"/>
      <c r="N183" s="346"/>
      <c r="O183" s="345"/>
      <c r="P183" s="348"/>
      <c r="Q183" s="379"/>
    </row>
    <row r="184">
      <c r="A184" s="161"/>
      <c r="B184" s="161"/>
      <c r="C184" s="161"/>
      <c r="D184" s="161"/>
      <c r="E184" s="341"/>
      <c r="F184" s="352"/>
      <c r="G184" s="459"/>
      <c r="H184" s="349"/>
      <c r="I184" s="492"/>
      <c r="J184" s="336"/>
      <c r="K184" s="336"/>
      <c r="L184" s="349"/>
      <c r="M184" s="349"/>
      <c r="N184" s="349"/>
      <c r="O184" s="336"/>
      <c r="P184" s="351"/>
      <c r="Q184" s="298"/>
    </row>
    <row r="185">
      <c r="A185" s="161"/>
      <c r="B185" s="161"/>
      <c r="C185" s="161"/>
      <c r="D185" s="161"/>
      <c r="E185" s="341"/>
      <c r="F185" s="458" t="s">
        <v>327</v>
      </c>
      <c r="G185" s="459" t="s">
        <v>328</v>
      </c>
      <c r="H185" s="346" t="str">
        <f>VLOOKUP(O171&amp;","&amp;O175,$T$2:$W$11,4, FALSE)</f>
        <v>fp8</v>
      </c>
      <c r="I185" s="493"/>
      <c r="J185" s="345"/>
      <c r="K185" s="345"/>
      <c r="L185" s="346"/>
      <c r="M185" s="346"/>
      <c r="N185" s="346"/>
      <c r="O185" s="345"/>
      <c r="P185" s="348"/>
      <c r="Q185" s="379"/>
    </row>
    <row r="186">
      <c r="A186" s="161"/>
      <c r="B186" s="161"/>
      <c r="C186" s="161"/>
      <c r="D186" s="161"/>
      <c r="E186" s="341"/>
      <c r="F186" s="341"/>
      <c r="G186" s="455" t="s">
        <v>341</v>
      </c>
      <c r="H186" s="494" t="str">
        <f>CALCULATE_FLOPS(J174:M174,J178:M178,L178,1,H185)</f>
        <v>#N/A</v>
      </c>
      <c r="I186" s="492"/>
      <c r="J186" s="336"/>
      <c r="K186" s="336"/>
      <c r="L186" s="349"/>
      <c r="M186" s="349"/>
      <c r="N186" s="349"/>
      <c r="O186" s="336"/>
      <c r="P186" s="351"/>
      <c r="Q186" s="298"/>
    </row>
    <row r="187">
      <c r="A187" s="161"/>
      <c r="B187" s="161"/>
      <c r="C187" s="161"/>
      <c r="D187" s="161"/>
      <c r="E187" s="341"/>
      <c r="F187" s="352"/>
      <c r="G187" s="462" t="s">
        <v>330</v>
      </c>
      <c r="H187" s="495" t="str">
        <f>COMPUTE_TIME_MS(H186, H185)</f>
        <v>#N/A</v>
      </c>
      <c r="I187" s="464"/>
      <c r="J187" s="465"/>
      <c r="K187" s="465"/>
      <c r="L187" s="466"/>
      <c r="M187" s="466"/>
      <c r="N187" s="466"/>
      <c r="O187" s="465"/>
      <c r="P187" s="467"/>
      <c r="Q187" s="379"/>
    </row>
    <row r="188">
      <c r="A188" s="161"/>
      <c r="B188" s="161"/>
      <c r="C188" s="161"/>
      <c r="D188" s="161"/>
      <c r="E188" s="341"/>
      <c r="F188" s="458" t="s">
        <v>331</v>
      </c>
      <c r="G188" s="455" t="s">
        <v>332</v>
      </c>
      <c r="H188" s="377">
        <f>IF(Q171,0,P174)+IF(Q175,0,P178)+IF(Q179,0,P182)</f>
        <v>4.4453125</v>
      </c>
      <c r="I188" s="336"/>
      <c r="J188" s="336"/>
      <c r="K188" s="336"/>
      <c r="L188" s="349"/>
      <c r="M188" s="349"/>
      <c r="N188" s="349"/>
      <c r="O188" s="336"/>
      <c r="P188" s="351"/>
      <c r="Q188" s="298"/>
    </row>
    <row r="189">
      <c r="A189" s="161"/>
      <c r="B189" s="161"/>
      <c r="C189" s="161"/>
      <c r="D189" s="161"/>
      <c r="E189" s="352"/>
      <c r="F189" s="352"/>
      <c r="G189" s="469" t="s">
        <v>333</v>
      </c>
      <c r="H189" s="500">
        <f>HBM_TIME_MS(H188)</f>
        <v>0.001483638239</v>
      </c>
      <c r="I189" s="465"/>
      <c r="J189" s="465"/>
      <c r="K189" s="465"/>
      <c r="L189" s="466"/>
      <c r="M189" s="466"/>
      <c r="N189" s="466"/>
      <c r="O189" s="465"/>
      <c r="P189" s="467"/>
      <c r="Q189" s="379"/>
    </row>
    <row r="190">
      <c r="A190" s="161"/>
      <c r="B190" s="161"/>
      <c r="C190" s="161"/>
      <c r="D190" s="161"/>
      <c r="E190" s="333" t="s">
        <v>347</v>
      </c>
      <c r="F190" s="357" t="s">
        <v>292</v>
      </c>
      <c r="G190" s="335"/>
      <c r="H190" s="364" t="s">
        <v>281</v>
      </c>
      <c r="I190" s="364" t="s">
        <v>282</v>
      </c>
      <c r="J190" s="273" t="s">
        <v>104</v>
      </c>
      <c r="K190" s="273" t="s">
        <v>102</v>
      </c>
      <c r="L190" s="273" t="s">
        <v>207</v>
      </c>
      <c r="M190" s="472" t="s">
        <v>198</v>
      </c>
      <c r="N190" s="364" t="s">
        <v>283</v>
      </c>
      <c r="O190" s="365" t="s">
        <v>133</v>
      </c>
      <c r="P190" s="366"/>
      <c r="Q190" s="365" t="b">
        <v>0</v>
      </c>
    </row>
    <row r="191">
      <c r="A191" s="161"/>
      <c r="B191" s="161"/>
      <c r="C191" s="161"/>
      <c r="D191" s="161"/>
      <c r="E191" s="341"/>
      <c r="F191" s="342"/>
      <c r="G191" s="343"/>
      <c r="H191" s="273" t="s">
        <v>285</v>
      </c>
      <c r="I191" s="364" t="s">
        <v>282</v>
      </c>
      <c r="J191" s="363">
        <f t="shared" ref="J191:M191" si="36">PARAMS(J190)</f>
        <v>1024</v>
      </c>
      <c r="K191" s="364">
        <f t="shared" si="36"/>
        <v>1</v>
      </c>
      <c r="L191" s="364">
        <f t="shared" si="36"/>
        <v>128</v>
      </c>
      <c r="M191" s="364">
        <f t="shared" si="36"/>
        <v>512</v>
      </c>
      <c r="N191" s="364" t="s">
        <v>283</v>
      </c>
      <c r="O191" s="341"/>
      <c r="P191" s="366">
        <f>SIZEOF_IN_MIB(J191:M191, $O190)</f>
        <v>128</v>
      </c>
      <c r="Q191" s="341"/>
    </row>
    <row r="192">
      <c r="A192" s="161"/>
      <c r="B192" s="161"/>
      <c r="C192" s="161"/>
      <c r="D192" s="161"/>
      <c r="E192" s="341"/>
      <c r="F192" s="342"/>
      <c r="G192" s="343"/>
      <c r="H192" s="363" t="s">
        <v>287</v>
      </c>
      <c r="I192" s="363" t="s">
        <v>282</v>
      </c>
      <c r="J192" s="273" t="s">
        <v>196</v>
      </c>
      <c r="K192" s="273"/>
      <c r="L192" s="273"/>
      <c r="M192" s="363"/>
      <c r="N192" s="363" t="s">
        <v>283</v>
      </c>
      <c r="O192" s="341"/>
      <c r="P192" s="366"/>
      <c r="Q192" s="341"/>
    </row>
    <row r="193">
      <c r="A193" s="161"/>
      <c r="B193" s="161"/>
      <c r="C193" s="161"/>
      <c r="D193" s="161"/>
      <c r="E193" s="341"/>
      <c r="F193" s="353"/>
      <c r="G193" s="354"/>
      <c r="H193" s="273" t="s">
        <v>289</v>
      </c>
      <c r="I193" s="363" t="s">
        <v>282</v>
      </c>
      <c r="J193" s="363">
        <f t="shared" ref="J193:M193" si="37">J191/SHARDING(J192)</f>
        <v>64</v>
      </c>
      <c r="K193" s="363">
        <f t="shared" si="37"/>
        <v>1</v>
      </c>
      <c r="L193" s="363">
        <f t="shared" si="37"/>
        <v>128</v>
      </c>
      <c r="M193" s="363">
        <f t="shared" si="37"/>
        <v>512</v>
      </c>
      <c r="N193" s="363" t="s">
        <v>283</v>
      </c>
      <c r="O193" s="352"/>
      <c r="P193" s="366">
        <f>SIZEOF_IN_MIB(J193:M193, $O190)</f>
        <v>8</v>
      </c>
      <c r="Q193" s="352"/>
    </row>
    <row r="194">
      <c r="A194" s="161"/>
      <c r="B194" s="161"/>
      <c r="C194" s="161"/>
      <c r="D194" s="161"/>
      <c r="E194" s="341"/>
      <c r="F194" s="334" t="s">
        <v>296</v>
      </c>
      <c r="G194" s="335"/>
      <c r="H194" s="363" t="s">
        <v>281</v>
      </c>
      <c r="I194" s="363" t="s">
        <v>282</v>
      </c>
      <c r="J194" s="364"/>
      <c r="K194" s="273" t="s">
        <v>104</v>
      </c>
      <c r="L194" s="273" t="s">
        <v>106</v>
      </c>
      <c r="M194" s="472" t="s">
        <v>198</v>
      </c>
      <c r="N194" s="363" t="s">
        <v>283</v>
      </c>
      <c r="O194" s="365" t="s">
        <v>133</v>
      </c>
      <c r="P194" s="366"/>
      <c r="Q194" s="365" t="b">
        <v>0</v>
      </c>
    </row>
    <row r="195">
      <c r="E195" s="341"/>
      <c r="F195" s="342"/>
      <c r="G195" s="343"/>
      <c r="H195" s="273" t="s">
        <v>285</v>
      </c>
      <c r="I195" s="363" t="s">
        <v>282</v>
      </c>
      <c r="J195" s="364"/>
      <c r="K195" s="363">
        <f t="shared" ref="K195:M195" si="38">PARAMS(K194)</f>
        <v>1024</v>
      </c>
      <c r="L195" s="363">
        <f t="shared" si="38"/>
        <v>5120</v>
      </c>
      <c r="M195" s="363">
        <f t="shared" si="38"/>
        <v>512</v>
      </c>
      <c r="N195" s="363" t="s">
        <v>283</v>
      </c>
      <c r="O195" s="341"/>
      <c r="P195" s="366">
        <f>SIZEOF_IN_MIB(J195:M195, $O194)</f>
        <v>5120</v>
      </c>
      <c r="Q195" s="341"/>
    </row>
    <row r="196">
      <c r="E196" s="341"/>
      <c r="F196" s="342"/>
      <c r="G196" s="343"/>
      <c r="H196" s="363" t="s">
        <v>287</v>
      </c>
      <c r="I196" s="363" t="s">
        <v>282</v>
      </c>
      <c r="J196" s="364"/>
      <c r="K196" s="273" t="s">
        <v>196</v>
      </c>
      <c r="L196" s="363"/>
      <c r="M196" s="363"/>
      <c r="N196" s="363" t="s">
        <v>283</v>
      </c>
      <c r="O196" s="341"/>
      <c r="P196" s="366"/>
      <c r="Q196" s="341"/>
    </row>
    <row r="197">
      <c r="E197" s="341"/>
      <c r="F197" s="353"/>
      <c r="G197" s="354"/>
      <c r="H197" s="349" t="s">
        <v>289</v>
      </c>
      <c r="I197" s="349" t="s">
        <v>282</v>
      </c>
      <c r="J197" s="336"/>
      <c r="K197" s="349">
        <f t="shared" ref="K197:M197" si="39">K195/SHARDING(K196)</f>
        <v>64</v>
      </c>
      <c r="L197" s="349">
        <f t="shared" si="39"/>
        <v>5120</v>
      </c>
      <c r="M197" s="349">
        <f t="shared" si="39"/>
        <v>512</v>
      </c>
      <c r="N197" s="349" t="s">
        <v>283</v>
      </c>
      <c r="O197" s="316"/>
      <c r="P197" s="351">
        <f>SIZEOF_IN_MIB(J197:M197, $O194)</f>
        <v>320</v>
      </c>
      <c r="Q197" s="316"/>
    </row>
    <row r="198">
      <c r="E198" s="341"/>
      <c r="F198" s="334" t="s">
        <v>56</v>
      </c>
      <c r="G198" s="335"/>
      <c r="H198" s="346" t="s">
        <v>281</v>
      </c>
      <c r="I198" s="346" t="s">
        <v>282</v>
      </c>
      <c r="J198" s="344" t="s">
        <v>104</v>
      </c>
      <c r="K198" s="344" t="s">
        <v>102</v>
      </c>
      <c r="L198" s="344" t="s">
        <v>106</v>
      </c>
      <c r="M198" s="344" t="s">
        <v>207</v>
      </c>
      <c r="N198" s="346" t="s">
        <v>283</v>
      </c>
      <c r="O198" s="473" t="s">
        <v>133</v>
      </c>
      <c r="P198" s="348"/>
      <c r="Q198" s="473" t="b">
        <v>1</v>
      </c>
    </row>
    <row r="199">
      <c r="E199" s="341"/>
      <c r="F199" s="342"/>
      <c r="G199" s="343"/>
      <c r="H199" s="337" t="s">
        <v>285</v>
      </c>
      <c r="I199" s="349" t="s">
        <v>282</v>
      </c>
      <c r="J199" s="349">
        <f t="shared" ref="J199:M199" si="40">PARAMS(J198)</f>
        <v>1024</v>
      </c>
      <c r="K199" s="349">
        <f t="shared" si="40"/>
        <v>1</v>
      </c>
      <c r="L199" s="349">
        <f t="shared" si="40"/>
        <v>5120</v>
      </c>
      <c r="M199" s="349">
        <f t="shared" si="40"/>
        <v>128</v>
      </c>
      <c r="N199" s="349" t="s">
        <v>283</v>
      </c>
      <c r="O199" s="350"/>
      <c r="P199" s="351">
        <f>SIZEOF_IN_MIB(J199:M199, $O198)</f>
        <v>1280</v>
      </c>
      <c r="Q199" s="350"/>
    </row>
    <row r="200">
      <c r="E200" s="341"/>
      <c r="F200" s="342"/>
      <c r="G200" s="343"/>
      <c r="H200" s="346" t="s">
        <v>287</v>
      </c>
      <c r="I200" s="346" t="s">
        <v>282</v>
      </c>
      <c r="J200" s="344" t="s">
        <v>196</v>
      </c>
      <c r="K200" s="344"/>
      <c r="L200" s="344"/>
      <c r="M200" s="346"/>
      <c r="N200" s="346" t="s">
        <v>283</v>
      </c>
      <c r="O200" s="347"/>
      <c r="P200" s="348"/>
      <c r="Q200" s="347"/>
    </row>
    <row r="201">
      <c r="E201" s="341"/>
      <c r="F201" s="353"/>
      <c r="G201" s="354"/>
      <c r="H201" s="349" t="s">
        <v>289</v>
      </c>
      <c r="I201" s="349" t="s">
        <v>282</v>
      </c>
      <c r="J201" s="349">
        <f t="shared" ref="J201:M201" si="41">J199/SHARDING(J200)</f>
        <v>64</v>
      </c>
      <c r="K201" s="349">
        <f t="shared" si="41"/>
        <v>1</v>
      </c>
      <c r="L201" s="349">
        <f t="shared" si="41"/>
        <v>5120</v>
      </c>
      <c r="M201" s="349">
        <f t="shared" si="41"/>
        <v>128</v>
      </c>
      <c r="N201" s="349" t="s">
        <v>283</v>
      </c>
      <c r="O201" s="316"/>
      <c r="P201" s="351">
        <f>SIZEOF_IN_MIB(J201:M201, $O198)</f>
        <v>80</v>
      </c>
      <c r="Q201" s="316"/>
    </row>
    <row r="202">
      <c r="E202" s="341"/>
      <c r="F202" s="474" t="s">
        <v>335</v>
      </c>
      <c r="G202" s="459" t="s">
        <v>109</v>
      </c>
      <c r="H202" s="544" t="s">
        <v>348</v>
      </c>
      <c r="I202" s="345"/>
      <c r="J202" s="345"/>
      <c r="K202" s="345"/>
      <c r="L202" s="346"/>
      <c r="M202" s="346"/>
      <c r="N202" s="346"/>
      <c r="O202" s="545"/>
      <c r="P202" s="348"/>
      <c r="Q202" s="545"/>
    </row>
    <row r="203">
      <c r="E203" s="341"/>
      <c r="F203" s="352"/>
      <c r="G203" s="459"/>
      <c r="H203" s="349"/>
      <c r="I203" s="492"/>
      <c r="J203" s="336"/>
      <c r="K203" s="336"/>
      <c r="L203" s="349"/>
      <c r="M203" s="349"/>
      <c r="N203" s="349"/>
      <c r="O203" s="336"/>
      <c r="P203" s="351"/>
      <c r="Q203" s="298"/>
    </row>
    <row r="204">
      <c r="E204" s="341"/>
      <c r="F204" s="458" t="s">
        <v>327</v>
      </c>
      <c r="G204" s="459" t="s">
        <v>328</v>
      </c>
      <c r="H204" s="346" t="str">
        <f>VLOOKUP(O190&amp;","&amp;O194,$T$2:$W$11,4, FALSE)</f>
        <v>bf16</v>
      </c>
      <c r="I204" s="493"/>
      <c r="J204" s="345"/>
      <c r="K204" s="345"/>
      <c r="L204" s="346"/>
      <c r="M204" s="346"/>
      <c r="N204" s="346"/>
      <c r="O204" s="345"/>
      <c r="P204" s="348"/>
      <c r="Q204" s="379"/>
    </row>
    <row r="205">
      <c r="E205" s="341"/>
      <c r="F205" s="341"/>
      <c r="G205" s="455" t="s">
        <v>341</v>
      </c>
      <c r="H205" s="494" t="str">
        <f>CALCULATE_FLOPS(J193:M193,J197:M197,M197,K197,H204)</f>
        <v>#N/A</v>
      </c>
      <c r="I205" s="492"/>
      <c r="J205" s="336"/>
      <c r="K205" s="336"/>
      <c r="L205" s="349"/>
      <c r="M205" s="349"/>
      <c r="N205" s="349"/>
      <c r="O205" s="336"/>
      <c r="P205" s="351"/>
      <c r="Q205" s="298"/>
    </row>
    <row r="206">
      <c r="E206" s="341"/>
      <c r="F206" s="352"/>
      <c r="G206" s="462" t="s">
        <v>330</v>
      </c>
      <c r="H206" s="463" t="str">
        <f>COMPUTE_TIME_MS(H205, H204)</f>
        <v>#N/A</v>
      </c>
      <c r="I206" s="464"/>
      <c r="J206" s="465"/>
      <c r="K206" s="465"/>
      <c r="L206" s="466"/>
      <c r="M206" s="466"/>
      <c r="N206" s="466"/>
      <c r="O206" s="465"/>
      <c r="P206" s="467"/>
      <c r="Q206" s="379"/>
    </row>
    <row r="207">
      <c r="E207" s="341"/>
      <c r="F207" s="458" t="s">
        <v>331</v>
      </c>
      <c r="G207" s="455" t="s">
        <v>332</v>
      </c>
      <c r="H207" s="377">
        <f>IF(Q190,0,P193)+IF(Q194,0,P197)+IF(Q198,0,P201)</f>
        <v>328</v>
      </c>
      <c r="I207" s="336"/>
      <c r="J207" s="336"/>
      <c r="K207" s="336"/>
      <c r="L207" s="349"/>
      <c r="M207" s="349"/>
      <c r="N207" s="349"/>
      <c r="O207" s="336"/>
      <c r="P207" s="351"/>
      <c r="Q207" s="298"/>
    </row>
    <row r="208">
      <c r="E208" s="352"/>
      <c r="F208" s="352"/>
      <c r="G208" s="469" t="s">
        <v>333</v>
      </c>
      <c r="H208" s="500">
        <f>HBM_TIME_MS(H207)</f>
        <v>0.109471121</v>
      </c>
      <c r="I208" s="465"/>
      <c r="J208" s="465"/>
      <c r="K208" s="465"/>
      <c r="L208" s="466"/>
      <c r="M208" s="466"/>
      <c r="N208" s="466"/>
      <c r="O208" s="465"/>
      <c r="P208" s="467"/>
      <c r="Q208" s="379"/>
    </row>
    <row r="209">
      <c r="E209" s="333" t="s">
        <v>349</v>
      </c>
      <c r="F209" s="357" t="s">
        <v>292</v>
      </c>
      <c r="G209" s="335"/>
      <c r="H209" s="364" t="s">
        <v>281</v>
      </c>
      <c r="I209" s="364" t="s">
        <v>282</v>
      </c>
      <c r="J209" s="273" t="s">
        <v>104</v>
      </c>
      <c r="K209" s="273" t="s">
        <v>102</v>
      </c>
      <c r="L209" s="273" t="s">
        <v>207</v>
      </c>
      <c r="M209" s="472" t="s">
        <v>204</v>
      </c>
      <c r="N209" s="364" t="s">
        <v>283</v>
      </c>
      <c r="O209" s="365" t="s">
        <v>133</v>
      </c>
      <c r="P209" s="366"/>
      <c r="Q209" s="365" t="b">
        <v>0</v>
      </c>
    </row>
    <row r="210">
      <c r="E210" s="341"/>
      <c r="F210" s="342"/>
      <c r="G210" s="343"/>
      <c r="H210" s="273" t="s">
        <v>285</v>
      </c>
      <c r="I210" s="364" t="s">
        <v>282</v>
      </c>
      <c r="J210" s="363">
        <f t="shared" ref="J210:M210" si="42">PARAMS(J209)</f>
        <v>1024</v>
      </c>
      <c r="K210" s="364">
        <f t="shared" si="42"/>
        <v>1</v>
      </c>
      <c r="L210" s="364">
        <f t="shared" si="42"/>
        <v>128</v>
      </c>
      <c r="M210" s="364">
        <f t="shared" si="42"/>
        <v>64</v>
      </c>
      <c r="N210" s="364" t="s">
        <v>283</v>
      </c>
      <c r="O210" s="341"/>
      <c r="P210" s="366">
        <f>SIZEOF_IN_MIB(J210:M210, $O209)</f>
        <v>16</v>
      </c>
      <c r="Q210" s="341"/>
    </row>
    <row r="211">
      <c r="E211" s="341"/>
      <c r="F211" s="342"/>
      <c r="G211" s="343"/>
      <c r="H211" s="363" t="s">
        <v>287</v>
      </c>
      <c r="I211" s="363" t="s">
        <v>282</v>
      </c>
      <c r="J211" s="273" t="s">
        <v>196</v>
      </c>
      <c r="K211" s="273"/>
      <c r="L211" s="273"/>
      <c r="M211" s="363"/>
      <c r="N211" s="363" t="s">
        <v>283</v>
      </c>
      <c r="O211" s="341"/>
      <c r="P211" s="366"/>
      <c r="Q211" s="341"/>
    </row>
    <row r="212">
      <c r="E212" s="341"/>
      <c r="F212" s="353"/>
      <c r="G212" s="354"/>
      <c r="H212" s="273" t="s">
        <v>289</v>
      </c>
      <c r="I212" s="363" t="s">
        <v>282</v>
      </c>
      <c r="J212" s="363">
        <f t="shared" ref="J212:M212" si="43">J210/SHARDING(J211)</f>
        <v>64</v>
      </c>
      <c r="K212" s="363">
        <f t="shared" si="43"/>
        <v>1</v>
      </c>
      <c r="L212" s="363">
        <f t="shared" si="43"/>
        <v>128</v>
      </c>
      <c r="M212" s="363">
        <f t="shared" si="43"/>
        <v>64</v>
      </c>
      <c r="N212" s="363" t="s">
        <v>283</v>
      </c>
      <c r="O212" s="352"/>
      <c r="P212" s="366">
        <f>SIZEOF_IN_MIB(J212:M212, $O209)</f>
        <v>1</v>
      </c>
      <c r="Q212" s="352"/>
    </row>
    <row r="213">
      <c r="E213" s="341"/>
      <c r="F213" s="334" t="s">
        <v>296</v>
      </c>
      <c r="G213" s="335"/>
      <c r="H213" s="363" t="s">
        <v>281</v>
      </c>
      <c r="I213" s="363" t="s">
        <v>282</v>
      </c>
      <c r="J213" s="364"/>
      <c r="K213" s="273" t="s">
        <v>104</v>
      </c>
      <c r="L213" s="273" t="s">
        <v>106</v>
      </c>
      <c r="M213" s="472" t="s">
        <v>204</v>
      </c>
      <c r="N213" s="363" t="s">
        <v>283</v>
      </c>
      <c r="O213" s="365" t="s">
        <v>133</v>
      </c>
      <c r="P213" s="366"/>
      <c r="Q213" s="365" t="b">
        <v>0</v>
      </c>
    </row>
    <row r="214">
      <c r="E214" s="341"/>
      <c r="F214" s="342"/>
      <c r="G214" s="343"/>
      <c r="H214" s="273" t="s">
        <v>285</v>
      </c>
      <c r="I214" s="363" t="s">
        <v>282</v>
      </c>
      <c r="J214" s="364"/>
      <c r="K214" s="363">
        <f t="shared" ref="K214:M214" si="44">PARAMS(K213)</f>
        <v>1024</v>
      </c>
      <c r="L214" s="363">
        <f t="shared" si="44"/>
        <v>5120</v>
      </c>
      <c r="M214" s="363">
        <f t="shared" si="44"/>
        <v>64</v>
      </c>
      <c r="N214" s="363" t="s">
        <v>283</v>
      </c>
      <c r="O214" s="341"/>
      <c r="P214" s="366">
        <f>SIZEOF_IN_MIB(J214:M214, $O213)</f>
        <v>640</v>
      </c>
      <c r="Q214" s="341"/>
    </row>
    <row r="215">
      <c r="E215" s="341"/>
      <c r="F215" s="342"/>
      <c r="G215" s="343"/>
      <c r="H215" s="363" t="s">
        <v>287</v>
      </c>
      <c r="I215" s="363" t="s">
        <v>282</v>
      </c>
      <c r="J215" s="364"/>
      <c r="K215" s="273" t="s">
        <v>196</v>
      </c>
      <c r="L215" s="363"/>
      <c r="M215" s="363"/>
      <c r="N215" s="363" t="s">
        <v>283</v>
      </c>
      <c r="O215" s="341"/>
      <c r="P215" s="366"/>
      <c r="Q215" s="341"/>
    </row>
    <row r="216">
      <c r="E216" s="341"/>
      <c r="F216" s="353"/>
      <c r="G216" s="354"/>
      <c r="H216" s="349" t="s">
        <v>289</v>
      </c>
      <c r="I216" s="349" t="s">
        <v>282</v>
      </c>
      <c r="J216" s="336"/>
      <c r="K216" s="349">
        <f t="shared" ref="K216:M216" si="45">K214/SHARDING(K215)</f>
        <v>64</v>
      </c>
      <c r="L216" s="349">
        <f t="shared" si="45"/>
        <v>5120</v>
      </c>
      <c r="M216" s="349">
        <f t="shared" si="45"/>
        <v>64</v>
      </c>
      <c r="N216" s="349" t="s">
        <v>283</v>
      </c>
      <c r="O216" s="316"/>
      <c r="P216" s="351">
        <f>SIZEOF_IN_MIB(J216:M216, $O213)</f>
        <v>40</v>
      </c>
      <c r="Q216" s="316"/>
    </row>
    <row r="217">
      <c r="E217" s="341"/>
      <c r="F217" s="334" t="s">
        <v>56</v>
      </c>
      <c r="G217" s="335"/>
      <c r="H217" s="346" t="s">
        <v>281</v>
      </c>
      <c r="I217" s="346" t="s">
        <v>282</v>
      </c>
      <c r="J217" s="344" t="s">
        <v>104</v>
      </c>
      <c r="K217" s="344" t="s">
        <v>102</v>
      </c>
      <c r="L217" s="344" t="s">
        <v>106</v>
      </c>
      <c r="M217" s="344" t="s">
        <v>207</v>
      </c>
      <c r="N217" s="346" t="s">
        <v>283</v>
      </c>
      <c r="O217" s="546" t="s">
        <v>133</v>
      </c>
      <c r="P217" s="348"/>
      <c r="Q217" s="473" t="b">
        <v>1</v>
      </c>
    </row>
    <row r="218">
      <c r="E218" s="341"/>
      <c r="F218" s="342"/>
      <c r="G218" s="343"/>
      <c r="H218" s="337" t="s">
        <v>285</v>
      </c>
      <c r="I218" s="349" t="s">
        <v>282</v>
      </c>
      <c r="J218" s="349">
        <f t="shared" ref="J218:M218" si="46">PARAMS(J217)</f>
        <v>1024</v>
      </c>
      <c r="K218" s="349">
        <f t="shared" si="46"/>
        <v>1</v>
      </c>
      <c r="L218" s="349">
        <f t="shared" si="46"/>
        <v>5120</v>
      </c>
      <c r="M218" s="349">
        <f t="shared" si="46"/>
        <v>128</v>
      </c>
      <c r="N218" s="349" t="s">
        <v>283</v>
      </c>
      <c r="O218" s="350"/>
      <c r="P218" s="351">
        <f>SIZEOF_IN_MIB(J218:M218, $O217)</f>
        <v>1280</v>
      </c>
      <c r="Q218" s="350"/>
    </row>
    <row r="219">
      <c r="E219" s="341"/>
      <c r="F219" s="342"/>
      <c r="G219" s="343"/>
      <c r="H219" s="346" t="s">
        <v>287</v>
      </c>
      <c r="I219" s="346" t="s">
        <v>282</v>
      </c>
      <c r="J219" s="344" t="s">
        <v>196</v>
      </c>
      <c r="K219" s="344"/>
      <c r="L219" s="344"/>
      <c r="M219" s="346"/>
      <c r="N219" s="346" t="s">
        <v>283</v>
      </c>
      <c r="O219" s="347"/>
      <c r="P219" s="348"/>
      <c r="Q219" s="347"/>
    </row>
    <row r="220">
      <c r="E220" s="341"/>
      <c r="F220" s="353"/>
      <c r="G220" s="354"/>
      <c r="H220" s="349" t="s">
        <v>289</v>
      </c>
      <c r="I220" s="349" t="s">
        <v>282</v>
      </c>
      <c r="J220" s="349">
        <f t="shared" ref="J220:M220" si="47">J218/SHARDING(J219)</f>
        <v>64</v>
      </c>
      <c r="K220" s="349">
        <f t="shared" si="47"/>
        <v>1</v>
      </c>
      <c r="L220" s="349">
        <f t="shared" si="47"/>
        <v>5120</v>
      </c>
      <c r="M220" s="349">
        <f t="shared" si="47"/>
        <v>128</v>
      </c>
      <c r="N220" s="349" t="s">
        <v>283</v>
      </c>
      <c r="O220" s="316"/>
      <c r="P220" s="351">
        <f>SIZEOF_IN_MIB(J220:M220, $O217)</f>
        <v>80</v>
      </c>
      <c r="Q220" s="316"/>
    </row>
    <row r="221">
      <c r="E221" s="341"/>
      <c r="F221" s="474" t="s">
        <v>335</v>
      </c>
      <c r="G221" s="459" t="s">
        <v>109</v>
      </c>
      <c r="H221" s="497"/>
      <c r="I221" s="498"/>
      <c r="J221" s="345"/>
      <c r="K221" s="345"/>
      <c r="L221" s="346"/>
      <c r="M221" s="346"/>
      <c r="N221" s="346"/>
      <c r="O221" s="345"/>
      <c r="P221" s="348"/>
      <c r="Q221" s="379"/>
    </row>
    <row r="222">
      <c r="E222" s="341"/>
      <c r="F222" s="352"/>
      <c r="G222" s="459"/>
      <c r="H222" s="349"/>
      <c r="I222" s="492"/>
      <c r="J222" s="336"/>
      <c r="K222" s="336"/>
      <c r="L222" s="349"/>
      <c r="M222" s="349"/>
      <c r="N222" s="349"/>
      <c r="O222" s="336"/>
      <c r="P222" s="351"/>
      <c r="Q222" s="298"/>
    </row>
    <row r="223">
      <c r="E223" s="341"/>
      <c r="F223" s="458" t="s">
        <v>327</v>
      </c>
      <c r="G223" s="459" t="s">
        <v>328</v>
      </c>
      <c r="H223" s="346" t="str">
        <f>VLOOKUP(O209&amp;","&amp;O213,$T$2:$W$11,4, FALSE)</f>
        <v>bf16</v>
      </c>
      <c r="I223" s="493"/>
      <c r="J223" s="345"/>
      <c r="K223" s="345"/>
      <c r="L223" s="346"/>
      <c r="M223" s="346"/>
      <c r="N223" s="346"/>
      <c r="O223" s="345"/>
      <c r="P223" s="348"/>
      <c r="Q223" s="379"/>
    </row>
    <row r="224">
      <c r="E224" s="341"/>
      <c r="F224" s="341"/>
      <c r="G224" s="455" t="s">
        <v>341</v>
      </c>
      <c r="H224" s="494" t="str">
        <f>CALCULATE_FLOPS(J212:M212,J216:M216,M216,K216,H223)</f>
        <v>#N/A</v>
      </c>
      <c r="I224" s="492"/>
      <c r="J224" s="336"/>
      <c r="K224" s="336"/>
      <c r="L224" s="349"/>
      <c r="M224" s="349"/>
      <c r="N224" s="349"/>
      <c r="O224" s="336"/>
      <c r="P224" s="351"/>
      <c r="Q224" s="298"/>
    </row>
    <row r="225">
      <c r="E225" s="341"/>
      <c r="F225" s="352"/>
      <c r="G225" s="462" t="s">
        <v>330</v>
      </c>
      <c r="H225" s="495" t="str">
        <f>COMPUTE_TIME_MS(H224, H223)</f>
        <v>#N/A</v>
      </c>
      <c r="I225" s="464"/>
      <c r="J225" s="465"/>
      <c r="K225" s="465"/>
      <c r="L225" s="466"/>
      <c r="M225" s="466"/>
      <c r="N225" s="466"/>
      <c r="O225" s="465"/>
      <c r="P225" s="467"/>
      <c r="Q225" s="379"/>
    </row>
    <row r="226">
      <c r="E226" s="341"/>
      <c r="F226" s="458" t="s">
        <v>331</v>
      </c>
      <c r="G226" s="455" t="s">
        <v>332</v>
      </c>
      <c r="H226" s="377">
        <f>IF(Q209,0,P212)+IF(Q213,0,P216)+IF(Q217,0,P220)</f>
        <v>41</v>
      </c>
      <c r="I226" s="336"/>
      <c r="J226" s="336"/>
      <c r="K226" s="336"/>
      <c r="L226" s="349"/>
      <c r="M226" s="349"/>
      <c r="N226" s="349"/>
      <c r="O226" s="336"/>
      <c r="P226" s="351"/>
      <c r="Q226" s="298"/>
    </row>
    <row r="227">
      <c r="E227" s="352"/>
      <c r="F227" s="352"/>
      <c r="G227" s="469" t="s">
        <v>333</v>
      </c>
      <c r="H227" s="500">
        <f>HBM_TIME_MS(H226)</f>
        <v>0.01368389012</v>
      </c>
      <c r="I227" s="465"/>
      <c r="J227" s="465"/>
      <c r="K227" s="465"/>
      <c r="L227" s="466"/>
      <c r="M227" s="466"/>
      <c r="N227" s="466"/>
      <c r="O227" s="465"/>
      <c r="P227" s="467"/>
      <c r="Q227" s="379"/>
    </row>
    <row r="228">
      <c r="E228" s="333" t="s">
        <v>350</v>
      </c>
      <c r="F228" s="357" t="s">
        <v>292</v>
      </c>
      <c r="G228" s="335"/>
      <c r="H228" s="364" t="s">
        <v>281</v>
      </c>
      <c r="I228" s="364" t="s">
        <v>282</v>
      </c>
      <c r="J228" s="273" t="s">
        <v>104</v>
      </c>
      <c r="K228" s="273" t="s">
        <v>102</v>
      </c>
      <c r="L228" s="472" t="s">
        <v>106</v>
      </c>
      <c r="M228" s="273" t="s">
        <v>207</v>
      </c>
      <c r="N228" s="364" t="s">
        <v>283</v>
      </c>
      <c r="O228" s="365" t="s">
        <v>133</v>
      </c>
      <c r="P228" s="366"/>
      <c r="Q228" s="365" t="b">
        <v>1</v>
      </c>
    </row>
    <row r="229">
      <c r="E229" s="341"/>
      <c r="F229" s="342"/>
      <c r="G229" s="343"/>
      <c r="H229" s="273" t="s">
        <v>285</v>
      </c>
      <c r="I229" s="364" t="s">
        <v>282</v>
      </c>
      <c r="J229" s="363">
        <f t="shared" ref="J229:M229" si="48">PARAMS(J228)</f>
        <v>1024</v>
      </c>
      <c r="K229" s="364">
        <f t="shared" si="48"/>
        <v>1</v>
      </c>
      <c r="L229" s="364">
        <f t="shared" si="48"/>
        <v>5120</v>
      </c>
      <c r="M229" s="364">
        <f t="shared" si="48"/>
        <v>128</v>
      </c>
      <c r="N229" s="364" t="s">
        <v>283</v>
      </c>
      <c r="O229" s="341"/>
      <c r="P229" s="366">
        <f>SIZEOF_IN_MIB(J229:M229, $O228)</f>
        <v>1280</v>
      </c>
      <c r="Q229" s="341"/>
    </row>
    <row r="230">
      <c r="E230" s="341"/>
      <c r="F230" s="342"/>
      <c r="G230" s="343"/>
      <c r="H230" s="363" t="s">
        <v>287</v>
      </c>
      <c r="I230" s="363" t="s">
        <v>282</v>
      </c>
      <c r="J230" s="273" t="s">
        <v>196</v>
      </c>
      <c r="K230" s="273"/>
      <c r="L230" s="273"/>
      <c r="M230" s="363"/>
      <c r="N230" s="363" t="s">
        <v>283</v>
      </c>
      <c r="O230" s="341"/>
      <c r="P230" s="366"/>
      <c r="Q230" s="341"/>
    </row>
    <row r="231">
      <c r="E231" s="341"/>
      <c r="F231" s="353"/>
      <c r="G231" s="354"/>
      <c r="H231" s="273" t="s">
        <v>289</v>
      </c>
      <c r="I231" s="363" t="s">
        <v>282</v>
      </c>
      <c r="J231" s="363">
        <f t="shared" ref="J231:M231" si="49">J229/SHARDING(J230)</f>
        <v>64</v>
      </c>
      <c r="K231" s="363">
        <f t="shared" si="49"/>
        <v>1</v>
      </c>
      <c r="L231" s="363">
        <f t="shared" si="49"/>
        <v>5120</v>
      </c>
      <c r="M231" s="363">
        <f t="shared" si="49"/>
        <v>128</v>
      </c>
      <c r="N231" s="363" t="s">
        <v>283</v>
      </c>
      <c r="O231" s="352"/>
      <c r="P231" s="366">
        <f>SIZEOF_IN_MIB(J231:M231, $O228)</f>
        <v>80</v>
      </c>
      <c r="Q231" s="352"/>
    </row>
    <row r="232">
      <c r="E232" s="341"/>
      <c r="F232" s="334" t="s">
        <v>296</v>
      </c>
      <c r="G232" s="335"/>
      <c r="H232" s="363" t="s">
        <v>281</v>
      </c>
      <c r="I232" s="363" t="s">
        <v>282</v>
      </c>
      <c r="J232" s="273" t="s">
        <v>104</v>
      </c>
      <c r="K232" s="273"/>
      <c r="L232" s="472" t="s">
        <v>106</v>
      </c>
      <c r="M232" s="273" t="s">
        <v>198</v>
      </c>
      <c r="N232" s="363" t="s">
        <v>283</v>
      </c>
      <c r="O232" s="365" t="s">
        <v>133</v>
      </c>
      <c r="P232" s="366"/>
      <c r="Q232" s="365" t="b">
        <v>1</v>
      </c>
    </row>
    <row r="233">
      <c r="E233" s="341"/>
      <c r="F233" s="342"/>
      <c r="G233" s="343"/>
      <c r="H233" s="273" t="s">
        <v>285</v>
      </c>
      <c r="I233" s="363" t="s">
        <v>282</v>
      </c>
      <c r="J233" s="363">
        <f>PARAMS(J232)</f>
        <v>1024</v>
      </c>
      <c r="K233" s="363"/>
      <c r="L233" s="363">
        <f t="shared" ref="L233:M233" si="50">PARAMS(L232)</f>
        <v>5120</v>
      </c>
      <c r="M233" s="363">
        <f t="shared" si="50"/>
        <v>512</v>
      </c>
      <c r="N233" s="363" t="s">
        <v>283</v>
      </c>
      <c r="O233" s="341"/>
      <c r="P233" s="366">
        <f>SIZEOF_IN_MIB(J233:M233, $O232)</f>
        <v>5120</v>
      </c>
      <c r="Q233" s="341"/>
    </row>
    <row r="234">
      <c r="E234" s="341"/>
      <c r="F234" s="342"/>
      <c r="G234" s="343"/>
      <c r="H234" s="363" t="s">
        <v>287</v>
      </c>
      <c r="I234" s="363" t="s">
        <v>282</v>
      </c>
      <c r="J234" s="273" t="s">
        <v>196</v>
      </c>
      <c r="K234" s="364"/>
      <c r="L234" s="363"/>
      <c r="M234" s="363"/>
      <c r="N234" s="363" t="s">
        <v>283</v>
      </c>
      <c r="O234" s="341"/>
      <c r="P234" s="366"/>
      <c r="Q234" s="341"/>
    </row>
    <row r="235">
      <c r="E235" s="341"/>
      <c r="F235" s="353"/>
      <c r="G235" s="354"/>
      <c r="H235" s="349" t="s">
        <v>289</v>
      </c>
      <c r="I235" s="349" t="s">
        <v>282</v>
      </c>
      <c r="J235" s="349">
        <f>J233/SHARDING(J234)</f>
        <v>64</v>
      </c>
      <c r="K235" s="349"/>
      <c r="L235" s="349">
        <f t="shared" ref="L235:M235" si="51">L233/SHARDING(L234)</f>
        <v>5120</v>
      </c>
      <c r="M235" s="349">
        <f t="shared" si="51"/>
        <v>512</v>
      </c>
      <c r="N235" s="349" t="s">
        <v>283</v>
      </c>
      <c r="O235" s="316"/>
      <c r="P235" s="351">
        <f>SIZEOF_IN_MIB(J235:M235, $O232)</f>
        <v>320</v>
      </c>
      <c r="Q235" s="316"/>
    </row>
    <row r="236">
      <c r="E236" s="341"/>
      <c r="F236" s="334" t="s">
        <v>56</v>
      </c>
      <c r="G236" s="335"/>
      <c r="H236" s="346" t="s">
        <v>281</v>
      </c>
      <c r="I236" s="346" t="s">
        <v>282</v>
      </c>
      <c r="J236" s="344" t="s">
        <v>104</v>
      </c>
      <c r="K236" s="344" t="s">
        <v>102</v>
      </c>
      <c r="L236" s="344" t="s">
        <v>207</v>
      </c>
      <c r="M236" s="344" t="s">
        <v>198</v>
      </c>
      <c r="N236" s="346" t="s">
        <v>283</v>
      </c>
      <c r="O236" s="546" t="s">
        <v>133</v>
      </c>
      <c r="P236" s="348"/>
      <c r="Q236" s="473" t="b">
        <v>0</v>
      </c>
    </row>
    <row r="237">
      <c r="E237" s="341"/>
      <c r="F237" s="342"/>
      <c r="G237" s="343"/>
      <c r="H237" s="337" t="s">
        <v>285</v>
      </c>
      <c r="I237" s="349" t="s">
        <v>282</v>
      </c>
      <c r="J237" s="349">
        <f t="shared" ref="J237:M237" si="52">PARAMS(J236)</f>
        <v>1024</v>
      </c>
      <c r="K237" s="349">
        <f t="shared" si="52"/>
        <v>1</v>
      </c>
      <c r="L237" s="349">
        <f t="shared" si="52"/>
        <v>128</v>
      </c>
      <c r="M237" s="349">
        <f t="shared" si="52"/>
        <v>512</v>
      </c>
      <c r="N237" s="349" t="s">
        <v>283</v>
      </c>
      <c r="O237" s="350"/>
      <c r="P237" s="351">
        <f>SIZEOF_IN_MIB(J237:M237, $O236)</f>
        <v>128</v>
      </c>
      <c r="Q237" s="350"/>
    </row>
    <row r="238">
      <c r="E238" s="341"/>
      <c r="F238" s="342"/>
      <c r="G238" s="343"/>
      <c r="H238" s="346" t="s">
        <v>287</v>
      </c>
      <c r="I238" s="346" t="s">
        <v>282</v>
      </c>
      <c r="J238" s="344" t="s">
        <v>196</v>
      </c>
      <c r="K238" s="344"/>
      <c r="L238" s="344"/>
      <c r="M238" s="346"/>
      <c r="N238" s="346" t="s">
        <v>283</v>
      </c>
      <c r="O238" s="347"/>
      <c r="P238" s="348"/>
      <c r="Q238" s="347"/>
    </row>
    <row r="239">
      <c r="E239" s="341"/>
      <c r="F239" s="353"/>
      <c r="G239" s="354"/>
      <c r="H239" s="349" t="s">
        <v>289</v>
      </c>
      <c r="I239" s="349" t="s">
        <v>282</v>
      </c>
      <c r="J239" s="349">
        <f t="shared" ref="J239:M239" si="53">J237/SHARDING(J238)</f>
        <v>64</v>
      </c>
      <c r="K239" s="349">
        <f t="shared" si="53"/>
        <v>1</v>
      </c>
      <c r="L239" s="349">
        <f t="shared" si="53"/>
        <v>128</v>
      </c>
      <c r="M239" s="349">
        <f t="shared" si="53"/>
        <v>512</v>
      </c>
      <c r="N239" s="349" t="s">
        <v>283</v>
      </c>
      <c r="O239" s="316"/>
      <c r="P239" s="351">
        <f>SIZEOF_IN_MIB(J239:M239, $O236)</f>
        <v>8</v>
      </c>
      <c r="Q239" s="316"/>
    </row>
    <row r="240">
      <c r="E240" s="341"/>
      <c r="F240" s="474" t="s">
        <v>335</v>
      </c>
      <c r="G240" s="459" t="s">
        <v>109</v>
      </c>
      <c r="H240" s="497"/>
      <c r="I240" s="498"/>
      <c r="J240" s="345"/>
      <c r="K240" s="345"/>
      <c r="L240" s="346"/>
      <c r="M240" s="346"/>
      <c r="N240" s="346"/>
      <c r="O240" s="345"/>
      <c r="P240" s="348"/>
      <c r="Q240" s="379"/>
    </row>
    <row r="241">
      <c r="E241" s="341"/>
      <c r="F241" s="352"/>
      <c r="G241" s="459"/>
      <c r="H241" s="349"/>
      <c r="I241" s="492"/>
      <c r="J241" s="336"/>
      <c r="K241" s="336"/>
      <c r="L241" s="349"/>
      <c r="M241" s="349"/>
      <c r="N241" s="349"/>
      <c r="O241" s="336"/>
      <c r="P241" s="351"/>
      <c r="Q241" s="298"/>
    </row>
    <row r="242">
      <c r="E242" s="341"/>
      <c r="F242" s="458" t="s">
        <v>327</v>
      </c>
      <c r="G242" s="459" t="s">
        <v>328</v>
      </c>
      <c r="H242" s="346" t="str">
        <f>VLOOKUP(O228&amp;","&amp;O232,$T$2:$W$11,4, FALSE)</f>
        <v>bf16</v>
      </c>
      <c r="I242" s="493"/>
      <c r="J242" s="345"/>
      <c r="K242" s="345"/>
      <c r="L242" s="346"/>
      <c r="M242" s="346"/>
      <c r="N242" s="346"/>
      <c r="O242" s="345"/>
      <c r="P242" s="348"/>
      <c r="Q242" s="379"/>
    </row>
    <row r="243">
      <c r="E243" s="341"/>
      <c r="F243" s="341"/>
      <c r="G243" s="455" t="s">
        <v>341</v>
      </c>
      <c r="H243" s="494" t="str">
        <f>CALCULATE_FLOPS(J231:M231,J235:M235,L235,J235,H242)</f>
        <v>#N/A</v>
      </c>
      <c r="I243" s="492"/>
      <c r="J243" s="336"/>
      <c r="K243" s="336"/>
      <c r="L243" s="349"/>
      <c r="M243" s="349"/>
      <c r="N243" s="349"/>
      <c r="O243" s="336"/>
      <c r="P243" s="351"/>
      <c r="Q243" s="298"/>
    </row>
    <row r="244">
      <c r="E244" s="341"/>
      <c r="F244" s="352"/>
      <c r="G244" s="462" t="s">
        <v>330</v>
      </c>
      <c r="H244" s="495" t="str">
        <f>COMPUTE_TIME_MS(H243, H242)</f>
        <v>#N/A</v>
      </c>
      <c r="I244" s="464"/>
      <c r="J244" s="465"/>
      <c r="K244" s="465"/>
      <c r="L244" s="466"/>
      <c r="M244" s="466"/>
      <c r="N244" s="466"/>
      <c r="O244" s="465"/>
      <c r="P244" s="467"/>
      <c r="Q244" s="379"/>
    </row>
    <row r="245">
      <c r="E245" s="341"/>
      <c r="F245" s="458" t="s">
        <v>331</v>
      </c>
      <c r="G245" s="455" t="s">
        <v>332</v>
      </c>
      <c r="H245" s="377">
        <f>IF(Q228,0,P231)+IF(Q232,0,P235)+IF(Q236,0,P239)</f>
        <v>8</v>
      </c>
      <c r="I245" s="336"/>
      <c r="J245" s="336"/>
      <c r="K245" s="336"/>
      <c r="L245" s="349"/>
      <c r="M245" s="349"/>
      <c r="N245" s="349"/>
      <c r="O245" s="336"/>
      <c r="P245" s="351"/>
      <c r="Q245" s="298"/>
    </row>
    <row r="246">
      <c r="E246" s="352"/>
      <c r="F246" s="352"/>
      <c r="G246" s="469" t="s">
        <v>333</v>
      </c>
      <c r="H246" s="547">
        <f>HBM_TIME_MS(H245)</f>
        <v>0.002670027341</v>
      </c>
      <c r="I246" s="465"/>
      <c r="J246" s="465"/>
      <c r="K246" s="465"/>
      <c r="L246" s="466"/>
      <c r="M246" s="466"/>
      <c r="N246" s="466"/>
      <c r="O246" s="465"/>
      <c r="P246" s="467"/>
      <c r="Q246" s="379"/>
    </row>
    <row r="247">
      <c r="E247" s="333" t="s">
        <v>351</v>
      </c>
      <c r="F247" s="357" t="s">
        <v>292</v>
      </c>
      <c r="G247" s="335"/>
      <c r="H247" s="336" t="s">
        <v>281</v>
      </c>
      <c r="I247" s="336" t="s">
        <v>282</v>
      </c>
      <c r="J247" s="337" t="s">
        <v>104</v>
      </c>
      <c r="K247" s="337" t="s">
        <v>102</v>
      </c>
      <c r="L247" s="337" t="s">
        <v>207</v>
      </c>
      <c r="M247" s="499" t="s">
        <v>198</v>
      </c>
      <c r="N247" s="336" t="s">
        <v>283</v>
      </c>
      <c r="O247" s="338" t="s">
        <v>125</v>
      </c>
      <c r="P247" s="351"/>
      <c r="Q247" s="338" t="b">
        <v>0</v>
      </c>
    </row>
    <row r="248">
      <c r="E248" s="341"/>
      <c r="F248" s="342"/>
      <c r="G248" s="343"/>
      <c r="H248" s="344" t="s">
        <v>285</v>
      </c>
      <c r="I248" s="345" t="s">
        <v>282</v>
      </c>
      <c r="J248" s="346">
        <f t="shared" ref="J248:M248" si="54">PARAMS(J247)</f>
        <v>1024</v>
      </c>
      <c r="K248" s="345">
        <f t="shared" si="54"/>
        <v>1</v>
      </c>
      <c r="L248" s="345">
        <f t="shared" si="54"/>
        <v>128</v>
      </c>
      <c r="M248" s="345">
        <f t="shared" si="54"/>
        <v>512</v>
      </c>
      <c r="N248" s="345" t="s">
        <v>283</v>
      </c>
      <c r="O248" s="347"/>
      <c r="P248" s="348">
        <f>SIZEOF_IN_MIB(J248:M248, $O247)</f>
        <v>64</v>
      </c>
      <c r="Q248" s="347"/>
    </row>
    <row r="249">
      <c r="E249" s="341"/>
      <c r="F249" s="342"/>
      <c r="G249" s="343"/>
      <c r="H249" s="349" t="s">
        <v>287</v>
      </c>
      <c r="I249" s="349" t="s">
        <v>282</v>
      </c>
      <c r="J249" s="337" t="s">
        <v>196</v>
      </c>
      <c r="K249" s="337"/>
      <c r="L249" s="337"/>
      <c r="M249" s="349"/>
      <c r="N249" s="349" t="s">
        <v>283</v>
      </c>
      <c r="O249" s="350"/>
      <c r="P249" s="351"/>
      <c r="Q249" s="350"/>
    </row>
    <row r="250">
      <c r="E250" s="341"/>
      <c r="F250" s="353"/>
      <c r="G250" s="354"/>
      <c r="H250" s="344" t="s">
        <v>289</v>
      </c>
      <c r="I250" s="346" t="s">
        <v>282</v>
      </c>
      <c r="J250" s="346">
        <f t="shared" ref="J250:M250" si="55">J248/SHARDING(J249)</f>
        <v>64</v>
      </c>
      <c r="K250" s="346">
        <f t="shared" si="55"/>
        <v>1</v>
      </c>
      <c r="L250" s="346">
        <f t="shared" si="55"/>
        <v>128</v>
      </c>
      <c r="M250" s="346">
        <f t="shared" si="55"/>
        <v>512</v>
      </c>
      <c r="N250" s="346" t="s">
        <v>283</v>
      </c>
      <c r="O250" s="355"/>
      <c r="P250" s="348">
        <f>SIZEOF_IN_MIB(J250:M250, $O247)</f>
        <v>4</v>
      </c>
      <c r="Q250" s="355"/>
    </row>
    <row r="251">
      <c r="E251" s="341"/>
      <c r="F251" s="334" t="s">
        <v>296</v>
      </c>
      <c r="G251" s="335"/>
      <c r="H251" s="349" t="s">
        <v>281</v>
      </c>
      <c r="I251" s="349" t="s">
        <v>282</v>
      </c>
      <c r="J251" s="336"/>
      <c r="K251" s="337" t="s">
        <v>207</v>
      </c>
      <c r="L251" s="337" t="s">
        <v>201</v>
      </c>
      <c r="M251" s="499" t="s">
        <v>198</v>
      </c>
      <c r="N251" s="349" t="s">
        <v>283</v>
      </c>
      <c r="O251" s="338" t="s">
        <v>125</v>
      </c>
      <c r="P251" s="351"/>
      <c r="Q251" s="338" t="b">
        <v>0</v>
      </c>
    </row>
    <row r="252">
      <c r="E252" s="341"/>
      <c r="F252" s="342"/>
      <c r="G252" s="343"/>
      <c r="H252" s="344" t="s">
        <v>285</v>
      </c>
      <c r="I252" s="346" t="s">
        <v>282</v>
      </c>
      <c r="J252" s="345"/>
      <c r="K252" s="346">
        <f t="shared" ref="K252:M252" si="56">PARAMS(K251)</f>
        <v>128</v>
      </c>
      <c r="L252" s="346">
        <f t="shared" si="56"/>
        <v>128</v>
      </c>
      <c r="M252" s="346">
        <f t="shared" si="56"/>
        <v>512</v>
      </c>
      <c r="N252" s="346" t="s">
        <v>283</v>
      </c>
      <c r="O252" s="347"/>
      <c r="P252" s="348">
        <f>SIZEOF_IN_MIB(J252:M252, $O251)</f>
        <v>8</v>
      </c>
      <c r="Q252" s="347"/>
    </row>
    <row r="253">
      <c r="E253" s="341"/>
      <c r="F253" s="342"/>
      <c r="G253" s="343"/>
      <c r="H253" s="349" t="s">
        <v>287</v>
      </c>
      <c r="I253" s="349" t="s">
        <v>282</v>
      </c>
      <c r="J253" s="336"/>
      <c r="K253" s="336"/>
      <c r="L253" s="349"/>
      <c r="M253" s="349"/>
      <c r="N253" s="349" t="s">
        <v>283</v>
      </c>
      <c r="O253" s="350"/>
      <c r="P253" s="351"/>
      <c r="Q253" s="350"/>
    </row>
    <row r="254">
      <c r="E254" s="341"/>
      <c r="F254" s="353"/>
      <c r="G254" s="354"/>
      <c r="H254" s="346" t="s">
        <v>289</v>
      </c>
      <c r="I254" s="346" t="s">
        <v>282</v>
      </c>
      <c r="J254" s="345"/>
      <c r="K254" s="346">
        <f t="shared" ref="K254:M254" si="57">K252/SHARDING(K253)</f>
        <v>128</v>
      </c>
      <c r="L254" s="346">
        <f t="shared" si="57"/>
        <v>128</v>
      </c>
      <c r="M254" s="346">
        <f t="shared" si="57"/>
        <v>512</v>
      </c>
      <c r="N254" s="346" t="s">
        <v>283</v>
      </c>
      <c r="O254" s="355"/>
      <c r="P254" s="348">
        <f>SIZEOF_IN_MIB(J254:M254, $O251)</f>
        <v>8</v>
      </c>
      <c r="Q254" s="355"/>
    </row>
    <row r="255">
      <c r="E255" s="341"/>
      <c r="F255" s="334" t="s">
        <v>56</v>
      </c>
      <c r="G255" s="335"/>
      <c r="H255" s="349" t="s">
        <v>281</v>
      </c>
      <c r="I255" s="349" t="s">
        <v>282</v>
      </c>
      <c r="J255" s="337" t="s">
        <v>104</v>
      </c>
      <c r="K255" s="337" t="s">
        <v>102</v>
      </c>
      <c r="L255" s="337" t="s">
        <v>207</v>
      </c>
      <c r="M255" s="337" t="s">
        <v>201</v>
      </c>
      <c r="N255" s="349" t="s">
        <v>283</v>
      </c>
      <c r="O255" s="338" t="s">
        <v>133</v>
      </c>
      <c r="P255" s="351"/>
      <c r="Q255" s="338" t="b">
        <v>0</v>
      </c>
    </row>
    <row r="256">
      <c r="E256" s="341"/>
      <c r="F256" s="342"/>
      <c r="G256" s="343"/>
      <c r="H256" s="344" t="s">
        <v>285</v>
      </c>
      <c r="I256" s="346" t="s">
        <v>282</v>
      </c>
      <c r="J256" s="346">
        <f t="shared" ref="J256:M256" si="58">PARAMS(J255)</f>
        <v>1024</v>
      </c>
      <c r="K256" s="346">
        <f t="shared" si="58"/>
        <v>1</v>
      </c>
      <c r="L256" s="346">
        <f t="shared" si="58"/>
        <v>128</v>
      </c>
      <c r="M256" s="346">
        <f t="shared" si="58"/>
        <v>128</v>
      </c>
      <c r="N256" s="346" t="s">
        <v>283</v>
      </c>
      <c r="O256" s="347"/>
      <c r="P256" s="348">
        <f>SIZEOF_IN_MIB(J256:M256, $O255)</f>
        <v>32</v>
      </c>
      <c r="Q256" s="347"/>
    </row>
    <row r="257">
      <c r="E257" s="341"/>
      <c r="F257" s="342"/>
      <c r="G257" s="343"/>
      <c r="H257" s="349" t="s">
        <v>287</v>
      </c>
      <c r="I257" s="349" t="s">
        <v>282</v>
      </c>
      <c r="J257" s="337" t="s">
        <v>196</v>
      </c>
      <c r="K257" s="337"/>
      <c r="L257" s="337"/>
      <c r="M257" s="349"/>
      <c r="N257" s="349" t="s">
        <v>283</v>
      </c>
      <c r="O257" s="350"/>
      <c r="P257" s="351"/>
      <c r="Q257" s="350"/>
    </row>
    <row r="258">
      <c r="E258" s="341"/>
      <c r="F258" s="353"/>
      <c r="G258" s="354"/>
      <c r="H258" s="346" t="s">
        <v>289</v>
      </c>
      <c r="I258" s="346" t="s">
        <v>282</v>
      </c>
      <c r="J258" s="346">
        <f t="shared" ref="J258:M258" si="59">J256/SHARDING(J257)</f>
        <v>64</v>
      </c>
      <c r="K258" s="346">
        <f t="shared" si="59"/>
        <v>1</v>
      </c>
      <c r="L258" s="346">
        <f t="shared" si="59"/>
        <v>128</v>
      </c>
      <c r="M258" s="346">
        <f t="shared" si="59"/>
        <v>128</v>
      </c>
      <c r="N258" s="346" t="s">
        <v>283</v>
      </c>
      <c r="O258" s="355"/>
      <c r="P258" s="348">
        <f>SIZEOF_IN_MIB(J258:M258, $O255)</f>
        <v>2</v>
      </c>
      <c r="Q258" s="355"/>
    </row>
    <row r="259">
      <c r="E259" s="341"/>
      <c r="F259" s="474" t="s">
        <v>335</v>
      </c>
      <c r="G259" s="459" t="s">
        <v>109</v>
      </c>
      <c r="H259" s="548"/>
      <c r="I259" s="549"/>
      <c r="J259" s="336"/>
      <c r="K259" s="336"/>
      <c r="L259" s="349"/>
      <c r="M259" s="349"/>
      <c r="N259" s="349"/>
      <c r="O259" s="336"/>
      <c r="P259" s="351"/>
      <c r="Q259" s="298"/>
    </row>
    <row r="260">
      <c r="E260" s="341"/>
      <c r="F260" s="352"/>
      <c r="G260" s="459"/>
      <c r="H260" s="346"/>
      <c r="I260" s="493"/>
      <c r="J260" s="345"/>
      <c r="K260" s="345"/>
      <c r="L260" s="346"/>
      <c r="M260" s="346"/>
      <c r="N260" s="346"/>
      <c r="O260" s="345"/>
      <c r="P260" s="348"/>
      <c r="Q260" s="379"/>
    </row>
    <row r="261">
      <c r="E261" s="341"/>
      <c r="F261" s="458" t="s">
        <v>327</v>
      </c>
      <c r="G261" s="459" t="s">
        <v>328</v>
      </c>
      <c r="H261" s="349" t="str">
        <f>VLOOKUP(O247&amp;","&amp;O251,$T$2:$W$11,4, FALSE)</f>
        <v>fp8</v>
      </c>
      <c r="I261" s="492"/>
      <c r="J261" s="336"/>
      <c r="K261" s="336"/>
      <c r="L261" s="349"/>
      <c r="M261" s="349"/>
      <c r="N261" s="349"/>
      <c r="O261" s="336"/>
      <c r="P261" s="351"/>
      <c r="Q261" s="298"/>
    </row>
    <row r="262">
      <c r="E262" s="341"/>
      <c r="F262" s="341"/>
      <c r="G262" s="455" t="s">
        <v>341</v>
      </c>
      <c r="H262" s="550" t="str">
        <f>CALCULATE_FLOPS(J250:M250,J254:M254,M254,K254,H261)</f>
        <v>#N/A</v>
      </c>
      <c r="I262" s="493"/>
      <c r="J262" s="345"/>
      <c r="K262" s="345"/>
      <c r="L262" s="346"/>
      <c r="M262" s="346"/>
      <c r="N262" s="346"/>
      <c r="O262" s="345"/>
      <c r="P262" s="348"/>
      <c r="Q262" s="379"/>
    </row>
    <row r="263">
      <c r="E263" s="341"/>
      <c r="F263" s="352"/>
      <c r="G263" s="462" t="s">
        <v>330</v>
      </c>
      <c r="H263" s="495" t="str">
        <f>COMPUTE_TIME_MS(H262, H261)</f>
        <v>#N/A</v>
      </c>
      <c r="I263" s="464"/>
      <c r="J263" s="465"/>
      <c r="K263" s="465"/>
      <c r="L263" s="466"/>
      <c r="M263" s="466"/>
      <c r="N263" s="466"/>
      <c r="O263" s="465"/>
      <c r="P263" s="467"/>
      <c r="Q263" s="298"/>
    </row>
    <row r="264">
      <c r="E264" s="341"/>
      <c r="F264" s="458" t="s">
        <v>331</v>
      </c>
      <c r="G264" s="455" t="s">
        <v>332</v>
      </c>
      <c r="H264" s="509">
        <f>IF(Q247,0,P250)+IF(Q251,0,P254)+IF(Q255,0,P258)</f>
        <v>14</v>
      </c>
      <c r="I264" s="345"/>
      <c r="J264" s="345"/>
      <c r="K264" s="345"/>
      <c r="L264" s="346"/>
      <c r="M264" s="346"/>
      <c r="N264" s="346"/>
      <c r="O264" s="345"/>
      <c r="P264" s="348"/>
      <c r="Q264" s="379"/>
    </row>
    <row r="265">
      <c r="E265" s="352"/>
      <c r="F265" s="352"/>
      <c r="G265" s="469" t="s">
        <v>333</v>
      </c>
      <c r="H265" s="500">
        <f>HBM_TIME_MS(H264)</f>
        <v>0.004672547847</v>
      </c>
      <c r="I265" s="465"/>
      <c r="J265" s="465"/>
      <c r="K265" s="465"/>
      <c r="L265" s="466"/>
      <c r="M265" s="466"/>
      <c r="N265" s="466"/>
      <c r="O265" s="465"/>
      <c r="P265" s="467"/>
      <c r="Q265" s="298"/>
    </row>
    <row r="266">
      <c r="E266" s="333" t="s">
        <v>355</v>
      </c>
      <c r="F266" s="357" t="s">
        <v>292</v>
      </c>
      <c r="G266" s="335"/>
      <c r="H266" s="345" t="s">
        <v>281</v>
      </c>
      <c r="I266" s="345" t="s">
        <v>282</v>
      </c>
      <c r="J266" s="344" t="s">
        <v>104</v>
      </c>
      <c r="K266" s="344" t="s">
        <v>102</v>
      </c>
      <c r="L266" s="556" t="s">
        <v>207</v>
      </c>
      <c r="M266" s="556" t="s">
        <v>201</v>
      </c>
      <c r="N266" s="345" t="s">
        <v>283</v>
      </c>
      <c r="O266" s="473" t="s">
        <v>125</v>
      </c>
      <c r="P266" s="348"/>
      <c r="Q266" s="473" t="b">
        <v>0</v>
      </c>
    </row>
    <row r="267">
      <c r="E267" s="341"/>
      <c r="F267" s="342"/>
      <c r="G267" s="343"/>
      <c r="H267" s="337" t="s">
        <v>285</v>
      </c>
      <c r="I267" s="336" t="s">
        <v>282</v>
      </c>
      <c r="J267" s="349">
        <f t="shared" ref="J267:M267" si="60">PARAMS(J266)</f>
        <v>1024</v>
      </c>
      <c r="K267" s="336">
        <f t="shared" si="60"/>
        <v>1</v>
      </c>
      <c r="L267" s="336">
        <f t="shared" si="60"/>
        <v>128</v>
      </c>
      <c r="M267" s="336">
        <f t="shared" si="60"/>
        <v>128</v>
      </c>
      <c r="N267" s="336" t="s">
        <v>283</v>
      </c>
      <c r="O267" s="350"/>
      <c r="P267" s="351">
        <f>SIZEOF_IN_MIB(J267:M267, $O266)</f>
        <v>16</v>
      </c>
      <c r="Q267" s="350"/>
    </row>
    <row r="268">
      <c r="E268" s="341"/>
      <c r="F268" s="342"/>
      <c r="G268" s="343"/>
      <c r="H268" s="346" t="s">
        <v>287</v>
      </c>
      <c r="I268" s="346" t="s">
        <v>282</v>
      </c>
      <c r="J268" s="344" t="s">
        <v>196</v>
      </c>
      <c r="K268" s="344"/>
      <c r="L268" s="344"/>
      <c r="M268" s="346"/>
      <c r="N268" s="346" t="s">
        <v>283</v>
      </c>
      <c r="O268" s="347"/>
      <c r="P268" s="348"/>
      <c r="Q268" s="347"/>
    </row>
    <row r="269">
      <c r="E269" s="341"/>
      <c r="F269" s="353"/>
      <c r="G269" s="354"/>
      <c r="H269" s="337" t="s">
        <v>289</v>
      </c>
      <c r="I269" s="349" t="s">
        <v>282</v>
      </c>
      <c r="J269" s="349">
        <f t="shared" ref="J269:M269" si="61">J267/SHARDING(J268)</f>
        <v>64</v>
      </c>
      <c r="K269" s="349">
        <f t="shared" si="61"/>
        <v>1</v>
      </c>
      <c r="L269" s="349">
        <f t="shared" si="61"/>
        <v>128</v>
      </c>
      <c r="M269" s="349">
        <f t="shared" si="61"/>
        <v>128</v>
      </c>
      <c r="N269" s="349" t="s">
        <v>283</v>
      </c>
      <c r="O269" s="316"/>
      <c r="P269" s="351">
        <f>SIZEOF_IN_MIB(J269:M269, $O266)</f>
        <v>1</v>
      </c>
      <c r="Q269" s="316"/>
    </row>
    <row r="270">
      <c r="E270" s="341"/>
      <c r="F270" s="334" t="s">
        <v>296</v>
      </c>
      <c r="G270" s="335"/>
      <c r="H270" s="346" t="s">
        <v>281</v>
      </c>
      <c r="I270" s="346" t="s">
        <v>282</v>
      </c>
      <c r="J270" s="345"/>
      <c r="K270" s="556" t="s">
        <v>207</v>
      </c>
      <c r="L270" s="556" t="s">
        <v>201</v>
      </c>
      <c r="M270" s="344" t="s">
        <v>178</v>
      </c>
      <c r="N270" s="346" t="s">
        <v>283</v>
      </c>
      <c r="O270" s="473" t="s">
        <v>125</v>
      </c>
      <c r="P270" s="348"/>
      <c r="Q270" s="473" t="b">
        <v>0</v>
      </c>
    </row>
    <row r="271">
      <c r="E271" s="341"/>
      <c r="F271" s="342"/>
      <c r="G271" s="343"/>
      <c r="H271" s="337" t="s">
        <v>285</v>
      </c>
      <c r="I271" s="349" t="s">
        <v>282</v>
      </c>
      <c r="J271" s="336"/>
      <c r="K271" s="349">
        <f t="shared" ref="K271:M271" si="62">PARAMS(K270)</f>
        <v>128</v>
      </c>
      <c r="L271" s="349">
        <f t="shared" si="62"/>
        <v>128</v>
      </c>
      <c r="M271" s="349">
        <f t="shared" si="62"/>
        <v>7168</v>
      </c>
      <c r="N271" s="349" t="s">
        <v>283</v>
      </c>
      <c r="O271" s="350"/>
      <c r="P271" s="351">
        <f>SIZEOF_IN_MIB(J271:M271, $O270)</f>
        <v>112</v>
      </c>
      <c r="Q271" s="350"/>
    </row>
    <row r="272">
      <c r="E272" s="341"/>
      <c r="F272" s="342"/>
      <c r="G272" s="343"/>
      <c r="H272" s="346" t="s">
        <v>287</v>
      </c>
      <c r="I272" s="346" t="s">
        <v>282</v>
      </c>
      <c r="J272" s="345"/>
      <c r="K272" s="345"/>
      <c r="L272" s="346"/>
      <c r="M272" s="346"/>
      <c r="N272" s="346" t="s">
        <v>283</v>
      </c>
      <c r="O272" s="347"/>
      <c r="P272" s="348"/>
      <c r="Q272" s="347"/>
    </row>
    <row r="273">
      <c r="E273" s="341"/>
      <c r="F273" s="353"/>
      <c r="G273" s="354"/>
      <c r="H273" s="349" t="s">
        <v>289</v>
      </c>
      <c r="I273" s="349" t="s">
        <v>282</v>
      </c>
      <c r="J273" s="336"/>
      <c r="K273" s="349">
        <f t="shared" ref="K273:M273" si="63">K271/SHARDING(K272)</f>
        <v>128</v>
      </c>
      <c r="L273" s="349">
        <f t="shared" si="63"/>
        <v>128</v>
      </c>
      <c r="M273" s="349">
        <f t="shared" si="63"/>
        <v>7168</v>
      </c>
      <c r="N273" s="349" t="s">
        <v>283</v>
      </c>
      <c r="O273" s="316"/>
      <c r="P273" s="351">
        <f>SIZEOF_IN_MIB(J273:M273, $O270)</f>
        <v>112</v>
      </c>
      <c r="Q273" s="316"/>
    </row>
    <row r="274">
      <c r="E274" s="341"/>
      <c r="F274" s="334" t="s">
        <v>56</v>
      </c>
      <c r="G274" s="335"/>
      <c r="H274" s="346" t="s">
        <v>281</v>
      </c>
      <c r="I274" s="346" t="s">
        <v>282</v>
      </c>
      <c r="J274" s="345"/>
      <c r="K274" s="344" t="s">
        <v>104</v>
      </c>
      <c r="L274" s="344" t="s">
        <v>102</v>
      </c>
      <c r="M274" s="344" t="s">
        <v>178</v>
      </c>
      <c r="N274" s="346" t="s">
        <v>283</v>
      </c>
      <c r="O274" s="473" t="s">
        <v>133</v>
      </c>
      <c r="P274" s="348"/>
      <c r="Q274" s="473" t="b">
        <v>0</v>
      </c>
    </row>
    <row r="275">
      <c r="E275" s="341"/>
      <c r="F275" s="342"/>
      <c r="G275" s="343"/>
      <c r="H275" s="337" t="s">
        <v>285</v>
      </c>
      <c r="I275" s="349" t="s">
        <v>282</v>
      </c>
      <c r="J275" s="336"/>
      <c r="K275" s="349">
        <f t="shared" ref="K275:M275" si="64">PARAMS(K274)</f>
        <v>1024</v>
      </c>
      <c r="L275" s="349">
        <f t="shared" si="64"/>
        <v>1</v>
      </c>
      <c r="M275" s="349">
        <f t="shared" si="64"/>
        <v>7168</v>
      </c>
      <c r="N275" s="349" t="s">
        <v>283</v>
      </c>
      <c r="O275" s="350"/>
      <c r="P275" s="351">
        <f>SIZEOF_IN_MIB(K275:M275, $O274)</f>
        <v>14</v>
      </c>
      <c r="Q275" s="350"/>
    </row>
    <row r="276">
      <c r="E276" s="341"/>
      <c r="F276" s="342"/>
      <c r="G276" s="343"/>
      <c r="H276" s="346" t="s">
        <v>287</v>
      </c>
      <c r="I276" s="346" t="s">
        <v>282</v>
      </c>
      <c r="J276" s="345"/>
      <c r="K276" s="344" t="s">
        <v>196</v>
      </c>
      <c r="L276" s="344"/>
      <c r="M276" s="346"/>
      <c r="N276" s="346" t="s">
        <v>283</v>
      </c>
      <c r="O276" s="347"/>
      <c r="P276" s="348"/>
      <c r="Q276" s="347"/>
    </row>
    <row r="277">
      <c r="E277" s="341"/>
      <c r="F277" s="353"/>
      <c r="G277" s="354"/>
      <c r="H277" s="349" t="s">
        <v>289</v>
      </c>
      <c r="I277" s="349" t="s">
        <v>282</v>
      </c>
      <c r="J277" s="349"/>
      <c r="K277" s="349">
        <f t="shared" ref="K277:M277" si="65">K275/SHARDING(K276)</f>
        <v>64</v>
      </c>
      <c r="L277" s="349">
        <f t="shared" si="65"/>
        <v>1</v>
      </c>
      <c r="M277" s="349">
        <f t="shared" si="65"/>
        <v>7168</v>
      </c>
      <c r="N277" s="349" t="s">
        <v>283</v>
      </c>
      <c r="O277" s="316"/>
      <c r="P277" s="351">
        <f>SIZEOF_IN_MIB(K277:M277, $O274)</f>
        <v>0.875</v>
      </c>
      <c r="Q277" s="316"/>
    </row>
    <row r="278">
      <c r="E278" s="341"/>
      <c r="F278" s="474" t="s">
        <v>335</v>
      </c>
      <c r="G278" s="459" t="s">
        <v>109</v>
      </c>
      <c r="H278" s="497"/>
      <c r="I278" s="498"/>
      <c r="J278" s="345"/>
      <c r="K278" s="345"/>
      <c r="L278" s="346"/>
      <c r="M278" s="346"/>
      <c r="N278" s="346"/>
      <c r="O278" s="345"/>
      <c r="P278" s="348"/>
      <c r="Q278" s="379"/>
    </row>
    <row r="279">
      <c r="E279" s="341"/>
      <c r="F279" s="352"/>
      <c r="G279" s="459"/>
      <c r="H279" s="349"/>
      <c r="I279" s="492"/>
      <c r="J279" s="336"/>
      <c r="K279" s="336"/>
      <c r="L279" s="349"/>
      <c r="M279" s="349"/>
      <c r="N279" s="349"/>
      <c r="O279" s="336"/>
      <c r="P279" s="339"/>
      <c r="Q279" s="298"/>
    </row>
    <row r="280">
      <c r="E280" s="341"/>
      <c r="F280" s="458" t="s">
        <v>327</v>
      </c>
      <c r="G280" s="459" t="s">
        <v>328</v>
      </c>
      <c r="H280" s="346" t="str">
        <f>VLOOKUP(O266&amp;","&amp;O270,$T$2:$W$11,4, FALSE)</f>
        <v>fp8</v>
      </c>
      <c r="I280" s="493"/>
      <c r="J280" s="345"/>
      <c r="K280" s="345"/>
      <c r="L280" s="346"/>
      <c r="M280" s="346"/>
      <c r="N280" s="346"/>
      <c r="O280" s="345"/>
      <c r="P280" s="578"/>
      <c r="Q280" s="379"/>
    </row>
    <row r="281">
      <c r="E281" s="341"/>
      <c r="F281" s="341"/>
      <c r="G281" s="455" t="s">
        <v>341</v>
      </c>
      <c r="H281" s="494" t="str">
        <f>CALCULATE_FLOPS(J269:M269,J273:M273,K273:L273,1,H280)</f>
        <v>#N/A</v>
      </c>
      <c r="I281" s="883" t="s">
        <v>359</v>
      </c>
      <c r="J281" s="336"/>
      <c r="K281" s="336"/>
      <c r="L281" s="349"/>
      <c r="M281" s="349"/>
      <c r="N281" s="349"/>
      <c r="O281" s="336"/>
      <c r="P281" s="339"/>
      <c r="Q281" s="298"/>
    </row>
    <row r="282">
      <c r="E282" s="341"/>
      <c r="F282" s="352"/>
      <c r="G282" s="462" t="s">
        <v>330</v>
      </c>
      <c r="H282" s="585" t="str">
        <f>COMPUTE_TIME_MS(H281, H280)</f>
        <v>#N/A</v>
      </c>
      <c r="I282" s="464"/>
      <c r="J282" s="465"/>
      <c r="K282" s="465"/>
      <c r="L282" s="466"/>
      <c r="M282" s="466"/>
      <c r="N282" s="466"/>
      <c r="O282" s="465"/>
      <c r="P282" s="586"/>
      <c r="Q282" s="379"/>
    </row>
    <row r="283">
      <c r="E283" s="341"/>
      <c r="F283" s="458" t="s">
        <v>331</v>
      </c>
      <c r="G283" s="455" t="s">
        <v>332</v>
      </c>
      <c r="H283" s="377">
        <f>IF(Q266,0,P269)+IF(Q270,0,P273)+IF(Q274,0,P277)</f>
        <v>113.875</v>
      </c>
      <c r="I283" s="336"/>
      <c r="J283" s="336"/>
      <c r="K283" s="336"/>
      <c r="L283" s="349"/>
      <c r="M283" s="349"/>
      <c r="N283" s="349"/>
      <c r="O283" s="336"/>
      <c r="P283" s="339"/>
      <c r="Q283" s="298"/>
    </row>
    <row r="284">
      <c r="E284" s="352"/>
      <c r="F284" s="352"/>
      <c r="G284" s="469" t="s">
        <v>333</v>
      </c>
      <c r="H284" s="547">
        <f>HBM_TIME_MS(H283)</f>
        <v>0.03800617043</v>
      </c>
      <c r="I284" s="465"/>
      <c r="J284" s="465"/>
      <c r="K284" s="465"/>
      <c r="L284" s="466"/>
      <c r="M284" s="466"/>
      <c r="N284" s="466"/>
      <c r="O284" s="465"/>
      <c r="P284" s="586"/>
      <c r="Q284" s="379"/>
    </row>
    <row r="288">
      <c r="E288" s="884" t="s">
        <v>360</v>
      </c>
      <c r="F288" s="11"/>
      <c r="G288" s="11"/>
      <c r="H288" s="11"/>
      <c r="I288" s="11"/>
      <c r="J288" s="11"/>
      <c r="K288" s="11"/>
      <c r="L288" s="11"/>
      <c r="M288" s="11"/>
      <c r="N288" s="11"/>
      <c r="O288" s="11"/>
      <c r="P288" s="11"/>
      <c r="Q288" s="11"/>
    </row>
    <row r="289">
      <c r="E289" s="324" t="s">
        <v>272</v>
      </c>
      <c r="F289" s="587" t="s">
        <v>273</v>
      </c>
      <c r="G289" s="326"/>
      <c r="H289" s="588"/>
      <c r="I289" s="325" t="s">
        <v>274</v>
      </c>
      <c r="J289" s="589"/>
      <c r="K289" s="589"/>
      <c r="L289" s="589"/>
      <c r="M289" s="589"/>
      <c r="N289" s="588"/>
      <c r="O289" s="328" t="s">
        <v>275</v>
      </c>
      <c r="P289" s="328" t="s">
        <v>361</v>
      </c>
      <c r="Q289" s="330" t="s">
        <v>277</v>
      </c>
    </row>
    <row r="290">
      <c r="E290" s="333" t="s">
        <v>362</v>
      </c>
      <c r="F290" s="590" t="s">
        <v>335</v>
      </c>
      <c r="G290" s="591" t="s">
        <v>363</v>
      </c>
      <c r="H290" s="592" t="s">
        <v>364</v>
      </c>
      <c r="I290" s="448"/>
      <c r="J290" s="448"/>
      <c r="K290" s="553"/>
      <c r="L290" s="553"/>
      <c r="M290" s="593"/>
      <c r="N290" s="448"/>
      <c r="O290" s="553"/>
      <c r="P290" s="448"/>
      <c r="Q290" s="553"/>
    </row>
    <row r="291">
      <c r="E291" s="341"/>
      <c r="F291" s="341"/>
      <c r="G291" s="371" t="s">
        <v>301</v>
      </c>
      <c r="H291" s="531" t="s">
        <v>281</v>
      </c>
      <c r="I291" s="336" t="s">
        <v>282</v>
      </c>
      <c r="J291" s="336"/>
      <c r="K291" s="337" t="s">
        <v>104</v>
      </c>
      <c r="L291" s="337" t="s">
        <v>212</v>
      </c>
      <c r="M291" s="358" t="s">
        <v>178</v>
      </c>
      <c r="N291" s="336" t="s">
        <v>283</v>
      </c>
      <c r="O291" s="338" t="s">
        <v>125</v>
      </c>
      <c r="P291" s="336"/>
      <c r="Q291" s="338"/>
    </row>
    <row r="292">
      <c r="E292" s="341"/>
      <c r="F292" s="341"/>
      <c r="G292" s="341"/>
      <c r="H292" s="378" t="s">
        <v>285</v>
      </c>
      <c r="I292" s="345" t="s">
        <v>282</v>
      </c>
      <c r="J292" s="346"/>
      <c r="K292" s="345">
        <f t="shared" ref="K292:M292" si="66">PARAMS(K291)</f>
        <v>1024</v>
      </c>
      <c r="L292" s="345">
        <f t="shared" si="66"/>
        <v>8</v>
      </c>
      <c r="M292" s="345">
        <f t="shared" si="66"/>
        <v>7168</v>
      </c>
      <c r="N292" s="345" t="s">
        <v>283</v>
      </c>
      <c r="O292" s="347"/>
      <c r="P292" s="509">
        <f>SIZEOF_IN_MIB(J292:M292, O291)</f>
        <v>56</v>
      </c>
      <c r="Q292" s="347"/>
    </row>
    <row r="293">
      <c r="E293" s="341"/>
      <c r="F293" s="341"/>
      <c r="G293" s="341"/>
      <c r="H293" s="376" t="s">
        <v>302</v>
      </c>
      <c r="I293" s="349" t="s">
        <v>282</v>
      </c>
      <c r="J293" s="336"/>
      <c r="K293" s="337" t="s">
        <v>196</v>
      </c>
      <c r="L293" s="337"/>
      <c r="M293" s="337"/>
      <c r="N293" s="349" t="s">
        <v>283</v>
      </c>
      <c r="O293" s="350"/>
      <c r="P293" s="377"/>
      <c r="Q293" s="350"/>
    </row>
    <row r="294">
      <c r="E294" s="341"/>
      <c r="F294" s="341"/>
      <c r="G294" s="341"/>
      <c r="H294" s="378" t="s">
        <v>303</v>
      </c>
      <c r="I294" s="346" t="s">
        <v>282</v>
      </c>
      <c r="J294" s="345"/>
      <c r="K294" s="346">
        <f t="shared" ref="K294:M294" si="67">K292/SHARDING(K293)</f>
        <v>64</v>
      </c>
      <c r="L294" s="346">
        <f t="shared" si="67"/>
        <v>8</v>
      </c>
      <c r="M294" s="346">
        <f t="shared" si="67"/>
        <v>7168</v>
      </c>
      <c r="N294" s="344" t="s">
        <v>283</v>
      </c>
      <c r="O294" s="347"/>
      <c r="P294" s="509"/>
      <c r="Q294" s="347"/>
    </row>
    <row r="295">
      <c r="E295" s="341"/>
      <c r="F295" s="341"/>
      <c r="G295" s="352"/>
      <c r="H295" s="376" t="s">
        <v>304</v>
      </c>
      <c r="I295" s="349" t="s">
        <v>282</v>
      </c>
      <c r="J295" s="336"/>
      <c r="K295" s="337" t="s">
        <v>196</v>
      </c>
      <c r="L295" s="337"/>
      <c r="M295" s="337"/>
      <c r="N295" s="349" t="s">
        <v>283</v>
      </c>
      <c r="O295" s="316"/>
      <c r="P295" s="377">
        <f>SIZEOF_IN_MIB(J294:M294, O291)</f>
        <v>3.5</v>
      </c>
      <c r="Q295" s="316"/>
    </row>
    <row r="296">
      <c r="E296" s="341"/>
      <c r="F296" s="341"/>
      <c r="G296" s="594" t="s">
        <v>608</v>
      </c>
      <c r="H296" s="715">
        <f>P292</f>
        <v>56</v>
      </c>
      <c r="I296" s="379"/>
      <c r="J296" s="379"/>
      <c r="K296" s="379"/>
      <c r="L296" s="379"/>
      <c r="M296" s="379"/>
      <c r="N296" s="379"/>
      <c r="O296" s="379"/>
      <c r="P296" s="596"/>
      <c r="Q296" s="379"/>
    </row>
    <row r="297">
      <c r="E297" s="341"/>
      <c r="F297" s="341"/>
      <c r="G297" s="599" t="s">
        <v>609</v>
      </c>
      <c r="H297" s="885" t="str">
        <f>ALL2ALL_CHIP2CHIP_TIME_MS(H296)</f>
        <v>#N/A</v>
      </c>
      <c r="I297" s="298"/>
      <c r="J297" s="298"/>
      <c r="K297" s="298"/>
      <c r="L297" s="298"/>
      <c r="M297" s="298"/>
      <c r="N297" s="298"/>
      <c r="O297" s="298"/>
      <c r="P297" s="598"/>
      <c r="Q297" s="298"/>
    </row>
    <row r="298">
      <c r="E298" s="341"/>
      <c r="F298" s="341"/>
      <c r="G298" s="601"/>
      <c r="H298" s="517"/>
      <c r="I298" s="346"/>
      <c r="J298" s="345"/>
      <c r="K298" s="344"/>
      <c r="L298" s="556"/>
      <c r="M298" s="344"/>
      <c r="N298" s="346"/>
      <c r="O298" s="344"/>
      <c r="P298" s="509"/>
      <c r="Q298" s="344"/>
    </row>
    <row r="299">
      <c r="E299" s="341"/>
      <c r="F299" s="341"/>
      <c r="G299" s="591" t="s">
        <v>368</v>
      </c>
      <c r="H299" s="603" t="s">
        <v>643</v>
      </c>
      <c r="I299" s="449"/>
      <c r="J299" s="448"/>
      <c r="K299" s="553"/>
      <c r="L299" s="446"/>
      <c r="M299" s="553"/>
      <c r="N299" s="449"/>
      <c r="O299" s="553"/>
      <c r="P299" s="604"/>
      <c r="Q299" s="553"/>
    </row>
    <row r="300">
      <c r="E300" s="341"/>
      <c r="F300" s="341"/>
      <c r="G300" s="371" t="s">
        <v>301</v>
      </c>
      <c r="H300" s="517" t="s">
        <v>281</v>
      </c>
      <c r="I300" s="346" t="s">
        <v>282</v>
      </c>
      <c r="J300" s="345"/>
      <c r="K300" s="344" t="s">
        <v>104</v>
      </c>
      <c r="L300" s="556" t="s">
        <v>102</v>
      </c>
      <c r="M300" s="344" t="s">
        <v>178</v>
      </c>
      <c r="N300" s="346" t="s">
        <v>283</v>
      </c>
      <c r="O300" s="473" t="s">
        <v>125</v>
      </c>
      <c r="P300" s="509"/>
      <c r="Q300" s="473"/>
    </row>
    <row r="301">
      <c r="E301" s="341"/>
      <c r="F301" s="341"/>
      <c r="G301" s="341"/>
      <c r="H301" s="376" t="s">
        <v>285</v>
      </c>
      <c r="I301" s="349" t="s">
        <v>282</v>
      </c>
      <c r="J301" s="336"/>
      <c r="K301" s="349">
        <f t="shared" ref="K301:M301" si="68">PARAMS(K300)</f>
        <v>1024</v>
      </c>
      <c r="L301" s="349">
        <f t="shared" si="68"/>
        <v>1</v>
      </c>
      <c r="M301" s="349">
        <f t="shared" si="68"/>
        <v>7168</v>
      </c>
      <c r="N301" s="349" t="s">
        <v>283</v>
      </c>
      <c r="O301" s="350"/>
      <c r="P301" s="377">
        <f>SIZEOF_IN_MIB(J301:M301, O300)</f>
        <v>7</v>
      </c>
      <c r="Q301" s="350"/>
    </row>
    <row r="302">
      <c r="E302" s="341"/>
      <c r="F302" s="341"/>
      <c r="G302" s="341"/>
      <c r="H302" s="378" t="s">
        <v>302</v>
      </c>
      <c r="I302" s="346" t="s">
        <v>282</v>
      </c>
      <c r="J302" s="345"/>
      <c r="K302" s="344" t="s">
        <v>196</v>
      </c>
      <c r="L302" s="344"/>
      <c r="M302" s="344"/>
      <c r="N302" s="346" t="s">
        <v>283</v>
      </c>
      <c r="O302" s="347"/>
      <c r="P302" s="509"/>
      <c r="Q302" s="347"/>
    </row>
    <row r="303">
      <c r="E303" s="341"/>
      <c r="F303" s="341"/>
      <c r="G303" s="341"/>
      <c r="H303" s="602" t="s">
        <v>289</v>
      </c>
      <c r="I303" s="349" t="s">
        <v>282</v>
      </c>
      <c r="J303" s="336"/>
      <c r="K303" s="349">
        <f t="shared" ref="K303:M303" si="69">K301/SHARDING(K302)</f>
        <v>64</v>
      </c>
      <c r="L303" s="349">
        <f t="shared" si="69"/>
        <v>1</v>
      </c>
      <c r="M303" s="349">
        <f t="shared" si="69"/>
        <v>7168</v>
      </c>
      <c r="N303" s="349" t="s">
        <v>283</v>
      </c>
      <c r="O303" s="350"/>
      <c r="P303" s="377">
        <f>SIZEOF_IN_MIB(J303:M303, O300)</f>
        <v>0.4375</v>
      </c>
      <c r="Q303" s="316"/>
    </row>
    <row r="304">
      <c r="E304" s="341"/>
      <c r="F304" s="341"/>
      <c r="G304" s="352"/>
      <c r="H304" s="610" t="s">
        <v>304</v>
      </c>
      <c r="I304" s="346" t="s">
        <v>282</v>
      </c>
      <c r="J304" s="379"/>
      <c r="K304" s="379"/>
      <c r="L304" s="379"/>
      <c r="M304" s="344"/>
      <c r="N304" s="346" t="s">
        <v>283</v>
      </c>
      <c r="O304" s="355"/>
      <c r="P304" s="596"/>
      <c r="Q304" s="379"/>
    </row>
    <row r="305">
      <c r="E305" s="341"/>
      <c r="F305" s="341"/>
      <c r="G305" s="385" t="s">
        <v>306</v>
      </c>
      <c r="H305" s="886">
        <f>SHARDING(K302)</f>
        <v>16</v>
      </c>
      <c r="I305" s="298"/>
      <c r="J305" s="298"/>
      <c r="K305" s="298"/>
      <c r="L305" s="298"/>
      <c r="M305" s="298"/>
      <c r="N305" s="298"/>
      <c r="O305" s="298"/>
      <c r="P305" s="598"/>
      <c r="Q305" s="298"/>
    </row>
    <row r="306">
      <c r="E306" s="341"/>
      <c r="F306" s="341"/>
      <c r="G306" s="385" t="s">
        <v>307</v>
      </c>
      <c r="H306" s="395">
        <f>P303 * (H305-1)</f>
        <v>6.5625</v>
      </c>
      <c r="I306" s="379"/>
      <c r="J306" s="379"/>
      <c r="K306" s="379"/>
      <c r="L306" s="379"/>
      <c r="M306" s="379"/>
      <c r="N306" s="379"/>
      <c r="O306" s="379"/>
      <c r="P306" s="596"/>
      <c r="Q306" s="379"/>
    </row>
    <row r="307">
      <c r="E307" s="341"/>
      <c r="F307" s="341"/>
      <c r="G307" s="394" t="s">
        <v>308</v>
      </c>
      <c r="H307" s="390">
        <f>H306*H305</f>
        <v>105</v>
      </c>
      <c r="I307" s="349"/>
      <c r="J307" s="336"/>
      <c r="K307" s="336"/>
      <c r="L307" s="337"/>
      <c r="M307" s="349"/>
      <c r="N307" s="349"/>
      <c r="O307" s="337"/>
      <c r="P307" s="377"/>
      <c r="Q307" s="337"/>
    </row>
    <row r="308">
      <c r="E308" s="341"/>
      <c r="F308" s="341"/>
      <c r="G308" s="396" t="s">
        <v>309</v>
      </c>
      <c r="H308" s="887" t="str">
        <f>IFS(H305=8,12,
H305=4,4,
H305=2,1,
H305=1,0,
TRUE,NA())</f>
        <v>#N/A</v>
      </c>
      <c r="I308" s="346"/>
      <c r="J308" s="345"/>
      <c r="K308" s="345"/>
      <c r="L308" s="344"/>
      <c r="M308" s="346"/>
      <c r="N308" s="346"/>
      <c r="O308" s="344"/>
      <c r="P308" s="509"/>
      <c r="Q308" s="344"/>
    </row>
    <row r="309">
      <c r="E309" s="341"/>
      <c r="F309" s="341"/>
      <c r="G309" s="9" t="s">
        <v>310</v>
      </c>
      <c r="H309" s="293">
        <v>1.0</v>
      </c>
      <c r="I309" s="349"/>
      <c r="J309" s="336"/>
      <c r="K309" s="336"/>
      <c r="L309" s="337"/>
      <c r="M309" s="349"/>
      <c r="N309" s="349"/>
      <c r="O309" s="337"/>
      <c r="P309" s="377"/>
      <c r="Q309" s="337"/>
    </row>
    <row r="310">
      <c r="E310" s="341"/>
      <c r="F310" s="341"/>
      <c r="G310" s="402" t="s">
        <v>311</v>
      </c>
      <c r="H310" s="608" t="str">
        <f>ALL_GATHER_CHIP2CHIP_TIME_MS2(H307 * H309, H308)</f>
        <v>#N/A</v>
      </c>
      <c r="I310" s="346"/>
      <c r="J310" s="345"/>
      <c r="K310" s="345"/>
      <c r="L310" s="344"/>
      <c r="M310" s="346"/>
      <c r="N310" s="346"/>
      <c r="O310" s="344"/>
      <c r="P310" s="509"/>
      <c r="Q310" s="344"/>
    </row>
    <row r="311">
      <c r="E311" s="341"/>
      <c r="F311" s="341"/>
      <c r="G311" s="601"/>
      <c r="H311" s="602"/>
      <c r="I311" s="349"/>
      <c r="J311" s="336"/>
      <c r="K311" s="337"/>
      <c r="L311" s="499"/>
      <c r="M311" s="337"/>
      <c r="N311" s="349"/>
      <c r="O311" s="337"/>
      <c r="P311" s="377"/>
      <c r="Q311" s="337"/>
    </row>
    <row r="312">
      <c r="E312" s="341"/>
      <c r="F312" s="341"/>
      <c r="G312" s="591" t="s">
        <v>117</v>
      </c>
      <c r="H312" s="592" t="s">
        <v>371</v>
      </c>
      <c r="I312" s="449"/>
      <c r="J312" s="448"/>
      <c r="K312" s="553"/>
      <c r="L312" s="446"/>
      <c r="M312" s="553"/>
      <c r="N312" s="449"/>
      <c r="O312" s="553"/>
      <c r="P312" s="604"/>
      <c r="Q312" s="553"/>
    </row>
    <row r="313">
      <c r="E313" s="341"/>
      <c r="F313" s="341"/>
      <c r="G313" s="609" t="s">
        <v>301</v>
      </c>
      <c r="H313" s="602" t="s">
        <v>281</v>
      </c>
      <c r="I313" s="349" t="s">
        <v>282</v>
      </c>
      <c r="J313" s="336"/>
      <c r="K313" s="337" t="s">
        <v>104</v>
      </c>
      <c r="L313" s="499" t="s">
        <v>102</v>
      </c>
      <c r="M313" s="337" t="s">
        <v>178</v>
      </c>
      <c r="N313" s="349" t="s">
        <v>283</v>
      </c>
      <c r="O313" s="338" t="s">
        <v>125</v>
      </c>
      <c r="P313" s="377"/>
      <c r="Q313" s="337"/>
    </row>
    <row r="314">
      <c r="E314" s="341"/>
      <c r="F314" s="341"/>
      <c r="G314" s="341"/>
      <c r="H314" s="378" t="s">
        <v>285</v>
      </c>
      <c r="I314" s="346" t="s">
        <v>282</v>
      </c>
      <c r="J314" s="345"/>
      <c r="K314" s="346">
        <f t="shared" ref="K314:M314" si="70">PARAMS(K313)</f>
        <v>1024</v>
      </c>
      <c r="L314" s="346">
        <f t="shared" si="70"/>
        <v>1</v>
      </c>
      <c r="M314" s="346">
        <f t="shared" si="70"/>
        <v>7168</v>
      </c>
      <c r="N314" s="346" t="s">
        <v>283</v>
      </c>
      <c r="O314" s="347"/>
      <c r="P314" s="509">
        <f>SIZEOF_IN_MIB(J314:M314, O313)</f>
        <v>7</v>
      </c>
      <c r="Q314" s="344"/>
    </row>
    <row r="315">
      <c r="E315" s="341"/>
      <c r="F315" s="341"/>
      <c r="G315" s="341"/>
      <c r="H315" s="376" t="s">
        <v>302</v>
      </c>
      <c r="I315" s="349" t="s">
        <v>282</v>
      </c>
      <c r="J315" s="336"/>
      <c r="K315" s="337" t="s">
        <v>196</v>
      </c>
      <c r="L315" s="337"/>
      <c r="M315" s="337"/>
      <c r="N315" s="349" t="s">
        <v>283</v>
      </c>
      <c r="O315" s="350"/>
      <c r="P315" s="377"/>
      <c r="Q315" s="337"/>
    </row>
    <row r="316">
      <c r="E316" s="341"/>
      <c r="F316" s="341"/>
      <c r="G316" s="341"/>
      <c r="H316" s="378" t="s">
        <v>303</v>
      </c>
      <c r="I316" s="346" t="s">
        <v>282</v>
      </c>
      <c r="J316" s="345"/>
      <c r="K316" s="346">
        <f t="shared" ref="K316:M316" si="71">K314/SHARDING(K315)</f>
        <v>64</v>
      </c>
      <c r="L316" s="346">
        <f t="shared" si="71"/>
        <v>1</v>
      </c>
      <c r="M316" s="346">
        <f t="shared" si="71"/>
        <v>7168</v>
      </c>
      <c r="N316" s="346" t="s">
        <v>283</v>
      </c>
      <c r="O316" s="347"/>
      <c r="P316" s="509">
        <f>SIZEOF_IN_MIB(J316:M316, O313)</f>
        <v>0.4375</v>
      </c>
      <c r="Q316" s="344"/>
    </row>
    <row r="317">
      <c r="E317" s="341"/>
      <c r="F317" s="341"/>
      <c r="G317" s="352"/>
      <c r="H317" s="605" t="s">
        <v>304</v>
      </c>
      <c r="I317" s="349" t="s">
        <v>282</v>
      </c>
      <c r="J317" s="298"/>
      <c r="K317" s="298"/>
      <c r="L317" s="298"/>
      <c r="M317" s="337"/>
      <c r="N317" s="349" t="s">
        <v>283</v>
      </c>
      <c r="O317" s="316"/>
      <c r="P317" s="298"/>
      <c r="Q317" s="337"/>
    </row>
    <row r="318">
      <c r="E318" s="341"/>
      <c r="F318" s="341"/>
      <c r="G318" s="458" t="s">
        <v>372</v>
      </c>
      <c r="H318" s="610" t="s">
        <v>306</v>
      </c>
      <c r="I318" s="379"/>
      <c r="J318" s="410">
        <f>SHARDING(K315) / HW_SPEC("# of TensorCore per Chip")</f>
        <v>8</v>
      </c>
      <c r="K318" s="345"/>
      <c r="L318" s="344"/>
      <c r="M318" s="346"/>
      <c r="N318" s="346"/>
      <c r="O318" s="344"/>
      <c r="P318" s="509"/>
      <c r="Q318" s="344"/>
    </row>
    <row r="319">
      <c r="E319" s="341"/>
      <c r="F319" s="341"/>
      <c r="G319" s="341"/>
      <c r="H319" s="605" t="s">
        <v>307</v>
      </c>
      <c r="I319" s="298"/>
      <c r="J319" s="390">
        <f>P316 * HW_SPEC("# of TensorCore per Chip") * (J318-1)</f>
        <v>6.125</v>
      </c>
      <c r="K319" s="336"/>
      <c r="L319" s="337"/>
      <c r="M319" s="349"/>
      <c r="N319" s="349"/>
      <c r="O319" s="337"/>
      <c r="P319" s="377"/>
      <c r="Q319" s="337"/>
    </row>
    <row r="320">
      <c r="E320" s="341"/>
      <c r="F320" s="341"/>
      <c r="G320" s="341"/>
      <c r="H320" s="410" t="s">
        <v>308</v>
      </c>
      <c r="I320" s="379"/>
      <c r="J320" s="395">
        <f>J319*J318</f>
        <v>49</v>
      </c>
      <c r="K320" s="345"/>
      <c r="L320" s="344"/>
      <c r="M320" s="346"/>
      <c r="N320" s="346"/>
      <c r="O320" s="344"/>
      <c r="P320" s="509"/>
      <c r="Q320" s="344"/>
    </row>
    <row r="321">
      <c r="E321" s="341"/>
      <c r="F321" s="341"/>
      <c r="G321" s="341"/>
      <c r="H321" s="478" t="s">
        <v>309</v>
      </c>
      <c r="I321" s="298"/>
      <c r="J321" s="397">
        <f>IFS(J318=8,12,
J318=4,4,
J318=2,1,
J318=1,0,
TRUE,NA())</f>
        <v>12</v>
      </c>
      <c r="K321" s="336"/>
      <c r="L321" s="337"/>
      <c r="M321" s="349"/>
      <c r="N321" s="349"/>
      <c r="O321" s="337"/>
      <c r="P321" s="377"/>
      <c r="Q321" s="337"/>
    </row>
    <row r="322">
      <c r="E322" s="341"/>
      <c r="F322" s="341"/>
      <c r="G322" s="341"/>
      <c r="H322" s="606" t="s">
        <v>310</v>
      </c>
      <c r="I322" s="379"/>
      <c r="J322" s="611" t="s">
        <v>611</v>
      </c>
      <c r="K322" s="345"/>
      <c r="L322" s="344"/>
      <c r="M322" s="346"/>
      <c r="N322" s="346"/>
      <c r="O322" s="344"/>
      <c r="P322" s="509"/>
      <c r="Q322" s="344"/>
    </row>
    <row r="323">
      <c r="E323" s="341"/>
      <c r="F323" s="341"/>
      <c r="G323" s="352"/>
      <c r="H323" s="612" t="s">
        <v>311</v>
      </c>
      <c r="I323" s="613"/>
      <c r="J323" s="403">
        <f>ALL_GATHER_CHIP2CHIP_TIME_MS2(J320 * J322, J321)</f>
        <v>0.0249226888</v>
      </c>
      <c r="K323" s="336"/>
      <c r="L323" s="337"/>
      <c r="M323" s="349"/>
      <c r="N323" s="349"/>
      <c r="O323" s="337"/>
      <c r="P323" s="377"/>
      <c r="Q323" s="337"/>
    </row>
    <row r="324">
      <c r="E324" s="341"/>
      <c r="F324" s="341"/>
      <c r="G324" s="458" t="s">
        <v>373</v>
      </c>
      <c r="H324" s="410" t="s">
        <v>306</v>
      </c>
      <c r="I324" s="387"/>
      <c r="J324" s="483">
        <f>HW_SPEC("# of TensorCore per Chip")</f>
        <v>2</v>
      </c>
      <c r="K324" s="345"/>
      <c r="L324" s="344"/>
      <c r="M324" s="346"/>
      <c r="N324" s="346"/>
      <c r="O324" s="344"/>
      <c r="P324" s="509"/>
      <c r="Q324" s="344"/>
    </row>
    <row r="325">
      <c r="E325" s="341"/>
      <c r="F325" s="341"/>
      <c r="G325" s="341"/>
      <c r="H325" s="478" t="s">
        <v>307</v>
      </c>
      <c r="I325" s="391"/>
      <c r="J325" s="390">
        <f> P314 / J324 * (J324-1)</f>
        <v>3.5</v>
      </c>
      <c r="K325" s="336"/>
      <c r="L325" s="337"/>
      <c r="M325" s="349"/>
      <c r="N325" s="349"/>
      <c r="O325" s="337"/>
      <c r="P325" s="377"/>
      <c r="Q325" s="337"/>
    </row>
    <row r="326">
      <c r="E326" s="341"/>
      <c r="F326" s="341"/>
      <c r="G326" s="341"/>
      <c r="H326" s="410" t="s">
        <v>308</v>
      </c>
      <c r="I326" s="387"/>
      <c r="J326" s="395">
        <f>J325*J324</f>
        <v>7</v>
      </c>
      <c r="K326" s="345"/>
      <c r="L326" s="344"/>
      <c r="M326" s="346"/>
      <c r="N326" s="346"/>
      <c r="O326" s="344"/>
      <c r="P326" s="509"/>
      <c r="Q326" s="344"/>
    </row>
    <row r="327">
      <c r="E327" s="341"/>
      <c r="F327" s="341"/>
      <c r="G327" s="341"/>
      <c r="H327" s="614" t="s">
        <v>311</v>
      </c>
      <c r="I327" s="615"/>
      <c r="J327" s="616">
        <f>ALL_GATHER_CORE2CORE_TIME_MS(J326)</f>
        <v>0.005696614583</v>
      </c>
      <c r="K327" s="336"/>
      <c r="L327" s="337"/>
      <c r="M327" s="349"/>
      <c r="N327" s="349"/>
      <c r="O327" s="337"/>
      <c r="P327" s="377"/>
      <c r="Q327" s="337"/>
    </row>
    <row r="328">
      <c r="E328" s="341"/>
      <c r="F328" s="341"/>
      <c r="G328" s="352"/>
      <c r="H328" s="617" t="s">
        <v>374</v>
      </c>
      <c r="I328" s="618"/>
      <c r="J328" s="619">
        <f>J327/J318</f>
        <v>0.0007120768229</v>
      </c>
      <c r="K328" s="345"/>
      <c r="L328" s="344"/>
      <c r="M328" s="346"/>
      <c r="N328" s="346"/>
      <c r="O328" s="344"/>
      <c r="P328" s="509"/>
      <c r="Q328" s="344"/>
    </row>
    <row r="329">
      <c r="E329" s="341"/>
      <c r="F329" s="341"/>
      <c r="G329" s="402" t="s">
        <v>316</v>
      </c>
      <c r="H329" s="620">
        <f>J323+J328</f>
        <v>0.02563476563</v>
      </c>
      <c r="I329" s="298"/>
      <c r="J329" s="621"/>
      <c r="K329" s="336"/>
      <c r="L329" s="337"/>
      <c r="M329" s="349"/>
      <c r="N329" s="349"/>
      <c r="O329" s="337"/>
      <c r="P329" s="377"/>
      <c r="Q329" s="337"/>
    </row>
    <row r="330">
      <c r="E330" s="341"/>
      <c r="F330" s="341"/>
      <c r="G330" s="601"/>
      <c r="H330" s="622"/>
      <c r="I330" s="493"/>
      <c r="J330" s="345"/>
      <c r="K330" s="345"/>
      <c r="L330" s="346"/>
      <c r="M330" s="346"/>
      <c r="N330" s="346"/>
      <c r="O330" s="345"/>
      <c r="P330" s="509"/>
      <c r="Q330" s="379"/>
    </row>
    <row r="331">
      <c r="E331" s="341"/>
      <c r="F331" s="341"/>
      <c r="G331" s="623" t="s">
        <v>375</v>
      </c>
      <c r="H331" s="624" t="s">
        <v>117</v>
      </c>
      <c r="I331" s="581"/>
      <c r="J331" s="448"/>
      <c r="K331" s="448"/>
      <c r="L331" s="449"/>
      <c r="M331" s="449"/>
      <c r="N331" s="449"/>
      <c r="O331" s="448"/>
      <c r="P331" s="604"/>
      <c r="Q331" s="572"/>
    </row>
    <row r="332">
      <c r="E332" s="352"/>
      <c r="F332" s="352"/>
      <c r="G332" s="591" t="s">
        <v>340</v>
      </c>
      <c r="H332" s="625">
        <f>IFS(H331=G290,H297,H331=G299,H310,H331=G312,H329, TRUE,0)</f>
        <v>0.02563476563</v>
      </c>
      <c r="I332" s="581"/>
      <c r="J332" s="448"/>
      <c r="K332" s="448"/>
      <c r="L332" s="449"/>
      <c r="M332" s="449"/>
      <c r="N332" s="449"/>
      <c r="O332" s="448"/>
      <c r="P332" s="604"/>
      <c r="Q332" s="572"/>
    </row>
    <row r="333">
      <c r="E333" s="333" t="s">
        <v>377</v>
      </c>
      <c r="F333" s="627" t="s">
        <v>292</v>
      </c>
      <c r="G333" s="335"/>
      <c r="H333" s="372" t="s">
        <v>281</v>
      </c>
      <c r="I333" s="364" t="s">
        <v>282</v>
      </c>
      <c r="J333" s="364"/>
      <c r="K333" s="273" t="s">
        <v>104</v>
      </c>
      <c r="L333" s="273" t="s">
        <v>212</v>
      </c>
      <c r="M333" s="472" t="s">
        <v>178</v>
      </c>
      <c r="N333" s="364" t="s">
        <v>283</v>
      </c>
      <c r="O333" s="365" t="s">
        <v>125</v>
      </c>
      <c r="P333" s="375"/>
      <c r="Q333" s="365" t="b">
        <v>0</v>
      </c>
    </row>
    <row r="334">
      <c r="E334" s="341"/>
      <c r="F334" s="342"/>
      <c r="G334" s="343"/>
      <c r="H334" s="374" t="s">
        <v>285</v>
      </c>
      <c r="I334" s="364" t="s">
        <v>282</v>
      </c>
      <c r="J334" s="363"/>
      <c r="K334" s="364">
        <f t="shared" ref="K334:M334" si="72">PARAMS(K333)</f>
        <v>1024</v>
      </c>
      <c r="L334" s="364">
        <f t="shared" si="72"/>
        <v>8</v>
      </c>
      <c r="M334" s="364">
        <f t="shared" si="72"/>
        <v>7168</v>
      </c>
      <c r="N334" s="364" t="s">
        <v>283</v>
      </c>
      <c r="O334" s="341"/>
      <c r="P334" s="375">
        <f>SIZEOF_IN_MIB(J334:M334, O333)</f>
        <v>56</v>
      </c>
      <c r="Q334" s="341"/>
    </row>
    <row r="335">
      <c r="E335" s="341"/>
      <c r="F335" s="342"/>
      <c r="G335" s="343"/>
      <c r="H335" s="629" t="s">
        <v>287</v>
      </c>
      <c r="I335" s="363" t="s">
        <v>282</v>
      </c>
      <c r="J335" s="364"/>
      <c r="K335" s="273"/>
      <c r="L335" s="273"/>
      <c r="M335" s="273" t="s">
        <v>97</v>
      </c>
      <c r="N335" s="363" t="s">
        <v>283</v>
      </c>
      <c r="O335" s="341"/>
      <c r="P335" s="375"/>
      <c r="Q335" s="341"/>
    </row>
    <row r="336">
      <c r="E336" s="341"/>
      <c r="F336" s="353"/>
      <c r="G336" s="354"/>
      <c r="H336" s="376" t="s">
        <v>289</v>
      </c>
      <c r="I336" s="349" t="s">
        <v>282</v>
      </c>
      <c r="J336" s="336"/>
      <c r="K336" s="349">
        <f t="shared" ref="K336:M336" si="73">K334/SHARDING(K335)</f>
        <v>1024</v>
      </c>
      <c r="L336" s="349">
        <f t="shared" si="73"/>
        <v>8</v>
      </c>
      <c r="M336" s="349">
        <f t="shared" si="73"/>
        <v>3584</v>
      </c>
      <c r="N336" s="349" t="s">
        <v>283</v>
      </c>
      <c r="O336" s="316"/>
      <c r="P336" s="377">
        <f>SIZEOF_IN_MIB(J336:M336, O333)</f>
        <v>28</v>
      </c>
      <c r="Q336" s="316"/>
    </row>
    <row r="337">
      <c r="E337" s="341"/>
      <c r="F337" s="630" t="s">
        <v>296</v>
      </c>
      <c r="G337" s="335"/>
      <c r="H337" s="517" t="s">
        <v>281</v>
      </c>
      <c r="I337" s="346" t="s">
        <v>282</v>
      </c>
      <c r="J337" s="344">
        <v>2.0</v>
      </c>
      <c r="K337" s="344" t="s">
        <v>184</v>
      </c>
      <c r="L337" s="556" t="s">
        <v>178</v>
      </c>
      <c r="M337" s="344" t="s">
        <v>182</v>
      </c>
      <c r="N337" s="346" t="s">
        <v>283</v>
      </c>
      <c r="O337" s="473" t="s">
        <v>125</v>
      </c>
      <c r="P337" s="509"/>
      <c r="Q337" s="473" t="b">
        <v>0</v>
      </c>
    </row>
    <row r="338">
      <c r="E338" s="341"/>
      <c r="F338" s="342"/>
      <c r="G338" s="343"/>
      <c r="H338" s="376" t="s">
        <v>285</v>
      </c>
      <c r="I338" s="349" t="s">
        <v>282</v>
      </c>
      <c r="J338" s="349">
        <f t="shared" ref="J338:M338" si="74">PARAMS(J337)</f>
        <v>2</v>
      </c>
      <c r="K338" s="349">
        <f t="shared" si="74"/>
        <v>256</v>
      </c>
      <c r="L338" s="349">
        <f t="shared" si="74"/>
        <v>7168</v>
      </c>
      <c r="M338" s="349">
        <f t="shared" si="74"/>
        <v>2048</v>
      </c>
      <c r="N338" s="349" t="s">
        <v>283</v>
      </c>
      <c r="O338" s="350"/>
      <c r="P338" s="377">
        <f>SIZEOF_IN_MIB(J338:M338, O337)</f>
        <v>7168</v>
      </c>
      <c r="Q338" s="350"/>
    </row>
    <row r="339">
      <c r="E339" s="341"/>
      <c r="F339" s="342"/>
      <c r="G339" s="343"/>
      <c r="H339" s="517" t="s">
        <v>287</v>
      </c>
      <c r="I339" s="346"/>
      <c r="J339" s="345"/>
      <c r="K339" s="344"/>
      <c r="L339" s="344" t="s">
        <v>97</v>
      </c>
      <c r="M339" s="344" t="s">
        <v>96</v>
      </c>
      <c r="N339" s="346" t="s">
        <v>283</v>
      </c>
      <c r="O339" s="347"/>
      <c r="P339" s="509"/>
      <c r="Q339" s="347"/>
    </row>
    <row r="340">
      <c r="E340" s="341"/>
      <c r="F340" s="353"/>
      <c r="G340" s="354"/>
      <c r="H340" s="602" t="s">
        <v>289</v>
      </c>
      <c r="I340" s="349" t="s">
        <v>282</v>
      </c>
      <c r="J340" s="349">
        <f t="shared" ref="J340:M340" si="75">J338/SHARDING(J339)</f>
        <v>2</v>
      </c>
      <c r="K340" s="349">
        <f t="shared" si="75"/>
        <v>256</v>
      </c>
      <c r="L340" s="349">
        <f t="shared" si="75"/>
        <v>3584</v>
      </c>
      <c r="M340" s="349">
        <f t="shared" si="75"/>
        <v>256</v>
      </c>
      <c r="N340" s="349" t="s">
        <v>283</v>
      </c>
      <c r="O340" s="316"/>
      <c r="P340" s="377">
        <f>SIZEOF_IN_MIB(J340:M340, O337)</f>
        <v>448</v>
      </c>
      <c r="Q340" s="316"/>
    </row>
    <row r="341">
      <c r="E341" s="341"/>
      <c r="F341" s="630" t="s">
        <v>56</v>
      </c>
      <c r="G341" s="335"/>
      <c r="H341" s="517" t="s">
        <v>281</v>
      </c>
      <c r="I341" s="346" t="s">
        <v>282</v>
      </c>
      <c r="J341" s="344">
        <v>2.0</v>
      </c>
      <c r="K341" s="344" t="s">
        <v>104</v>
      </c>
      <c r="L341" s="344" t="s">
        <v>212</v>
      </c>
      <c r="M341" s="344" t="s">
        <v>182</v>
      </c>
      <c r="N341" s="346" t="s">
        <v>283</v>
      </c>
      <c r="O341" s="546" t="s">
        <v>133</v>
      </c>
      <c r="P341" s="509"/>
      <c r="Q341" s="473" t="b">
        <v>0</v>
      </c>
    </row>
    <row r="342">
      <c r="E342" s="341"/>
      <c r="F342" s="342"/>
      <c r="G342" s="343"/>
      <c r="H342" s="376" t="s">
        <v>285</v>
      </c>
      <c r="I342" s="349" t="s">
        <v>282</v>
      </c>
      <c r="J342" s="349">
        <f t="shared" ref="J342:M342" si="76">PARAMS(J341)</f>
        <v>2</v>
      </c>
      <c r="K342" s="349">
        <f t="shared" si="76"/>
        <v>1024</v>
      </c>
      <c r="L342" s="349">
        <f t="shared" si="76"/>
        <v>8</v>
      </c>
      <c r="M342" s="349">
        <f t="shared" si="76"/>
        <v>2048</v>
      </c>
      <c r="N342" s="349" t="s">
        <v>283</v>
      </c>
      <c r="O342" s="350"/>
      <c r="P342" s="377">
        <f>SIZEOF_IN_MIB(J342:M342, O341)</f>
        <v>64</v>
      </c>
      <c r="Q342" s="350"/>
    </row>
    <row r="343">
      <c r="E343" s="341"/>
      <c r="F343" s="342"/>
      <c r="G343" s="343"/>
      <c r="H343" s="517" t="s">
        <v>287</v>
      </c>
      <c r="I343" s="346" t="s">
        <v>282</v>
      </c>
      <c r="J343" s="345"/>
      <c r="K343" s="344"/>
      <c r="L343" s="344"/>
      <c r="M343" s="344" t="s">
        <v>96</v>
      </c>
      <c r="N343" s="346" t="s">
        <v>283</v>
      </c>
      <c r="O343" s="347"/>
      <c r="P343" s="509"/>
      <c r="Q343" s="347"/>
    </row>
    <row r="344">
      <c r="E344" s="341"/>
      <c r="F344" s="353"/>
      <c r="G344" s="354"/>
      <c r="H344" s="602" t="s">
        <v>289</v>
      </c>
      <c r="I344" s="349" t="s">
        <v>282</v>
      </c>
      <c r="J344" s="349">
        <f t="shared" ref="J344:M344" si="77">J342/SHARDING(J343)</f>
        <v>2</v>
      </c>
      <c r="K344" s="349">
        <f t="shared" si="77"/>
        <v>1024</v>
      </c>
      <c r="L344" s="349">
        <f t="shared" si="77"/>
        <v>8</v>
      </c>
      <c r="M344" s="349">
        <f t="shared" si="77"/>
        <v>256</v>
      </c>
      <c r="N344" s="349" t="s">
        <v>283</v>
      </c>
      <c r="O344" s="316"/>
      <c r="P344" s="377">
        <f>SIZEOF_IN_MIB(J344:M344, O341)</f>
        <v>8</v>
      </c>
      <c r="Q344" s="316"/>
    </row>
    <row r="345">
      <c r="E345" s="341"/>
      <c r="F345" s="370" t="s">
        <v>378</v>
      </c>
      <c r="G345" s="601" t="s">
        <v>644</v>
      </c>
      <c r="H345" s="498" t="str">
        <f>L339</f>
        <v>data</v>
      </c>
      <c r="I345" s="632" t="s">
        <v>645</v>
      </c>
      <c r="J345" s="345"/>
      <c r="K345" s="345"/>
      <c r="L345" s="346"/>
      <c r="M345" s="346"/>
      <c r="N345" s="346"/>
      <c r="O345" s="345"/>
      <c r="P345" s="509"/>
      <c r="Q345" s="379"/>
    </row>
    <row r="346">
      <c r="E346" s="341"/>
      <c r="F346" s="341"/>
      <c r="G346" s="591" t="s">
        <v>381</v>
      </c>
      <c r="H346" s="633" t="s">
        <v>382</v>
      </c>
      <c r="I346" s="633"/>
      <c r="J346" s="448"/>
      <c r="K346" s="448"/>
      <c r="L346" s="449"/>
      <c r="M346" s="449"/>
      <c r="N346" s="449"/>
      <c r="O346" s="448"/>
      <c r="P346" s="604"/>
      <c r="Q346" s="572"/>
    </row>
    <row r="347">
      <c r="E347" s="341"/>
      <c r="F347" s="341"/>
      <c r="G347" s="594" t="s">
        <v>306</v>
      </c>
      <c r="H347" s="634">
        <f>SHARDING(H345)</f>
        <v>2</v>
      </c>
      <c r="I347" s="498"/>
      <c r="J347" s="345"/>
      <c r="K347" s="345"/>
      <c r="L347" s="346"/>
      <c r="M347" s="346"/>
      <c r="N347" s="346"/>
      <c r="O347" s="345"/>
      <c r="P347" s="509"/>
      <c r="Q347" s="379"/>
    </row>
    <row r="348">
      <c r="E348" s="341"/>
      <c r="F348" s="341"/>
      <c r="G348" s="594" t="s">
        <v>383</v>
      </c>
      <c r="H348" s="635">
        <f>P344/H347*(H347-1)</f>
        <v>4</v>
      </c>
      <c r="I348" s="549"/>
      <c r="J348" s="336"/>
      <c r="K348" s="336"/>
      <c r="L348" s="349"/>
      <c r="M348" s="349"/>
      <c r="N348" s="349"/>
      <c r="O348" s="336"/>
      <c r="P348" s="377"/>
      <c r="Q348" s="298"/>
    </row>
    <row r="349">
      <c r="E349" s="341"/>
      <c r="F349" s="341"/>
      <c r="G349" s="594" t="s">
        <v>384</v>
      </c>
      <c r="H349" s="636">
        <f>H348*H347</f>
        <v>8</v>
      </c>
      <c r="I349" s="498"/>
      <c r="J349" s="345"/>
      <c r="K349" s="345"/>
      <c r="L349" s="346"/>
      <c r="M349" s="346"/>
      <c r="N349" s="346"/>
      <c r="O349" s="345"/>
      <c r="P349" s="509"/>
      <c r="Q349" s="379"/>
    </row>
    <row r="350">
      <c r="E350" s="341"/>
      <c r="F350" s="341"/>
      <c r="G350" s="637" t="s">
        <v>385</v>
      </c>
      <c r="H350" s="638" t="s">
        <v>309</v>
      </c>
      <c r="I350" s="549"/>
      <c r="J350" s="639">
        <f>IFS(H347=8,12,
H347=4,4,
H347=2,1,
H347=1,0,
TRUE,NA())</f>
        <v>1</v>
      </c>
      <c r="K350" s="336"/>
      <c r="L350" s="349"/>
      <c r="M350" s="349"/>
      <c r="N350" s="349"/>
      <c r="O350" s="336"/>
      <c r="P350" s="377"/>
      <c r="Q350" s="298"/>
    </row>
    <row r="351">
      <c r="E351" s="341"/>
      <c r="F351" s="341"/>
      <c r="G351" s="341"/>
      <c r="H351" s="640" t="s">
        <v>386</v>
      </c>
      <c r="I351" s="379"/>
      <c r="J351" s="641">
        <f>HW_SPEC("# of TensorCore per Chip")</f>
        <v>2</v>
      </c>
      <c r="K351" s="345"/>
      <c r="L351" s="346"/>
      <c r="M351" s="346"/>
      <c r="N351" s="346"/>
      <c r="O351" s="345"/>
      <c r="P351" s="509"/>
      <c r="Q351" s="379"/>
    </row>
    <row r="352">
      <c r="E352" s="341"/>
      <c r="F352" s="341"/>
      <c r="G352" s="352"/>
      <c r="H352" s="642" t="s">
        <v>311</v>
      </c>
      <c r="I352" s="549"/>
      <c r="J352" s="643">
        <f>REDUCE_SCATTER_CHIP2CHIP_TIME_MS2(H349*J351,J350)</f>
        <v>0.09765625</v>
      </c>
      <c r="K352" s="336"/>
      <c r="L352" s="349"/>
      <c r="M352" s="349"/>
      <c r="N352" s="349"/>
      <c r="O352" s="336"/>
      <c r="P352" s="377"/>
      <c r="Q352" s="298"/>
    </row>
    <row r="353">
      <c r="E353" s="341"/>
      <c r="F353" s="341"/>
      <c r="G353" s="644" t="s">
        <v>387</v>
      </c>
      <c r="H353" s="645" t="s">
        <v>311</v>
      </c>
      <c r="I353" s="379"/>
      <c r="J353" s="646">
        <f>REDUCE_SCATTER_CORE2CORE_TIME_MS(H349)</f>
        <v>0.006510416667</v>
      </c>
      <c r="K353" s="345"/>
      <c r="L353" s="346"/>
      <c r="M353" s="346"/>
      <c r="N353" s="346"/>
      <c r="O353" s="345"/>
      <c r="P353" s="509"/>
      <c r="Q353" s="379"/>
    </row>
    <row r="354">
      <c r="E354" s="341"/>
      <c r="F354" s="341"/>
      <c r="G354" s="11"/>
      <c r="H354" s="298"/>
      <c r="I354" s="549"/>
      <c r="J354" s="336"/>
      <c r="K354" s="336"/>
      <c r="L354" s="349"/>
      <c r="M354" s="349"/>
      <c r="N354" s="349"/>
      <c r="O354" s="336"/>
      <c r="P354" s="377"/>
      <c r="Q354" s="298"/>
    </row>
    <row r="355">
      <c r="E355" s="341"/>
      <c r="F355" s="341"/>
      <c r="G355" s="591" t="s">
        <v>388</v>
      </c>
      <c r="H355" s="647" t="s">
        <v>389</v>
      </c>
      <c r="I355" s="648"/>
      <c r="J355" s="448"/>
      <c r="K355" s="448"/>
      <c r="L355" s="449"/>
      <c r="M355" s="449"/>
      <c r="N355" s="449"/>
      <c r="O355" s="448"/>
      <c r="P355" s="604"/>
      <c r="Q355" s="572"/>
    </row>
    <row r="356">
      <c r="E356" s="341"/>
      <c r="F356" s="341"/>
      <c r="G356" s="601" t="s">
        <v>390</v>
      </c>
      <c r="H356" s="649">
        <f>P344/2</f>
        <v>4</v>
      </c>
      <c r="I356" s="650"/>
      <c r="J356" s="454"/>
      <c r="K356" s="454"/>
      <c r="L356" s="455"/>
      <c r="M356" s="455"/>
      <c r="N356" s="455"/>
      <c r="O356" s="454"/>
      <c r="P356" s="468"/>
      <c r="Q356" s="11"/>
    </row>
    <row r="357">
      <c r="E357" s="341"/>
      <c r="F357" s="341"/>
      <c r="G357" s="11"/>
      <c r="H357" s="11"/>
      <c r="I357" s="650"/>
      <c r="J357" s="454"/>
      <c r="K357" s="454"/>
      <c r="L357" s="455"/>
      <c r="M357" s="455"/>
      <c r="N357" s="455"/>
      <c r="O357" s="454"/>
      <c r="P357" s="468"/>
      <c r="Q357" s="11"/>
    </row>
    <row r="358">
      <c r="E358" s="341"/>
      <c r="F358" s="341"/>
      <c r="G358" s="591" t="s">
        <v>263</v>
      </c>
      <c r="H358" s="647" t="s">
        <v>391</v>
      </c>
      <c r="I358" s="648"/>
      <c r="J358" s="448"/>
      <c r="K358" s="448"/>
      <c r="L358" s="449"/>
      <c r="M358" s="449"/>
      <c r="N358" s="449"/>
      <c r="O358" s="448"/>
      <c r="P358" s="604"/>
      <c r="Q358" s="572"/>
    </row>
    <row r="359">
      <c r="E359" s="341"/>
      <c r="F359" s="341"/>
      <c r="G359" s="594" t="s">
        <v>306</v>
      </c>
      <c r="H359" s="651">
        <f>H347</f>
        <v>2</v>
      </c>
      <c r="I359" s="650"/>
      <c r="J359" s="454"/>
      <c r="K359" s="454"/>
      <c r="L359" s="455"/>
      <c r="M359" s="455"/>
      <c r="N359" s="455"/>
      <c r="O359" s="454"/>
      <c r="P359" s="468"/>
      <c r="Q359" s="11"/>
    </row>
    <row r="360">
      <c r="E360" s="341"/>
      <c r="F360" s="341"/>
      <c r="G360" s="594" t="s">
        <v>392</v>
      </c>
      <c r="H360" s="652">
        <f>H356/H359 * (H359-1)</f>
        <v>2</v>
      </c>
      <c r="I360" s="650"/>
      <c r="J360" s="454"/>
      <c r="K360" s="454"/>
      <c r="L360" s="455"/>
      <c r="M360" s="455"/>
      <c r="N360" s="455"/>
      <c r="O360" s="454"/>
      <c r="P360" s="468"/>
      <c r="Q360" s="11"/>
    </row>
    <row r="361">
      <c r="E361" s="341"/>
      <c r="F361" s="341"/>
      <c r="G361" s="594" t="s">
        <v>308</v>
      </c>
      <c r="H361" s="652">
        <f>H360*H359</f>
        <v>4</v>
      </c>
      <c r="I361" s="650"/>
      <c r="J361" s="454"/>
      <c r="K361" s="454"/>
      <c r="L361" s="455"/>
      <c r="M361" s="455"/>
      <c r="N361" s="455"/>
      <c r="O361" s="454"/>
      <c r="P361" s="468"/>
      <c r="Q361" s="11"/>
    </row>
    <row r="362">
      <c r="E362" s="341"/>
      <c r="F362" s="341"/>
      <c r="G362" s="653" t="s">
        <v>385</v>
      </c>
      <c r="H362" s="385" t="s">
        <v>309</v>
      </c>
      <c r="I362" s="11"/>
      <c r="J362" s="654">
        <f>IFS(H359=8,12,
H359=4,4,
H359=2,1,
TRUE,NA())</f>
        <v>1</v>
      </c>
      <c r="K362" s="454"/>
      <c r="L362" s="455"/>
      <c r="M362" s="455"/>
      <c r="N362" s="455"/>
      <c r="O362" s="454"/>
      <c r="P362" s="468"/>
      <c r="Q362" s="11"/>
      <c r="S362" s="655"/>
    </row>
    <row r="363">
      <c r="E363" s="341"/>
      <c r="F363" s="341"/>
      <c r="G363" s="341"/>
      <c r="H363" s="385" t="s">
        <v>386</v>
      </c>
      <c r="I363" s="11"/>
      <c r="J363" s="656">
        <f>HW_SPEC("# of TensorCore per Chip")</f>
        <v>2</v>
      </c>
      <c r="K363" s="454"/>
      <c r="L363" s="455"/>
      <c r="M363" s="455"/>
      <c r="N363" s="455"/>
      <c r="O363" s="454"/>
      <c r="P363" s="468"/>
      <c r="Q363" s="11"/>
    </row>
    <row r="364">
      <c r="E364" s="341"/>
      <c r="F364" s="341"/>
      <c r="G364" s="352"/>
      <c r="H364" s="402" t="s">
        <v>311</v>
      </c>
      <c r="I364" s="650"/>
      <c r="J364" s="657">
        <f>REDUCE_SCATTER_CHIP2CHIP_TIME_MS2(H361*J363,J362)</f>
        <v>0.048828125</v>
      </c>
      <c r="K364" s="454"/>
      <c r="L364" s="455"/>
      <c r="M364" s="455"/>
      <c r="N364" s="455"/>
      <c r="O364" s="454"/>
      <c r="P364" s="468"/>
      <c r="Q364" s="11"/>
    </row>
    <row r="365">
      <c r="E365" s="341"/>
      <c r="F365" s="341"/>
      <c r="G365" s="658" t="s">
        <v>387</v>
      </c>
      <c r="H365" s="402" t="s">
        <v>311</v>
      </c>
      <c r="I365" s="650"/>
      <c r="J365" s="657">
        <f>REDUCE_SCATTER_CORE2CORE_TIME_MS(H361)</f>
        <v>0.003255208333</v>
      </c>
      <c r="K365" s="454"/>
      <c r="L365" s="455"/>
      <c r="M365" s="455"/>
      <c r="N365" s="455"/>
      <c r="O365" s="454"/>
      <c r="P365" s="468"/>
      <c r="Q365" s="11"/>
    </row>
    <row r="366">
      <c r="E366" s="341"/>
      <c r="F366" s="341"/>
      <c r="G366" s="594"/>
      <c r="H366" s="659"/>
      <c r="I366" s="650"/>
      <c r="J366" s="454"/>
      <c r="K366" s="454"/>
      <c r="L366" s="455"/>
      <c r="M366" s="455"/>
      <c r="N366" s="455"/>
      <c r="O366" s="454"/>
      <c r="P366" s="468"/>
      <c r="Q366" s="11"/>
    </row>
    <row r="367">
      <c r="E367" s="341"/>
      <c r="F367" s="341"/>
      <c r="G367" s="591" t="s">
        <v>393</v>
      </c>
      <c r="H367" s="660" t="s">
        <v>387</v>
      </c>
      <c r="I367" s="648"/>
      <c r="J367" s="448"/>
      <c r="K367" s="448"/>
      <c r="L367" s="449"/>
      <c r="M367" s="449"/>
      <c r="N367" s="449"/>
      <c r="O367" s="448"/>
      <c r="P367" s="604"/>
      <c r="Q367" s="572"/>
    </row>
    <row r="368">
      <c r="E368" s="341"/>
      <c r="F368" s="341"/>
      <c r="G368" s="661" t="s">
        <v>395</v>
      </c>
      <c r="H368" s="662">
        <f>IFS(H367=G350,J352,
H367=G353,J353 ,
TRUE,0)</f>
        <v>0.006510416667</v>
      </c>
      <c r="I368" s="650"/>
      <c r="J368" s="454"/>
      <c r="K368" s="454"/>
      <c r="L368" s="455"/>
      <c r="M368" s="455"/>
      <c r="N368" s="455"/>
      <c r="O368" s="454"/>
      <c r="P368" s="468"/>
      <c r="Q368" s="11"/>
    </row>
    <row r="369">
      <c r="E369" s="341"/>
      <c r="F369" s="341"/>
      <c r="G369" s="661" t="s">
        <v>396</v>
      </c>
      <c r="H369" s="662">
        <f>IFS(H367=G362,J364,
H367=G365,J365 ,
TRUE,0)</f>
        <v>0.003255208333</v>
      </c>
      <c r="I369" s="650"/>
      <c r="J369" s="454"/>
      <c r="K369" s="454"/>
      <c r="L369" s="455"/>
      <c r="M369" s="455"/>
      <c r="N369" s="455"/>
      <c r="O369" s="454"/>
      <c r="P369" s="468"/>
      <c r="Q369" s="11"/>
    </row>
    <row r="370">
      <c r="E370" s="341"/>
      <c r="F370" s="352"/>
      <c r="G370" s="591" t="s">
        <v>340</v>
      </c>
      <c r="H370" s="625">
        <f>SUM(H368:H369)</f>
        <v>0.009765625</v>
      </c>
      <c r="I370" s="581"/>
      <c r="J370" s="448"/>
      <c r="K370" s="448"/>
      <c r="L370" s="449"/>
      <c r="M370" s="449"/>
      <c r="N370" s="449"/>
      <c r="O370" s="448"/>
      <c r="P370" s="604"/>
      <c r="Q370" s="572"/>
    </row>
    <row r="371">
      <c r="E371" s="341"/>
      <c r="F371" s="609" t="s">
        <v>327</v>
      </c>
      <c r="G371" s="601" t="s">
        <v>328</v>
      </c>
      <c r="H371" s="663" t="str">
        <f>VLOOKUP(O333&amp;","&amp;O337,$T$2:$W$11,4, FALSE)</f>
        <v>fp8</v>
      </c>
      <c r="I371" s="460"/>
      <c r="J371" s="454"/>
      <c r="K371" s="454"/>
      <c r="L371" s="455"/>
      <c r="M371" s="455"/>
      <c r="N371" s="455"/>
      <c r="O371" s="454"/>
      <c r="P371" s="468"/>
      <c r="Q371" s="11"/>
    </row>
    <row r="372">
      <c r="E372" s="341"/>
      <c r="F372" s="341"/>
      <c r="G372" s="601" t="s">
        <v>403</v>
      </c>
      <c r="H372" s="667" t="str">
        <f>CALCULATE_FLOPS(J336:M336,J340:M340,L340,K340,H371)</f>
        <v>#N/A</v>
      </c>
      <c r="I372" s="460"/>
      <c r="J372" s="454"/>
      <c r="K372" s="454"/>
      <c r="L372" s="455"/>
      <c r="M372" s="455"/>
      <c r="N372" s="455"/>
      <c r="O372" s="454"/>
      <c r="P372" s="468"/>
      <c r="Q372" s="11"/>
    </row>
    <row r="373">
      <c r="E373" s="341"/>
      <c r="F373" s="352"/>
      <c r="G373" s="669" t="s">
        <v>330</v>
      </c>
      <c r="H373" s="670" t="str">
        <f>COMPUTE_TIME_MS(H372, H371)</f>
        <v>#N/A</v>
      </c>
      <c r="I373" s="464"/>
      <c r="J373" s="465"/>
      <c r="K373" s="465"/>
      <c r="L373" s="466"/>
      <c r="M373" s="466"/>
      <c r="N373" s="466"/>
      <c r="O373" s="465"/>
      <c r="P373" s="671"/>
      <c r="Q373" s="11"/>
    </row>
    <row r="374">
      <c r="E374" s="341"/>
      <c r="F374" s="609" t="s">
        <v>331</v>
      </c>
      <c r="G374" s="663" t="s">
        <v>332</v>
      </c>
      <c r="H374" s="672">
        <f>IF(Q333,0,P336)+IF(Q337,0,P340)+IF(Q341,0,P344 / 2)</f>
        <v>480</v>
      </c>
      <c r="I374" s="454"/>
      <c r="J374" s="454"/>
      <c r="K374" s="454"/>
      <c r="L374" s="455"/>
      <c r="M374" s="455"/>
      <c r="N374" s="455"/>
      <c r="O374" s="454"/>
      <c r="P374" s="468"/>
      <c r="Q374" s="11"/>
    </row>
    <row r="375">
      <c r="E375" s="352"/>
      <c r="F375" s="352"/>
      <c r="G375" s="673" t="s">
        <v>333</v>
      </c>
      <c r="H375" s="670">
        <f>HBM_TIME_MS(H374)</f>
        <v>0.1602016405</v>
      </c>
      <c r="I375" s="465"/>
      <c r="J375" s="465"/>
      <c r="K375" s="465"/>
      <c r="L375" s="466"/>
      <c r="M375" s="466"/>
      <c r="N375" s="466"/>
      <c r="O375" s="465"/>
      <c r="P375" s="671"/>
      <c r="Q375" s="11"/>
    </row>
    <row r="376">
      <c r="E376" s="333" t="s">
        <v>404</v>
      </c>
      <c r="F376" s="627" t="s">
        <v>292</v>
      </c>
      <c r="G376" s="335"/>
      <c r="H376" s="372" t="s">
        <v>281</v>
      </c>
      <c r="I376" s="364" t="s">
        <v>282</v>
      </c>
      <c r="J376" s="273"/>
      <c r="K376" s="273" t="s">
        <v>104</v>
      </c>
      <c r="L376" s="273" t="s">
        <v>212</v>
      </c>
      <c r="M376" s="472" t="s">
        <v>182</v>
      </c>
      <c r="N376" s="364" t="s">
        <v>283</v>
      </c>
      <c r="O376" s="365" t="s">
        <v>125</v>
      </c>
      <c r="P376" s="375"/>
      <c r="Q376" s="365" t="b">
        <v>0</v>
      </c>
    </row>
    <row r="377">
      <c r="E377" s="341"/>
      <c r="F377" s="342"/>
      <c r="G377" s="343"/>
      <c r="H377" s="374" t="s">
        <v>285</v>
      </c>
      <c r="I377" s="364" t="s">
        <v>282</v>
      </c>
      <c r="J377" s="363"/>
      <c r="K377" s="364">
        <f t="shared" ref="K377:M377" si="78">PARAMS(K376)</f>
        <v>1024</v>
      </c>
      <c r="L377" s="364">
        <f t="shared" si="78"/>
        <v>8</v>
      </c>
      <c r="M377" s="364">
        <f t="shared" si="78"/>
        <v>2048</v>
      </c>
      <c r="N377" s="364" t="s">
        <v>283</v>
      </c>
      <c r="O377" s="341"/>
      <c r="P377" s="375">
        <f>SIZEOF_IN_MIB(J377:M377, O376)</f>
        <v>16</v>
      </c>
      <c r="Q377" s="341"/>
    </row>
    <row r="378">
      <c r="E378" s="341"/>
      <c r="F378" s="342"/>
      <c r="G378" s="343"/>
      <c r="H378" s="629" t="s">
        <v>287</v>
      </c>
      <c r="I378" s="363" t="s">
        <v>282</v>
      </c>
      <c r="J378" s="364"/>
      <c r="K378" s="273"/>
      <c r="L378" s="273"/>
      <c r="M378" s="273" t="s">
        <v>96</v>
      </c>
      <c r="N378" s="363" t="s">
        <v>283</v>
      </c>
      <c r="O378" s="341"/>
      <c r="P378" s="375"/>
      <c r="Q378" s="341"/>
    </row>
    <row r="379">
      <c r="E379" s="341"/>
      <c r="F379" s="353"/>
      <c r="G379" s="354"/>
      <c r="H379" s="374" t="s">
        <v>289</v>
      </c>
      <c r="I379" s="363" t="s">
        <v>282</v>
      </c>
      <c r="J379" s="364"/>
      <c r="K379" s="363">
        <f t="shared" ref="K379:M379" si="79">K377/SHARDING(K378)</f>
        <v>1024</v>
      </c>
      <c r="L379" s="363">
        <f t="shared" si="79"/>
        <v>8</v>
      </c>
      <c r="M379" s="363">
        <f t="shared" si="79"/>
        <v>256</v>
      </c>
      <c r="N379" s="363" t="s">
        <v>283</v>
      </c>
      <c r="O379" s="352"/>
      <c r="P379" s="375">
        <f>SIZEOF_IN_MIB(J379:M379, O376)</f>
        <v>2</v>
      </c>
      <c r="Q379" s="352"/>
    </row>
    <row r="380">
      <c r="E380" s="341"/>
      <c r="F380" s="630" t="s">
        <v>296</v>
      </c>
      <c r="G380" s="335"/>
      <c r="H380" s="629" t="s">
        <v>281</v>
      </c>
      <c r="I380" s="363" t="s">
        <v>282</v>
      </c>
      <c r="J380" s="364"/>
      <c r="K380" s="273" t="s">
        <v>184</v>
      </c>
      <c r="L380" s="472" t="s">
        <v>182</v>
      </c>
      <c r="M380" s="273" t="s">
        <v>178</v>
      </c>
      <c r="N380" s="363" t="s">
        <v>283</v>
      </c>
      <c r="O380" s="365" t="s">
        <v>125</v>
      </c>
      <c r="P380" s="375"/>
      <c r="Q380" s="365" t="b">
        <v>0</v>
      </c>
    </row>
    <row r="381">
      <c r="E381" s="341"/>
      <c r="F381" s="342"/>
      <c r="G381" s="343"/>
      <c r="H381" s="374" t="s">
        <v>285</v>
      </c>
      <c r="I381" s="363" t="s">
        <v>282</v>
      </c>
      <c r="J381" s="364"/>
      <c r="K381" s="363">
        <f t="shared" ref="K381:M381" si="80">PARAMS(K380)</f>
        <v>256</v>
      </c>
      <c r="L381" s="363">
        <f t="shared" si="80"/>
        <v>2048</v>
      </c>
      <c r="M381" s="363">
        <f t="shared" si="80"/>
        <v>7168</v>
      </c>
      <c r="N381" s="363" t="s">
        <v>283</v>
      </c>
      <c r="O381" s="341"/>
      <c r="P381" s="375">
        <f>SIZEOF_IN_MIB(J381:M381, O380)</f>
        <v>3584</v>
      </c>
      <c r="Q381" s="341"/>
    </row>
    <row r="382">
      <c r="E382" s="341"/>
      <c r="F382" s="342"/>
      <c r="G382" s="343"/>
      <c r="H382" s="629" t="s">
        <v>287</v>
      </c>
      <c r="I382" s="363" t="s">
        <v>282</v>
      </c>
      <c r="J382" s="364"/>
      <c r="K382" s="273"/>
      <c r="L382" s="273" t="s">
        <v>96</v>
      </c>
      <c r="M382" s="273" t="s">
        <v>97</v>
      </c>
      <c r="N382" s="363" t="s">
        <v>283</v>
      </c>
      <c r="O382" s="341"/>
      <c r="P382" s="375"/>
      <c r="Q382" s="341"/>
    </row>
    <row r="383">
      <c r="E383" s="341"/>
      <c r="F383" s="353"/>
      <c r="G383" s="354"/>
      <c r="H383" s="629" t="s">
        <v>289</v>
      </c>
      <c r="I383" s="363" t="s">
        <v>282</v>
      </c>
      <c r="J383" s="364"/>
      <c r="K383" s="363">
        <f t="shared" ref="K383:M383" si="81">K381/SHARDING(K382)</f>
        <v>256</v>
      </c>
      <c r="L383" s="363">
        <f t="shared" si="81"/>
        <v>256</v>
      </c>
      <c r="M383" s="363">
        <f t="shared" si="81"/>
        <v>3584</v>
      </c>
      <c r="N383" s="363" t="s">
        <v>283</v>
      </c>
      <c r="O383" s="352"/>
      <c r="P383" s="375">
        <f>SIZEOF_IN_MIB(J383:M383, O380)</f>
        <v>224</v>
      </c>
      <c r="Q383" s="352"/>
    </row>
    <row r="384">
      <c r="E384" s="341"/>
      <c r="F384" s="630" t="s">
        <v>56</v>
      </c>
      <c r="G384" s="335"/>
      <c r="H384" s="629" t="s">
        <v>281</v>
      </c>
      <c r="I384" s="363" t="s">
        <v>282</v>
      </c>
      <c r="J384" s="364"/>
      <c r="K384" s="273" t="s">
        <v>104</v>
      </c>
      <c r="L384" s="273" t="s">
        <v>212</v>
      </c>
      <c r="M384" s="273" t="s">
        <v>178</v>
      </c>
      <c r="N384" s="363" t="s">
        <v>283</v>
      </c>
      <c r="O384" s="674" t="s">
        <v>133</v>
      </c>
      <c r="P384" s="375"/>
      <c r="Q384" s="365" t="b">
        <v>0</v>
      </c>
    </row>
    <row r="385">
      <c r="E385" s="341"/>
      <c r="F385" s="342"/>
      <c r="G385" s="343"/>
      <c r="H385" s="374" t="s">
        <v>285</v>
      </c>
      <c r="I385" s="363" t="s">
        <v>282</v>
      </c>
      <c r="J385" s="364"/>
      <c r="K385" s="363">
        <f t="shared" ref="K385:M385" si="82">PARAMS(K384)</f>
        <v>1024</v>
      </c>
      <c r="L385" s="363">
        <f t="shared" si="82"/>
        <v>8</v>
      </c>
      <c r="M385" s="363">
        <f t="shared" si="82"/>
        <v>7168</v>
      </c>
      <c r="N385" s="363" t="s">
        <v>283</v>
      </c>
      <c r="O385" s="341"/>
      <c r="P385" s="375">
        <f>SIZEOF_IN_MIB(J385:M385, O384)</f>
        <v>112</v>
      </c>
      <c r="Q385" s="341"/>
    </row>
    <row r="386">
      <c r="E386" s="341"/>
      <c r="F386" s="342"/>
      <c r="G386" s="343"/>
      <c r="H386" s="629" t="s">
        <v>287</v>
      </c>
      <c r="I386" s="363" t="s">
        <v>282</v>
      </c>
      <c r="J386" s="364"/>
      <c r="K386" s="273"/>
      <c r="L386" s="273"/>
      <c r="M386" s="273" t="s">
        <v>97</v>
      </c>
      <c r="N386" s="363" t="s">
        <v>283</v>
      </c>
      <c r="O386" s="341"/>
      <c r="P386" s="375"/>
      <c r="Q386" s="341"/>
    </row>
    <row r="387">
      <c r="E387" s="341"/>
      <c r="F387" s="353"/>
      <c r="G387" s="354"/>
      <c r="H387" s="629" t="s">
        <v>289</v>
      </c>
      <c r="I387" s="363" t="s">
        <v>282</v>
      </c>
      <c r="J387" s="363"/>
      <c r="K387" s="363">
        <f t="shared" ref="K387:M387" si="83">K385/SHARDING(K386)</f>
        <v>1024</v>
      </c>
      <c r="L387" s="363">
        <f t="shared" si="83"/>
        <v>8</v>
      </c>
      <c r="M387" s="363">
        <f t="shared" si="83"/>
        <v>3584</v>
      </c>
      <c r="N387" s="363" t="s">
        <v>283</v>
      </c>
      <c r="O387" s="352"/>
      <c r="P387" s="375">
        <f>SIZEOF_IN_MIB(J387:M387, O384)</f>
        <v>56</v>
      </c>
      <c r="Q387" s="352"/>
    </row>
    <row r="388">
      <c r="E388" s="341"/>
      <c r="F388" s="370" t="s">
        <v>378</v>
      </c>
      <c r="G388" s="675" t="s">
        <v>646</v>
      </c>
      <c r="H388" s="676" t="str">
        <f>L382</f>
        <v>model</v>
      </c>
      <c r="I388" s="364"/>
      <c r="J388" s="11"/>
      <c r="K388" s="364"/>
      <c r="L388" s="363"/>
      <c r="M388" s="363"/>
      <c r="N388" s="363"/>
      <c r="O388" s="364"/>
      <c r="P388" s="375"/>
      <c r="Q388" s="677"/>
    </row>
    <row r="389">
      <c r="E389" s="341"/>
      <c r="F389" s="341"/>
      <c r="G389" s="678" t="s">
        <v>406</v>
      </c>
      <c r="H389" s="679" t="s">
        <v>647</v>
      </c>
      <c r="I389" s="448"/>
      <c r="J389" s="448"/>
      <c r="K389" s="448"/>
      <c r="L389" s="449"/>
      <c r="M389" s="449"/>
      <c r="N389" s="449"/>
      <c r="O389" s="448"/>
      <c r="P389" s="604"/>
      <c r="Q389" s="450"/>
    </row>
    <row r="390">
      <c r="E390" s="341"/>
      <c r="F390" s="341"/>
      <c r="G390" s="680" t="s">
        <v>306</v>
      </c>
      <c r="H390" s="374">
        <f>SHARDING(H388)</f>
        <v>8</v>
      </c>
      <c r="I390" s="364"/>
      <c r="J390" s="364"/>
      <c r="K390" s="364"/>
      <c r="L390" s="363"/>
      <c r="M390" s="363"/>
      <c r="N390" s="363"/>
      <c r="O390" s="364"/>
      <c r="P390" s="375"/>
      <c r="Q390" s="677"/>
    </row>
    <row r="391">
      <c r="E391" s="341"/>
      <c r="F391" s="341"/>
      <c r="G391" s="680" t="s">
        <v>392</v>
      </c>
      <c r="H391" s="681">
        <f>P387 / H390 * (H390-1)</f>
        <v>49</v>
      </c>
      <c r="I391" s="364"/>
      <c r="J391" s="364"/>
      <c r="K391" s="364"/>
      <c r="L391" s="363"/>
      <c r="M391" s="363"/>
      <c r="N391" s="363"/>
      <c r="O391" s="364"/>
      <c r="P391" s="375"/>
      <c r="Q391" s="677"/>
    </row>
    <row r="392">
      <c r="E392" s="341"/>
      <c r="F392" s="341"/>
      <c r="G392" s="680" t="s">
        <v>308</v>
      </c>
      <c r="H392" s="681">
        <f>H391*H390</f>
        <v>392</v>
      </c>
      <c r="I392" s="364"/>
      <c r="J392" s="364"/>
      <c r="K392" s="364"/>
      <c r="L392" s="363"/>
      <c r="M392" s="363"/>
      <c r="N392" s="363"/>
      <c r="O392" s="364"/>
      <c r="P392" s="375"/>
      <c r="Q392" s="677"/>
    </row>
    <row r="393">
      <c r="E393" s="341"/>
      <c r="F393" s="341"/>
      <c r="G393" s="385" t="s">
        <v>309</v>
      </c>
      <c r="H393" s="654">
        <f>IFS(H390=8,12,
H390=4,4,
H390=2,1,
TRUE,NA())</f>
        <v>12</v>
      </c>
      <c r="I393" s="11"/>
      <c r="J393" s="364"/>
      <c r="K393" s="364"/>
      <c r="L393" s="363"/>
      <c r="M393" s="363"/>
      <c r="N393" s="363"/>
      <c r="O393" s="364"/>
      <c r="P393" s="375"/>
      <c r="Q393" s="677"/>
    </row>
    <row r="394">
      <c r="E394" s="341"/>
      <c r="F394" s="341"/>
      <c r="G394" s="682" t="s">
        <v>340</v>
      </c>
      <c r="H394" s="683">
        <f>ALL_REDUCE_CHIP2CHIP_TIME_MS(H392,H393)</f>
        <v>0.3987630208</v>
      </c>
      <c r="I394" s="364"/>
      <c r="J394" s="364"/>
      <c r="K394" s="364"/>
      <c r="L394" s="363"/>
      <c r="M394" s="363"/>
      <c r="N394" s="363"/>
      <c r="O394" s="364"/>
      <c r="P394" s="375"/>
      <c r="Q394" s="677"/>
    </row>
    <row r="395">
      <c r="E395" s="341"/>
      <c r="F395" s="341"/>
      <c r="G395" s="682"/>
      <c r="H395" s="683"/>
      <c r="I395" s="364"/>
      <c r="J395" s="364"/>
      <c r="K395" s="364"/>
      <c r="L395" s="363"/>
      <c r="M395" s="363"/>
      <c r="N395" s="363"/>
      <c r="O395" s="364"/>
      <c r="P395" s="375"/>
      <c r="Q395" s="677"/>
    </row>
    <row r="396">
      <c r="E396" s="341"/>
      <c r="F396" s="341"/>
      <c r="G396" s="678" t="s">
        <v>408</v>
      </c>
      <c r="H396" s="684" t="s">
        <v>409</v>
      </c>
      <c r="I396" s="448"/>
      <c r="J396" s="448"/>
      <c r="K396" s="448"/>
      <c r="L396" s="449"/>
      <c r="M396" s="449"/>
      <c r="N396" s="449"/>
      <c r="O396" s="448"/>
      <c r="P396" s="604"/>
      <c r="Q396" s="450"/>
    </row>
    <row r="397">
      <c r="E397" s="341"/>
      <c r="F397" s="341"/>
      <c r="G397" s="8" t="s">
        <v>340</v>
      </c>
      <c r="H397" s="670">
        <f>0</f>
        <v>0</v>
      </c>
      <c r="I397" s="364"/>
      <c r="J397" s="364"/>
      <c r="K397" s="364"/>
      <c r="L397" s="363"/>
      <c r="M397" s="363"/>
      <c r="N397" s="363"/>
      <c r="O397" s="364"/>
      <c r="P397" s="375"/>
      <c r="Q397" s="677"/>
    </row>
    <row r="398">
      <c r="E398" s="341"/>
      <c r="F398" s="341"/>
      <c r="G398" s="8"/>
      <c r="H398" s="670"/>
      <c r="I398" s="364"/>
      <c r="J398" s="364"/>
      <c r="K398" s="364"/>
      <c r="L398" s="363"/>
      <c r="M398" s="363"/>
      <c r="N398" s="363"/>
      <c r="O398" s="364"/>
      <c r="P398" s="375"/>
      <c r="Q398" s="677"/>
    </row>
    <row r="399">
      <c r="E399" s="341"/>
      <c r="F399" s="341"/>
      <c r="G399" s="591" t="s">
        <v>393</v>
      </c>
      <c r="H399" s="685" t="s">
        <v>408</v>
      </c>
      <c r="I399" s="448"/>
      <c r="J399" s="448"/>
      <c r="K399" s="448"/>
      <c r="L399" s="449"/>
      <c r="M399" s="449"/>
      <c r="N399" s="449"/>
      <c r="O399" s="448"/>
      <c r="P399" s="604"/>
      <c r="Q399" s="450"/>
    </row>
    <row r="400">
      <c r="E400" s="341"/>
      <c r="F400" s="352"/>
      <c r="G400" s="669" t="s">
        <v>340</v>
      </c>
      <c r="H400" s="670">
        <f>IFS(H399=G389,H394,H399=G396,H397,TRUE,0)</f>
        <v>0</v>
      </c>
      <c r="I400" s="686"/>
      <c r="J400" s="364"/>
      <c r="K400" s="364"/>
      <c r="L400" s="363"/>
      <c r="M400" s="363"/>
      <c r="N400" s="363"/>
      <c r="O400" s="364"/>
      <c r="P400" s="375"/>
      <c r="Q400" s="677"/>
    </row>
    <row r="401">
      <c r="E401" s="341"/>
      <c r="F401" s="609" t="s">
        <v>327</v>
      </c>
      <c r="G401" s="601" t="s">
        <v>328</v>
      </c>
      <c r="H401" s="663" t="str">
        <f>VLOOKUP(O376&amp;","&amp;O380,$T$2:$W$11,4, FALSE)</f>
        <v>fp8</v>
      </c>
      <c r="I401" s="460"/>
      <c r="J401" s="454"/>
      <c r="K401" s="454"/>
      <c r="L401" s="455"/>
      <c r="M401" s="455"/>
      <c r="N401" s="455"/>
      <c r="O401" s="454"/>
      <c r="P401" s="468"/>
      <c r="Q401" s="11"/>
    </row>
    <row r="402">
      <c r="E402" s="341"/>
      <c r="F402" s="341"/>
      <c r="G402" s="663" t="s">
        <v>341</v>
      </c>
      <c r="H402" s="687" t="str">
        <f>CALCULATE_FLOPS(J379:M379,J383:M383,L383,K383,H401)</f>
        <v>#N/A</v>
      </c>
      <c r="I402" s="492"/>
      <c r="J402" s="336"/>
      <c r="K402" s="336"/>
      <c r="L402" s="349"/>
      <c r="M402" s="349"/>
      <c r="N402" s="349"/>
      <c r="O402" s="336"/>
      <c r="P402" s="377"/>
      <c r="Q402" s="298"/>
    </row>
    <row r="403">
      <c r="E403" s="341"/>
      <c r="F403" s="352"/>
      <c r="G403" s="669" t="s">
        <v>330</v>
      </c>
      <c r="H403" s="688" t="str">
        <f>COMPUTE_TIME_MS(H402, H401)</f>
        <v>#N/A</v>
      </c>
      <c r="I403" s="464"/>
      <c r="J403" s="465"/>
      <c r="K403" s="465"/>
      <c r="L403" s="466"/>
      <c r="M403" s="466"/>
      <c r="N403" s="466"/>
      <c r="O403" s="465"/>
      <c r="P403" s="671"/>
      <c r="Q403" s="379"/>
    </row>
    <row r="404">
      <c r="E404" s="341"/>
      <c r="F404" s="609" t="s">
        <v>331</v>
      </c>
      <c r="G404" s="663" t="s">
        <v>332</v>
      </c>
      <c r="H404" s="689">
        <f>IF(Q376,0,P379)+IF(Q380,0,P383)+IF(Q384,0,P387)</f>
        <v>282</v>
      </c>
      <c r="I404" s="336"/>
      <c r="J404" s="336"/>
      <c r="K404" s="336"/>
      <c r="L404" s="349"/>
      <c r="M404" s="349"/>
      <c r="N404" s="349"/>
      <c r="O404" s="336"/>
      <c r="P404" s="377"/>
      <c r="Q404" s="298"/>
    </row>
    <row r="405">
      <c r="E405" s="352"/>
      <c r="F405" s="352"/>
      <c r="G405" s="673" t="s">
        <v>333</v>
      </c>
      <c r="H405" s="690">
        <f>HBM_TIME_MS(H404)</f>
        <v>0.09411846377</v>
      </c>
      <c r="I405" s="465"/>
      <c r="J405" s="465"/>
      <c r="K405" s="465"/>
      <c r="L405" s="466"/>
      <c r="M405" s="466"/>
      <c r="N405" s="466"/>
      <c r="O405" s="465"/>
      <c r="P405" s="671"/>
      <c r="Q405" s="379"/>
    </row>
    <row r="406">
      <c r="E406" s="333" t="s">
        <v>411</v>
      </c>
      <c r="F406" s="691" t="s">
        <v>412</v>
      </c>
      <c r="G406" s="371" t="s">
        <v>301</v>
      </c>
      <c r="H406" s="531" t="s">
        <v>281</v>
      </c>
      <c r="I406" s="336" t="s">
        <v>282</v>
      </c>
      <c r="J406" s="337"/>
      <c r="K406" s="337" t="s">
        <v>104</v>
      </c>
      <c r="L406" s="337" t="s">
        <v>212</v>
      </c>
      <c r="M406" s="499" t="s">
        <v>178</v>
      </c>
      <c r="N406" s="336" t="s">
        <v>283</v>
      </c>
      <c r="O406" s="338" t="s">
        <v>133</v>
      </c>
      <c r="P406" s="377"/>
      <c r="Q406" s="337"/>
    </row>
    <row r="407">
      <c r="E407" s="341"/>
      <c r="F407" s="341"/>
      <c r="G407" s="341"/>
      <c r="H407" s="378" t="s">
        <v>285</v>
      </c>
      <c r="I407" s="345" t="s">
        <v>282</v>
      </c>
      <c r="J407" s="346"/>
      <c r="K407" s="345">
        <f t="shared" ref="K407:M407" si="84">PARAMS(K406)</f>
        <v>1024</v>
      </c>
      <c r="L407" s="345">
        <f t="shared" si="84"/>
        <v>8</v>
      </c>
      <c r="M407" s="345">
        <f t="shared" si="84"/>
        <v>7168</v>
      </c>
      <c r="N407" s="345" t="s">
        <v>283</v>
      </c>
      <c r="O407" s="347"/>
      <c r="P407" s="509">
        <f>SIZEOF_IN_MIB(J407:M407, O406)</f>
        <v>112</v>
      </c>
      <c r="Q407" s="344"/>
    </row>
    <row r="408">
      <c r="E408" s="341"/>
      <c r="F408" s="341"/>
      <c r="G408" s="341"/>
      <c r="H408" s="602" t="s">
        <v>287</v>
      </c>
      <c r="I408" s="349" t="s">
        <v>282</v>
      </c>
      <c r="J408" s="336"/>
      <c r="K408" s="337"/>
      <c r="L408" s="337"/>
      <c r="M408" s="337" t="s">
        <v>97</v>
      </c>
      <c r="N408" s="349" t="s">
        <v>283</v>
      </c>
      <c r="O408" s="350"/>
      <c r="P408" s="377"/>
      <c r="Q408" s="337"/>
    </row>
    <row r="409">
      <c r="E409" s="341"/>
      <c r="F409" s="341"/>
      <c r="G409" s="352"/>
      <c r="H409" s="378" t="s">
        <v>289</v>
      </c>
      <c r="I409" s="346" t="s">
        <v>282</v>
      </c>
      <c r="J409" s="345"/>
      <c r="K409" s="346">
        <f t="shared" ref="K409:M409" si="85">K407/SHARDING(K408)</f>
        <v>1024</v>
      </c>
      <c r="L409" s="346">
        <f t="shared" si="85"/>
        <v>8</v>
      </c>
      <c r="M409" s="346">
        <f t="shared" si="85"/>
        <v>3584</v>
      </c>
      <c r="N409" s="346" t="s">
        <v>283</v>
      </c>
      <c r="O409" s="355"/>
      <c r="P409" s="509">
        <f>SIZEOF_IN_MIB(J409:M409, O406)</f>
        <v>56</v>
      </c>
      <c r="Q409" s="344"/>
    </row>
    <row r="410">
      <c r="E410" s="341"/>
      <c r="F410" s="341"/>
      <c r="G410" s="594" t="s">
        <v>616</v>
      </c>
      <c r="H410" s="888">
        <f>P407</f>
        <v>112</v>
      </c>
      <c r="I410" s="349"/>
      <c r="J410" s="336"/>
      <c r="K410" s="349"/>
      <c r="L410" s="349"/>
      <c r="M410" s="349"/>
      <c r="N410" s="349"/>
      <c r="O410" s="337"/>
      <c r="P410" s="377"/>
      <c r="Q410" s="337"/>
    </row>
    <row r="411">
      <c r="E411" s="341"/>
      <c r="F411" s="352"/>
      <c r="G411" s="594" t="s">
        <v>609</v>
      </c>
      <c r="H411" s="646" t="str">
        <f>ALL2ALL_CHIP2CHIP_TIME_MS(H410)</f>
        <v>#N/A</v>
      </c>
      <c r="I411" s="346"/>
      <c r="J411" s="345"/>
      <c r="K411" s="346"/>
      <c r="L411" s="346"/>
      <c r="M411" s="346"/>
      <c r="N411" s="346"/>
      <c r="O411" s="344"/>
      <c r="P411" s="509"/>
      <c r="Q411" s="344"/>
    </row>
    <row r="412">
      <c r="E412" s="341"/>
      <c r="F412" s="702" t="s">
        <v>417</v>
      </c>
      <c r="G412" s="661" t="s">
        <v>169</v>
      </c>
      <c r="H412" s="703" t="s">
        <v>648</v>
      </c>
      <c r="I412" s="336"/>
      <c r="J412" s="337"/>
      <c r="K412" s="337"/>
      <c r="L412" s="337"/>
      <c r="M412" s="337"/>
      <c r="N412" s="349"/>
      <c r="O412" s="337"/>
      <c r="P412" s="377"/>
      <c r="Q412" s="337"/>
    </row>
    <row r="413">
      <c r="E413" s="341"/>
      <c r="F413" s="341"/>
      <c r="G413" s="371" t="s">
        <v>301</v>
      </c>
      <c r="H413" s="529" t="s">
        <v>281</v>
      </c>
      <c r="I413" s="345" t="s">
        <v>282</v>
      </c>
      <c r="J413" s="344"/>
      <c r="K413" s="344" t="s">
        <v>104</v>
      </c>
      <c r="L413" s="344" t="s">
        <v>102</v>
      </c>
      <c r="M413" s="344" t="s">
        <v>178</v>
      </c>
      <c r="N413" s="346"/>
      <c r="O413" s="473" t="s">
        <v>133</v>
      </c>
      <c r="P413" s="509"/>
      <c r="Q413" s="344"/>
    </row>
    <row r="414">
      <c r="E414" s="341"/>
      <c r="F414" s="341"/>
      <c r="G414" s="341"/>
      <c r="H414" s="376" t="s">
        <v>285</v>
      </c>
      <c r="I414" s="336" t="s">
        <v>282</v>
      </c>
      <c r="J414" s="349"/>
      <c r="K414" s="336">
        <f t="shared" ref="K414:M414" si="86">PARAMS(K413)</f>
        <v>1024</v>
      </c>
      <c r="L414" s="336">
        <f t="shared" si="86"/>
        <v>1</v>
      </c>
      <c r="M414" s="336">
        <f t="shared" si="86"/>
        <v>7168</v>
      </c>
      <c r="N414" s="349"/>
      <c r="O414" s="350"/>
      <c r="P414" s="377">
        <f>SIZEOF_IN_MIB(J414:M414, O413)</f>
        <v>14</v>
      </c>
      <c r="Q414" s="337"/>
    </row>
    <row r="415">
      <c r="E415" s="341"/>
      <c r="F415" s="341"/>
      <c r="G415" s="341"/>
      <c r="H415" s="517" t="s">
        <v>287</v>
      </c>
      <c r="I415" s="346" t="s">
        <v>282</v>
      </c>
      <c r="J415" s="345"/>
      <c r="K415" s="344"/>
      <c r="L415" s="344"/>
      <c r="M415" s="344" t="s">
        <v>97</v>
      </c>
      <c r="N415" s="346"/>
      <c r="O415" s="347"/>
      <c r="P415" s="509"/>
      <c r="Q415" s="344"/>
    </row>
    <row r="416">
      <c r="E416" s="341"/>
      <c r="F416" s="341"/>
      <c r="G416" s="341"/>
      <c r="H416" s="374" t="s">
        <v>289</v>
      </c>
      <c r="I416" s="363" t="s">
        <v>282</v>
      </c>
      <c r="J416" s="364"/>
      <c r="K416" s="363">
        <f t="shared" ref="K416:M416" si="87">K414/SHARDING(K415)</f>
        <v>1024</v>
      </c>
      <c r="L416" s="363">
        <f t="shared" si="87"/>
        <v>1</v>
      </c>
      <c r="M416" s="363">
        <f t="shared" si="87"/>
        <v>3584</v>
      </c>
      <c r="N416" s="363"/>
      <c r="O416" s="352"/>
      <c r="P416" s="375">
        <f>SIZEOF_IN_MIB(J416:M416, O413)</f>
        <v>7</v>
      </c>
      <c r="Q416" s="273"/>
    </row>
    <row r="417">
      <c r="E417" s="341"/>
      <c r="F417" s="341"/>
      <c r="G417" s="352"/>
      <c r="H417" s="704" t="s">
        <v>419</v>
      </c>
      <c r="I417" s="705"/>
      <c r="J417" s="273"/>
      <c r="K417" s="363"/>
      <c r="L417" s="363"/>
      <c r="M417" s="363"/>
      <c r="N417" s="363"/>
      <c r="O417" s="273"/>
      <c r="P417" s="706"/>
      <c r="Q417" s="273"/>
    </row>
    <row r="418">
      <c r="E418" s="341"/>
      <c r="F418" s="341"/>
      <c r="G418" s="385" t="s">
        <v>306</v>
      </c>
      <c r="H418" s="707">
        <f>SHARDING(J417) * SHARDING(H388)</f>
        <v>8</v>
      </c>
      <c r="I418" s="363"/>
      <c r="J418" s="364"/>
      <c r="K418" s="363"/>
      <c r="L418" s="363"/>
      <c r="M418" s="363"/>
      <c r="N418" s="363"/>
      <c r="O418" s="273"/>
      <c r="P418" s="706"/>
      <c r="Q418" s="273"/>
    </row>
    <row r="419">
      <c r="E419" s="341"/>
      <c r="F419" s="341"/>
      <c r="G419" s="594" t="s">
        <v>383</v>
      </c>
      <c r="H419" s="652">
        <f>P416 / H418 * (H418-1)</f>
        <v>6.125</v>
      </c>
      <c r="I419" s="363"/>
      <c r="J419" s="364"/>
      <c r="K419" s="363"/>
      <c r="L419" s="363"/>
      <c r="M419" s="363"/>
      <c r="N419" s="363"/>
      <c r="O419" s="273"/>
      <c r="P419" s="706"/>
      <c r="Q419" s="273"/>
    </row>
    <row r="420">
      <c r="E420" s="341"/>
      <c r="F420" s="341"/>
      <c r="G420" s="594" t="s">
        <v>384</v>
      </c>
      <c r="H420" s="708">
        <f>H419*H418</f>
        <v>49</v>
      </c>
      <c r="I420" s="601"/>
      <c r="J420" s="364"/>
      <c r="K420" s="363"/>
      <c r="L420" s="363"/>
      <c r="M420" s="363"/>
      <c r="N420" s="363"/>
      <c r="O420" s="273"/>
      <c r="P420" s="706"/>
      <c r="Q420" s="273"/>
    </row>
    <row r="421">
      <c r="E421" s="341"/>
      <c r="F421" s="341"/>
      <c r="G421" s="594" t="s">
        <v>420</v>
      </c>
      <c r="H421" s="709">
        <f>HW_SPEC("# of TensorCore per Chip")</f>
        <v>2</v>
      </c>
      <c r="I421" s="703" t="s">
        <v>421</v>
      </c>
      <c r="J421" s="336"/>
      <c r="K421" s="349"/>
      <c r="L421" s="349"/>
      <c r="M421" s="349"/>
      <c r="N421" s="349"/>
      <c r="O421" s="337"/>
      <c r="P421" s="710"/>
      <c r="Q421" s="337"/>
    </row>
    <row r="422">
      <c r="E422" s="341"/>
      <c r="F422" s="341"/>
      <c r="G422" s="385" t="s">
        <v>309</v>
      </c>
      <c r="H422" s="410">
        <f>IFS(H418=8,12,
H418=4,4,
H418=2,1,
TRUE,NA())</f>
        <v>12</v>
      </c>
      <c r="I422" s="711"/>
      <c r="J422" s="345"/>
      <c r="K422" s="346"/>
      <c r="L422" s="346"/>
      <c r="M422" s="346"/>
      <c r="N422" s="346"/>
      <c r="O422" s="344"/>
      <c r="P422" s="712"/>
      <c r="Q422" s="344"/>
    </row>
    <row r="423">
      <c r="E423" s="341"/>
      <c r="F423" s="352"/>
      <c r="G423" s="594" t="s">
        <v>423</v>
      </c>
      <c r="H423" s="643">
        <f>REDUCE_SCATTER_CHIP2CHIP_TIME_MS2(H420*H421,H422)</f>
        <v>0.0498453776</v>
      </c>
      <c r="I423" s="602"/>
      <c r="J423" s="336"/>
      <c r="K423" s="349"/>
      <c r="L423" s="349"/>
      <c r="M423" s="349"/>
      <c r="N423" s="349"/>
      <c r="O423" s="337"/>
      <c r="P423" s="710"/>
      <c r="Q423" s="337"/>
    </row>
    <row r="424">
      <c r="E424" s="341"/>
      <c r="F424" s="702" t="s">
        <v>119</v>
      </c>
      <c r="G424" s="713" t="s">
        <v>169</v>
      </c>
      <c r="H424" s="398" t="s">
        <v>649</v>
      </c>
      <c r="I424" s="344"/>
      <c r="J424" s="345"/>
      <c r="K424" s="344"/>
      <c r="L424" s="556"/>
      <c r="M424" s="344"/>
      <c r="N424" s="346"/>
      <c r="O424" s="344"/>
      <c r="P424" s="509"/>
      <c r="Q424" s="344"/>
    </row>
    <row r="425">
      <c r="E425" s="341"/>
      <c r="F425" s="341"/>
      <c r="G425" s="609" t="s">
        <v>301</v>
      </c>
      <c r="H425" s="602" t="s">
        <v>281</v>
      </c>
      <c r="I425" s="602"/>
      <c r="J425" s="336"/>
      <c r="K425" s="337" t="s">
        <v>104</v>
      </c>
      <c r="L425" s="499" t="s">
        <v>102</v>
      </c>
      <c r="M425" s="337" t="s">
        <v>178</v>
      </c>
      <c r="N425" s="349"/>
      <c r="O425" s="338" t="s">
        <v>133</v>
      </c>
      <c r="P425" s="377"/>
      <c r="Q425" s="337"/>
    </row>
    <row r="426">
      <c r="E426" s="341"/>
      <c r="F426" s="341"/>
      <c r="G426" s="341"/>
      <c r="H426" s="378" t="s">
        <v>285</v>
      </c>
      <c r="I426" s="378"/>
      <c r="J426" s="345"/>
      <c r="K426" s="346">
        <f t="shared" ref="K426:M426" si="88">PARAMS(K425)</f>
        <v>1024</v>
      </c>
      <c r="L426" s="346">
        <f t="shared" si="88"/>
        <v>1</v>
      </c>
      <c r="M426" s="346">
        <f t="shared" si="88"/>
        <v>7168</v>
      </c>
      <c r="N426" s="346"/>
      <c r="O426" s="347"/>
      <c r="P426" s="509">
        <f>SIZEOF_IN_MIB(J426:M426, O425)</f>
        <v>14</v>
      </c>
      <c r="Q426" s="344"/>
    </row>
    <row r="427">
      <c r="E427" s="341"/>
      <c r="F427" s="341"/>
      <c r="G427" s="341"/>
      <c r="H427" s="602" t="s">
        <v>287</v>
      </c>
      <c r="I427" s="602"/>
      <c r="J427" s="336"/>
      <c r="K427" s="337"/>
      <c r="L427" s="337"/>
      <c r="M427" s="337" t="s">
        <v>97</v>
      </c>
      <c r="N427" s="349"/>
      <c r="O427" s="350"/>
      <c r="P427" s="377"/>
      <c r="Q427" s="337"/>
    </row>
    <row r="428">
      <c r="E428" s="341"/>
      <c r="F428" s="341"/>
      <c r="G428" s="341"/>
      <c r="H428" s="517" t="s">
        <v>289</v>
      </c>
      <c r="I428" s="517"/>
      <c r="J428" s="345"/>
      <c r="K428" s="346">
        <f t="shared" ref="K428:M428" si="89">K426/SHARDING(K427)</f>
        <v>1024</v>
      </c>
      <c r="L428" s="346">
        <f t="shared" si="89"/>
        <v>1</v>
      </c>
      <c r="M428" s="346">
        <f t="shared" si="89"/>
        <v>3584</v>
      </c>
      <c r="N428" s="346"/>
      <c r="O428" s="355"/>
      <c r="P428" s="509">
        <f>SIZEOF_IN_MIB(J428:M428, O425)</f>
        <v>7</v>
      </c>
      <c r="Q428" s="344"/>
    </row>
    <row r="429">
      <c r="E429" s="341"/>
      <c r="F429" s="341"/>
      <c r="G429" s="352"/>
      <c r="H429" s="639" t="s">
        <v>419</v>
      </c>
      <c r="I429" s="376"/>
      <c r="J429" s="639"/>
      <c r="K429" s="336"/>
      <c r="L429" s="337"/>
      <c r="M429" s="349"/>
      <c r="N429" s="349"/>
      <c r="O429" s="337"/>
      <c r="P429" s="377"/>
      <c r="Q429" s="337"/>
    </row>
    <row r="430">
      <c r="E430" s="341"/>
      <c r="F430" s="341"/>
      <c r="G430" s="458" t="s">
        <v>425</v>
      </c>
      <c r="H430" s="606" t="s">
        <v>306</v>
      </c>
      <c r="I430" s="379"/>
      <c r="J430" s="595">
        <f>SHARDING(J429)*SHARDING(H388)/HW_SPEC("# of TensorCore per Chip")</f>
        <v>4</v>
      </c>
      <c r="K430" s="345"/>
      <c r="L430" s="344"/>
      <c r="M430" s="346"/>
      <c r="N430" s="346"/>
      <c r="O430" s="344"/>
      <c r="P430" s="509"/>
      <c r="Q430" s="344"/>
    </row>
    <row r="431">
      <c r="E431" s="341"/>
      <c r="F431" s="341"/>
      <c r="G431" s="341"/>
      <c r="H431" s="639" t="s">
        <v>426</v>
      </c>
      <c r="I431" s="298"/>
      <c r="J431" s="716">
        <f>P428 / J430 * (J430-1)</f>
        <v>5.25</v>
      </c>
      <c r="K431" s="336"/>
      <c r="L431" s="337"/>
      <c r="M431" s="349"/>
      <c r="N431" s="349"/>
      <c r="O431" s="337"/>
      <c r="P431" s="377"/>
      <c r="Q431" s="337"/>
    </row>
    <row r="432">
      <c r="E432" s="341"/>
      <c r="F432" s="341"/>
      <c r="G432" s="341"/>
      <c r="H432" s="634" t="s">
        <v>384</v>
      </c>
      <c r="I432" s="379"/>
      <c r="J432" s="715">
        <f>J431*J430</f>
        <v>21</v>
      </c>
      <c r="K432" s="345"/>
      <c r="L432" s="344"/>
      <c r="M432" s="346"/>
      <c r="N432" s="346"/>
      <c r="O432" s="344"/>
      <c r="P432" s="509"/>
      <c r="Q432" s="344"/>
    </row>
    <row r="433">
      <c r="E433" s="341"/>
      <c r="F433" s="341"/>
      <c r="G433" s="341"/>
      <c r="H433" s="639" t="s">
        <v>309</v>
      </c>
      <c r="I433" s="298"/>
      <c r="J433" s="714">
        <f>IFS(J430=8,12,
J430=4,4,
J430=2,1,
TRUE,NA())</f>
        <v>4</v>
      </c>
      <c r="K433" s="336"/>
      <c r="L433" s="337"/>
      <c r="M433" s="349"/>
      <c r="N433" s="349"/>
      <c r="O433" s="337"/>
      <c r="P433" s="377"/>
      <c r="Q433" s="337"/>
    </row>
    <row r="434">
      <c r="E434" s="341"/>
      <c r="F434" s="341"/>
      <c r="G434" s="352"/>
      <c r="H434" s="634" t="s">
        <v>311</v>
      </c>
      <c r="I434" s="379"/>
      <c r="J434" s="889">
        <f>IF(J432=0,0, REDUCE_SCATTER_CHIP2CHIP_TIME_MS2(J432,J433))</f>
        <v>0.03204345703</v>
      </c>
      <c r="K434" s="345"/>
      <c r="L434" s="344"/>
      <c r="M434" s="346"/>
      <c r="N434" s="346"/>
      <c r="O434" s="344"/>
      <c r="P434" s="509"/>
      <c r="Q434" s="344"/>
    </row>
    <row r="435">
      <c r="E435" s="341"/>
      <c r="F435" s="341"/>
      <c r="G435" s="609" t="s">
        <v>427</v>
      </c>
      <c r="H435" s="416" t="s">
        <v>306</v>
      </c>
      <c r="I435" s="601"/>
      <c r="J435" s="717">
        <f>HW_SPEC("# of TensorCore per Chip")</f>
        <v>2</v>
      </c>
      <c r="K435" s="364"/>
      <c r="L435" s="273"/>
      <c r="M435" s="363"/>
      <c r="N435" s="363"/>
      <c r="O435" s="273"/>
      <c r="P435" s="375"/>
      <c r="Q435" s="273"/>
    </row>
    <row r="436">
      <c r="E436" s="341"/>
      <c r="F436" s="341"/>
      <c r="G436" s="341"/>
      <c r="H436" s="704" t="s">
        <v>416</v>
      </c>
      <c r="I436" s="11"/>
      <c r="J436" s="718">
        <f>P428 * (J435-1)/J435</f>
        <v>3.5</v>
      </c>
      <c r="K436" s="364"/>
      <c r="L436" s="273"/>
      <c r="M436" s="363"/>
      <c r="N436" s="363"/>
      <c r="O436" s="273"/>
      <c r="P436" s="375"/>
      <c r="Q436" s="273"/>
    </row>
    <row r="437">
      <c r="E437" s="341"/>
      <c r="F437" s="341"/>
      <c r="G437" s="341"/>
      <c r="H437" s="704" t="s">
        <v>384</v>
      </c>
      <c r="I437" s="11"/>
      <c r="J437" s="718">
        <f>J436*J435</f>
        <v>7</v>
      </c>
      <c r="K437" s="364"/>
      <c r="L437" s="273"/>
      <c r="M437" s="363"/>
      <c r="N437" s="363"/>
      <c r="O437" s="273"/>
      <c r="P437" s="375"/>
      <c r="Q437" s="273"/>
    </row>
    <row r="438">
      <c r="E438" s="341"/>
      <c r="F438" s="341"/>
      <c r="G438" s="341"/>
      <c r="H438" s="704" t="s">
        <v>311</v>
      </c>
      <c r="I438" s="11"/>
      <c r="J438" s="719">
        <f>REDUCE_SCATTER_CORE2CORE_TIME_MS(J437)</f>
        <v>0.005696614583</v>
      </c>
      <c r="K438" s="364"/>
      <c r="L438" s="273"/>
      <c r="M438" s="363"/>
      <c r="N438" s="363"/>
      <c r="O438" s="273"/>
      <c r="P438" s="375"/>
      <c r="Q438" s="273"/>
    </row>
    <row r="439">
      <c r="E439" s="341"/>
      <c r="F439" s="341"/>
      <c r="G439" s="352"/>
      <c r="H439" s="704" t="s">
        <v>428</v>
      </c>
      <c r="I439" s="11"/>
      <c r="J439" s="719">
        <f>J438/J430</f>
        <v>0.001424153646</v>
      </c>
      <c r="K439" s="364"/>
      <c r="L439" s="273"/>
      <c r="M439" s="363"/>
      <c r="N439" s="363"/>
      <c r="O439" s="273"/>
      <c r="P439" s="375"/>
      <c r="Q439" s="273"/>
    </row>
    <row r="440">
      <c r="E440" s="341"/>
      <c r="F440" s="352"/>
      <c r="G440" s="599" t="s">
        <v>429</v>
      </c>
      <c r="H440" s="895">
        <f>SUM(J434+J439)</f>
        <v>0.03346761068</v>
      </c>
      <c r="I440" s="719"/>
      <c r="J440" s="364"/>
      <c r="K440" s="364"/>
      <c r="L440" s="273"/>
      <c r="M440" s="363"/>
      <c r="N440" s="363"/>
      <c r="O440" s="273"/>
      <c r="P440" s="375"/>
      <c r="Q440" s="273"/>
    </row>
    <row r="441">
      <c r="E441" s="341"/>
      <c r="F441" s="370" t="s">
        <v>335</v>
      </c>
      <c r="G441" s="720" t="s">
        <v>322</v>
      </c>
      <c r="H441" s="721" t="s">
        <v>417</v>
      </c>
      <c r="I441" s="650"/>
      <c r="J441" s="454"/>
      <c r="K441" s="454"/>
      <c r="L441" s="455"/>
      <c r="M441" s="455"/>
      <c r="N441" s="455"/>
      <c r="O441" s="454"/>
      <c r="P441" s="722"/>
      <c r="Q441" s="11"/>
    </row>
    <row r="442">
      <c r="E442" s="341"/>
      <c r="F442" s="352"/>
      <c r="G442" s="669" t="s">
        <v>340</v>
      </c>
      <c r="H442" s="662">
        <f>IFS(H441=F406,H411,H441=F412,H423,F424=H441,H440, TRUE,0)</f>
        <v>0.0498453776</v>
      </c>
      <c r="I442" s="686"/>
      <c r="J442" s="364"/>
      <c r="K442" s="364"/>
      <c r="L442" s="363"/>
      <c r="M442" s="363"/>
      <c r="N442" s="363"/>
      <c r="O442" s="364"/>
      <c r="P442" s="890"/>
      <c r="Q442" s="677"/>
    </row>
    <row r="443">
      <c r="E443" s="341"/>
      <c r="F443" s="609" t="s">
        <v>327</v>
      </c>
      <c r="G443" s="601" t="s">
        <v>109</v>
      </c>
      <c r="H443" s="891"/>
      <c r="I443" s="650"/>
      <c r="J443" s="454"/>
      <c r="K443" s="454"/>
      <c r="L443" s="455"/>
      <c r="M443" s="455"/>
      <c r="N443" s="455"/>
      <c r="O443" s="454"/>
      <c r="P443" s="722"/>
      <c r="Q443" s="11"/>
    </row>
    <row r="444">
      <c r="E444" s="341"/>
      <c r="F444" s="341"/>
      <c r="G444" s="601"/>
      <c r="H444" s="663"/>
      <c r="I444" s="460"/>
      <c r="J444" s="454"/>
      <c r="K444" s="454"/>
      <c r="L444" s="455"/>
      <c r="M444" s="455"/>
      <c r="N444" s="455"/>
      <c r="O444" s="454"/>
      <c r="P444" s="722"/>
      <c r="Q444" s="11"/>
    </row>
    <row r="445">
      <c r="E445" s="341"/>
      <c r="F445" s="352"/>
      <c r="G445" s="601"/>
      <c r="H445" s="663"/>
      <c r="I445" s="460"/>
      <c r="J445" s="454"/>
      <c r="K445" s="454"/>
      <c r="L445" s="455"/>
      <c r="M445" s="455"/>
      <c r="N445" s="455"/>
      <c r="O445" s="454"/>
      <c r="P445" s="722"/>
      <c r="Q445" s="11"/>
    </row>
    <row r="446">
      <c r="E446" s="341"/>
      <c r="F446" s="609" t="s">
        <v>331</v>
      </c>
      <c r="G446" s="601" t="s">
        <v>109</v>
      </c>
      <c r="H446" s="663"/>
      <c r="I446" s="460"/>
      <c r="J446" s="454"/>
      <c r="K446" s="454"/>
      <c r="L446" s="455"/>
      <c r="M446" s="455"/>
      <c r="N446" s="455"/>
      <c r="O446" s="454"/>
      <c r="P446" s="722"/>
      <c r="Q446" s="11"/>
    </row>
    <row r="447">
      <c r="E447" s="352"/>
      <c r="F447" s="352"/>
      <c r="G447" s="601"/>
      <c r="H447" s="663"/>
      <c r="I447" s="460"/>
      <c r="J447" s="454"/>
      <c r="K447" s="454"/>
      <c r="L447" s="455"/>
      <c r="M447" s="455"/>
      <c r="N447" s="455"/>
      <c r="O447" s="454"/>
      <c r="P447" s="722"/>
      <c r="Q447" s="11"/>
    </row>
    <row r="448">
      <c r="E448" s="333" t="s">
        <v>430</v>
      </c>
      <c r="F448" s="725" t="s">
        <v>292</v>
      </c>
      <c r="G448" s="335"/>
      <c r="H448" s="531" t="s">
        <v>281</v>
      </c>
      <c r="I448" s="336" t="s">
        <v>282</v>
      </c>
      <c r="J448" s="337"/>
      <c r="K448" s="337" t="s">
        <v>104</v>
      </c>
      <c r="L448" s="337" t="s">
        <v>102</v>
      </c>
      <c r="M448" s="499" t="s">
        <v>178</v>
      </c>
      <c r="N448" s="336" t="s">
        <v>283</v>
      </c>
      <c r="O448" s="338" t="s">
        <v>125</v>
      </c>
      <c r="P448" s="377"/>
      <c r="Q448" s="338" t="b">
        <v>0</v>
      </c>
    </row>
    <row r="449">
      <c r="E449" s="341"/>
      <c r="F449" s="342"/>
      <c r="G449" s="343"/>
      <c r="H449" s="378" t="s">
        <v>285</v>
      </c>
      <c r="I449" s="345" t="s">
        <v>282</v>
      </c>
      <c r="J449" s="346"/>
      <c r="K449" s="345">
        <f t="shared" ref="K449:M449" si="90">PARAMS(K448)</f>
        <v>1024</v>
      </c>
      <c r="L449" s="345">
        <f t="shared" si="90"/>
        <v>1</v>
      </c>
      <c r="M449" s="345">
        <f t="shared" si="90"/>
        <v>7168</v>
      </c>
      <c r="N449" s="345" t="s">
        <v>283</v>
      </c>
      <c r="O449" s="347"/>
      <c r="P449" s="509">
        <f>SIZEOF_IN_MIB(J449:M449, O448)</f>
        <v>7</v>
      </c>
      <c r="Q449" s="347"/>
    </row>
    <row r="450">
      <c r="E450" s="341"/>
      <c r="F450" s="342"/>
      <c r="G450" s="343"/>
      <c r="H450" s="602" t="s">
        <v>287</v>
      </c>
      <c r="I450" s="349" t="s">
        <v>282</v>
      </c>
      <c r="J450" s="336"/>
      <c r="K450" s="337" t="s">
        <v>97</v>
      </c>
      <c r="L450" s="337"/>
      <c r="M450" s="337"/>
      <c r="N450" s="349" t="s">
        <v>283</v>
      </c>
      <c r="O450" s="350"/>
      <c r="P450" s="377"/>
      <c r="Q450" s="350"/>
    </row>
    <row r="451">
      <c r="E451" s="341"/>
      <c r="F451" s="353"/>
      <c r="G451" s="354"/>
      <c r="H451" s="378" t="s">
        <v>289</v>
      </c>
      <c r="I451" s="346" t="s">
        <v>282</v>
      </c>
      <c r="J451" s="345"/>
      <c r="K451" s="346">
        <f t="shared" ref="K451:M451" si="91">K449/SHARDING(K450)</f>
        <v>512</v>
      </c>
      <c r="L451" s="346">
        <f t="shared" si="91"/>
        <v>1</v>
      </c>
      <c r="M451" s="346">
        <f t="shared" si="91"/>
        <v>7168</v>
      </c>
      <c r="N451" s="346" t="s">
        <v>283</v>
      </c>
      <c r="O451" s="355"/>
      <c r="P451" s="509">
        <f>SIZEOF_IN_MIB(J451:M451, O448)</f>
        <v>3.5</v>
      </c>
      <c r="Q451" s="355"/>
    </row>
    <row r="452">
      <c r="E452" s="341"/>
      <c r="F452" s="726" t="s">
        <v>296</v>
      </c>
      <c r="G452" s="335"/>
      <c r="H452" s="602" t="s">
        <v>281</v>
      </c>
      <c r="I452" s="349" t="s">
        <v>282</v>
      </c>
      <c r="J452" s="336"/>
      <c r="K452" s="298"/>
      <c r="L452" s="337" t="s">
        <v>178</v>
      </c>
      <c r="M452" s="499" t="s">
        <v>182</v>
      </c>
      <c r="N452" s="349" t="s">
        <v>283</v>
      </c>
      <c r="O452" s="338" t="s">
        <v>180</v>
      </c>
      <c r="P452" s="377"/>
      <c r="Q452" s="338" t="b">
        <v>0</v>
      </c>
    </row>
    <row r="453">
      <c r="E453" s="341"/>
      <c r="F453" s="342"/>
      <c r="G453" s="343"/>
      <c r="H453" s="378" t="s">
        <v>285</v>
      </c>
      <c r="I453" s="346" t="s">
        <v>282</v>
      </c>
      <c r="J453" s="345"/>
      <c r="K453" s="398">
        <v>2.0</v>
      </c>
      <c r="L453" s="346">
        <f t="shared" ref="L453:M453" si="92">PARAMS(L452)</f>
        <v>7168</v>
      </c>
      <c r="M453" s="346">
        <f t="shared" si="92"/>
        <v>2048</v>
      </c>
      <c r="N453" s="346" t="s">
        <v>283</v>
      </c>
      <c r="O453" s="347"/>
      <c r="P453" s="509">
        <f>SIZEOF_IN_MIB(J453:M453, O452)</f>
        <v>14</v>
      </c>
      <c r="Q453" s="347"/>
    </row>
    <row r="454">
      <c r="E454" s="341"/>
      <c r="F454" s="342"/>
      <c r="G454" s="343"/>
      <c r="H454" s="602" t="s">
        <v>287</v>
      </c>
      <c r="I454" s="349" t="s">
        <v>282</v>
      </c>
      <c r="J454" s="336"/>
      <c r="K454" s="298"/>
      <c r="L454" s="337"/>
      <c r="M454" s="337"/>
      <c r="N454" s="349" t="s">
        <v>283</v>
      </c>
      <c r="O454" s="350"/>
      <c r="P454" s="377"/>
      <c r="Q454" s="350"/>
    </row>
    <row r="455">
      <c r="E455" s="341"/>
      <c r="F455" s="353"/>
      <c r="G455" s="354"/>
      <c r="H455" s="517" t="s">
        <v>289</v>
      </c>
      <c r="I455" s="346" t="s">
        <v>282</v>
      </c>
      <c r="J455" s="345"/>
      <c r="K455" s="398">
        <v>2.0</v>
      </c>
      <c r="L455" s="346">
        <f t="shared" ref="L455:M455" si="93">L453/SHARDING(L454)</f>
        <v>7168</v>
      </c>
      <c r="M455" s="346">
        <f t="shared" si="93"/>
        <v>2048</v>
      </c>
      <c r="N455" s="346" t="s">
        <v>283</v>
      </c>
      <c r="O455" s="355"/>
      <c r="P455" s="509">
        <f>SIZEOF_IN_MIB(J455:M455, O452)</f>
        <v>14</v>
      </c>
      <c r="Q455" s="355"/>
    </row>
    <row r="456">
      <c r="E456" s="341"/>
      <c r="F456" s="726" t="s">
        <v>56</v>
      </c>
      <c r="G456" s="335"/>
      <c r="H456" s="602" t="s">
        <v>281</v>
      </c>
      <c r="I456" s="349" t="s">
        <v>282</v>
      </c>
      <c r="J456" s="336"/>
      <c r="K456" s="337" t="s">
        <v>104</v>
      </c>
      <c r="L456" s="337" t="s">
        <v>102</v>
      </c>
      <c r="M456" s="337" t="s">
        <v>182</v>
      </c>
      <c r="N456" s="349" t="s">
        <v>283</v>
      </c>
      <c r="O456" s="727" t="s">
        <v>133</v>
      </c>
      <c r="P456" s="377"/>
      <c r="Q456" s="338" t="b">
        <v>0</v>
      </c>
    </row>
    <row r="457">
      <c r="E457" s="341"/>
      <c r="F457" s="342"/>
      <c r="G457" s="343"/>
      <c r="H457" s="378" t="s">
        <v>285</v>
      </c>
      <c r="I457" s="346" t="s">
        <v>282</v>
      </c>
      <c r="J457" s="344">
        <v>2.0</v>
      </c>
      <c r="K457" s="346">
        <f t="shared" ref="K457:M457" si="94">PARAMS(K456)</f>
        <v>1024</v>
      </c>
      <c r="L457" s="346">
        <f t="shared" si="94"/>
        <v>1</v>
      </c>
      <c r="M457" s="346">
        <f t="shared" si="94"/>
        <v>2048</v>
      </c>
      <c r="N457" s="346" t="s">
        <v>283</v>
      </c>
      <c r="O457" s="347"/>
      <c r="P457" s="509">
        <f>SIZEOF_IN_MIB(J457:M457, O456)</f>
        <v>8</v>
      </c>
      <c r="Q457" s="347"/>
    </row>
    <row r="458">
      <c r="E458" s="341"/>
      <c r="F458" s="342"/>
      <c r="G458" s="343"/>
      <c r="H458" s="602" t="s">
        <v>287</v>
      </c>
      <c r="I458" s="349" t="s">
        <v>282</v>
      </c>
      <c r="J458" s="336"/>
      <c r="K458" s="337" t="s">
        <v>97</v>
      </c>
      <c r="L458" s="337"/>
      <c r="M458" s="349"/>
      <c r="N458" s="349" t="s">
        <v>283</v>
      </c>
      <c r="O458" s="350"/>
      <c r="P458" s="377"/>
      <c r="Q458" s="350"/>
    </row>
    <row r="459">
      <c r="E459" s="341"/>
      <c r="F459" s="353"/>
      <c r="G459" s="354"/>
      <c r="H459" s="517" t="s">
        <v>289</v>
      </c>
      <c r="I459" s="346" t="s">
        <v>282</v>
      </c>
      <c r="J459" s="344">
        <v>2.0</v>
      </c>
      <c r="K459" s="346">
        <f t="shared" ref="K459:M459" si="95">K457/SHARDING(K458)</f>
        <v>512</v>
      </c>
      <c r="L459" s="346">
        <f t="shared" si="95"/>
        <v>1</v>
      </c>
      <c r="M459" s="346">
        <f t="shared" si="95"/>
        <v>2048</v>
      </c>
      <c r="N459" s="346" t="s">
        <v>283</v>
      </c>
      <c r="O459" s="355"/>
      <c r="P459" s="509">
        <f>SIZEOF_IN_MIB(J459:M459, O456)</f>
        <v>4</v>
      </c>
      <c r="Q459" s="355"/>
    </row>
    <row r="460">
      <c r="E460" s="341"/>
      <c r="F460" s="371" t="s">
        <v>335</v>
      </c>
      <c r="G460" s="601"/>
      <c r="H460" s="728"/>
      <c r="I460" s="336"/>
      <c r="J460" s="336"/>
      <c r="K460" s="336"/>
      <c r="L460" s="349"/>
      <c r="M460" s="349"/>
      <c r="N460" s="349"/>
      <c r="O460" s="336"/>
      <c r="P460" s="377"/>
      <c r="Q460" s="729"/>
    </row>
    <row r="461">
      <c r="E461" s="341"/>
      <c r="F461" s="352"/>
      <c r="G461" s="669" t="s">
        <v>340</v>
      </c>
      <c r="H461" s="730"/>
      <c r="I461" s="493"/>
      <c r="J461" s="345"/>
      <c r="K461" s="345"/>
      <c r="L461" s="346"/>
      <c r="M461" s="346"/>
      <c r="N461" s="346"/>
      <c r="O461" s="345"/>
      <c r="P461" s="509"/>
      <c r="Q461" s="545"/>
    </row>
    <row r="462">
      <c r="E462" s="341"/>
      <c r="F462" s="731" t="s">
        <v>327</v>
      </c>
      <c r="G462" s="601" t="s">
        <v>328</v>
      </c>
      <c r="H462" s="663" t="str">
        <f>VLOOKUP(O448&amp;","&amp;O452,$T$2:$W$11,4, FALSE)</f>
        <v>fp8</v>
      </c>
      <c r="I462" s="460"/>
      <c r="J462" s="454"/>
      <c r="K462" s="454"/>
      <c r="L462" s="455"/>
      <c r="M462" s="455"/>
      <c r="N462" s="455"/>
      <c r="O462" s="454"/>
      <c r="P462" s="468"/>
      <c r="Q462" s="11"/>
    </row>
    <row r="463">
      <c r="E463" s="341"/>
      <c r="F463" s="341"/>
      <c r="G463" s="663" t="s">
        <v>341</v>
      </c>
      <c r="H463" s="667" t="str">
        <f>CALCULATE_FLOPS(J451:M451,J455:M455,M455,L455,H462)</f>
        <v>#N/A</v>
      </c>
      <c r="I463" s="460"/>
      <c r="J463" s="454"/>
      <c r="K463" s="454"/>
      <c r="L463" s="455"/>
      <c r="M463" s="455"/>
      <c r="N463" s="455"/>
      <c r="O463" s="454"/>
      <c r="P463" s="468"/>
      <c r="Q463" s="11"/>
    </row>
    <row r="464">
      <c r="E464" s="341"/>
      <c r="F464" s="352"/>
      <c r="G464" s="669" t="s">
        <v>330</v>
      </c>
      <c r="H464" s="732" t="str">
        <f>COMPUTE_TIME_MS(H463, H462)</f>
        <v>#N/A</v>
      </c>
      <c r="I464" s="464"/>
      <c r="J464" s="465"/>
      <c r="K464" s="465"/>
      <c r="L464" s="466"/>
      <c r="M464" s="466"/>
      <c r="N464" s="466"/>
      <c r="O464" s="465"/>
      <c r="P464" s="671"/>
      <c r="Q464" s="11"/>
    </row>
    <row r="465">
      <c r="E465" s="341"/>
      <c r="F465" s="731" t="s">
        <v>331</v>
      </c>
      <c r="G465" s="663" t="s">
        <v>332</v>
      </c>
      <c r="H465" s="672">
        <f>IF(Q448,0,P451)+IF(Q452,0,P455)+IF(Q456,0,P459)</f>
        <v>21.5</v>
      </c>
      <c r="I465" s="454"/>
      <c r="J465" s="454"/>
      <c r="K465" s="454"/>
      <c r="L465" s="455"/>
      <c r="M465" s="455"/>
      <c r="N465" s="455"/>
      <c r="O465" s="454"/>
      <c r="P465" s="468"/>
      <c r="Q465" s="11"/>
    </row>
    <row r="466">
      <c r="E466" s="352"/>
      <c r="F466" s="352"/>
      <c r="G466" s="673" t="s">
        <v>333</v>
      </c>
      <c r="H466" s="733">
        <f>HBM_TIME_MS(H465)</f>
        <v>0.007175698479</v>
      </c>
      <c r="I466" s="465"/>
      <c r="J466" s="465"/>
      <c r="K466" s="465"/>
      <c r="L466" s="466"/>
      <c r="M466" s="466"/>
      <c r="N466" s="466"/>
      <c r="O466" s="465"/>
      <c r="P466" s="671"/>
      <c r="Q466" s="11"/>
    </row>
    <row r="467">
      <c r="E467" s="333" t="s">
        <v>431</v>
      </c>
      <c r="F467" s="725" t="s">
        <v>292</v>
      </c>
      <c r="G467" s="335"/>
      <c r="H467" s="531" t="s">
        <v>281</v>
      </c>
      <c r="I467" s="336" t="s">
        <v>282</v>
      </c>
      <c r="J467" s="405"/>
      <c r="K467" s="734" t="s">
        <v>104</v>
      </c>
      <c r="L467" s="734" t="s">
        <v>102</v>
      </c>
      <c r="M467" s="735" t="s">
        <v>182</v>
      </c>
      <c r="N467" s="336" t="s">
        <v>283</v>
      </c>
      <c r="O467" s="338" t="s">
        <v>125</v>
      </c>
      <c r="P467" s="377"/>
      <c r="Q467" s="338" t="b">
        <v>0</v>
      </c>
    </row>
    <row r="468">
      <c r="E468" s="341"/>
      <c r="F468" s="342"/>
      <c r="G468" s="343"/>
      <c r="H468" s="378" t="s">
        <v>285</v>
      </c>
      <c r="I468" s="345" t="s">
        <v>282</v>
      </c>
      <c r="J468" s="400"/>
      <c r="K468" s="739">
        <f t="shared" ref="K468:M468" si="96">PARAMS(K467)</f>
        <v>1024</v>
      </c>
      <c r="L468" s="737">
        <f t="shared" si="96"/>
        <v>1</v>
      </c>
      <c r="M468" s="737">
        <f t="shared" si="96"/>
        <v>2048</v>
      </c>
      <c r="N468" s="345" t="s">
        <v>283</v>
      </c>
      <c r="O468" s="347"/>
      <c r="P468" s="509">
        <f>SIZEOF_IN_MIB(J468:M468, O467)</f>
        <v>2</v>
      </c>
      <c r="Q468" s="347"/>
    </row>
    <row r="469">
      <c r="E469" s="341"/>
      <c r="F469" s="342"/>
      <c r="G469" s="343"/>
      <c r="H469" s="602" t="s">
        <v>287</v>
      </c>
      <c r="I469" s="349" t="s">
        <v>282</v>
      </c>
      <c r="J469" s="404"/>
      <c r="K469" s="734" t="s">
        <v>97</v>
      </c>
      <c r="L469" s="405"/>
      <c r="M469" s="405"/>
      <c r="N469" s="349" t="s">
        <v>283</v>
      </c>
      <c r="O469" s="350"/>
      <c r="P469" s="377"/>
      <c r="Q469" s="350"/>
    </row>
    <row r="470">
      <c r="E470" s="341"/>
      <c r="F470" s="353"/>
      <c r="G470" s="354"/>
      <c r="H470" s="378" t="s">
        <v>289</v>
      </c>
      <c r="I470" s="346" t="s">
        <v>282</v>
      </c>
      <c r="J470" s="399"/>
      <c r="K470" s="736">
        <f t="shared" ref="K470:M470" si="97">K468/SHARDING(K469)</f>
        <v>512</v>
      </c>
      <c r="L470" s="736">
        <f t="shared" si="97"/>
        <v>1</v>
      </c>
      <c r="M470" s="736">
        <f t="shared" si="97"/>
        <v>2048</v>
      </c>
      <c r="N470" s="346" t="s">
        <v>283</v>
      </c>
      <c r="O470" s="355"/>
      <c r="P470" s="509">
        <f>SIZEOF_IN_MIB(J470:M470, O467)</f>
        <v>1</v>
      </c>
      <c r="Q470" s="355"/>
    </row>
    <row r="471">
      <c r="E471" s="341"/>
      <c r="F471" s="726" t="s">
        <v>296</v>
      </c>
      <c r="G471" s="335"/>
      <c r="H471" s="602" t="s">
        <v>281</v>
      </c>
      <c r="I471" s="349" t="s">
        <v>282</v>
      </c>
      <c r="J471" s="404"/>
      <c r="K471" s="391"/>
      <c r="L471" s="734" t="s">
        <v>182</v>
      </c>
      <c r="M471" s="735" t="s">
        <v>178</v>
      </c>
      <c r="N471" s="349" t="s">
        <v>283</v>
      </c>
      <c r="O471" s="338" t="s">
        <v>180</v>
      </c>
      <c r="P471" s="377"/>
      <c r="Q471" s="338" t="b">
        <v>0</v>
      </c>
    </row>
    <row r="472">
      <c r="E472" s="341"/>
      <c r="F472" s="342"/>
      <c r="G472" s="343"/>
      <c r="H472" s="378" t="s">
        <v>285</v>
      </c>
      <c r="I472" s="346" t="s">
        <v>282</v>
      </c>
      <c r="J472" s="399"/>
      <c r="K472" s="388"/>
      <c r="L472" s="736">
        <f t="shared" ref="L472:M472" si="98">PARAMS(L471)</f>
        <v>2048</v>
      </c>
      <c r="M472" s="736">
        <f t="shared" si="98"/>
        <v>7168</v>
      </c>
      <c r="N472" s="346" t="s">
        <v>283</v>
      </c>
      <c r="O472" s="347"/>
      <c r="P472" s="509">
        <f>SIZEOF_IN_MIB(J472:M472, O471)</f>
        <v>7</v>
      </c>
      <c r="Q472" s="347"/>
    </row>
    <row r="473">
      <c r="E473" s="341"/>
      <c r="F473" s="342"/>
      <c r="G473" s="343"/>
      <c r="H473" s="602" t="s">
        <v>287</v>
      </c>
      <c r="I473" s="349" t="s">
        <v>282</v>
      </c>
      <c r="J473" s="404"/>
      <c r="K473" s="391"/>
      <c r="L473" s="405"/>
      <c r="M473" s="405"/>
      <c r="N473" s="349" t="s">
        <v>283</v>
      </c>
      <c r="O473" s="350"/>
      <c r="P473" s="377"/>
      <c r="Q473" s="350"/>
    </row>
    <row r="474">
      <c r="E474" s="341"/>
      <c r="F474" s="353"/>
      <c r="G474" s="354"/>
      <c r="H474" s="517" t="s">
        <v>289</v>
      </c>
      <c r="I474" s="346" t="s">
        <v>282</v>
      </c>
      <c r="J474" s="399"/>
      <c r="K474" s="388"/>
      <c r="L474" s="736">
        <f t="shared" ref="L474:M474" si="99">L472/SHARDING(L473)</f>
        <v>2048</v>
      </c>
      <c r="M474" s="736">
        <f t="shared" si="99"/>
        <v>7168</v>
      </c>
      <c r="N474" s="346" t="s">
        <v>283</v>
      </c>
      <c r="O474" s="355"/>
      <c r="P474" s="509">
        <f>SIZEOF_IN_MIB(J474:M474, O471)</f>
        <v>7</v>
      </c>
      <c r="Q474" s="355"/>
    </row>
    <row r="475">
      <c r="E475" s="341"/>
      <c r="F475" s="726" t="s">
        <v>56</v>
      </c>
      <c r="G475" s="335"/>
      <c r="H475" s="602" t="s">
        <v>281</v>
      </c>
      <c r="I475" s="349" t="s">
        <v>282</v>
      </c>
      <c r="J475" s="404"/>
      <c r="K475" s="734" t="s">
        <v>104</v>
      </c>
      <c r="L475" s="734" t="s">
        <v>102</v>
      </c>
      <c r="M475" s="734" t="s">
        <v>178</v>
      </c>
      <c r="N475" s="349" t="s">
        <v>283</v>
      </c>
      <c r="O475" s="727" t="s">
        <v>133</v>
      </c>
      <c r="P475" s="377"/>
      <c r="Q475" s="338" t="b">
        <v>0</v>
      </c>
    </row>
    <row r="476">
      <c r="E476" s="341"/>
      <c r="F476" s="342"/>
      <c r="G476" s="343"/>
      <c r="H476" s="378" t="s">
        <v>285</v>
      </c>
      <c r="I476" s="346" t="s">
        <v>282</v>
      </c>
      <c r="J476" s="400"/>
      <c r="K476" s="739">
        <f t="shared" ref="K476:M476" si="100">PARAMS(K475)</f>
        <v>1024</v>
      </c>
      <c r="L476" s="736">
        <f t="shared" si="100"/>
        <v>1</v>
      </c>
      <c r="M476" s="736">
        <f t="shared" si="100"/>
        <v>7168</v>
      </c>
      <c r="N476" s="346" t="s">
        <v>283</v>
      </c>
      <c r="O476" s="347"/>
      <c r="P476" s="509">
        <f>SIZEOF_IN_MIB(J476:M476, O475)</f>
        <v>14</v>
      </c>
      <c r="Q476" s="347"/>
    </row>
    <row r="477">
      <c r="E477" s="341"/>
      <c r="F477" s="342"/>
      <c r="G477" s="343"/>
      <c r="H477" s="602" t="s">
        <v>287</v>
      </c>
      <c r="I477" s="349" t="s">
        <v>282</v>
      </c>
      <c r="J477" s="404"/>
      <c r="K477" s="734" t="s">
        <v>97</v>
      </c>
      <c r="L477" s="405"/>
      <c r="M477" s="405"/>
      <c r="N477" s="349" t="s">
        <v>283</v>
      </c>
      <c r="O477" s="350"/>
      <c r="P477" s="377"/>
      <c r="Q477" s="350"/>
    </row>
    <row r="478">
      <c r="E478" s="341"/>
      <c r="F478" s="353"/>
      <c r="G478" s="354"/>
      <c r="H478" s="517" t="s">
        <v>289</v>
      </c>
      <c r="I478" s="346" t="s">
        <v>282</v>
      </c>
      <c r="J478" s="400"/>
      <c r="K478" s="736">
        <f t="shared" ref="K478:M478" si="101">K476/SHARDING(K477)</f>
        <v>512</v>
      </c>
      <c r="L478" s="736">
        <f t="shared" si="101"/>
        <v>1</v>
      </c>
      <c r="M478" s="736">
        <f t="shared" si="101"/>
        <v>7168</v>
      </c>
      <c r="N478" s="346" t="s">
        <v>283</v>
      </c>
      <c r="O478" s="355"/>
      <c r="P478" s="509">
        <f>SIZEOF_IN_MIB(J478:M478, O475)</f>
        <v>7</v>
      </c>
      <c r="Q478" s="355"/>
    </row>
    <row r="479">
      <c r="E479" s="341"/>
      <c r="F479" s="371" t="s">
        <v>335</v>
      </c>
      <c r="G479" s="601"/>
      <c r="H479" s="728"/>
      <c r="I479" s="336"/>
      <c r="J479" s="336"/>
      <c r="K479" s="336"/>
      <c r="L479" s="349"/>
      <c r="M479" s="349"/>
      <c r="N479" s="349"/>
      <c r="O479" s="336"/>
      <c r="P479" s="377"/>
      <c r="Q479" s="729"/>
    </row>
    <row r="480">
      <c r="E480" s="341"/>
      <c r="F480" s="352"/>
      <c r="G480" s="669" t="s">
        <v>340</v>
      </c>
      <c r="H480" s="730"/>
      <c r="I480" s="493"/>
      <c r="J480" s="345"/>
      <c r="K480" s="345"/>
      <c r="L480" s="346"/>
      <c r="M480" s="346"/>
      <c r="N480" s="346"/>
      <c r="O480" s="345"/>
      <c r="P480" s="509"/>
      <c r="Q480" s="545"/>
    </row>
    <row r="481">
      <c r="E481" s="341"/>
      <c r="F481" s="731" t="s">
        <v>327</v>
      </c>
      <c r="G481" s="601" t="s">
        <v>328</v>
      </c>
      <c r="H481" s="663" t="str">
        <f>VLOOKUP(O467&amp;","&amp;O471,$T$2:$W$11,4, FALSE)</f>
        <v>fp8</v>
      </c>
      <c r="I481" s="460"/>
      <c r="J481" s="454"/>
      <c r="K481" s="454"/>
      <c r="L481" s="455"/>
      <c r="M481" s="455"/>
      <c r="N481" s="455"/>
      <c r="O481" s="454"/>
      <c r="P481" s="468"/>
      <c r="Q481" s="11"/>
    </row>
    <row r="482">
      <c r="E482" s="341"/>
      <c r="F482" s="341"/>
      <c r="G482" s="663" t="s">
        <v>341</v>
      </c>
      <c r="H482" s="667" t="str">
        <f>CALCULATE_FLOPS(J470:M470,J474:M474,M474,L474,H481)</f>
        <v>#N/A</v>
      </c>
      <c r="I482" s="460"/>
      <c r="J482" s="454"/>
      <c r="K482" s="454"/>
      <c r="L482" s="455"/>
      <c r="M482" s="455"/>
      <c r="N482" s="455"/>
      <c r="O482" s="454"/>
      <c r="P482" s="468"/>
      <c r="Q482" s="11"/>
    </row>
    <row r="483">
      <c r="E483" s="341"/>
      <c r="F483" s="352"/>
      <c r="G483" s="669" t="s">
        <v>330</v>
      </c>
      <c r="H483" s="732" t="str">
        <f>COMPUTE_TIME_MS(H482, H481)</f>
        <v>#N/A</v>
      </c>
      <c r="I483" s="464"/>
      <c r="J483" s="465"/>
      <c r="K483" s="465"/>
      <c r="L483" s="466"/>
      <c r="M483" s="466"/>
      <c r="N483" s="466"/>
      <c r="O483" s="465"/>
      <c r="P483" s="671"/>
      <c r="Q483" s="11"/>
    </row>
    <row r="484">
      <c r="E484" s="341"/>
      <c r="F484" s="731" t="s">
        <v>331</v>
      </c>
      <c r="G484" s="663" t="s">
        <v>332</v>
      </c>
      <c r="H484" s="672">
        <f>IF(Q467,0,P470)+IF(Q471,0,P474)+IF(Q475,0,P478)</f>
        <v>15</v>
      </c>
      <c r="I484" s="454"/>
      <c r="J484" s="454"/>
      <c r="K484" s="454"/>
      <c r="L484" s="455"/>
      <c r="M484" s="455"/>
      <c r="N484" s="455"/>
      <c r="O484" s="454"/>
      <c r="P484" s="468"/>
      <c r="Q484" s="11"/>
    </row>
    <row r="485">
      <c r="E485" s="352"/>
      <c r="F485" s="352"/>
      <c r="G485" s="673" t="s">
        <v>333</v>
      </c>
      <c r="H485" s="733">
        <f>HBM_TIME_MS(H484)</f>
        <v>0.005006301265</v>
      </c>
      <c r="I485" s="465"/>
      <c r="J485" s="465"/>
      <c r="K485" s="465"/>
      <c r="L485" s="466"/>
      <c r="M485" s="466"/>
      <c r="N485" s="466"/>
      <c r="O485" s="465"/>
      <c r="P485" s="671"/>
      <c r="Q485" s="11"/>
    </row>
    <row r="486">
      <c r="P486" s="227"/>
    </row>
    <row r="487">
      <c r="P487" s="227"/>
    </row>
    <row r="488">
      <c r="P488" s="227"/>
    </row>
    <row r="489">
      <c r="P489" s="227"/>
    </row>
    <row r="490">
      <c r="P490" s="227"/>
    </row>
    <row r="491">
      <c r="P491" s="227"/>
    </row>
    <row r="492">
      <c r="P492" s="227"/>
    </row>
    <row r="493">
      <c r="P493" s="227"/>
    </row>
    <row r="494">
      <c r="P494" s="227"/>
    </row>
    <row r="495">
      <c r="P495" s="227"/>
    </row>
    <row r="496">
      <c r="P496" s="227"/>
    </row>
    <row r="497">
      <c r="P497" s="227"/>
    </row>
    <row r="498">
      <c r="P498" s="227"/>
    </row>
    <row r="499">
      <c r="P499" s="227"/>
    </row>
    <row r="500">
      <c r="P500" s="227"/>
    </row>
    <row r="501">
      <c r="P501" s="227"/>
    </row>
    <row r="502">
      <c r="P502" s="227"/>
    </row>
    <row r="503">
      <c r="P503" s="227"/>
    </row>
    <row r="504">
      <c r="P504" s="227"/>
    </row>
    <row r="505">
      <c r="P505" s="227"/>
    </row>
    <row r="506">
      <c r="P506" s="227"/>
    </row>
    <row r="507">
      <c r="P507" s="227"/>
    </row>
    <row r="508">
      <c r="P508" s="227"/>
    </row>
    <row r="509">
      <c r="P509" s="227"/>
    </row>
    <row r="510">
      <c r="P510" s="227"/>
    </row>
    <row r="511">
      <c r="P511" s="227"/>
    </row>
    <row r="512">
      <c r="P512" s="227"/>
    </row>
    <row r="513">
      <c r="P513" s="227"/>
    </row>
    <row r="514">
      <c r="P514" s="227"/>
    </row>
    <row r="515">
      <c r="P515" s="227"/>
    </row>
    <row r="516">
      <c r="P516" s="227"/>
    </row>
    <row r="517">
      <c r="P517" s="227"/>
    </row>
    <row r="518">
      <c r="P518" s="227"/>
    </row>
    <row r="519">
      <c r="P519" s="227"/>
    </row>
    <row r="520">
      <c r="P520" s="227"/>
    </row>
    <row r="521">
      <c r="P521" s="227"/>
    </row>
    <row r="522">
      <c r="P522" s="227"/>
    </row>
    <row r="523">
      <c r="P523" s="227"/>
    </row>
    <row r="524">
      <c r="P524" s="227"/>
    </row>
    <row r="525">
      <c r="P525" s="227"/>
    </row>
    <row r="526">
      <c r="P526" s="227"/>
    </row>
    <row r="527">
      <c r="P527" s="227"/>
    </row>
    <row r="528">
      <c r="P528" s="227"/>
    </row>
    <row r="529">
      <c r="P529" s="227"/>
    </row>
    <row r="530">
      <c r="P530" s="227"/>
    </row>
    <row r="531">
      <c r="P531" s="227"/>
    </row>
    <row r="532">
      <c r="P532" s="227"/>
    </row>
    <row r="533">
      <c r="P533" s="227"/>
    </row>
    <row r="534">
      <c r="P534" s="227"/>
    </row>
    <row r="535">
      <c r="P535" s="227"/>
    </row>
    <row r="536">
      <c r="P536" s="227"/>
    </row>
    <row r="537">
      <c r="P537" s="227"/>
    </row>
    <row r="538">
      <c r="P538" s="227"/>
    </row>
    <row r="539">
      <c r="P539" s="227"/>
    </row>
    <row r="540">
      <c r="P540" s="227"/>
    </row>
    <row r="541">
      <c r="P541" s="227"/>
    </row>
    <row r="542">
      <c r="P542" s="227"/>
    </row>
    <row r="543">
      <c r="P543" s="227"/>
    </row>
    <row r="544">
      <c r="P544" s="227"/>
    </row>
    <row r="545">
      <c r="P545" s="227"/>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null!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896" t="s">
        <v>168</v>
      </c>
      <c r="B1" s="209"/>
      <c r="C1" s="209"/>
      <c r="D1" s="210"/>
      <c r="E1" s="211"/>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892"/>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893"/>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3">
        <v>2048.0</v>
      </c>
      <c r="D4" s="893"/>
      <c r="F4" s="230" t="s">
        <v>96</v>
      </c>
      <c r="G4" s="225">
        <v>1.0</v>
      </c>
      <c r="H4" s="226"/>
      <c r="P4" s="227"/>
      <c r="Q4" s="181" t="s">
        <v>125</v>
      </c>
      <c r="R4" s="181">
        <v>1.0</v>
      </c>
      <c r="T4" s="66" t="str">
        <f t="shared" si="1"/>
        <v>fp4,fp8</v>
      </c>
      <c r="U4" s="181" t="s">
        <v>180</v>
      </c>
      <c r="V4" s="181" t="s">
        <v>125</v>
      </c>
      <c r="W4" s="181" t="s">
        <v>125</v>
      </c>
    </row>
    <row r="5">
      <c r="A5" s="223" t="s">
        <v>183</v>
      </c>
      <c r="B5" s="223" t="s">
        <v>184</v>
      </c>
      <c r="C5" s="223">
        <v>256.0</v>
      </c>
      <c r="D5" s="893"/>
      <c r="F5" s="230" t="s">
        <v>97</v>
      </c>
      <c r="G5" s="225">
        <v>16.0</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893"/>
      <c r="F6" s="230" t="s">
        <v>98</v>
      </c>
      <c r="G6" s="225">
        <v>1.0</v>
      </c>
      <c r="H6" s="226"/>
      <c r="P6" s="227"/>
      <c r="T6" s="66" t="str">
        <f t="shared" si="1"/>
        <v>fp8,fp4</v>
      </c>
      <c r="U6" s="181" t="s">
        <v>125</v>
      </c>
      <c r="V6" s="181" t="s">
        <v>180</v>
      </c>
      <c r="W6" s="181" t="s">
        <v>125</v>
      </c>
    </row>
    <row r="7">
      <c r="A7" s="231" t="s">
        <v>188</v>
      </c>
      <c r="B7" s="231" t="s">
        <v>189</v>
      </c>
      <c r="C7" s="231">
        <v>3.0</v>
      </c>
      <c r="D7" s="893"/>
      <c r="F7" s="230" t="s">
        <v>99</v>
      </c>
      <c r="G7" s="225">
        <v>1.0</v>
      </c>
      <c r="H7" s="226" t="s">
        <v>190</v>
      </c>
      <c r="P7" s="227"/>
      <c r="T7" s="66" t="str">
        <f t="shared" si="1"/>
        <v>fp8,fp8</v>
      </c>
      <c r="U7" s="181" t="s">
        <v>125</v>
      </c>
      <c r="V7" s="181" t="s">
        <v>125</v>
      </c>
      <c r="W7" s="181" t="s">
        <v>125</v>
      </c>
      <c r="AR7" s="161"/>
      <c r="AS7" s="161"/>
      <c r="AT7" s="161"/>
    </row>
    <row r="8">
      <c r="A8" s="223" t="s">
        <v>191</v>
      </c>
      <c r="B8" s="223" t="s">
        <v>192</v>
      </c>
      <c r="C8" s="223">
        <v>8.0</v>
      </c>
      <c r="D8" s="893"/>
      <c r="F8" s="219" t="s">
        <v>193</v>
      </c>
      <c r="P8" s="227"/>
      <c r="U8" s="181"/>
      <c r="V8" s="181"/>
      <c r="W8" s="181"/>
      <c r="AB8" s="181"/>
      <c r="AC8" s="181"/>
      <c r="AD8" s="181"/>
      <c r="AE8" s="181"/>
    </row>
    <row r="9">
      <c r="A9" s="232" t="s">
        <v>194</v>
      </c>
      <c r="B9" s="233" t="s">
        <v>195</v>
      </c>
      <c r="C9" s="223">
        <v>1536.0</v>
      </c>
      <c r="D9" s="893"/>
      <c r="F9" s="234" t="s">
        <v>196</v>
      </c>
      <c r="G9" s="235">
        <f>G5*G4</f>
        <v>16</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893"/>
      <c r="F10" s="237" t="s">
        <v>199</v>
      </c>
      <c r="G10" s="238">
        <f>PRODUCT(G3:G6)</f>
        <v>16</v>
      </c>
      <c r="H10" s="239"/>
      <c r="P10" s="227"/>
      <c r="T10" s="66" t="str">
        <f t="shared" si="2"/>
        <v>bf16,fp4</v>
      </c>
      <c r="U10" s="181" t="s">
        <v>133</v>
      </c>
      <c r="V10" s="181" t="s">
        <v>180</v>
      </c>
      <c r="W10" s="181" t="s">
        <v>133</v>
      </c>
      <c r="AP10" s="218"/>
      <c r="AQ10" s="218"/>
      <c r="AT10" s="228"/>
    </row>
    <row r="11">
      <c r="A11" s="232" t="s">
        <v>200</v>
      </c>
      <c r="B11" s="233" t="s">
        <v>201</v>
      </c>
      <c r="C11" s="223">
        <v>128.0</v>
      </c>
      <c r="D11" s="893"/>
      <c r="F11" s="237" t="s">
        <v>202</v>
      </c>
      <c r="G11" s="238" t="str">
        <f>$G$10/$H$18</f>
        <v>#N/A</v>
      </c>
      <c r="H11" s="239"/>
      <c r="P11" s="227"/>
      <c r="T11" s="66" t="str">
        <f t="shared" si="2"/>
        <v>bf16,fp8</v>
      </c>
      <c r="U11" s="181" t="s">
        <v>133</v>
      </c>
      <c r="V11" s="181" t="s">
        <v>125</v>
      </c>
      <c r="W11" s="181" t="s">
        <v>133</v>
      </c>
      <c r="AP11" s="222"/>
    </row>
    <row r="12">
      <c r="A12" s="232" t="s">
        <v>203</v>
      </c>
      <c r="B12" s="233" t="s">
        <v>204</v>
      </c>
      <c r="C12" s="223">
        <v>64.0</v>
      </c>
      <c r="D12" s="893"/>
      <c r="L12" s="844" t="s">
        <v>584</v>
      </c>
      <c r="P12" s="227"/>
      <c r="T12" s="66" t="s">
        <v>205</v>
      </c>
      <c r="U12" s="181" t="s">
        <v>133</v>
      </c>
      <c r="V12" s="181" t="s">
        <v>133</v>
      </c>
      <c r="W12" s="181" t="s">
        <v>133</v>
      </c>
      <c r="AP12" s="218"/>
      <c r="AQ12" s="218"/>
      <c r="AT12" s="228"/>
    </row>
    <row r="13">
      <c r="A13" s="223" t="s">
        <v>206</v>
      </c>
      <c r="B13" s="233" t="s">
        <v>207</v>
      </c>
      <c r="C13" s="223">
        <v>128.0</v>
      </c>
      <c r="D13" s="893"/>
    </row>
    <row r="14">
      <c r="A14" s="241" t="s">
        <v>208</v>
      </c>
      <c r="B14" s="242"/>
      <c r="C14" s="242"/>
      <c r="AG14" s="207"/>
      <c r="AH14" s="207"/>
      <c r="AI14" s="161"/>
      <c r="AJ14" s="2"/>
      <c r="AK14" s="2"/>
      <c r="AL14" s="2"/>
      <c r="AM14" s="2"/>
      <c r="AN14" s="161"/>
      <c r="AO14" s="2"/>
      <c r="AP14" s="207"/>
      <c r="AQ14" s="2"/>
      <c r="AR14" s="2"/>
      <c r="AS14" s="161"/>
      <c r="AT14" s="161"/>
    </row>
    <row r="15">
      <c r="A15" s="244" t="s">
        <v>209</v>
      </c>
      <c r="B15" s="244" t="s">
        <v>209</v>
      </c>
      <c r="C15" s="245">
        <f>$C$11+$C$12</f>
        <v>192</v>
      </c>
      <c r="AG15" s="2"/>
      <c r="AH15" s="2"/>
      <c r="AI15" s="161"/>
      <c r="AJ15" s="2"/>
      <c r="AK15" s="2"/>
      <c r="AL15" s="2"/>
      <c r="AM15" s="2"/>
      <c r="AN15" s="161"/>
      <c r="AO15" s="2"/>
      <c r="AP15" s="247"/>
      <c r="AQ15" s="247"/>
      <c r="AR15" s="2"/>
      <c r="AS15" s="161"/>
      <c r="AT15" s="248"/>
    </row>
    <row r="16">
      <c r="A16" s="244" t="s">
        <v>210</v>
      </c>
      <c r="B16" s="244" t="s">
        <v>210</v>
      </c>
      <c r="C16" s="249">
        <f>$C$10+$C$12</f>
        <v>576</v>
      </c>
      <c r="D16" s="893"/>
      <c r="AG16" s="2"/>
      <c r="AH16" s="2"/>
      <c r="AI16" s="161"/>
      <c r="AJ16" s="2"/>
      <c r="AK16" s="2"/>
      <c r="AL16" s="2"/>
      <c r="AM16" s="2"/>
      <c r="AN16" s="161"/>
      <c r="AO16" s="2"/>
      <c r="AP16" s="247"/>
      <c r="AQ16" s="247"/>
      <c r="AR16" s="2"/>
      <c r="AS16" s="161"/>
      <c r="AT16" s="248"/>
    </row>
    <row r="17">
      <c r="A17" s="249" t="s">
        <v>211</v>
      </c>
      <c r="B17" s="249" t="s">
        <v>212</v>
      </c>
      <c r="C17" s="245">
        <f>C8*$C$25</f>
        <v>8</v>
      </c>
      <c r="F17" s="250" t="s">
        <v>213</v>
      </c>
      <c r="G17" s="251" t="s">
        <v>585</v>
      </c>
      <c r="H17" s="251" t="s">
        <v>586</v>
      </c>
      <c r="AG17" s="2"/>
      <c r="AH17" s="2"/>
      <c r="AI17" s="161"/>
      <c r="AJ17" s="2"/>
      <c r="AK17" s="2"/>
      <c r="AL17" s="2"/>
      <c r="AM17" s="2"/>
      <c r="AN17" s="161"/>
      <c r="AO17" s="2"/>
      <c r="AP17" s="247"/>
      <c r="AQ17" s="247"/>
      <c r="AR17" s="2"/>
      <c r="AS17" s="161"/>
      <c r="AT17" s="248"/>
    </row>
    <row r="18">
      <c r="A18" s="252" t="s">
        <v>173</v>
      </c>
      <c r="B18" s="252" t="s">
        <v>214</v>
      </c>
      <c r="C18" s="253">
        <f>$G$10</f>
        <v>16</v>
      </c>
      <c r="F18" s="185" t="str">
        <f t="array" ref="F18:F31">DB!A2:A15</f>
        <v># of TensorCore per Chip</v>
      </c>
      <c r="G18" s="847">
        <v>1.0</v>
      </c>
      <c r="H18" s="254" t="str">
        <f t="array" ref="H18:H31">xlookup($H$17,DB!1:1,DB!2:15) * G18:G31</f>
        <v>#N/A</v>
      </c>
      <c r="AG18" s="2"/>
      <c r="AH18" s="2"/>
      <c r="AI18" s="161"/>
      <c r="AJ18" s="2"/>
      <c r="AK18" s="2"/>
      <c r="AL18" s="2"/>
      <c r="AM18" s="2"/>
      <c r="AN18" s="161"/>
      <c r="AO18" s="2"/>
      <c r="AP18" s="247"/>
      <c r="AQ18" s="2"/>
      <c r="AR18" s="2"/>
      <c r="AS18" s="161"/>
      <c r="AT18" s="161"/>
    </row>
    <row r="19">
      <c r="A19" s="252" t="s">
        <v>215</v>
      </c>
      <c r="B19" s="252" t="s">
        <v>216</v>
      </c>
      <c r="C19" s="253" t="str">
        <f>$G$11</f>
        <v>#N/A</v>
      </c>
      <c r="F19" s="185" t="s">
        <v>217</v>
      </c>
      <c r="G19" s="847">
        <v>1.0</v>
      </c>
      <c r="H19" s="254" t="e">
        <v>#N/A</v>
      </c>
      <c r="AG19" s="2"/>
      <c r="AH19" s="2"/>
      <c r="AI19" s="161"/>
      <c r="AJ19" s="2"/>
      <c r="AK19" s="2"/>
      <c r="AL19" s="2"/>
      <c r="AM19" s="2"/>
      <c r="AN19" s="161"/>
      <c r="AO19" s="2"/>
      <c r="AP19" s="247"/>
      <c r="AQ19" s="2"/>
      <c r="AR19" s="2"/>
      <c r="AS19" s="161"/>
      <c r="AT19" s="161"/>
    </row>
    <row r="20">
      <c r="A20" s="256" t="s">
        <v>587</v>
      </c>
      <c r="B20" s="256" t="s">
        <v>219</v>
      </c>
      <c r="C20" s="257" t="str">
        <f>IFS(C19=8,"2x2x2",C19=4,"2x2",TRUE,NA)</f>
        <v>#N/A</v>
      </c>
      <c r="D20" s="247"/>
      <c r="F20" s="185" t="s">
        <v>220</v>
      </c>
      <c r="G20" s="847">
        <v>1.0</v>
      </c>
      <c r="H20" s="254" t="e">
        <v>#N/A</v>
      </c>
      <c r="AG20" s="2"/>
      <c r="AH20" s="2"/>
      <c r="AI20" s="161"/>
      <c r="AJ20" s="2"/>
      <c r="AK20" s="2"/>
      <c r="AL20" s="2"/>
      <c r="AM20" s="2"/>
      <c r="AN20" s="161"/>
      <c r="AO20" s="2"/>
      <c r="AP20" s="247"/>
      <c r="AQ20" s="2"/>
      <c r="AR20" s="2"/>
      <c r="AS20" s="161"/>
      <c r="AT20" s="161"/>
    </row>
    <row r="21">
      <c r="A21" s="260" t="s">
        <v>588</v>
      </c>
      <c r="B21" s="260" t="s">
        <v>222</v>
      </c>
      <c r="C21" s="849" t="str">
        <f>IFS(C20="2x2x2",12,C20="2x2",4,TRUE,NA())</f>
        <v>#N/A</v>
      </c>
      <c r="D21" s="80"/>
      <c r="F21" s="185" t="s">
        <v>223</v>
      </c>
      <c r="G21" s="847">
        <v>1.0</v>
      </c>
      <c r="H21" s="254" t="e">
        <v>#N/A</v>
      </c>
      <c r="AG21" s="2"/>
      <c r="AH21" s="2"/>
      <c r="AI21" s="161"/>
      <c r="AJ21" s="2"/>
      <c r="AK21" s="2"/>
      <c r="AL21" s="2"/>
      <c r="AM21" s="2"/>
      <c r="AN21" s="161"/>
      <c r="AO21" s="2"/>
      <c r="AP21" s="247"/>
      <c r="AQ21" s="2"/>
      <c r="AR21" s="2"/>
      <c r="AS21" s="161"/>
      <c r="AT21" s="161"/>
    </row>
    <row r="22">
      <c r="A22" s="253"/>
      <c r="B22" s="253"/>
      <c r="C22" s="253"/>
      <c r="F22" s="185" t="s">
        <v>224</v>
      </c>
      <c r="G22" s="847">
        <v>1.0</v>
      </c>
      <c r="H22" s="254" t="e">
        <v>#N/A</v>
      </c>
      <c r="AG22" s="2"/>
      <c r="AH22" s="2"/>
      <c r="AI22" s="161"/>
      <c r="AJ22" s="2"/>
      <c r="AK22" s="2"/>
      <c r="AL22" s="2"/>
      <c r="AM22" s="2"/>
      <c r="AN22" s="161"/>
      <c r="AO22" s="2"/>
      <c r="AP22" s="247"/>
      <c r="AQ22" s="247"/>
      <c r="AR22" s="2"/>
      <c r="AS22" s="161"/>
      <c r="AT22" s="248"/>
    </row>
    <row r="23">
      <c r="A23" s="262" t="s">
        <v>225</v>
      </c>
      <c r="B23" s="263"/>
      <c r="C23" s="264"/>
      <c r="D23" s="893"/>
      <c r="F23" s="185" t="s">
        <v>226</v>
      </c>
      <c r="G23" s="847">
        <v>0.987</v>
      </c>
      <c r="H23" s="266" t="e">
        <v>#N/A</v>
      </c>
      <c r="AG23" s="2"/>
      <c r="AH23" s="2"/>
      <c r="AI23" s="161"/>
      <c r="AJ23" s="2"/>
      <c r="AK23" s="2"/>
      <c r="AL23" s="2"/>
      <c r="AM23" s="2"/>
      <c r="AN23" s="161"/>
      <c r="AO23" s="2"/>
      <c r="AP23" s="247"/>
      <c r="AQ23" s="247"/>
      <c r="AR23" s="2"/>
      <c r="AS23" s="161"/>
      <c r="AT23" s="248"/>
    </row>
    <row r="24">
      <c r="A24" s="249" t="s">
        <v>227</v>
      </c>
      <c r="B24" s="249" t="s">
        <v>228</v>
      </c>
      <c r="C24" s="249" t="s">
        <v>18</v>
      </c>
      <c r="D24" s="893"/>
      <c r="F24" s="185" t="s">
        <v>229</v>
      </c>
      <c r="G24" s="847">
        <v>0.8</v>
      </c>
      <c r="H24" s="266" t="e">
        <v>#N/A</v>
      </c>
      <c r="AG24" s="2"/>
      <c r="AH24" s="2"/>
      <c r="AI24" s="161"/>
      <c r="AJ24" s="2"/>
      <c r="AK24" s="2"/>
      <c r="AL24" s="2"/>
      <c r="AM24" s="2"/>
      <c r="AN24" s="161"/>
      <c r="AO24" s="2"/>
      <c r="AP24" s="247"/>
      <c r="AQ24" s="247"/>
      <c r="AR24" s="2"/>
      <c r="AS24" s="161"/>
      <c r="AT24" s="248"/>
    </row>
    <row r="25">
      <c r="A25" s="267" t="s">
        <v>101</v>
      </c>
      <c r="B25" s="267" t="s">
        <v>102</v>
      </c>
      <c r="C25" s="267">
        <f>IF(C24="Decode", 1, 2048)</f>
        <v>1</v>
      </c>
      <c r="D25" s="893"/>
      <c r="F25" s="185" t="s">
        <v>230</v>
      </c>
      <c r="G25" s="847">
        <v>1.0</v>
      </c>
      <c r="H25" s="254" t="e">
        <v>#N/A</v>
      </c>
      <c r="AG25" s="2"/>
      <c r="AH25" s="2"/>
      <c r="AI25" s="161"/>
      <c r="AJ25" s="248"/>
      <c r="AK25" s="2"/>
      <c r="AL25" s="2"/>
      <c r="AM25" s="2"/>
    </row>
    <row r="26">
      <c r="A26" s="249" t="s">
        <v>103</v>
      </c>
      <c r="B26" s="249" t="s">
        <v>104</v>
      </c>
      <c r="C26" s="249">
        <v>1024.0</v>
      </c>
      <c r="D26" s="181"/>
      <c r="F26" s="185" t="s">
        <v>231</v>
      </c>
      <c r="G26" s="847">
        <v>1.0</v>
      </c>
      <c r="H26" s="254" t="e">
        <v>#N/A</v>
      </c>
      <c r="AG26" s="207"/>
      <c r="AH26" s="207"/>
      <c r="AI26" s="207"/>
      <c r="AK26" s="2"/>
      <c r="AL26" s="2"/>
      <c r="AM26" s="2"/>
      <c r="AN26" s="161"/>
      <c r="AO26" s="2"/>
      <c r="AP26" s="2"/>
      <c r="AQ26" s="2"/>
      <c r="AR26" s="2"/>
      <c r="AS26" s="161"/>
      <c r="AT26" s="161"/>
    </row>
    <row r="27">
      <c r="A27" s="249" t="s">
        <v>105</v>
      </c>
      <c r="B27" s="252" t="s">
        <v>106</v>
      </c>
      <c r="C27" s="252">
        <f>1024+4096</f>
        <v>5120</v>
      </c>
      <c r="D27" s="893"/>
      <c r="F27" s="185" t="s">
        <v>233</v>
      </c>
      <c r="G27" s="847">
        <v>1.0</v>
      </c>
      <c r="H27" s="254" t="e">
        <v>#N/A</v>
      </c>
      <c r="AG27" s="207"/>
      <c r="AH27" s="207"/>
      <c r="AI27" s="207"/>
      <c r="AK27" s="2"/>
      <c r="AL27" s="2"/>
      <c r="AM27" s="2"/>
      <c r="AN27" s="161"/>
      <c r="AO27" s="2"/>
      <c r="AP27" s="2"/>
      <c r="AQ27" s="2"/>
      <c r="AR27" s="2"/>
      <c r="AS27" s="161"/>
      <c r="AT27" s="161"/>
    </row>
    <row r="28">
      <c r="A28" s="249" t="s">
        <v>110</v>
      </c>
      <c r="B28" s="253"/>
      <c r="C28" s="252">
        <v>0.15</v>
      </c>
      <c r="D28" s="893"/>
      <c r="F28" s="185" t="s">
        <v>234</v>
      </c>
      <c r="G28" s="847">
        <v>0.987</v>
      </c>
      <c r="H28" s="271" t="e">
        <v>#N/A</v>
      </c>
      <c r="AG28" s="207"/>
      <c r="AH28" s="207"/>
      <c r="AI28" s="207"/>
      <c r="AL28" s="2"/>
      <c r="AM28" s="2"/>
      <c r="AN28" s="161"/>
      <c r="AO28" s="2"/>
      <c r="AP28" s="2"/>
      <c r="AQ28" s="2"/>
      <c r="AR28" s="2"/>
      <c r="AS28" s="161"/>
      <c r="AT28" s="161"/>
    </row>
    <row r="29">
      <c r="A29" s="249" t="s">
        <v>111</v>
      </c>
      <c r="B29" s="253"/>
      <c r="C29" s="252">
        <v>1.0</v>
      </c>
      <c r="D29" s="893"/>
      <c r="F29" s="185" t="s">
        <v>235</v>
      </c>
      <c r="G29" s="847">
        <v>0.375</v>
      </c>
      <c r="H29" s="254" t="e">
        <v>#N/A</v>
      </c>
      <c r="AB29" s="181"/>
      <c r="AC29" s="181"/>
      <c r="AD29" s="181"/>
      <c r="AE29" s="181"/>
      <c r="AM29" s="222"/>
      <c r="AN29" s="218"/>
      <c r="AO29" s="222"/>
      <c r="AP29" s="222"/>
      <c r="AQ29" s="272"/>
      <c r="AR29" s="222"/>
      <c r="AS29" s="66"/>
    </row>
    <row r="30">
      <c r="A30" s="249" t="s">
        <v>112</v>
      </c>
      <c r="B30" s="252" t="s">
        <v>113</v>
      </c>
      <c r="C30" s="273" t="b">
        <v>1</v>
      </c>
      <c r="D30" s="894"/>
      <c r="F30" s="11" t="s">
        <v>236</v>
      </c>
      <c r="G30" s="858">
        <v>0.8</v>
      </c>
      <c r="H30" s="275" t="e">
        <v>#N/A</v>
      </c>
      <c r="AB30" s="181"/>
      <c r="AC30" s="181"/>
      <c r="AD30" s="181"/>
      <c r="AE30" s="181"/>
      <c r="AM30" s="222"/>
      <c r="AN30" s="218"/>
      <c r="AO30" s="222"/>
      <c r="AP30" s="222"/>
      <c r="AQ30" s="272"/>
      <c r="AR30" s="222"/>
      <c r="AS30" s="66"/>
    </row>
    <row r="31">
      <c r="A31" s="11"/>
      <c r="B31" s="11"/>
      <c r="C31" s="11"/>
      <c r="F31" s="182" t="s">
        <v>237</v>
      </c>
      <c r="G31" s="185">
        <v>1.0</v>
      </c>
      <c r="H31" s="182" t="e">
        <v>#N/A</v>
      </c>
      <c r="AM31" s="222"/>
      <c r="AN31" s="218"/>
      <c r="AO31" s="218"/>
      <c r="AP31" s="218"/>
      <c r="AQ31" s="218"/>
      <c r="AR31" s="222"/>
      <c r="AT31" s="228"/>
    </row>
    <row r="32">
      <c r="A32" s="262" t="s">
        <v>238</v>
      </c>
      <c r="B32" s="263"/>
      <c r="C32" s="264"/>
      <c r="AM32" s="222"/>
      <c r="AN32" s="218"/>
      <c r="AO32" s="218"/>
      <c r="AP32" s="218"/>
      <c r="AQ32" s="218"/>
      <c r="AR32" s="222"/>
      <c r="AT32" s="228"/>
    </row>
    <row r="33">
      <c r="A33" s="249" t="s">
        <v>126</v>
      </c>
      <c r="B33" s="244" t="s">
        <v>127</v>
      </c>
      <c r="C33" s="277" t="s">
        <v>650</v>
      </c>
      <c r="D33" s="278"/>
      <c r="AM33" s="222"/>
      <c r="AN33" s="218"/>
      <c r="AO33" s="218"/>
      <c r="AP33" s="222"/>
      <c r="AQ33" s="222"/>
      <c r="AR33" s="222"/>
    </row>
    <row r="34">
      <c r="A34" s="249" t="s">
        <v>123</v>
      </c>
      <c r="B34" s="252" t="s">
        <v>124</v>
      </c>
      <c r="C34" s="273" t="s">
        <v>125</v>
      </c>
      <c r="D34" s="278"/>
      <c r="AM34" s="222"/>
      <c r="AN34" s="218"/>
      <c r="AO34" s="218"/>
      <c r="AP34" s="222"/>
      <c r="AQ34" s="222"/>
      <c r="AR34" s="222"/>
    </row>
    <row r="35">
      <c r="A35" s="249" t="s">
        <v>131</v>
      </c>
      <c r="B35" s="244" t="s">
        <v>132</v>
      </c>
      <c r="C35" s="273" t="s">
        <v>133</v>
      </c>
      <c r="D35" s="278"/>
      <c r="F35" s="861" t="s">
        <v>590</v>
      </c>
      <c r="G35" s="862"/>
      <c r="AM35" s="222"/>
      <c r="AN35" s="218"/>
      <c r="AO35" s="218"/>
      <c r="AP35" s="222"/>
      <c r="AQ35" s="222"/>
      <c r="AR35" s="222"/>
    </row>
    <row r="36">
      <c r="A36" s="249" t="s">
        <v>134</v>
      </c>
      <c r="B36" s="244" t="s">
        <v>135</v>
      </c>
      <c r="C36" s="273" t="s">
        <v>133</v>
      </c>
      <c r="D36" s="278"/>
      <c r="F36" s="436" t="s">
        <v>592</v>
      </c>
      <c r="G36" s="863" t="s">
        <v>125</v>
      </c>
      <c r="AM36" s="222"/>
      <c r="AN36" s="218"/>
      <c r="AO36" s="218"/>
      <c r="AP36" s="222"/>
      <c r="AQ36" s="222"/>
      <c r="AR36" s="222"/>
    </row>
    <row r="37">
      <c r="A37" s="9" t="s">
        <v>138</v>
      </c>
      <c r="B37" s="244" t="s">
        <v>139</v>
      </c>
      <c r="C37" s="277" t="s">
        <v>651</v>
      </c>
      <c r="D37" s="278"/>
      <c r="F37" s="864" t="s">
        <v>593</v>
      </c>
      <c r="G37" s="863" t="str">
        <f>C34</f>
        <v>fp8</v>
      </c>
      <c r="AM37" s="222"/>
      <c r="AN37" s="218"/>
      <c r="AO37" s="218"/>
      <c r="AP37" s="222"/>
      <c r="AQ37" s="222"/>
      <c r="AR37" s="222"/>
    </row>
    <row r="38">
      <c r="A38" s="249" t="s">
        <v>136</v>
      </c>
      <c r="B38" s="244" t="s">
        <v>137</v>
      </c>
      <c r="C38" s="273" t="s">
        <v>125</v>
      </c>
      <c r="D38" s="278"/>
      <c r="F38" s="865" t="s">
        <v>594</v>
      </c>
      <c r="G38" s="866" t="s">
        <v>595</v>
      </c>
      <c r="AM38" s="222"/>
      <c r="AN38" s="218"/>
      <c r="AO38" s="218"/>
      <c r="AP38" s="222"/>
      <c r="AQ38" s="222"/>
      <c r="AR38" s="222"/>
    </row>
    <row r="39">
      <c r="A39" s="249" t="s">
        <v>140</v>
      </c>
      <c r="B39" s="244" t="s">
        <v>141</v>
      </c>
      <c r="C39" s="273" t="s">
        <v>133</v>
      </c>
      <c r="D39" s="278"/>
      <c r="F39" s="897"/>
      <c r="G39" s="898"/>
      <c r="AM39" s="222"/>
      <c r="AN39" s="218"/>
      <c r="AO39" s="218"/>
      <c r="AP39" s="222"/>
      <c r="AQ39" s="222"/>
      <c r="AR39" s="222"/>
    </row>
    <row r="40">
      <c r="D40" s="278"/>
      <c r="F40" s="867" t="s">
        <v>596</v>
      </c>
      <c r="G40" s="868">
        <f>671*1000000000</f>
        <v>671000000000</v>
      </c>
      <c r="AM40" s="222"/>
      <c r="AN40" s="218"/>
      <c r="AO40" s="218"/>
      <c r="AP40" s="222"/>
      <c r="AQ40" s="222"/>
      <c r="AR40" s="222"/>
    </row>
    <row r="41">
      <c r="A41" s="181"/>
      <c r="B41" s="278"/>
      <c r="C41" s="278"/>
      <c r="D41" s="278"/>
      <c r="F41" s="436" t="s">
        <v>597</v>
      </c>
      <c r="G41" s="869">
        <f>SUM(PRODUCT(L87:M87), PRODUCT(K135:M135), PRODUCT(K154:M154), PRODUCT(L173:M173), PRODUCT(K279:M279), PRODUCT(K298:M298)) * PARAMS("L")</f>
        <v>11413422080</v>
      </c>
      <c r="AM41" s="222"/>
      <c r="AN41" s="218"/>
      <c r="AO41" s="218"/>
      <c r="AP41" s="222"/>
      <c r="AQ41" s="222"/>
      <c r="AR41" s="222"/>
    </row>
    <row r="42" ht="27.0" customHeight="1">
      <c r="A42" s="281" t="s">
        <v>241</v>
      </c>
      <c r="F42" s="867"/>
      <c r="G42" s="870"/>
      <c r="AG42" s="2"/>
      <c r="AH42" s="2"/>
      <c r="AI42" s="2"/>
      <c r="AJ42" s="2"/>
      <c r="AK42" s="2"/>
      <c r="AL42" s="2"/>
      <c r="AM42" s="247"/>
      <c r="AN42" s="247"/>
      <c r="AO42" s="279"/>
      <c r="AP42" s="222"/>
      <c r="AQ42" s="247"/>
      <c r="AR42" s="247"/>
      <c r="AT42" s="280"/>
    </row>
    <row r="43" ht="30.0" customHeight="1">
      <c r="A43" s="250" t="s">
        <v>242</v>
      </c>
      <c r="B43" s="250" t="str">
        <f> "Value (" &amp; H17 &amp; ")"</f>
        <v>Value (GhostFish)</v>
      </c>
      <c r="C43" s="282" t="s">
        <v>591</v>
      </c>
      <c r="F43" s="867" t="s">
        <v>598</v>
      </c>
      <c r="G43" s="870">
        <f>G40-G41</f>
        <v>659586577920</v>
      </c>
      <c r="P43" s="227"/>
      <c r="AG43" s="2"/>
      <c r="AH43" s="2"/>
      <c r="AI43" s="2"/>
      <c r="AJ43" s="2"/>
      <c r="AK43" s="2"/>
      <c r="AL43" s="2"/>
      <c r="AM43" s="247"/>
      <c r="AN43" s="247"/>
      <c r="AO43" s="279"/>
      <c r="AP43" s="222"/>
      <c r="AQ43" s="247"/>
      <c r="AR43" s="247"/>
      <c r="AT43" s="280"/>
    </row>
    <row r="44" ht="15.0" customHeight="1">
      <c r="A44" s="185" t="s">
        <v>76</v>
      </c>
      <c r="B44" s="271">
        <f>$C26*$C25</f>
        <v>1024</v>
      </c>
      <c r="C44" s="182">
        <f>492*8</f>
        <v>3936</v>
      </c>
      <c r="F44" s="436" t="s">
        <v>599</v>
      </c>
      <c r="G44" s="869">
        <f>SUM(P87, P135, P154, P173, P279, P298) * PARAMS(B6) / 1024</f>
        <v>21.25915527</v>
      </c>
      <c r="P44" s="227"/>
      <c r="AG44" s="2"/>
      <c r="AH44" s="2"/>
      <c r="AI44" s="2"/>
      <c r="AJ44" s="2"/>
      <c r="AK44" s="2"/>
      <c r="AL44" s="2"/>
      <c r="AM44" s="247"/>
      <c r="AN44" s="247"/>
      <c r="AO44" s="279"/>
      <c r="AP44" s="222"/>
      <c r="AQ44" s="247"/>
      <c r="AR44" s="247"/>
      <c r="AT44" s="280"/>
    </row>
    <row r="45" ht="15.0" customHeight="1">
      <c r="A45" s="185" t="s">
        <v>243</v>
      </c>
      <c r="B45" s="288">
        <f>G10</f>
        <v>16</v>
      </c>
      <c r="C45" s="9">
        <v>8.0</v>
      </c>
      <c r="F45" s="867" t="s">
        <v>600</v>
      </c>
      <c r="G45" s="870">
        <f>(G43*  SWITCH(G36, "fp32", 4, "bf16", 2, "fp8", 1, "fp4", 0.5)/1024^3 + G44*G10) + (G10-1) * SUM(P491, P510) * (C6-3)/1024</f>
        <v>972.2761512</v>
      </c>
      <c r="P45" s="227"/>
      <c r="AG45" s="2"/>
      <c r="AH45" s="2"/>
      <c r="AI45" s="2"/>
      <c r="AJ45" s="2"/>
      <c r="AK45" s="2"/>
      <c r="AL45" s="2"/>
      <c r="AM45" s="247"/>
      <c r="AN45" s="247"/>
      <c r="AO45" s="279"/>
      <c r="AP45" s="222"/>
      <c r="AQ45" s="247"/>
      <c r="AR45" s="247"/>
      <c r="AT45" s="280"/>
    </row>
    <row r="46" ht="15.0" customHeight="1">
      <c r="A46" s="185" t="s">
        <v>146</v>
      </c>
      <c r="B46" s="289" t="str">
        <f>$G$73/1000 * $C$6</f>
        <v>#N/A</v>
      </c>
      <c r="C46" s="11">
        <f>0.0734</f>
        <v>0.0734</v>
      </c>
      <c r="F46" s="436" t="s">
        <v>601</v>
      </c>
      <c r="G46" s="869">
        <f>G45/G10</f>
        <v>60.76725945</v>
      </c>
      <c r="P46" s="227"/>
      <c r="AG46" s="2"/>
      <c r="AH46" s="2"/>
      <c r="AI46" s="2"/>
      <c r="AJ46" s="2"/>
      <c r="AK46" s="2"/>
      <c r="AL46" s="2"/>
      <c r="AM46" s="247"/>
      <c r="AN46" s="247"/>
      <c r="AO46" s="279"/>
      <c r="AP46" s="222"/>
      <c r="AQ46" s="247"/>
      <c r="AR46" s="247"/>
      <c r="AT46" s="280"/>
    </row>
    <row r="47" ht="15.0" customHeight="1">
      <c r="A47" s="185" t="s">
        <v>147</v>
      </c>
      <c r="B47" s="271" t="str">
        <f>$B$44/$B$46</f>
        <v>#N/A</v>
      </c>
      <c r="C47" s="193">
        <f>492/0.0733 * C45</f>
        <v>53697.13506</v>
      </c>
      <c r="F47" s="867" t="s">
        <v>602</v>
      </c>
      <c r="G47" s="871">
        <v>0.9</v>
      </c>
      <c r="P47" s="227"/>
      <c r="AG47" s="2"/>
      <c r="AH47" s="2"/>
      <c r="AI47" s="2"/>
      <c r="AJ47" s="2"/>
      <c r="AK47" s="2"/>
      <c r="AL47" s="2"/>
      <c r="AM47" s="247"/>
      <c r="AN47" s="247"/>
      <c r="AO47" s="279"/>
      <c r="AP47" s="222"/>
      <c r="AQ47" s="247"/>
      <c r="AR47" s="247"/>
      <c r="AT47" s="280"/>
    </row>
    <row r="48" ht="15.0" customHeight="1">
      <c r="A48" s="185" t="s">
        <v>148</v>
      </c>
      <c r="B48" s="193" t="str">
        <f>B44/(B46*(1+C28))*C29</f>
        <v>#N/A</v>
      </c>
      <c r="C48" s="193"/>
      <c r="F48" s="436" t="s">
        <v>603</v>
      </c>
      <c r="G48" s="869" t="str">
        <f>(((H28 * G47 - G46)*1024^3) * G9) / (PARAMS(B27) * PAD_128(C10+C12) * SWITCH(PARAMS("kv_dtype"), "fp32", 4, "bf16", 2, "fp8", 1, "fp4", 0.5)*PARAMS(B6))</f>
        <v>#N/A</v>
      </c>
      <c r="P48" s="227"/>
      <c r="AG48" s="2"/>
      <c r="AH48" s="2"/>
      <c r="AI48" s="2"/>
      <c r="AJ48" s="2"/>
      <c r="AK48" s="2"/>
      <c r="AL48" s="2"/>
      <c r="AM48" s="247"/>
      <c r="AN48" s="247"/>
      <c r="AO48" s="279"/>
      <c r="AP48" s="222"/>
      <c r="AQ48" s="247"/>
      <c r="AR48" s="247"/>
      <c r="AT48" s="280"/>
    </row>
    <row r="49" ht="15.0" customHeight="1">
      <c r="A49" s="185" t="s">
        <v>149</v>
      </c>
      <c r="B49" s="193" t="str">
        <f>B48/$G$11</f>
        <v>#N/A</v>
      </c>
      <c r="C49" s="193">
        <f>C47/C45</f>
        <v>6712.141883</v>
      </c>
      <c r="P49" s="227"/>
      <c r="AG49" s="2"/>
      <c r="AH49" s="2"/>
      <c r="AI49" s="2"/>
      <c r="AJ49" s="2"/>
      <c r="AK49" s="2"/>
      <c r="AL49" s="2"/>
      <c r="AM49" s="247"/>
      <c r="AN49" s="247"/>
      <c r="AO49" s="279"/>
      <c r="AP49" s="222"/>
      <c r="AQ49" s="247"/>
      <c r="AR49" s="247"/>
      <c r="AT49" s="280"/>
    </row>
    <row r="50" ht="15.0" customHeight="1">
      <c r="A50" s="899" t="s">
        <v>652</v>
      </c>
      <c r="B50" s="900" t="str">
        <f t="shared" ref="B50:C50" si="3">B49/$C$49</f>
        <v>#N/A</v>
      </c>
      <c r="C50" s="900">
        <f t="shared" si="3"/>
        <v>1</v>
      </c>
      <c r="P50" s="227"/>
      <c r="AG50" s="2"/>
      <c r="AH50" s="2"/>
      <c r="AI50" s="2"/>
      <c r="AJ50" s="2"/>
      <c r="AK50" s="2"/>
      <c r="AL50" s="2"/>
      <c r="AM50" s="247"/>
      <c r="AN50" s="247"/>
      <c r="AO50" s="279"/>
      <c r="AP50" s="222"/>
      <c r="AQ50" s="247"/>
      <c r="AR50" s="247"/>
      <c r="AT50" s="280"/>
    </row>
    <row r="51" ht="15.0" customHeight="1">
      <c r="P51" s="227"/>
      <c r="AG51" s="2"/>
      <c r="AH51" s="2"/>
      <c r="AI51" s="2"/>
      <c r="AJ51" s="2"/>
      <c r="AK51" s="2"/>
      <c r="AL51" s="2"/>
      <c r="AM51" s="247"/>
      <c r="AN51" s="247"/>
      <c r="AO51" s="279"/>
      <c r="AP51" s="222"/>
      <c r="AQ51" s="247"/>
      <c r="AR51" s="247"/>
      <c r="AT51" s="280"/>
    </row>
    <row r="52">
      <c r="A52" s="281"/>
      <c r="B52" s="281"/>
      <c r="D52" s="181"/>
      <c r="E52" s="181"/>
      <c r="F52" s="181"/>
      <c r="G52" s="181"/>
      <c r="AM52" s="222"/>
      <c r="AN52" s="218"/>
      <c r="AO52" s="218"/>
      <c r="AP52" s="218"/>
      <c r="AQ52" s="218"/>
      <c r="AR52" s="222"/>
      <c r="AT52" s="280"/>
    </row>
    <row r="53">
      <c r="A53" s="281" t="s">
        <v>244</v>
      </c>
      <c r="B53" s="281"/>
      <c r="D53" s="181"/>
      <c r="E53" s="181"/>
      <c r="F53" s="181"/>
      <c r="G53" s="181"/>
      <c r="AM53" s="222"/>
      <c r="AN53" s="218"/>
      <c r="AO53" s="218"/>
      <c r="AP53" s="218"/>
      <c r="AQ53" s="218"/>
      <c r="AR53" s="222"/>
      <c r="AT53" s="280"/>
    </row>
    <row r="54">
      <c r="A54" s="290" t="s">
        <v>245</v>
      </c>
      <c r="B54" s="290" t="s">
        <v>246</v>
      </c>
      <c r="C54" s="290" t="s">
        <v>247</v>
      </c>
      <c r="D54" s="290" t="s">
        <v>248</v>
      </c>
      <c r="E54" s="290" t="s">
        <v>249</v>
      </c>
      <c r="F54" s="290" t="s">
        <v>250</v>
      </c>
      <c r="G54" s="290" t="s">
        <v>251</v>
      </c>
      <c r="H54" s="290" t="s">
        <v>252</v>
      </c>
      <c r="I54" s="875"/>
      <c r="J54" s="290" t="s">
        <v>604</v>
      </c>
      <c r="AG54" s="207"/>
      <c r="AH54" s="207"/>
      <c r="AI54" s="2"/>
      <c r="AJ54" s="2"/>
      <c r="AK54" s="2"/>
      <c r="AL54" s="2"/>
      <c r="AM54" s="247"/>
      <c r="AN54" s="279"/>
      <c r="AO54" s="279"/>
      <c r="AP54" s="292"/>
      <c r="AQ54" s="279"/>
      <c r="AR54" s="247"/>
      <c r="AS54" s="66"/>
      <c r="AT54" s="280"/>
    </row>
    <row r="55">
      <c r="A55" s="293" t="s">
        <v>29</v>
      </c>
      <c r="B55" s="294" t="s">
        <v>255</v>
      </c>
      <c r="C55" s="295" t="str">
        <f>$H$129</f>
        <v>#N/A</v>
      </c>
      <c r="D55" s="295" t="str">
        <f>$H$127</f>
        <v>#N/A</v>
      </c>
      <c r="E55" s="296">
        <f>$H$124</f>
        <v>0</v>
      </c>
      <c r="F55" s="295">
        <f>H122</f>
        <v>0</v>
      </c>
      <c r="G55" s="295" t="str">
        <f t="shared" ref="G55:G59" si="4">max(C55:F55)</f>
        <v>#N/A</v>
      </c>
      <c r="H55" s="297" t="str">
        <f t="shared" ref="H55:H58" si="5">IFS(C55=G55, "HBM", D55=G55, "Compute", E55=G55, "ICI Lt", F55=G55, "ICI BW")</f>
        <v>#N/A</v>
      </c>
      <c r="I55" s="808"/>
      <c r="J55" s="876" t="str">
        <f t="shared" ref="J55:J61" si="6">G55/$G$71</f>
        <v>#N/A</v>
      </c>
      <c r="P55" s="301"/>
      <c r="AG55" s="2"/>
      <c r="AH55" s="2"/>
      <c r="AI55" s="207"/>
      <c r="AJ55" s="2"/>
      <c r="AK55" s="2"/>
      <c r="AL55" s="2"/>
      <c r="AM55" s="247"/>
      <c r="AN55" s="218"/>
      <c r="AO55" s="218"/>
      <c r="AP55" s="218"/>
      <c r="AQ55" s="218"/>
      <c r="AR55" s="247"/>
      <c r="AT55" s="280"/>
    </row>
    <row r="56">
      <c r="A56" s="293" t="s">
        <v>29</v>
      </c>
      <c r="B56" s="294" t="s">
        <v>32</v>
      </c>
      <c r="C56" s="295" t="str">
        <f>$H$148</f>
        <v>#N/A</v>
      </c>
      <c r="D56" s="295" t="str">
        <f>$H$146</f>
        <v>#N/A</v>
      </c>
      <c r="E56" s="297"/>
      <c r="F56" s="295"/>
      <c r="G56" s="295" t="str">
        <f t="shared" si="4"/>
        <v>#N/A</v>
      </c>
      <c r="H56" s="297" t="str">
        <f t="shared" si="5"/>
        <v>#N/A</v>
      </c>
      <c r="I56" s="808"/>
      <c r="J56" s="876" t="str">
        <f t="shared" si="6"/>
        <v>#N/A</v>
      </c>
      <c r="P56" s="227"/>
      <c r="AG56" s="2"/>
      <c r="AH56" s="2"/>
      <c r="AI56" s="2"/>
      <c r="AJ56" s="2"/>
      <c r="AK56" s="2"/>
      <c r="AL56" s="2"/>
      <c r="AM56" s="247"/>
      <c r="AN56" s="247"/>
      <c r="AO56" s="279"/>
      <c r="AP56" s="222"/>
      <c r="AQ56" s="247"/>
      <c r="AR56" s="247"/>
      <c r="AT56" s="280"/>
    </row>
    <row r="57">
      <c r="A57" s="293" t="s">
        <v>29</v>
      </c>
      <c r="B57" s="294" t="s">
        <v>34</v>
      </c>
      <c r="C57" s="295" t="str">
        <f>$H$167</f>
        <v>#N/A</v>
      </c>
      <c r="D57" s="295" t="str">
        <f>$H$165</f>
        <v>#N/A</v>
      </c>
      <c r="E57" s="297"/>
      <c r="F57" s="295"/>
      <c r="G57" s="295" t="str">
        <f t="shared" si="4"/>
        <v>#N/A</v>
      </c>
      <c r="H57" s="297" t="str">
        <f t="shared" si="5"/>
        <v>#N/A</v>
      </c>
      <c r="I57" s="808"/>
      <c r="J57" s="876" t="str">
        <f t="shared" si="6"/>
        <v>#N/A</v>
      </c>
      <c r="P57" s="227"/>
      <c r="AG57" s="2"/>
      <c r="AH57" s="2"/>
      <c r="AI57" s="2"/>
      <c r="AJ57" s="2"/>
      <c r="AK57" s="2"/>
      <c r="AL57" s="2"/>
      <c r="AM57" s="247"/>
      <c r="AN57" s="218"/>
      <c r="AO57" s="218"/>
      <c r="AP57" s="218"/>
      <c r="AQ57" s="218"/>
      <c r="AR57" s="247"/>
      <c r="AT57" s="280"/>
    </row>
    <row r="58">
      <c r="A58" s="293" t="s">
        <v>29</v>
      </c>
      <c r="B58" s="294" t="s">
        <v>256</v>
      </c>
      <c r="C58" s="295" t="str">
        <f>$H$186</f>
        <v>#N/A</v>
      </c>
      <c r="D58" s="295" t="str">
        <f>$H$184</f>
        <v>#N/A</v>
      </c>
      <c r="E58" s="297"/>
      <c r="F58" s="295"/>
      <c r="G58" s="295" t="str">
        <f t="shared" si="4"/>
        <v>#N/A</v>
      </c>
      <c r="H58" s="297" t="str">
        <f t="shared" si="5"/>
        <v>#N/A</v>
      </c>
      <c r="I58" s="808"/>
      <c r="J58" s="876" t="str">
        <f t="shared" si="6"/>
        <v>#N/A</v>
      </c>
      <c r="P58" s="227"/>
      <c r="AM58" s="222"/>
      <c r="AO58" s="222"/>
      <c r="AP58" s="222"/>
      <c r="AQ58" s="222"/>
      <c r="AR58" s="247"/>
      <c r="AS58" s="66"/>
      <c r="AT58" s="280"/>
    </row>
    <row r="59">
      <c r="A59" s="293" t="s">
        <v>29</v>
      </c>
      <c r="B59" s="294" t="s">
        <v>257</v>
      </c>
      <c r="C59" s="295"/>
      <c r="D59" s="295"/>
      <c r="E59" s="297"/>
      <c r="F59" s="295">
        <f>$H$216</f>
        <v>0</v>
      </c>
      <c r="G59" s="295">
        <f t="shared" si="4"/>
        <v>0</v>
      </c>
      <c r="H59" s="297" t="str">
        <f>IFS(F59=G59, "ICI BW", E59=G59, "ICI Lt",  C59=G59, "HBM", D59=G59, "Compute")</f>
        <v>ICI BW</v>
      </c>
      <c r="I59" s="808"/>
      <c r="J59" s="876" t="str">
        <f t="shared" si="6"/>
        <v>#N/A</v>
      </c>
      <c r="P59" s="227"/>
      <c r="R59" s="203"/>
      <c r="S59" s="203"/>
      <c r="T59" s="203"/>
      <c r="U59" s="203"/>
      <c r="V59" s="203"/>
      <c r="W59" s="2"/>
      <c r="AM59" s="222"/>
      <c r="AO59" s="218"/>
      <c r="AP59" s="218"/>
      <c r="AQ59" s="218"/>
      <c r="AR59" s="247"/>
      <c r="AT59" s="280"/>
    </row>
    <row r="60">
      <c r="A60" s="293" t="s">
        <v>29</v>
      </c>
      <c r="B60" s="302" t="s">
        <v>258</v>
      </c>
      <c r="C60" s="295" t="str">
        <f t="shared" ref="C60:D60" si="7">SUM(C62:C64)</f>
        <v>#N/A</v>
      </c>
      <c r="D60" s="295" t="str">
        <f t="shared" si="7"/>
        <v>#N/A</v>
      </c>
      <c r="E60" s="297"/>
      <c r="F60" s="295"/>
      <c r="G60" s="295" t="str">
        <f>IF(PARAMS("flash_attn"),MAX(C60:F60),0)</f>
        <v>#N/A</v>
      </c>
      <c r="H60" s="297" t="str">
        <f>IFS(G60=0,"",C60=G60, "HBM", D60=G60, "Compute", E60=G60, "ICI Lt", F60=G60, "ICI BW")</f>
        <v>#N/A</v>
      </c>
      <c r="I60" s="808"/>
      <c r="J60" s="876" t="str">
        <f t="shared" si="6"/>
        <v>#N/A</v>
      </c>
      <c r="P60" s="227"/>
      <c r="R60" s="203"/>
      <c r="S60" s="203"/>
      <c r="T60" s="203"/>
      <c r="U60" s="203"/>
      <c r="V60" s="203"/>
      <c r="W60" s="2"/>
      <c r="AM60" s="222"/>
      <c r="AO60" s="218"/>
      <c r="AP60" s="218"/>
      <c r="AQ60" s="218"/>
      <c r="AR60" s="247"/>
      <c r="AT60" s="280"/>
    </row>
    <row r="61">
      <c r="A61" s="293" t="s">
        <v>29</v>
      </c>
      <c r="B61" s="302" t="s">
        <v>259</v>
      </c>
      <c r="C61" s="295"/>
      <c r="D61" s="295"/>
      <c r="E61" s="297"/>
      <c r="F61" s="295"/>
      <c r="G61" s="295">
        <f>IF(PARAMS("flash_attn"),0,SUM(G62:G64))</f>
        <v>0</v>
      </c>
      <c r="H61" s="297"/>
      <c r="I61" s="808"/>
      <c r="J61" s="876" t="str">
        <f t="shared" si="6"/>
        <v>#N/A</v>
      </c>
      <c r="P61" s="227"/>
      <c r="R61" s="203"/>
      <c r="S61" s="203"/>
      <c r="T61" s="203"/>
      <c r="U61" s="203"/>
      <c r="V61" s="203"/>
      <c r="W61" s="2"/>
      <c r="AM61" s="222"/>
      <c r="AO61" s="218"/>
      <c r="AP61" s="218"/>
      <c r="AQ61" s="218"/>
      <c r="AR61" s="247"/>
      <c r="AT61" s="280"/>
    </row>
    <row r="62">
      <c r="A62" s="293" t="s">
        <v>29</v>
      </c>
      <c r="B62" s="294" t="s">
        <v>653</v>
      </c>
      <c r="C62" s="295" t="str">
        <f>$H$235</f>
        <v>#N/A</v>
      </c>
      <c r="D62" s="295" t="str">
        <f>$H$233</f>
        <v>#N/A</v>
      </c>
      <c r="E62" s="297"/>
      <c r="F62" s="295"/>
      <c r="G62" s="295" t="str">
        <f t="shared" ref="G62:G70" si="8">max(C62:F62)</f>
        <v>#N/A</v>
      </c>
      <c r="H62" s="297" t="str">
        <f t="shared" ref="H62:H70" si="9">IFS(C62=G62, "HBM", D62=G62, "Compute", E62=G62, "ICI Lt", F62=G62, "ICI BW")</f>
        <v>#N/A</v>
      </c>
      <c r="I62" s="808"/>
      <c r="J62" s="876"/>
      <c r="P62" s="227"/>
      <c r="R62" s="203"/>
      <c r="S62" s="203"/>
      <c r="T62" s="203"/>
      <c r="U62" s="203"/>
      <c r="V62" s="203"/>
      <c r="W62" s="2"/>
      <c r="AM62" s="222"/>
      <c r="AO62" s="218"/>
      <c r="AP62" s="218"/>
      <c r="AQ62" s="218"/>
      <c r="AR62" s="247"/>
      <c r="AT62" s="280"/>
    </row>
    <row r="63">
      <c r="A63" s="293" t="s">
        <v>29</v>
      </c>
      <c r="B63" s="294" t="s">
        <v>654</v>
      </c>
      <c r="C63" s="295" t="str">
        <f>$H$254</f>
        <v>#N/A</v>
      </c>
      <c r="D63" s="295" t="str">
        <f>$H$252</f>
        <v>#N/A</v>
      </c>
      <c r="E63" s="297"/>
      <c r="F63" s="295"/>
      <c r="G63" s="295" t="str">
        <f t="shared" si="8"/>
        <v>#N/A</v>
      </c>
      <c r="H63" s="297" t="str">
        <f t="shared" si="9"/>
        <v>#N/A</v>
      </c>
      <c r="I63" s="808"/>
      <c r="J63" s="876"/>
      <c r="P63" s="227"/>
      <c r="R63" s="303"/>
      <c r="S63" s="303"/>
      <c r="T63" s="303"/>
      <c r="U63" s="303"/>
      <c r="V63" s="303"/>
      <c r="W63" s="2"/>
      <c r="AM63" s="222"/>
      <c r="AN63" s="218"/>
      <c r="AO63" s="222"/>
      <c r="AP63" s="222"/>
      <c r="AQ63" s="218"/>
      <c r="AR63" s="247"/>
      <c r="AT63" s="280"/>
    </row>
    <row r="64">
      <c r="A64" s="293" t="s">
        <v>29</v>
      </c>
      <c r="B64" s="294" t="s">
        <v>655</v>
      </c>
      <c r="C64" s="295" t="str">
        <f>$H$273</f>
        <v>#N/A</v>
      </c>
      <c r="D64" s="295" t="str">
        <f>$H$271</f>
        <v>#N/A</v>
      </c>
      <c r="E64" s="297"/>
      <c r="F64" s="295"/>
      <c r="G64" s="295" t="str">
        <f t="shared" si="8"/>
        <v>#N/A</v>
      </c>
      <c r="H64" s="297" t="str">
        <f t="shared" si="9"/>
        <v>#N/A</v>
      </c>
      <c r="I64" s="808"/>
      <c r="J64" s="876"/>
      <c r="P64" s="227"/>
      <c r="R64" s="303"/>
      <c r="S64" s="303"/>
      <c r="T64" s="303"/>
      <c r="U64" s="303"/>
      <c r="V64" s="303"/>
      <c r="W64" s="2"/>
      <c r="AM64" s="222"/>
      <c r="AN64" s="218"/>
      <c r="AO64" s="218"/>
      <c r="AP64" s="218"/>
      <c r="AQ64" s="218"/>
      <c r="AR64" s="247"/>
      <c r="AT64" s="280"/>
    </row>
    <row r="65">
      <c r="A65" s="293" t="s">
        <v>29</v>
      </c>
      <c r="B65" s="294" t="s">
        <v>38</v>
      </c>
      <c r="C65" s="295" t="str">
        <f>H292</f>
        <v>#N/A</v>
      </c>
      <c r="D65" s="295" t="str">
        <f>H290</f>
        <v>#N/A</v>
      </c>
      <c r="E65" s="297"/>
      <c r="F65" s="295"/>
      <c r="G65" s="295" t="str">
        <f t="shared" si="8"/>
        <v>#N/A</v>
      </c>
      <c r="H65" s="297" t="str">
        <f t="shared" si="9"/>
        <v>#N/A</v>
      </c>
      <c r="I65" s="808"/>
      <c r="J65" s="876" t="str">
        <f t="shared" ref="J65:J71" si="10">G65/$G$71</f>
        <v>#N/A</v>
      </c>
      <c r="P65" s="227"/>
      <c r="R65" s="303"/>
      <c r="S65" s="303"/>
      <c r="T65" s="303"/>
      <c r="U65" s="303"/>
      <c r="V65" s="303"/>
      <c r="W65" s="304"/>
      <c r="AK65" s="280"/>
      <c r="AM65" s="222"/>
      <c r="AN65" s="218"/>
      <c r="AO65" s="218"/>
      <c r="AP65" s="218"/>
      <c r="AQ65" s="218"/>
      <c r="AR65" s="247"/>
      <c r="AT65" s="280"/>
    </row>
    <row r="66">
      <c r="A66" s="293" t="s">
        <v>29</v>
      </c>
      <c r="B66" s="294" t="s">
        <v>40</v>
      </c>
      <c r="C66" s="295" t="str">
        <f>H311</f>
        <v>#N/A</v>
      </c>
      <c r="D66" s="295" t="str">
        <f>H309</f>
        <v>#N/A</v>
      </c>
      <c r="E66" s="297"/>
      <c r="F66" s="295"/>
      <c r="G66" s="295" t="str">
        <f t="shared" si="8"/>
        <v>#N/A</v>
      </c>
      <c r="H66" s="297" t="str">
        <f t="shared" si="9"/>
        <v>#N/A</v>
      </c>
      <c r="I66" s="808"/>
      <c r="J66" s="876" t="str">
        <f t="shared" si="10"/>
        <v>#N/A</v>
      </c>
      <c r="P66" s="227"/>
      <c r="R66" s="303"/>
      <c r="S66" s="303"/>
      <c r="T66" s="303"/>
      <c r="U66" s="305"/>
      <c r="V66" s="305"/>
      <c r="W66" s="2"/>
      <c r="AK66" s="306"/>
      <c r="AL66" s="307"/>
      <c r="AM66" s="247"/>
      <c r="AN66" s="218"/>
      <c r="AO66" s="218"/>
      <c r="AP66" s="218"/>
      <c r="AQ66" s="218"/>
      <c r="AR66" s="247"/>
      <c r="AT66" s="280"/>
    </row>
    <row r="67">
      <c r="A67" s="293" t="s">
        <v>264</v>
      </c>
      <c r="B67" s="308" t="s">
        <v>44</v>
      </c>
      <c r="C67" s="295"/>
      <c r="D67" s="295"/>
      <c r="E67" s="296" t="str">
        <f>$H$361</f>
        <v>#N/A</v>
      </c>
      <c r="F67" s="295" t="str">
        <f>$H$359</f>
        <v>#N/A</v>
      </c>
      <c r="G67" s="295" t="str">
        <f t="shared" si="8"/>
        <v>#N/A</v>
      </c>
      <c r="H67" s="297" t="str">
        <f t="shared" si="9"/>
        <v>#N/A</v>
      </c>
      <c r="I67" s="808"/>
      <c r="J67" s="876" t="str">
        <f t="shared" si="10"/>
        <v>#N/A</v>
      </c>
      <c r="P67" s="227"/>
      <c r="R67" s="2"/>
      <c r="S67" s="2"/>
      <c r="T67" s="2"/>
      <c r="U67" s="2"/>
      <c r="V67" s="2"/>
      <c r="W67" s="2"/>
      <c r="AM67" s="222"/>
      <c r="AN67" s="218"/>
      <c r="AO67" s="222"/>
      <c r="AP67" s="222"/>
      <c r="AQ67" s="272"/>
      <c r="AR67" s="222"/>
    </row>
    <row r="68">
      <c r="A68" s="293" t="s">
        <v>264</v>
      </c>
      <c r="B68" s="308" t="s">
        <v>46</v>
      </c>
      <c r="C68" s="295" t="str">
        <f>$H$404</f>
        <v>#N/A</v>
      </c>
      <c r="D68" s="295" t="str">
        <f>$H$402</f>
        <v>#N/A</v>
      </c>
      <c r="E68" s="297"/>
      <c r="F68" s="295">
        <f>$H$399</f>
        <v>0</v>
      </c>
      <c r="G68" s="295" t="str">
        <f t="shared" si="8"/>
        <v>#N/A</v>
      </c>
      <c r="H68" s="297" t="str">
        <f t="shared" si="9"/>
        <v>#N/A</v>
      </c>
      <c r="I68" s="808"/>
      <c r="J68" s="876" t="str">
        <f t="shared" si="10"/>
        <v>#N/A</v>
      </c>
      <c r="P68" s="227"/>
      <c r="R68" s="2"/>
      <c r="S68" s="2"/>
      <c r="T68" s="2"/>
      <c r="U68" s="2"/>
      <c r="V68" s="2"/>
      <c r="W68" s="309"/>
      <c r="AM68" s="222"/>
      <c r="AN68" s="218"/>
      <c r="AO68" s="218"/>
      <c r="AP68" s="218"/>
      <c r="AQ68" s="218"/>
      <c r="AR68" s="222"/>
      <c r="AT68" s="228"/>
    </row>
    <row r="69">
      <c r="A69" s="293" t="s">
        <v>264</v>
      </c>
      <c r="B69" s="308" t="s">
        <v>48</v>
      </c>
      <c r="C69" s="295" t="str">
        <f>$H$434</f>
        <v>#N/A</v>
      </c>
      <c r="D69" s="295" t="str">
        <f>$H$432</f>
        <v>#N/A</v>
      </c>
      <c r="E69" s="297"/>
      <c r="F69" s="295">
        <f>$H$429</f>
        <v>0</v>
      </c>
      <c r="G69" s="295" t="str">
        <f t="shared" si="8"/>
        <v>#N/A</v>
      </c>
      <c r="H69" s="297" t="str">
        <f t="shared" si="9"/>
        <v>#N/A</v>
      </c>
      <c r="I69" s="808"/>
      <c r="J69" s="876" t="str">
        <f t="shared" si="10"/>
        <v>#N/A</v>
      </c>
      <c r="P69" s="227"/>
      <c r="R69" s="2"/>
      <c r="S69" s="2"/>
      <c r="T69" s="2"/>
      <c r="U69" s="2"/>
      <c r="V69" s="2"/>
      <c r="W69" s="309"/>
      <c r="AM69" s="222"/>
      <c r="AN69" s="218"/>
      <c r="AO69" s="218"/>
      <c r="AP69" s="222"/>
      <c r="AQ69" s="222"/>
      <c r="AR69" s="222"/>
    </row>
    <row r="70">
      <c r="A70" s="293" t="s">
        <v>264</v>
      </c>
      <c r="B70" s="308" t="s">
        <v>52</v>
      </c>
      <c r="C70" s="295"/>
      <c r="D70" s="295"/>
      <c r="E70" s="296" t="str">
        <f>$H$480</f>
        <v>#N/A</v>
      </c>
      <c r="F70" s="295" t="str">
        <f>$H$478</f>
        <v>#N/A</v>
      </c>
      <c r="G70" s="295" t="str">
        <f t="shared" si="8"/>
        <v>#N/A</v>
      </c>
      <c r="H70" s="297" t="str">
        <f t="shared" si="9"/>
        <v>#N/A</v>
      </c>
      <c r="I70" s="808"/>
      <c r="J70" s="876" t="str">
        <f t="shared" si="10"/>
        <v>#N/A</v>
      </c>
      <c r="P70" s="227"/>
      <c r="AM70" s="222"/>
      <c r="AN70" s="218"/>
      <c r="AO70" s="218"/>
      <c r="AP70" s="218"/>
      <c r="AQ70" s="218"/>
      <c r="AR70" s="222"/>
      <c r="AT70" s="280"/>
    </row>
    <row r="71">
      <c r="A71" s="310"/>
      <c r="B71" s="311"/>
      <c r="C71" s="311"/>
      <c r="D71" s="311"/>
      <c r="E71" s="310" t="s">
        <v>265</v>
      </c>
      <c r="F71" s="312" t="s">
        <v>121</v>
      </c>
      <c r="G71" s="311" t="str">
        <f>SUM(G55:G61,G65:G70)</f>
        <v>#N/A</v>
      </c>
      <c r="H71" s="311"/>
      <c r="I71" s="314"/>
      <c r="J71" s="315" t="str">
        <f t="shared" si="10"/>
        <v>#N/A</v>
      </c>
      <c r="P71" s="227"/>
      <c r="AG71" s="207"/>
      <c r="AH71" s="207"/>
      <c r="AI71" s="2"/>
      <c r="AJ71" s="2"/>
      <c r="AK71" s="2"/>
      <c r="AL71" s="2"/>
      <c r="AM71" s="247"/>
      <c r="AN71" s="279"/>
      <c r="AO71" s="279"/>
      <c r="AP71" s="292"/>
      <c r="AQ71" s="279"/>
      <c r="AR71" s="247"/>
      <c r="AT71" s="280"/>
    </row>
    <row r="72">
      <c r="A72" s="316"/>
      <c r="B72" s="311"/>
      <c r="C72" s="311"/>
      <c r="D72" s="311"/>
      <c r="E72" s="316"/>
      <c r="F72" s="312" t="s">
        <v>266</v>
      </c>
      <c r="G72" s="879" t="str">
        <f>SUM(G55:G61,G65:G66)+MAX(G67:G68)+MAX(G69:G70)</f>
        <v>#N/A</v>
      </c>
      <c r="H72" s="311"/>
      <c r="I72" s="314"/>
      <c r="J72" s="315"/>
      <c r="P72" s="227"/>
      <c r="AG72" s="207"/>
      <c r="AH72" s="207"/>
      <c r="AI72" s="2"/>
      <c r="AJ72" s="2"/>
      <c r="AK72" s="2"/>
      <c r="AL72" s="2"/>
      <c r="AM72" s="247"/>
      <c r="AN72" s="279"/>
      <c r="AO72" s="279"/>
      <c r="AP72" s="292"/>
      <c r="AQ72" s="279"/>
      <c r="AR72" s="247"/>
      <c r="AT72" s="280"/>
    </row>
    <row r="73">
      <c r="A73" s="318" t="s">
        <v>267</v>
      </c>
      <c r="B73" s="319"/>
      <c r="C73" s="319"/>
      <c r="D73" s="319"/>
      <c r="E73" s="318" t="s">
        <v>268</v>
      </c>
      <c r="F73" s="320" t="s">
        <v>121</v>
      </c>
      <c r="G73" s="880" t="str">
        <f>IF(F73=F71,G71,G72)</f>
        <v>#N/A</v>
      </c>
      <c r="H73" s="319"/>
      <c r="I73" s="322"/>
      <c r="J73" s="322"/>
      <c r="P73" s="227"/>
      <c r="AG73" s="2"/>
      <c r="AH73" s="2"/>
      <c r="AI73" s="2"/>
      <c r="AJ73" s="2"/>
      <c r="AK73" s="2"/>
      <c r="AL73" s="2"/>
      <c r="AM73" s="247"/>
      <c r="AN73" s="247"/>
      <c r="AO73" s="279"/>
      <c r="AP73" s="222"/>
      <c r="AQ73" s="247"/>
      <c r="AR73" s="247"/>
      <c r="AT73" s="280"/>
    </row>
    <row r="74" ht="15.0" customHeight="1">
      <c r="P74" s="227"/>
      <c r="AG74" s="2"/>
      <c r="AH74" s="2"/>
      <c r="AI74" s="2"/>
      <c r="AJ74" s="2"/>
      <c r="AK74" s="2"/>
      <c r="AL74" s="2"/>
      <c r="AM74" s="247"/>
      <c r="AN74" s="247"/>
      <c r="AO74" s="279"/>
      <c r="AP74" s="222"/>
      <c r="AQ74" s="247"/>
      <c r="AR74" s="247"/>
      <c r="AT74" s="280"/>
    </row>
    <row r="75">
      <c r="P75" s="227"/>
      <c r="AG75" s="2"/>
      <c r="AH75" s="2"/>
      <c r="AI75" s="2"/>
      <c r="AJ75" s="2"/>
      <c r="AK75" s="2"/>
      <c r="AL75" s="2"/>
      <c r="AM75" s="247"/>
      <c r="AN75" s="247"/>
      <c r="AO75" s="279"/>
      <c r="AP75" s="222"/>
      <c r="AQ75" s="247"/>
      <c r="AR75" s="247"/>
      <c r="AT75" s="280"/>
    </row>
    <row r="76">
      <c r="A76" s="323" t="s">
        <v>269</v>
      </c>
      <c r="E76" s="281" t="s">
        <v>270</v>
      </c>
      <c r="P76" s="227"/>
      <c r="AG76" s="2"/>
      <c r="AH76" s="2"/>
      <c r="AI76" s="2"/>
      <c r="AJ76" s="2"/>
      <c r="AK76" s="2"/>
      <c r="AL76" s="2"/>
      <c r="AM76" s="247"/>
      <c r="AN76" s="218"/>
      <c r="AO76" s="218"/>
      <c r="AP76" s="218"/>
      <c r="AQ76" s="218"/>
      <c r="AR76" s="247"/>
      <c r="AT76" s="280"/>
    </row>
    <row r="77">
      <c r="A77" s="183" t="s">
        <v>271</v>
      </c>
      <c r="B77" s="183" t="s">
        <v>171</v>
      </c>
      <c r="C77" s="183" t="s">
        <v>174</v>
      </c>
      <c r="E77" s="324" t="s">
        <v>272</v>
      </c>
      <c r="F77" s="325" t="s">
        <v>273</v>
      </c>
      <c r="G77" s="326"/>
      <c r="H77" s="327"/>
      <c r="I77" s="325" t="s">
        <v>274</v>
      </c>
      <c r="J77" s="326"/>
      <c r="K77" s="326"/>
      <c r="L77" s="326"/>
      <c r="M77" s="326"/>
      <c r="N77" s="327"/>
      <c r="O77" s="328" t="s">
        <v>275</v>
      </c>
      <c r="P77" s="329" t="s">
        <v>276</v>
      </c>
      <c r="Q77" s="330" t="s">
        <v>277</v>
      </c>
      <c r="AM77" s="222"/>
      <c r="AO77" s="222"/>
      <c r="AP77" s="222"/>
      <c r="AQ77" s="222"/>
      <c r="AR77" s="247"/>
      <c r="AT77" s="280"/>
    </row>
    <row r="78">
      <c r="A78" s="185" t="s">
        <v>278</v>
      </c>
      <c r="B78" s="331">
        <f>SUM(P87,P135,P154,P173,P279,P298) * PARAMS("L") / 1024</f>
        <v>21.25915527</v>
      </c>
      <c r="C78" s="332"/>
      <c r="D78" s="2"/>
      <c r="E78" s="333" t="s">
        <v>279</v>
      </c>
      <c r="F78" s="334" t="s">
        <v>280</v>
      </c>
      <c r="G78" s="335"/>
      <c r="H78" s="336" t="s">
        <v>281</v>
      </c>
      <c r="I78" s="336" t="s">
        <v>282</v>
      </c>
      <c r="J78" s="336"/>
      <c r="K78" s="337" t="s">
        <v>104</v>
      </c>
      <c r="L78" s="337" t="s">
        <v>102</v>
      </c>
      <c r="M78" s="336" t="s">
        <v>178</v>
      </c>
      <c r="N78" s="336" t="s">
        <v>283</v>
      </c>
      <c r="O78" s="338" t="s">
        <v>125</v>
      </c>
      <c r="P78" s="339"/>
      <c r="Q78" s="337"/>
      <c r="AM78" s="222"/>
      <c r="AO78" s="218"/>
      <c r="AP78" s="218"/>
      <c r="AQ78" s="218"/>
      <c r="AR78" s="247"/>
      <c r="AT78" s="280"/>
    </row>
    <row r="79">
      <c r="A79" s="185" t="s">
        <v>284</v>
      </c>
      <c r="B79" s="340">
        <f>SUM($P$319,$P$410) * PARAMS("L") / 1024</f>
        <v>110.0859375</v>
      </c>
      <c r="C79" s="11"/>
      <c r="D79" s="2"/>
      <c r="E79" s="341"/>
      <c r="F79" s="342"/>
      <c r="G79" s="343"/>
      <c r="H79" s="344" t="s">
        <v>285</v>
      </c>
      <c r="I79" s="345" t="s">
        <v>282</v>
      </c>
      <c r="J79" s="346"/>
      <c r="K79" s="345">
        <f t="shared" ref="K79:M79" si="11">PARAMS(K78)</f>
        <v>1024</v>
      </c>
      <c r="L79" s="345">
        <f t="shared" si="11"/>
        <v>1</v>
      </c>
      <c r="M79" s="345">
        <f t="shared" si="11"/>
        <v>7168</v>
      </c>
      <c r="N79" s="345" t="s">
        <v>283</v>
      </c>
      <c r="O79" s="347"/>
      <c r="P79" s="348">
        <f>SIZEOF_IN_MIB(J79:M79, $O78)</f>
        <v>7</v>
      </c>
      <c r="Q79" s="344"/>
      <c r="AM79" s="222"/>
      <c r="AN79" s="218"/>
      <c r="AO79" s="222"/>
      <c r="AP79" s="222"/>
      <c r="AQ79" s="218"/>
      <c r="AR79" s="247"/>
      <c r="AT79" s="280"/>
    </row>
    <row r="80">
      <c r="A80" s="9" t="s">
        <v>286</v>
      </c>
      <c r="B80" s="11"/>
      <c r="C80" s="11"/>
      <c r="D80" s="2"/>
      <c r="E80" s="341"/>
      <c r="F80" s="342"/>
      <c r="G80" s="343"/>
      <c r="H80" s="349" t="s">
        <v>287</v>
      </c>
      <c r="I80" s="349" t="s">
        <v>282</v>
      </c>
      <c r="J80" s="336"/>
      <c r="K80" s="337" t="s">
        <v>196</v>
      </c>
      <c r="L80" s="337"/>
      <c r="M80" s="337"/>
      <c r="N80" s="349" t="s">
        <v>283</v>
      </c>
      <c r="O80" s="350"/>
      <c r="P80" s="351"/>
      <c r="Q80" s="337"/>
      <c r="AM80" s="222"/>
      <c r="AN80" s="218"/>
      <c r="AO80" s="218"/>
      <c r="AP80" s="218"/>
      <c r="AQ80" s="218"/>
      <c r="AR80" s="247"/>
      <c r="AT80" s="280"/>
    </row>
    <row r="81">
      <c r="A81" s="185" t="s">
        <v>288</v>
      </c>
      <c r="B81" s="340">
        <f>SIZEOF_IN_MIB(PARAMS("B")*PARAMS("S")*PARAMS("L")*(PARAMS("c_kv")+PARAMS("h_rope")), PARAMS("kv_dtype"))/1024</f>
        <v>171.5625</v>
      </c>
      <c r="C81" s="11"/>
      <c r="D81" s="2"/>
      <c r="E81" s="352"/>
      <c r="F81" s="353"/>
      <c r="G81" s="354"/>
      <c r="H81" s="344" t="s">
        <v>289</v>
      </c>
      <c r="I81" s="346" t="s">
        <v>282</v>
      </c>
      <c r="J81" s="345"/>
      <c r="K81" s="346">
        <f t="shared" ref="K81:M81" si="12">K79/SHARDING(K80)</f>
        <v>64</v>
      </c>
      <c r="L81" s="346">
        <f t="shared" si="12"/>
        <v>1</v>
      </c>
      <c r="M81" s="346">
        <f t="shared" si="12"/>
        <v>7168</v>
      </c>
      <c r="N81" s="346" t="s">
        <v>283</v>
      </c>
      <c r="O81" s="355"/>
      <c r="P81" s="348">
        <f>SIZEOF_IN_MIB(J81:M81, $O78)</f>
        <v>0.4375</v>
      </c>
      <c r="Q81" s="344"/>
      <c r="AG81" s="181"/>
      <c r="AK81" s="280"/>
      <c r="AM81" s="222"/>
      <c r="AN81" s="218"/>
      <c r="AO81" s="218"/>
      <c r="AP81" s="218"/>
      <c r="AQ81" s="218"/>
      <c r="AR81" s="247"/>
      <c r="AT81" s="280"/>
    </row>
    <row r="82">
      <c r="A82" s="9" t="s">
        <v>290</v>
      </c>
      <c r="B82" s="356">
        <f>MAX(P87,P106,P127,P146,P165,P184,P233,P252,P271,P287,P325,P374,P447,P466)/1024</f>
        <v>0.0205078125</v>
      </c>
      <c r="C82" s="9"/>
      <c r="D82" s="2"/>
      <c r="E82" s="333" t="s">
        <v>291</v>
      </c>
      <c r="F82" s="357" t="s">
        <v>292</v>
      </c>
      <c r="G82" s="335"/>
      <c r="H82" s="336" t="s">
        <v>281</v>
      </c>
      <c r="I82" s="336" t="s">
        <v>282</v>
      </c>
      <c r="J82" s="336"/>
      <c r="K82" s="337" t="s">
        <v>104</v>
      </c>
      <c r="L82" s="337" t="s">
        <v>102</v>
      </c>
      <c r="M82" s="358" t="s">
        <v>178</v>
      </c>
      <c r="N82" s="336" t="s">
        <v>283</v>
      </c>
      <c r="O82" s="338" t="str">
        <f>EXTRACT_ACTIVATION_DTYPE(PARAMS("attn_proj_dtype"))</f>
        <v>bf16</v>
      </c>
      <c r="P82" s="339"/>
      <c r="Q82" s="338" t="b">
        <v>0</v>
      </c>
      <c r="AG82" s="181"/>
      <c r="AK82" s="306"/>
      <c r="AL82" s="307"/>
      <c r="AM82" s="247"/>
      <c r="AN82" s="218"/>
      <c r="AO82" s="218"/>
      <c r="AP82" s="218"/>
      <c r="AQ82" s="218"/>
      <c r="AR82" s="247"/>
      <c r="AT82" s="280"/>
    </row>
    <row r="83">
      <c r="A83" s="8" t="s">
        <v>293</v>
      </c>
      <c r="B83" s="359">
        <f>SUM(B78:B81)</f>
        <v>302.9075928</v>
      </c>
      <c r="C83" s="8" t="str">
        <f>"&lt;=" &amp; ($H$28 * PARAMS("num_devices")) &amp; " (Capacity)?"</f>
        <v>#N/A</v>
      </c>
      <c r="D83" s="2"/>
      <c r="E83" s="341"/>
      <c r="F83" s="342"/>
      <c r="G83" s="343"/>
      <c r="H83" s="344" t="s">
        <v>285</v>
      </c>
      <c r="I83" s="345" t="s">
        <v>282</v>
      </c>
      <c r="J83" s="346"/>
      <c r="K83" s="345">
        <f t="shared" ref="K83:M83" si="13">PARAMS(K82)</f>
        <v>1024</v>
      </c>
      <c r="L83" s="345">
        <f t="shared" si="13"/>
        <v>1</v>
      </c>
      <c r="M83" s="345">
        <f t="shared" si="13"/>
        <v>7168</v>
      </c>
      <c r="N83" s="345" t="s">
        <v>283</v>
      </c>
      <c r="O83" s="347"/>
      <c r="P83" s="348">
        <f>SIZEOF_IN_MIB(J83:M83, $O82)</f>
        <v>14</v>
      </c>
      <c r="Q83" s="347"/>
      <c r="AG83" s="181"/>
      <c r="AM83" s="2"/>
      <c r="AR83" s="2"/>
    </row>
    <row r="84">
      <c r="A84" s="11"/>
      <c r="B84" s="11"/>
      <c r="C84" s="11"/>
      <c r="D84" s="161"/>
      <c r="E84" s="341"/>
      <c r="F84" s="342"/>
      <c r="G84" s="343"/>
      <c r="H84" s="349" t="s">
        <v>287</v>
      </c>
      <c r="I84" s="349" t="s">
        <v>282</v>
      </c>
      <c r="J84" s="336"/>
      <c r="K84" s="337" t="s">
        <v>196</v>
      </c>
      <c r="L84" s="337"/>
      <c r="M84" s="349"/>
      <c r="N84" s="349" t="s">
        <v>283</v>
      </c>
      <c r="O84" s="350"/>
      <c r="P84" s="351"/>
      <c r="Q84" s="350"/>
    </row>
    <row r="85">
      <c r="A85" s="185" t="s">
        <v>294</v>
      </c>
      <c r="B85" s="331">
        <f>SUM(P89,P137,P156,P175,P281,P300) * PARAMS("L") / 1024</f>
        <v>21.25915527</v>
      </c>
      <c r="C85" s="332"/>
      <c r="D85" s="161"/>
      <c r="E85" s="341"/>
      <c r="F85" s="353"/>
      <c r="G85" s="354"/>
      <c r="H85" s="344" t="s">
        <v>289</v>
      </c>
      <c r="I85" s="346" t="s">
        <v>282</v>
      </c>
      <c r="J85" s="345"/>
      <c r="K85" s="346">
        <f t="shared" ref="K85:M85" si="14">K83/SHARDING(K84)</f>
        <v>64</v>
      </c>
      <c r="L85" s="346">
        <f t="shared" si="14"/>
        <v>1</v>
      </c>
      <c r="M85" s="346">
        <f t="shared" si="14"/>
        <v>7168</v>
      </c>
      <c r="N85" s="346" t="s">
        <v>283</v>
      </c>
      <c r="O85" s="355"/>
      <c r="P85" s="348">
        <f>SIZEOF_IN_MIB(J85:M85, $O82)</f>
        <v>0.875</v>
      </c>
      <c r="Q85" s="355"/>
      <c r="AG85" s="181"/>
    </row>
    <row r="86">
      <c r="A86" s="185" t="s">
        <v>295</v>
      </c>
      <c r="B86" s="340">
        <f>SUM(P369,P412) * PARAMS("L") / 1024</f>
        <v>20.015625</v>
      </c>
      <c r="C86" s="332"/>
      <c r="D86" s="161"/>
      <c r="E86" s="341"/>
      <c r="F86" s="334" t="s">
        <v>296</v>
      </c>
      <c r="G86" s="335"/>
      <c r="H86" s="349" t="s">
        <v>281</v>
      </c>
      <c r="I86" s="349" t="s">
        <v>282</v>
      </c>
      <c r="J86" s="336"/>
      <c r="K86" s="336"/>
      <c r="L86" s="360" t="s">
        <v>178</v>
      </c>
      <c r="M86" s="337" t="s">
        <v>195</v>
      </c>
      <c r="N86" s="349" t="s">
        <v>283</v>
      </c>
      <c r="O86" s="338" t="str">
        <f>EXTRACT_WEIGHT_DTYPE(PARAMS("attn_proj_dtype"))</f>
        <v>bf16</v>
      </c>
      <c r="P86" s="351"/>
      <c r="Q86" s="338" t="b">
        <v>0</v>
      </c>
      <c r="AP86" s="218"/>
      <c r="AQ86" s="218"/>
      <c r="AT86" s="228"/>
    </row>
    <row r="87">
      <c r="A87" s="9" t="s">
        <v>286</v>
      </c>
      <c r="B87" s="11"/>
      <c r="C87" s="332"/>
      <c r="D87" s="161"/>
      <c r="E87" s="341"/>
      <c r="F87" s="342"/>
      <c r="G87" s="343"/>
      <c r="H87" s="344" t="s">
        <v>285</v>
      </c>
      <c r="I87" s="346" t="s">
        <v>282</v>
      </c>
      <c r="J87" s="345"/>
      <c r="K87" s="345"/>
      <c r="L87" s="346">
        <f t="shared" ref="L87:M87" si="15">PARAMS(L86)</f>
        <v>7168</v>
      </c>
      <c r="M87" s="346">
        <f t="shared" si="15"/>
        <v>1536</v>
      </c>
      <c r="N87" s="346" t="s">
        <v>283</v>
      </c>
      <c r="O87" s="347"/>
      <c r="P87" s="348">
        <f>SIZEOF_IN_MIB(J87:M87, $O86)</f>
        <v>21</v>
      </c>
      <c r="Q87" s="347"/>
      <c r="AP87" s="222"/>
    </row>
    <row r="88">
      <c r="A88" s="185" t="s">
        <v>297</v>
      </c>
      <c r="B88" s="340">
        <f>B81/PARAMS("num_devices")</f>
        <v>10.72265625</v>
      </c>
      <c r="C88" s="332"/>
      <c r="D88" s="161"/>
      <c r="E88" s="341"/>
      <c r="F88" s="342"/>
      <c r="G88" s="343"/>
      <c r="H88" s="349" t="s">
        <v>287</v>
      </c>
      <c r="I88" s="349" t="s">
        <v>282</v>
      </c>
      <c r="J88" s="336"/>
      <c r="K88" s="336"/>
      <c r="L88" s="349"/>
      <c r="M88" s="349"/>
      <c r="N88" s="349" t="s">
        <v>283</v>
      </c>
      <c r="O88" s="350"/>
      <c r="P88" s="351"/>
      <c r="Q88" s="350"/>
      <c r="AP88" s="218"/>
      <c r="AQ88" s="218"/>
      <c r="AT88" s="228"/>
    </row>
    <row r="89">
      <c r="A89" s="185" t="s">
        <v>298</v>
      </c>
      <c r="B89" s="340">
        <f>MAX(P89,P108,P129,P148,P167,P186,P235,P254,P273,P289,P327,P376,P449,P468)/1024</f>
        <v>0.0205078125</v>
      </c>
      <c r="C89" s="332"/>
      <c r="D89" s="161"/>
      <c r="E89" s="341"/>
      <c r="F89" s="353"/>
      <c r="G89" s="354"/>
      <c r="H89" s="346" t="s">
        <v>289</v>
      </c>
      <c r="I89" s="346" t="s">
        <v>282</v>
      </c>
      <c r="J89" s="345"/>
      <c r="K89" s="345"/>
      <c r="L89" s="346">
        <f t="shared" ref="L89:M89" si="16">L87/SHARDING(L88)</f>
        <v>7168</v>
      </c>
      <c r="M89" s="346">
        <f t="shared" si="16"/>
        <v>1536</v>
      </c>
      <c r="N89" s="346" t="s">
        <v>283</v>
      </c>
      <c r="O89" s="355"/>
      <c r="P89" s="348">
        <f>SIZEOF_IN_MIB(J89:M89, $O86)</f>
        <v>21</v>
      </c>
      <c r="Q89" s="355"/>
    </row>
    <row r="90">
      <c r="A90" s="199" t="s">
        <v>299</v>
      </c>
      <c r="B90" s="361">
        <f>SUM(B85:B88)</f>
        <v>51.99743652</v>
      </c>
      <c r="C90" s="362" t="str">
        <f>"&lt;=" &amp; ($H$28) &amp; " (Capacity)?"</f>
        <v>#N/A</v>
      </c>
      <c r="D90" s="161"/>
      <c r="E90" s="341"/>
      <c r="F90" s="334" t="s">
        <v>56</v>
      </c>
      <c r="G90" s="335"/>
      <c r="H90" s="363" t="s">
        <v>281</v>
      </c>
      <c r="I90" s="363" t="s">
        <v>282</v>
      </c>
      <c r="J90" s="364"/>
      <c r="K90" s="273" t="s">
        <v>104</v>
      </c>
      <c r="L90" s="273" t="s">
        <v>102</v>
      </c>
      <c r="M90" s="273" t="s">
        <v>195</v>
      </c>
      <c r="N90" s="363" t="s">
        <v>283</v>
      </c>
      <c r="O90" s="365" t="s">
        <v>133</v>
      </c>
      <c r="P90" s="366"/>
      <c r="Q90" s="365" t="b">
        <v>0</v>
      </c>
    </row>
    <row r="91">
      <c r="A91" s="161"/>
      <c r="B91" s="161"/>
      <c r="C91" s="161"/>
      <c r="D91" s="161"/>
      <c r="E91" s="341"/>
      <c r="F91" s="342"/>
      <c r="G91" s="343"/>
      <c r="H91" s="273" t="s">
        <v>285</v>
      </c>
      <c r="I91" s="363" t="s">
        <v>282</v>
      </c>
      <c r="J91" s="364"/>
      <c r="K91" s="363">
        <f t="shared" ref="K91:M91" si="17">PARAMS(K90)</f>
        <v>1024</v>
      </c>
      <c r="L91" s="364">
        <f t="shared" si="17"/>
        <v>1</v>
      </c>
      <c r="M91" s="363">
        <f t="shared" si="17"/>
        <v>1536</v>
      </c>
      <c r="N91" s="363" t="s">
        <v>283</v>
      </c>
      <c r="O91" s="341"/>
      <c r="P91" s="366">
        <f>SIZEOF_IN_MIB(K91:M91, $O90)</f>
        <v>3</v>
      </c>
      <c r="Q91" s="341"/>
    </row>
    <row r="92">
      <c r="A92" s="161"/>
      <c r="B92" s="161"/>
      <c r="C92" s="161"/>
      <c r="D92" s="161"/>
      <c r="E92" s="341"/>
      <c r="F92" s="342"/>
      <c r="G92" s="343"/>
      <c r="H92" s="363" t="s">
        <v>287</v>
      </c>
      <c r="I92" s="363" t="s">
        <v>282</v>
      </c>
      <c r="J92" s="364"/>
      <c r="K92" s="273" t="s">
        <v>196</v>
      </c>
      <c r="L92" s="273"/>
      <c r="M92" s="363"/>
      <c r="N92" s="363" t="s">
        <v>283</v>
      </c>
      <c r="O92" s="341"/>
      <c r="P92" s="366"/>
      <c r="Q92" s="341"/>
    </row>
    <row r="93">
      <c r="A93" s="161"/>
      <c r="B93" s="161"/>
      <c r="C93" s="161"/>
      <c r="D93" s="161"/>
      <c r="E93" s="341"/>
      <c r="F93" s="353"/>
      <c r="G93" s="354"/>
      <c r="H93" s="363" t="s">
        <v>289</v>
      </c>
      <c r="I93" s="363" t="s">
        <v>282</v>
      </c>
      <c r="J93" s="364"/>
      <c r="K93" s="363">
        <f t="shared" ref="K93:M93" si="18">K91/SHARDING(K92)</f>
        <v>64</v>
      </c>
      <c r="L93" s="363">
        <f t="shared" si="18"/>
        <v>1</v>
      </c>
      <c r="M93" s="363">
        <f t="shared" si="18"/>
        <v>1536</v>
      </c>
      <c r="N93" s="363" t="s">
        <v>283</v>
      </c>
      <c r="O93" s="352"/>
      <c r="P93" s="366">
        <f>SIZEOF_IN_MIB(K93:M93, $O90)</f>
        <v>0.1875</v>
      </c>
      <c r="Q93" s="352"/>
    </row>
    <row r="94">
      <c r="A94" s="161"/>
      <c r="B94" s="161"/>
      <c r="C94" s="161"/>
      <c r="E94" s="341"/>
      <c r="F94" s="370" t="s">
        <v>300</v>
      </c>
      <c r="G94" s="371" t="s">
        <v>301</v>
      </c>
      <c r="H94" s="372" t="s">
        <v>281</v>
      </c>
      <c r="I94" s="364" t="s">
        <v>282</v>
      </c>
      <c r="J94" s="364" t="str">
        <f t="array" ref="J94:M97">J78:M81</f>
        <v/>
      </c>
      <c r="K94" s="273" t="s">
        <v>104</v>
      </c>
      <c r="L94" s="273" t="s">
        <v>102</v>
      </c>
      <c r="M94" s="373" t="s">
        <v>178</v>
      </c>
      <c r="N94" s="364" t="s">
        <v>283</v>
      </c>
      <c r="O94" s="365" t="str">
        <f>O82</f>
        <v>bf16</v>
      </c>
      <c r="P94" s="364"/>
      <c r="Q94" s="365"/>
    </row>
    <row r="95">
      <c r="A95" s="161"/>
      <c r="B95" s="161"/>
      <c r="C95" s="161"/>
      <c r="E95" s="341"/>
      <c r="F95" s="341"/>
      <c r="G95" s="341"/>
      <c r="H95" s="374" t="s">
        <v>285</v>
      </c>
      <c r="I95" s="364" t="s">
        <v>282</v>
      </c>
      <c r="J95" s="363"/>
      <c r="K95" s="364">
        <v>1024.0</v>
      </c>
      <c r="L95" s="364">
        <v>1.0</v>
      </c>
      <c r="M95" s="364">
        <v>7168.0</v>
      </c>
      <c r="N95" s="364" t="s">
        <v>283</v>
      </c>
      <c r="O95" s="341"/>
      <c r="P95" s="375">
        <f>SIZEOF_IN_MIB(J95:M95, O94)</f>
        <v>14</v>
      </c>
      <c r="Q95" s="341"/>
    </row>
    <row r="96">
      <c r="A96" s="161"/>
      <c r="B96" s="161"/>
      <c r="C96" s="161"/>
      <c r="E96" s="341"/>
      <c r="F96" s="341"/>
      <c r="G96" s="341"/>
      <c r="H96" s="374" t="s">
        <v>302</v>
      </c>
      <c r="I96" s="363" t="s">
        <v>282</v>
      </c>
      <c r="J96" s="364"/>
      <c r="K96" s="273" t="s">
        <v>196</v>
      </c>
      <c r="L96" s="273"/>
      <c r="M96" s="273"/>
      <c r="N96" s="363" t="s">
        <v>283</v>
      </c>
      <c r="O96" s="341"/>
      <c r="P96" s="375"/>
      <c r="Q96" s="341"/>
    </row>
    <row r="97">
      <c r="A97" s="161"/>
      <c r="B97" s="161"/>
      <c r="C97" s="161"/>
      <c r="E97" s="341"/>
      <c r="F97" s="341"/>
      <c r="G97" s="341"/>
      <c r="H97" s="376" t="s">
        <v>303</v>
      </c>
      <c r="I97" s="349" t="s">
        <v>282</v>
      </c>
      <c r="J97" s="336"/>
      <c r="K97" s="349">
        <v>64.0</v>
      </c>
      <c r="L97" s="349">
        <v>1.0</v>
      </c>
      <c r="M97" s="349">
        <v>7168.0</v>
      </c>
      <c r="N97" s="337" t="s">
        <v>283</v>
      </c>
      <c r="O97" s="350"/>
      <c r="P97" s="377">
        <f>SIZEOF_IN_MIB(J97:M97, O94)</f>
        <v>0.875</v>
      </c>
      <c r="Q97" s="350"/>
    </row>
    <row r="98">
      <c r="A98" s="161"/>
      <c r="B98" s="161"/>
      <c r="C98" s="161"/>
      <c r="E98" s="341"/>
      <c r="F98" s="341"/>
      <c r="G98" s="352"/>
      <c r="H98" s="378" t="s">
        <v>304</v>
      </c>
      <c r="I98" s="346" t="s">
        <v>282</v>
      </c>
      <c r="J98" s="345"/>
      <c r="K98" s="344"/>
      <c r="L98" s="344"/>
      <c r="M98" s="344"/>
      <c r="N98" s="346" t="s">
        <v>283</v>
      </c>
      <c r="O98" s="355"/>
      <c r="P98" s="379"/>
      <c r="Q98" s="355"/>
      <c r="R98" s="2"/>
      <c r="S98" s="2"/>
      <c r="AG98" s="2"/>
      <c r="AH98" s="2"/>
      <c r="AI98" s="2"/>
      <c r="AJ98" s="2"/>
      <c r="AK98" s="2"/>
      <c r="AL98" s="2"/>
      <c r="AM98" s="2"/>
      <c r="AN98" s="2"/>
      <c r="AO98" s="2"/>
      <c r="AP98" s="2"/>
      <c r="AQ98" s="2"/>
      <c r="AR98" s="2"/>
      <c r="AS98" s="2"/>
      <c r="AT98" s="2"/>
    </row>
    <row r="99">
      <c r="A99" s="161"/>
      <c r="B99" s="161"/>
      <c r="C99" s="161"/>
      <c r="E99" s="341"/>
      <c r="F99" s="341"/>
      <c r="G99" s="380" t="s">
        <v>305</v>
      </c>
      <c r="H99" s="381"/>
      <c r="I99" s="382"/>
      <c r="J99" s="382"/>
      <c r="K99" s="382"/>
      <c r="L99" s="383"/>
      <c r="M99" s="383"/>
      <c r="N99" s="383"/>
      <c r="O99" s="382"/>
      <c r="P99" s="384"/>
      <c r="Q99" s="382"/>
      <c r="R99" s="2"/>
      <c r="S99" s="2"/>
      <c r="AG99" s="2"/>
      <c r="AH99" s="2"/>
      <c r="AI99" s="2"/>
      <c r="AJ99" s="2"/>
      <c r="AK99" s="2"/>
      <c r="AL99" s="2"/>
      <c r="AM99" s="2"/>
      <c r="AN99" s="2"/>
      <c r="AO99" s="2"/>
      <c r="AP99" s="2"/>
      <c r="AQ99" s="2"/>
      <c r="AR99" s="2"/>
      <c r="AS99" s="2"/>
      <c r="AT99" s="2"/>
    </row>
    <row r="100">
      <c r="A100" s="161"/>
      <c r="B100" s="161"/>
      <c r="C100" s="161"/>
      <c r="E100" s="341"/>
      <c r="F100" s="341"/>
      <c r="G100" s="385" t="s">
        <v>306</v>
      </c>
      <c r="H100" s="386">
        <f>SHARDING(K96)*SHARDING(L96)*SHARDING(M96)</f>
        <v>16</v>
      </c>
      <c r="I100" s="387"/>
      <c r="J100" s="387"/>
      <c r="K100" s="387"/>
      <c r="L100" s="388"/>
      <c r="M100" s="388"/>
      <c r="N100" s="388"/>
      <c r="O100" s="387"/>
      <c r="P100" s="389"/>
      <c r="Q100" s="387"/>
      <c r="R100" s="2"/>
      <c r="S100" s="2"/>
      <c r="AG100" s="2"/>
      <c r="AH100" s="2"/>
      <c r="AI100" s="2"/>
      <c r="AJ100" s="2"/>
      <c r="AK100" s="2"/>
      <c r="AL100" s="2"/>
      <c r="AM100" s="2"/>
      <c r="AN100" s="2"/>
      <c r="AO100" s="2"/>
      <c r="AP100" s="2"/>
      <c r="AQ100" s="2"/>
      <c r="AR100" s="2"/>
      <c r="AS100" s="2"/>
      <c r="AT100" s="2"/>
    </row>
    <row r="101">
      <c r="A101" s="161"/>
      <c r="B101" s="161"/>
      <c r="C101" s="161"/>
      <c r="E101" s="341"/>
      <c r="F101" s="341"/>
      <c r="G101" s="385" t="s">
        <v>307</v>
      </c>
      <c r="H101" s="390">
        <f>P97 * (H100-1)</f>
        <v>13.125</v>
      </c>
      <c r="I101" s="298"/>
      <c r="J101" s="391"/>
      <c r="K101" s="391"/>
      <c r="L101" s="392"/>
      <c r="M101" s="392"/>
      <c r="N101" s="392"/>
      <c r="O101" s="391"/>
      <c r="P101" s="393"/>
      <c r="Q101" s="391"/>
      <c r="R101" s="2"/>
      <c r="S101" s="2"/>
      <c r="AG101" s="2"/>
      <c r="AH101" s="2"/>
      <c r="AI101" s="2"/>
      <c r="AJ101" s="2"/>
      <c r="AK101" s="2"/>
      <c r="AL101" s="2"/>
      <c r="AM101" s="2"/>
      <c r="AN101" s="2"/>
      <c r="AO101" s="2"/>
      <c r="AP101" s="2"/>
      <c r="AQ101" s="2"/>
      <c r="AR101" s="2"/>
      <c r="AS101" s="2"/>
      <c r="AT101" s="2"/>
    </row>
    <row r="102">
      <c r="A102" s="161"/>
      <c r="B102" s="161"/>
      <c r="C102" s="161"/>
      <c r="E102" s="341"/>
      <c r="F102" s="341"/>
      <c r="G102" s="394" t="s">
        <v>308</v>
      </c>
      <c r="H102" s="395">
        <f>H101*H100</f>
        <v>210</v>
      </c>
      <c r="I102" s="387"/>
      <c r="J102" s="379"/>
      <c r="K102" s="379"/>
      <c r="L102" s="388"/>
      <c r="M102" s="388"/>
      <c r="N102" s="388"/>
      <c r="O102" s="387"/>
      <c r="P102" s="389"/>
      <c r="Q102" s="387"/>
      <c r="R102" s="2"/>
      <c r="S102" s="2"/>
      <c r="AG102" s="2"/>
      <c r="AH102" s="2"/>
      <c r="AI102" s="2"/>
      <c r="AJ102" s="2"/>
      <c r="AK102" s="2"/>
      <c r="AL102" s="2"/>
      <c r="AM102" s="2"/>
      <c r="AN102" s="2"/>
      <c r="AO102" s="2"/>
      <c r="AP102" s="2"/>
      <c r="AQ102" s="2"/>
      <c r="AR102" s="2"/>
      <c r="AS102" s="2"/>
      <c r="AT102" s="2"/>
    </row>
    <row r="103">
      <c r="A103" s="161"/>
      <c r="B103" s="161"/>
      <c r="C103" s="161"/>
      <c r="E103" s="341"/>
      <c r="F103" s="341"/>
      <c r="G103" s="396" t="s">
        <v>309</v>
      </c>
      <c r="H103" s="397" t="str">
        <f>IFS(H100=8,12,
H100=4,4,
H100=2,1,
H100=1,0,
TRUE,NA())</f>
        <v>#N/A</v>
      </c>
      <c r="I103" s="391"/>
      <c r="J103" s="391"/>
      <c r="K103" s="391"/>
      <c r="L103" s="392"/>
      <c r="M103" s="392"/>
      <c r="N103" s="392"/>
      <c r="O103" s="391"/>
      <c r="P103" s="393"/>
      <c r="Q103" s="391"/>
      <c r="R103" s="2"/>
      <c r="S103" s="2"/>
      <c r="AG103" s="2"/>
      <c r="AH103" s="2"/>
      <c r="AI103" s="2"/>
      <c r="AJ103" s="2"/>
      <c r="AK103" s="2"/>
      <c r="AL103" s="2"/>
      <c r="AM103" s="2"/>
      <c r="AN103" s="2"/>
      <c r="AO103" s="2"/>
      <c r="AP103" s="2"/>
      <c r="AQ103" s="2"/>
      <c r="AR103" s="2"/>
      <c r="AS103" s="2"/>
      <c r="AT103" s="2"/>
    </row>
    <row r="104">
      <c r="A104" s="161"/>
      <c r="B104" s="161"/>
      <c r="C104" s="161"/>
      <c r="E104" s="341"/>
      <c r="F104" s="341"/>
      <c r="G104" s="9" t="s">
        <v>310</v>
      </c>
      <c r="H104" s="398">
        <v>1.0</v>
      </c>
      <c r="I104" s="399"/>
      <c r="J104" s="399"/>
      <c r="K104" s="399"/>
      <c r="L104" s="400"/>
      <c r="M104" s="400"/>
      <c r="N104" s="400"/>
      <c r="O104" s="399"/>
      <c r="P104" s="401"/>
      <c r="Q104" s="399"/>
      <c r="R104" s="2"/>
      <c r="S104" s="2"/>
      <c r="AG104" s="2"/>
      <c r="AH104" s="2"/>
      <c r="AI104" s="2"/>
      <c r="AJ104" s="2"/>
      <c r="AK104" s="2"/>
      <c r="AL104" s="2"/>
      <c r="AM104" s="2"/>
      <c r="AN104" s="2"/>
      <c r="AO104" s="2"/>
      <c r="AP104" s="2"/>
      <c r="AQ104" s="2"/>
      <c r="AR104" s="2"/>
      <c r="AS104" s="2"/>
      <c r="AT104" s="2"/>
    </row>
    <row r="105">
      <c r="A105" s="161"/>
      <c r="B105" s="161"/>
      <c r="C105" s="161"/>
      <c r="E105" s="341"/>
      <c r="F105" s="341"/>
      <c r="G105" s="402" t="s">
        <v>311</v>
      </c>
      <c r="H105" s="403" t="str">
        <f>ALL_GATHER_CHIP2CHIP_TIME_MS2(H102 * H104, H103)</f>
        <v>#N/A</v>
      </c>
      <c r="I105" s="404"/>
      <c r="J105" s="404"/>
      <c r="K105" s="404"/>
      <c r="L105" s="405"/>
      <c r="M105" s="405"/>
      <c r="N105" s="405"/>
      <c r="O105" s="404"/>
      <c r="P105" s="406"/>
      <c r="Q105" s="404"/>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4"/>
      <c r="H106" s="407"/>
      <c r="I106" s="399"/>
      <c r="J106" s="399"/>
      <c r="K106" s="399"/>
      <c r="L106" s="400"/>
      <c r="M106" s="400"/>
      <c r="N106" s="400"/>
      <c r="O106" s="399"/>
      <c r="P106" s="401"/>
      <c r="Q106" s="399"/>
      <c r="R106" s="2"/>
      <c r="S106" s="2"/>
      <c r="AG106" s="2"/>
      <c r="AH106" s="2"/>
      <c r="AI106" s="2"/>
      <c r="AJ106" s="2"/>
      <c r="AK106" s="2"/>
      <c r="AL106" s="2"/>
      <c r="AM106" s="2"/>
      <c r="AN106" s="2"/>
      <c r="AO106" s="2"/>
      <c r="AP106" s="2"/>
      <c r="AQ106" s="2"/>
      <c r="AR106" s="2"/>
      <c r="AS106" s="2"/>
      <c r="AT106" s="2"/>
    </row>
    <row r="107">
      <c r="A107" s="161"/>
      <c r="B107" s="161"/>
      <c r="C107" s="161"/>
      <c r="E107" s="341"/>
      <c r="F107" s="341"/>
      <c r="G107" s="380" t="s">
        <v>312</v>
      </c>
      <c r="H107" s="381"/>
      <c r="I107" s="382"/>
      <c r="J107" s="382"/>
      <c r="K107" s="382"/>
      <c r="L107" s="383"/>
      <c r="M107" s="383"/>
      <c r="N107" s="383"/>
      <c r="O107" s="382"/>
      <c r="P107" s="384"/>
      <c r="Q107" s="382"/>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8" t="s">
        <v>313</v>
      </c>
      <c r="H108" s="409" t="s">
        <v>306</v>
      </c>
      <c r="I108" s="379"/>
      <c r="J108" s="410" t="str">
        <f>SHARDING(K96)*SHARDING(L96)*SHARDING(M96)/HW_SPEC("# of TensorCore per Chip")</f>
        <v>#N/A</v>
      </c>
      <c r="K108" s="399"/>
      <c r="L108" s="400"/>
      <c r="M108" s="400"/>
      <c r="N108" s="400"/>
      <c r="O108" s="399"/>
      <c r="P108" s="401"/>
      <c r="Q108" s="399"/>
      <c r="R108" s="2"/>
      <c r="S108" s="2"/>
      <c r="AG108" s="2"/>
      <c r="AH108" s="2"/>
      <c r="AI108" s="2"/>
      <c r="AJ108" s="2"/>
      <c r="AK108" s="2"/>
      <c r="AL108" s="2"/>
      <c r="AM108" s="2"/>
      <c r="AN108" s="2"/>
      <c r="AO108" s="2"/>
      <c r="AP108" s="2"/>
      <c r="AQ108" s="2"/>
      <c r="AR108" s="2"/>
      <c r="AS108" s="2"/>
      <c r="AT108" s="2"/>
    </row>
    <row r="109">
      <c r="A109" s="161"/>
      <c r="B109" s="161"/>
      <c r="C109" s="161"/>
      <c r="E109" s="341"/>
      <c r="F109" s="341"/>
      <c r="G109" s="341"/>
      <c r="H109" s="385" t="s">
        <v>307</v>
      </c>
      <c r="I109" s="11"/>
      <c r="J109" s="411" t="str">
        <f>P97 * HW_SPEC("# of TensorCore per Chip") * (J108-1)</f>
        <v>#N/A</v>
      </c>
      <c r="K109" s="412"/>
      <c r="L109" s="413"/>
      <c r="M109" s="413"/>
      <c r="N109" s="413"/>
      <c r="O109" s="412"/>
      <c r="P109" s="414"/>
      <c r="Q109" s="412"/>
      <c r="R109" s="2"/>
      <c r="S109" s="2"/>
      <c r="AG109" s="2"/>
      <c r="AH109" s="2"/>
      <c r="AI109" s="2"/>
      <c r="AJ109" s="2"/>
      <c r="AK109" s="2"/>
      <c r="AL109" s="2"/>
      <c r="AM109" s="2"/>
      <c r="AN109" s="2"/>
      <c r="AO109" s="2"/>
      <c r="AP109" s="2"/>
      <c r="AQ109" s="2"/>
      <c r="AR109" s="2"/>
      <c r="AS109" s="2"/>
      <c r="AT109" s="2"/>
    </row>
    <row r="110">
      <c r="A110" s="161"/>
      <c r="B110" s="161"/>
      <c r="C110" s="161"/>
      <c r="E110" s="341"/>
      <c r="F110" s="341"/>
      <c r="G110" s="341"/>
      <c r="H110" s="394" t="s">
        <v>308</v>
      </c>
      <c r="I110" s="11"/>
      <c r="J110" s="411" t="str">
        <f>J109*J108</f>
        <v>#N/A</v>
      </c>
      <c r="K110" s="412"/>
      <c r="L110" s="413"/>
      <c r="M110" s="413"/>
      <c r="N110" s="413"/>
      <c r="O110" s="412"/>
      <c r="P110" s="414"/>
      <c r="Q110" s="412"/>
      <c r="R110" s="2"/>
      <c r="S110" s="2"/>
      <c r="AG110" s="2"/>
      <c r="AH110" s="2"/>
      <c r="AI110" s="2"/>
      <c r="AJ110" s="2"/>
      <c r="AK110" s="2"/>
      <c r="AL110" s="2"/>
      <c r="AM110" s="2"/>
      <c r="AN110" s="2"/>
      <c r="AO110" s="2"/>
      <c r="AP110" s="2"/>
      <c r="AQ110" s="2"/>
      <c r="AR110" s="2"/>
      <c r="AS110" s="2"/>
      <c r="AT110" s="2"/>
    </row>
    <row r="111">
      <c r="A111" s="161"/>
      <c r="B111" s="161"/>
      <c r="C111" s="161"/>
      <c r="E111" s="341"/>
      <c r="F111" s="341"/>
      <c r="G111" s="341"/>
      <c r="H111" s="396" t="s">
        <v>309</v>
      </c>
      <c r="I111" s="11"/>
      <c r="J111" s="415" t="str">
        <f>IFS(J108=8,12,
J108=4,4,
J108=2,1,
J108=1,0,
TRUE,NA())</f>
        <v>#N/A</v>
      </c>
      <c r="K111" s="412"/>
      <c r="L111" s="413"/>
      <c r="M111" s="413"/>
      <c r="N111" s="413"/>
      <c r="O111" s="412"/>
      <c r="P111" s="414"/>
      <c r="Q111" s="412"/>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9" t="s">
        <v>310</v>
      </c>
      <c r="I112" s="11"/>
      <c r="J112" s="416">
        <v>2.0</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52"/>
      <c r="H113" s="385" t="s">
        <v>311</v>
      </c>
      <c r="I113" s="11"/>
      <c r="J113" s="417" t="str">
        <f>ALL_GATHER_CHIP2CHIP_TIME_MS2(J110 * J112, J111)</f>
        <v>#N/A</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408" t="s">
        <v>314</v>
      </c>
      <c r="H114" s="396" t="s">
        <v>306</v>
      </c>
      <c r="I114" s="418"/>
      <c r="J114" s="419" t="str">
        <f>HW_SPEC("# of TensorCore per Chip")</f>
        <v>#N/A</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6" t="s">
        <v>307</v>
      </c>
      <c r="I115" s="418"/>
      <c r="J115" s="411" t="str">
        <f>P81 / J114 * (J114-1)</f>
        <v>#N/A</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308</v>
      </c>
      <c r="I116" s="418"/>
      <c r="J116" s="411" t="str">
        <f>J115*J114</f>
        <v>#N/A</v>
      </c>
      <c r="K116" s="412"/>
      <c r="L116" s="413"/>
      <c r="M116" s="413"/>
      <c r="N116" s="413"/>
      <c r="O116" s="412"/>
      <c r="P116" s="414"/>
      <c r="Q116" s="412"/>
      <c r="R116" s="420"/>
      <c r="S116" s="420"/>
      <c r="AG116" s="2"/>
      <c r="AH116" s="2"/>
      <c r="AI116" s="2"/>
      <c r="AJ116" s="2"/>
      <c r="AK116" s="2"/>
      <c r="AL116" s="2"/>
      <c r="AM116" s="2"/>
      <c r="AN116" s="2"/>
      <c r="AO116" s="2"/>
      <c r="AP116" s="2"/>
      <c r="AQ116" s="2"/>
      <c r="AR116" s="2"/>
      <c r="AS116" s="2"/>
      <c r="AT116" s="2"/>
    </row>
    <row r="117">
      <c r="A117" s="161"/>
      <c r="B117" s="161"/>
      <c r="C117" s="161"/>
      <c r="E117" s="341"/>
      <c r="F117" s="341"/>
      <c r="G117" s="341"/>
      <c r="H117" s="396" t="s">
        <v>311</v>
      </c>
      <c r="I117" s="418"/>
      <c r="J117" s="421" t="str">
        <f>ALL_GATHER_CORE2CORE_TIME_MS(J116)</f>
        <v>#N/A</v>
      </c>
      <c r="K117" s="412"/>
      <c r="L117" s="413"/>
      <c r="M117" s="413"/>
      <c r="N117" s="413"/>
      <c r="O117" s="412"/>
      <c r="P117" s="414"/>
      <c r="Q117" s="412"/>
      <c r="R117" s="420"/>
      <c r="S117" s="420"/>
      <c r="AG117" s="2"/>
      <c r="AH117" s="2"/>
      <c r="AI117" s="2"/>
      <c r="AJ117" s="2"/>
      <c r="AK117" s="2"/>
      <c r="AL117" s="2"/>
      <c r="AM117" s="2"/>
      <c r="AN117" s="2"/>
      <c r="AO117" s="2"/>
      <c r="AP117" s="2"/>
      <c r="AQ117" s="2"/>
      <c r="AR117" s="2"/>
      <c r="AS117" s="2"/>
      <c r="AT117" s="2"/>
    </row>
    <row r="118">
      <c r="A118" s="161"/>
      <c r="B118" s="161"/>
      <c r="C118" s="161"/>
      <c r="E118" s="341"/>
      <c r="F118" s="341"/>
      <c r="G118" s="352"/>
      <c r="H118" s="394" t="s">
        <v>315</v>
      </c>
      <c r="I118" s="11"/>
      <c r="J118" s="421" t="str">
        <f>J117/J108</f>
        <v>#N/A</v>
      </c>
      <c r="K118" s="412"/>
      <c r="L118" s="413"/>
      <c r="M118" s="413"/>
      <c r="N118" s="413"/>
      <c r="O118" s="412"/>
      <c r="P118" s="414"/>
      <c r="Q118" s="412"/>
      <c r="R118" s="420"/>
      <c r="S118" s="420"/>
      <c r="AG118" s="2"/>
      <c r="AH118" s="2"/>
      <c r="AI118" s="2"/>
      <c r="AJ118" s="2"/>
      <c r="AK118" s="2"/>
      <c r="AL118" s="2"/>
      <c r="AM118" s="2"/>
      <c r="AN118" s="2"/>
      <c r="AO118" s="2"/>
      <c r="AP118" s="2"/>
      <c r="AQ118" s="2"/>
      <c r="AR118" s="2"/>
      <c r="AS118" s="2"/>
      <c r="AT118" s="2"/>
    </row>
    <row r="119">
      <c r="A119" s="161"/>
      <c r="B119" s="161"/>
      <c r="C119" s="161"/>
      <c r="E119" s="341"/>
      <c r="F119" s="341"/>
      <c r="G119" s="402" t="s">
        <v>316</v>
      </c>
      <c r="H119" s="422" t="str">
        <f>J113+J118</f>
        <v>#N/A</v>
      </c>
      <c r="I119" s="11"/>
      <c r="J119" s="417"/>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94"/>
      <c r="H120" s="422"/>
      <c r="I120" s="11"/>
      <c r="J120" s="417"/>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443" t="s">
        <v>322</v>
      </c>
      <c r="H121" s="444" t="s">
        <v>323</v>
      </c>
      <c r="I121" s="445"/>
      <c r="J121" s="445"/>
      <c r="K121" s="382"/>
      <c r="L121" s="383"/>
      <c r="M121" s="383"/>
      <c r="N121" s="383"/>
      <c r="O121" s="382"/>
      <c r="P121" s="384"/>
      <c r="Q121" s="38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446" t="s">
        <v>324</v>
      </c>
      <c r="H122" s="447">
        <f>IFS(H121=G99,H105,
H121=G107,H119 ,
TRUE,0)</f>
        <v>0</v>
      </c>
      <c r="I122" s="448"/>
      <c r="J122" s="448"/>
      <c r="K122" s="448"/>
      <c r="L122" s="449"/>
      <c r="M122" s="449"/>
      <c r="N122" s="449"/>
      <c r="O122" s="450"/>
      <c r="P122" s="451"/>
      <c r="Q122" s="450"/>
      <c r="AG122" s="2"/>
      <c r="AH122" s="2"/>
      <c r="AI122" s="2"/>
      <c r="AJ122" s="2"/>
      <c r="AK122" s="2"/>
      <c r="AL122" s="2"/>
      <c r="AM122" s="2"/>
      <c r="AN122" s="2"/>
      <c r="AO122" s="2"/>
      <c r="AP122" s="2"/>
      <c r="AQ122" s="2"/>
      <c r="AR122" s="2"/>
      <c r="AS122" s="2"/>
      <c r="AT122" s="2"/>
    </row>
    <row r="123">
      <c r="A123" s="161"/>
      <c r="B123" s="161"/>
      <c r="C123" s="161"/>
      <c r="E123" s="341"/>
      <c r="F123" s="341"/>
      <c r="G123" s="452" t="s">
        <v>325</v>
      </c>
      <c r="H123" s="453" t="str">
        <f>IFS(PARAMS("topo")="2x2x2", (2+2+2)/2,
PARAMS("topo")="2x2", (2+2)/2,
TRUE, NA())</f>
        <v>#N/A</v>
      </c>
      <c r="I123" s="454"/>
      <c r="J123" s="454"/>
      <c r="K123" s="454"/>
      <c r="L123" s="455"/>
      <c r="M123" s="455"/>
      <c r="N123" s="455"/>
      <c r="O123" s="456"/>
      <c r="P123" s="457"/>
      <c r="Q123" s="456"/>
      <c r="AG123" s="2"/>
      <c r="AH123" s="2"/>
      <c r="AI123" s="2"/>
      <c r="AJ123" s="2"/>
      <c r="AK123" s="2"/>
      <c r="AL123" s="2"/>
      <c r="AM123" s="2"/>
      <c r="AN123" s="2"/>
      <c r="AO123" s="2"/>
      <c r="AP123" s="2"/>
      <c r="AQ123" s="2"/>
      <c r="AR123" s="2"/>
      <c r="AS123" s="2"/>
      <c r="AT123" s="2"/>
    </row>
    <row r="124">
      <c r="A124" s="161"/>
      <c r="B124" s="161"/>
      <c r="C124" s="161"/>
      <c r="E124" s="341"/>
      <c r="F124" s="352"/>
      <c r="G124" s="446" t="s">
        <v>326</v>
      </c>
      <c r="H124" s="447">
        <f>IF(H121="No Collectives", 0, H123 * HW_SPEC("Chip-to-Chip ICI Latency (ms)"))</f>
        <v>0</v>
      </c>
      <c r="I124" s="448"/>
      <c r="J124" s="448"/>
      <c r="K124" s="448"/>
      <c r="L124" s="449"/>
      <c r="M124" s="449"/>
      <c r="N124" s="449"/>
      <c r="O124" s="450"/>
      <c r="P124" s="451"/>
      <c r="Q124" s="450"/>
      <c r="AG124" s="2"/>
      <c r="AH124" s="2"/>
      <c r="AI124" s="2"/>
      <c r="AJ124" s="2"/>
      <c r="AK124" s="2"/>
      <c r="AL124" s="2"/>
      <c r="AM124" s="2"/>
      <c r="AN124" s="2"/>
      <c r="AO124" s="2"/>
      <c r="AP124" s="2"/>
      <c r="AQ124" s="2"/>
      <c r="AR124" s="2"/>
      <c r="AS124" s="2"/>
      <c r="AT124" s="2"/>
    </row>
    <row r="125">
      <c r="A125" s="161"/>
      <c r="B125" s="161"/>
      <c r="C125" s="161"/>
      <c r="E125" s="341"/>
      <c r="F125" s="458" t="s">
        <v>327</v>
      </c>
      <c r="G125" s="459" t="s">
        <v>328</v>
      </c>
      <c r="H125" s="455" t="str">
        <f>VLOOKUP(O82&amp;","&amp;O86,$T$3:$W$12,4, FALSE)</f>
        <v>bf16</v>
      </c>
      <c r="I125" s="460"/>
      <c r="J125" s="454"/>
      <c r="K125" s="454"/>
      <c r="L125" s="455"/>
      <c r="M125" s="455"/>
      <c r="N125" s="455"/>
      <c r="O125" s="454"/>
      <c r="P125" s="457"/>
      <c r="Q125" s="11"/>
      <c r="AG125" s="2"/>
      <c r="AH125" s="2"/>
      <c r="AI125" s="2"/>
      <c r="AJ125" s="2"/>
      <c r="AK125" s="2"/>
      <c r="AL125" s="2"/>
      <c r="AM125" s="2"/>
      <c r="AN125" s="2"/>
      <c r="AO125" s="2"/>
      <c r="AP125" s="2"/>
      <c r="AQ125" s="2"/>
      <c r="AR125" s="2"/>
      <c r="AS125" s="2"/>
      <c r="AT125" s="2"/>
    </row>
    <row r="126">
      <c r="A126" s="161"/>
      <c r="B126" s="161"/>
      <c r="C126" s="161"/>
      <c r="E126" s="341"/>
      <c r="F126" s="341"/>
      <c r="G126" s="459" t="s">
        <v>329</v>
      </c>
      <c r="H126" s="461" t="str">
        <f>CALCULATE_FLOPS(J85:M85,J89:M89,L89,1,H125)</f>
        <v>#N/A</v>
      </c>
      <c r="I126" s="460"/>
      <c r="J126" s="454"/>
      <c r="K126" s="454"/>
      <c r="L126" s="455"/>
      <c r="M126" s="455"/>
      <c r="N126" s="455"/>
      <c r="O126" s="454"/>
      <c r="P126" s="457"/>
      <c r="Q126" s="11"/>
      <c r="AG126" s="2"/>
      <c r="AH126" s="2"/>
      <c r="AI126" s="2"/>
      <c r="AJ126" s="2"/>
      <c r="AK126" s="2"/>
      <c r="AL126" s="2"/>
      <c r="AM126" s="2"/>
      <c r="AN126" s="2"/>
      <c r="AO126" s="2"/>
      <c r="AP126" s="2"/>
      <c r="AQ126" s="2"/>
      <c r="AR126" s="2"/>
      <c r="AS126" s="2"/>
      <c r="AT126" s="2"/>
    </row>
    <row r="127">
      <c r="A127" s="161"/>
      <c r="B127" s="161"/>
      <c r="C127" s="161"/>
      <c r="E127" s="341"/>
      <c r="F127" s="352"/>
      <c r="G127" s="462" t="s">
        <v>330</v>
      </c>
      <c r="H127" s="463" t="str">
        <f>COMPUTE_TIME_MS(H126, H125)</f>
        <v>#N/A</v>
      </c>
      <c r="I127" s="464"/>
      <c r="J127" s="465"/>
      <c r="K127" s="465"/>
      <c r="L127" s="466"/>
      <c r="M127" s="466"/>
      <c r="N127" s="466"/>
      <c r="O127" s="465"/>
      <c r="P127" s="467"/>
      <c r="Q127" s="11"/>
      <c r="AG127" s="2"/>
      <c r="AH127" s="2"/>
      <c r="AI127" s="2"/>
      <c r="AJ127" s="2"/>
      <c r="AK127" s="2"/>
      <c r="AL127" s="2"/>
      <c r="AM127" s="2"/>
      <c r="AN127" s="2"/>
      <c r="AO127" s="2"/>
      <c r="AP127" s="2"/>
      <c r="AQ127" s="2"/>
      <c r="AR127" s="2"/>
      <c r="AS127" s="2"/>
      <c r="AT127" s="2"/>
    </row>
    <row r="128">
      <c r="A128" s="161"/>
      <c r="B128" s="161"/>
      <c r="C128" s="161"/>
      <c r="E128" s="341"/>
      <c r="F128" s="458" t="s">
        <v>331</v>
      </c>
      <c r="G128" s="455" t="s">
        <v>332</v>
      </c>
      <c r="H128" s="468">
        <f>IF(Q82,0,P85)+IF(Q86,0,P89)+IF(Q90,0,P93)</f>
        <v>22.0625</v>
      </c>
      <c r="I128" s="454"/>
      <c r="J128" s="454"/>
      <c r="K128" s="454"/>
      <c r="L128" s="455"/>
      <c r="M128" s="455"/>
      <c r="N128" s="455"/>
      <c r="O128" s="454"/>
      <c r="P128" s="457"/>
      <c r="Q128" s="11"/>
      <c r="AG128" s="2"/>
      <c r="AH128" s="2"/>
      <c r="AI128" s="2"/>
      <c r="AJ128" s="2"/>
      <c r="AK128" s="2"/>
      <c r="AL128" s="2"/>
      <c r="AM128" s="2"/>
      <c r="AN128" s="2"/>
      <c r="AO128" s="2"/>
      <c r="AP128" s="2"/>
      <c r="AQ128" s="2"/>
      <c r="AR128" s="2"/>
      <c r="AS128" s="2"/>
      <c r="AT128" s="2"/>
    </row>
    <row r="129">
      <c r="A129" s="161"/>
      <c r="B129" s="161"/>
      <c r="C129" s="161"/>
      <c r="E129" s="352"/>
      <c r="F129" s="352"/>
      <c r="G129" s="469" t="s">
        <v>333</v>
      </c>
      <c r="H129" s="470" t="str">
        <f>HBM_TIME_MS(H128)</f>
        <v>#N/A</v>
      </c>
      <c r="I129" s="465"/>
      <c r="J129" s="465"/>
      <c r="K129" s="465"/>
      <c r="L129" s="466"/>
      <c r="M129" s="466"/>
      <c r="N129" s="466"/>
      <c r="O129" s="465"/>
      <c r="P129" s="467"/>
      <c r="Q129" s="11"/>
      <c r="AH129" s="471"/>
      <c r="AI129" s="471"/>
      <c r="AJ129" s="471"/>
      <c r="AK129" s="2"/>
      <c r="AL129" s="2"/>
      <c r="AM129" s="2"/>
      <c r="AN129" s="2"/>
      <c r="AO129" s="2"/>
      <c r="AP129" s="2"/>
      <c r="AQ129" s="2"/>
      <c r="AR129" s="2"/>
      <c r="AS129" s="2"/>
      <c r="AT129" s="2"/>
    </row>
    <row r="130">
      <c r="E130" s="333" t="s">
        <v>334</v>
      </c>
      <c r="F130" s="357" t="s">
        <v>292</v>
      </c>
      <c r="G130" s="335"/>
      <c r="H130" s="364" t="s">
        <v>281</v>
      </c>
      <c r="I130" s="364" t="s">
        <v>282</v>
      </c>
      <c r="J130" s="364"/>
      <c r="K130" s="273" t="s">
        <v>104</v>
      </c>
      <c r="L130" s="273" t="s">
        <v>102</v>
      </c>
      <c r="M130" s="472" t="s">
        <v>195</v>
      </c>
      <c r="N130" s="364" t="s">
        <v>283</v>
      </c>
      <c r="O130" s="365" t="str">
        <f>EXTRACT_ACTIVATION_DTYPE(PARAMS("attn_proj_dtype"))</f>
        <v>bf16</v>
      </c>
      <c r="P130" s="366"/>
      <c r="Q130" s="365" t="b">
        <v>0</v>
      </c>
      <c r="R130" s="2"/>
      <c r="S130" s="2"/>
      <c r="AH130" s="471"/>
      <c r="AI130" s="471"/>
      <c r="AJ130" s="471"/>
      <c r="AK130" s="2"/>
      <c r="AL130" s="2"/>
      <c r="AM130" s="2"/>
      <c r="AN130" s="2"/>
      <c r="AO130" s="2"/>
      <c r="AP130" s="2"/>
      <c r="AQ130" s="2"/>
      <c r="AR130" s="2"/>
      <c r="AS130" s="2"/>
      <c r="AT130" s="2"/>
    </row>
    <row r="131">
      <c r="E131" s="341"/>
      <c r="F131" s="342"/>
      <c r="G131" s="343"/>
      <c r="H131" s="273" t="s">
        <v>285</v>
      </c>
      <c r="I131" s="364" t="s">
        <v>282</v>
      </c>
      <c r="J131" s="363"/>
      <c r="K131" s="363">
        <f t="shared" ref="K131:M131" si="19">PARAMS(K130)</f>
        <v>1024</v>
      </c>
      <c r="L131" s="364">
        <f t="shared" si="19"/>
        <v>1</v>
      </c>
      <c r="M131" s="364">
        <f t="shared" si="19"/>
        <v>1536</v>
      </c>
      <c r="N131" s="364" t="s">
        <v>283</v>
      </c>
      <c r="O131" s="341"/>
      <c r="P131" s="366">
        <f>SIZEOF_IN_MIB(J131:M131, $O130)</f>
        <v>3</v>
      </c>
      <c r="Q131" s="341"/>
      <c r="R131" s="2"/>
      <c r="S131" s="2"/>
      <c r="AH131" s="471"/>
      <c r="AI131" s="471"/>
      <c r="AJ131" s="471"/>
      <c r="AK131" s="2"/>
      <c r="AL131" s="2"/>
      <c r="AM131" s="2"/>
      <c r="AN131" s="2"/>
      <c r="AO131" s="2"/>
      <c r="AP131" s="2"/>
      <c r="AQ131" s="2"/>
      <c r="AR131" s="2"/>
      <c r="AS131" s="2"/>
      <c r="AT131" s="2"/>
    </row>
    <row r="132">
      <c r="E132" s="341"/>
      <c r="F132" s="342"/>
      <c r="G132" s="343"/>
      <c r="H132" s="363" t="s">
        <v>287</v>
      </c>
      <c r="I132" s="363" t="s">
        <v>282</v>
      </c>
      <c r="J132" s="364"/>
      <c r="K132" s="273" t="s">
        <v>196</v>
      </c>
      <c r="L132" s="273"/>
      <c r="M132" s="363"/>
      <c r="N132" s="363" t="s">
        <v>283</v>
      </c>
      <c r="O132" s="341"/>
      <c r="P132" s="366"/>
      <c r="Q132" s="341"/>
      <c r="R132" s="2"/>
      <c r="S132" s="2"/>
      <c r="AH132" s="471"/>
      <c r="AI132" s="471"/>
      <c r="AJ132" s="471"/>
      <c r="AK132" s="2"/>
      <c r="AL132" s="2"/>
      <c r="AM132" s="2"/>
      <c r="AN132" s="2"/>
      <c r="AO132" s="2"/>
      <c r="AP132" s="2"/>
      <c r="AQ132" s="2"/>
      <c r="AR132" s="2"/>
      <c r="AS132" s="2"/>
      <c r="AT132" s="2"/>
    </row>
    <row r="133">
      <c r="E133" s="341"/>
      <c r="F133" s="353"/>
      <c r="G133" s="354"/>
      <c r="H133" s="273" t="s">
        <v>289</v>
      </c>
      <c r="I133" s="363" t="s">
        <v>282</v>
      </c>
      <c r="J133" s="364"/>
      <c r="K133" s="363">
        <f t="shared" ref="K133:M133" si="20">K131/SHARDING(K132)</f>
        <v>64</v>
      </c>
      <c r="L133" s="363">
        <f t="shared" si="20"/>
        <v>1</v>
      </c>
      <c r="M133" s="363">
        <f t="shared" si="20"/>
        <v>1536</v>
      </c>
      <c r="N133" s="363" t="s">
        <v>283</v>
      </c>
      <c r="O133" s="352"/>
      <c r="P133" s="366">
        <f>SIZEOF_IN_MIB(J133:M133, $O130)</f>
        <v>0.1875</v>
      </c>
      <c r="Q133" s="352"/>
      <c r="R133" s="2"/>
      <c r="S133" s="2"/>
      <c r="AK133" s="2"/>
      <c r="AL133" s="2"/>
      <c r="AM133" s="2"/>
      <c r="AN133" s="2"/>
      <c r="AO133" s="2"/>
      <c r="AP133" s="2"/>
      <c r="AQ133" s="2"/>
      <c r="AR133" s="2"/>
      <c r="AS133" s="2"/>
      <c r="AT133" s="2"/>
    </row>
    <row r="134">
      <c r="E134" s="341"/>
      <c r="F134" s="334" t="s">
        <v>296</v>
      </c>
      <c r="G134" s="335"/>
      <c r="H134" s="363" t="s">
        <v>281</v>
      </c>
      <c r="I134" s="363" t="s">
        <v>282</v>
      </c>
      <c r="J134" s="364"/>
      <c r="K134" s="472" t="s">
        <v>195</v>
      </c>
      <c r="L134" s="273" t="s">
        <v>207</v>
      </c>
      <c r="M134" s="273" t="s">
        <v>209</v>
      </c>
      <c r="N134" s="363" t="s">
        <v>283</v>
      </c>
      <c r="O134" s="365" t="str">
        <f>EXTRACT_WEIGHT_DTYPE(PARAMS("attn_proj_dtype"))</f>
        <v>bf16</v>
      </c>
      <c r="P134" s="366"/>
      <c r="Q134" s="365" t="b">
        <v>0</v>
      </c>
      <c r="R134" s="2"/>
      <c r="S134" s="2"/>
      <c r="AK134" s="2"/>
      <c r="AL134" s="2"/>
      <c r="AM134" s="2"/>
      <c r="AN134" s="2"/>
      <c r="AO134" s="2"/>
      <c r="AP134" s="2"/>
      <c r="AQ134" s="2"/>
      <c r="AR134" s="2"/>
      <c r="AS134" s="2"/>
      <c r="AT134" s="2"/>
    </row>
    <row r="135">
      <c r="E135" s="341"/>
      <c r="F135" s="342"/>
      <c r="G135" s="343"/>
      <c r="H135" s="273" t="s">
        <v>285</v>
      </c>
      <c r="I135" s="363" t="s">
        <v>282</v>
      </c>
      <c r="J135" s="364"/>
      <c r="K135" s="363">
        <f t="shared" ref="K135:M135" si="21">PARAMS(K134)</f>
        <v>1536</v>
      </c>
      <c r="L135" s="363">
        <f t="shared" si="21"/>
        <v>128</v>
      </c>
      <c r="M135" s="363">
        <f t="shared" si="21"/>
        <v>192</v>
      </c>
      <c r="N135" s="363" t="s">
        <v>283</v>
      </c>
      <c r="O135" s="341"/>
      <c r="P135" s="366">
        <f>SIZEOF_IN_MIB(J135:M135, $O134)</f>
        <v>72</v>
      </c>
      <c r="Q135" s="341"/>
      <c r="R135" s="2"/>
      <c r="S135" s="2"/>
      <c r="AK135" s="2"/>
      <c r="AL135" s="2"/>
      <c r="AM135" s="2"/>
      <c r="AN135" s="2"/>
      <c r="AO135" s="2"/>
      <c r="AP135" s="2"/>
      <c r="AQ135" s="2"/>
      <c r="AR135" s="2"/>
      <c r="AS135" s="2"/>
      <c r="AT135" s="2"/>
    </row>
    <row r="136">
      <c r="E136" s="341"/>
      <c r="F136" s="342"/>
      <c r="G136" s="343"/>
      <c r="H136" s="363" t="s">
        <v>287</v>
      </c>
      <c r="I136" s="363" t="s">
        <v>282</v>
      </c>
      <c r="J136" s="364"/>
      <c r="K136" s="364"/>
      <c r="L136" s="363"/>
      <c r="M136" s="363"/>
      <c r="N136" s="363" t="s">
        <v>283</v>
      </c>
      <c r="O136" s="341"/>
      <c r="P136" s="366"/>
      <c r="Q136" s="341"/>
      <c r="R136" s="2"/>
      <c r="S136" s="2"/>
      <c r="AK136" s="2"/>
      <c r="AL136" s="2"/>
      <c r="AM136" s="2"/>
      <c r="AN136" s="2"/>
      <c r="AO136" s="2"/>
      <c r="AP136" s="2"/>
      <c r="AQ136" s="2"/>
      <c r="AR136" s="2"/>
      <c r="AS136" s="2"/>
      <c r="AT136" s="2"/>
    </row>
    <row r="137">
      <c r="E137" s="341"/>
      <c r="F137" s="353"/>
      <c r="G137" s="354"/>
      <c r="H137" s="349" t="s">
        <v>289</v>
      </c>
      <c r="I137" s="349" t="s">
        <v>282</v>
      </c>
      <c r="J137" s="336"/>
      <c r="K137" s="349">
        <f t="shared" ref="K137:M137" si="22">K135/SHARDING(K136)</f>
        <v>1536</v>
      </c>
      <c r="L137" s="349">
        <f t="shared" si="22"/>
        <v>128</v>
      </c>
      <c r="M137" s="349">
        <f t="shared" si="22"/>
        <v>192</v>
      </c>
      <c r="N137" s="349" t="s">
        <v>283</v>
      </c>
      <c r="O137" s="316"/>
      <c r="P137" s="351">
        <f>SIZEOF_IN_MIB(J137:M137, $O134)</f>
        <v>72</v>
      </c>
      <c r="Q137" s="316"/>
      <c r="R137" s="2"/>
      <c r="S137" s="2"/>
      <c r="AK137" s="2"/>
      <c r="AL137" s="2"/>
      <c r="AM137" s="2"/>
      <c r="AN137" s="2"/>
      <c r="AO137" s="2"/>
      <c r="AP137" s="2"/>
      <c r="AQ137" s="2"/>
      <c r="AR137" s="2"/>
      <c r="AS137" s="2"/>
      <c r="AT137" s="2"/>
    </row>
    <row r="138">
      <c r="E138" s="341"/>
      <c r="F138" s="334" t="s">
        <v>56</v>
      </c>
      <c r="G138" s="335"/>
      <c r="H138" s="346" t="s">
        <v>281</v>
      </c>
      <c r="I138" s="346" t="s">
        <v>282</v>
      </c>
      <c r="J138" s="344" t="s">
        <v>104</v>
      </c>
      <c r="K138" s="344" t="s">
        <v>102</v>
      </c>
      <c r="L138" s="344" t="s">
        <v>207</v>
      </c>
      <c r="M138" s="344" t="s">
        <v>209</v>
      </c>
      <c r="N138" s="346" t="s">
        <v>283</v>
      </c>
      <c r="O138" s="473" t="s">
        <v>133</v>
      </c>
      <c r="P138" s="348"/>
      <c r="Q138" s="473" t="b">
        <v>0</v>
      </c>
      <c r="R138" s="2"/>
      <c r="S138" s="2"/>
      <c r="AK138" s="2"/>
      <c r="AL138" s="2"/>
      <c r="AM138" s="2"/>
      <c r="AN138" s="2"/>
      <c r="AO138" s="2"/>
      <c r="AP138" s="2"/>
      <c r="AQ138" s="2"/>
      <c r="AR138" s="2"/>
      <c r="AS138" s="2"/>
      <c r="AT138" s="2"/>
    </row>
    <row r="139">
      <c r="E139" s="341"/>
      <c r="F139" s="342"/>
      <c r="G139" s="343"/>
      <c r="H139" s="337" t="s">
        <v>285</v>
      </c>
      <c r="I139" s="349" t="s">
        <v>282</v>
      </c>
      <c r="J139" s="349">
        <f t="shared" ref="J139:M139" si="23">PARAMS(J138)</f>
        <v>1024</v>
      </c>
      <c r="K139" s="349">
        <f t="shared" si="23"/>
        <v>1</v>
      </c>
      <c r="L139" s="349">
        <f t="shared" si="23"/>
        <v>128</v>
      </c>
      <c r="M139" s="349">
        <f t="shared" si="23"/>
        <v>192</v>
      </c>
      <c r="N139" s="349" t="s">
        <v>283</v>
      </c>
      <c r="O139" s="350"/>
      <c r="P139" s="351">
        <f>SIZEOF_IN_MIB(J139:M139, $O138)</f>
        <v>48</v>
      </c>
      <c r="Q139" s="350"/>
      <c r="R139" s="2"/>
      <c r="S139" s="2"/>
      <c r="AK139" s="2"/>
      <c r="AL139" s="2"/>
      <c r="AM139" s="2"/>
      <c r="AN139" s="2"/>
      <c r="AO139" s="2"/>
      <c r="AP139" s="2"/>
      <c r="AQ139" s="2"/>
      <c r="AR139" s="2"/>
      <c r="AS139" s="2"/>
      <c r="AT139" s="2"/>
    </row>
    <row r="140">
      <c r="E140" s="341"/>
      <c r="F140" s="342"/>
      <c r="G140" s="343"/>
      <c r="H140" s="346" t="s">
        <v>287</v>
      </c>
      <c r="I140" s="346" t="s">
        <v>282</v>
      </c>
      <c r="J140" s="344" t="s">
        <v>196</v>
      </c>
      <c r="K140" s="344"/>
      <c r="L140" s="344"/>
      <c r="M140" s="346"/>
      <c r="N140" s="346" t="s">
        <v>283</v>
      </c>
      <c r="O140" s="347"/>
      <c r="P140" s="348"/>
      <c r="Q140" s="347"/>
      <c r="R140" s="2"/>
      <c r="S140" s="2"/>
      <c r="AK140" s="2"/>
      <c r="AL140" s="2"/>
      <c r="AM140" s="2"/>
      <c r="AN140" s="2"/>
      <c r="AO140" s="2"/>
      <c r="AP140" s="2"/>
      <c r="AQ140" s="2"/>
      <c r="AR140" s="2"/>
      <c r="AS140" s="2"/>
      <c r="AT140" s="2"/>
    </row>
    <row r="141">
      <c r="E141" s="341"/>
      <c r="F141" s="353"/>
      <c r="G141" s="354"/>
      <c r="H141" s="349" t="s">
        <v>289</v>
      </c>
      <c r="I141" s="349" t="s">
        <v>282</v>
      </c>
      <c r="J141" s="349">
        <f t="shared" ref="J141:M141" si="24">J139/SHARDING(J140)</f>
        <v>64</v>
      </c>
      <c r="K141" s="349">
        <f t="shared" si="24"/>
        <v>1</v>
      </c>
      <c r="L141" s="349">
        <f t="shared" si="24"/>
        <v>128</v>
      </c>
      <c r="M141" s="349">
        <f t="shared" si="24"/>
        <v>192</v>
      </c>
      <c r="N141" s="349" t="s">
        <v>283</v>
      </c>
      <c r="O141" s="316"/>
      <c r="P141" s="351">
        <f>SIZEOF_IN_MIB(J141:M141, $O138)</f>
        <v>3</v>
      </c>
      <c r="Q141" s="316"/>
      <c r="R141" s="2"/>
      <c r="S141" s="2"/>
      <c r="AK141" s="2"/>
      <c r="AL141" s="2"/>
      <c r="AM141" s="2"/>
      <c r="AN141" s="2"/>
      <c r="AO141" s="2"/>
      <c r="AP141" s="2"/>
      <c r="AQ141" s="2"/>
      <c r="AR141" s="2"/>
      <c r="AS141" s="2"/>
      <c r="AT141" s="2"/>
    </row>
    <row r="142">
      <c r="E142" s="341"/>
      <c r="F142" s="474" t="s">
        <v>335</v>
      </c>
      <c r="G142" s="459" t="s">
        <v>109</v>
      </c>
      <c r="H142" s="497"/>
      <c r="I142" s="498"/>
      <c r="J142" s="345"/>
      <c r="K142" s="345"/>
      <c r="L142" s="346"/>
      <c r="M142" s="346"/>
      <c r="N142" s="346"/>
      <c r="O142" s="345"/>
      <c r="P142" s="348"/>
      <c r="Q142" s="379"/>
      <c r="R142" s="2"/>
      <c r="S142" s="2"/>
      <c r="AK142" s="2"/>
      <c r="AL142" s="2"/>
      <c r="AM142" s="2"/>
      <c r="AN142" s="2"/>
      <c r="AO142" s="2"/>
      <c r="AP142" s="2"/>
      <c r="AQ142" s="2"/>
      <c r="AR142" s="2"/>
      <c r="AS142" s="2"/>
      <c r="AT142" s="2"/>
    </row>
    <row r="143">
      <c r="E143" s="341"/>
      <c r="F143" s="352"/>
      <c r="G143" s="459"/>
      <c r="H143" s="349"/>
      <c r="I143" s="492"/>
      <c r="J143" s="336"/>
      <c r="K143" s="336"/>
      <c r="L143" s="349"/>
      <c r="M143" s="349"/>
      <c r="N143" s="349"/>
      <c r="O143" s="336"/>
      <c r="P143" s="351"/>
      <c r="Q143" s="298"/>
      <c r="R143" s="2"/>
      <c r="S143" s="2"/>
      <c r="AK143" s="2"/>
      <c r="AL143" s="2"/>
      <c r="AM143" s="2"/>
      <c r="AN143" s="2"/>
      <c r="AO143" s="2"/>
      <c r="AP143" s="2"/>
      <c r="AQ143" s="2"/>
      <c r="AR143" s="2"/>
      <c r="AS143" s="2"/>
      <c r="AT143" s="2"/>
    </row>
    <row r="144">
      <c r="E144" s="341"/>
      <c r="F144" s="458" t="s">
        <v>327</v>
      </c>
      <c r="G144" s="459" t="s">
        <v>328</v>
      </c>
      <c r="H144" s="346" t="str">
        <f>VLOOKUP(O130&amp;","&amp;O134,$T$3:$W$12,4, FALSE)</f>
        <v>bf16</v>
      </c>
      <c r="I144" s="493"/>
      <c r="J144" s="345"/>
      <c r="K144" s="345"/>
      <c r="L144" s="346"/>
      <c r="M144" s="346"/>
      <c r="N144" s="346"/>
      <c r="O144" s="345"/>
      <c r="P144" s="348"/>
      <c r="Q144" s="379"/>
      <c r="R144" s="2"/>
      <c r="S144" s="2"/>
      <c r="AK144" s="2"/>
      <c r="AL144" s="2"/>
      <c r="AM144" s="2"/>
      <c r="AN144" s="2"/>
      <c r="AO144" s="2"/>
      <c r="AP144" s="2"/>
      <c r="AQ144" s="2"/>
      <c r="AR144" s="2"/>
      <c r="AS144" s="2"/>
      <c r="AT144" s="2"/>
    </row>
    <row r="145">
      <c r="E145" s="341"/>
      <c r="F145" s="341"/>
      <c r="G145" s="455" t="s">
        <v>341</v>
      </c>
      <c r="H145" s="494" t="str">
        <f>CALCULATE_FLOPS(K133:M133,K137:M137,K137,1,H144)</f>
        <v>#N/A</v>
      </c>
      <c r="I145" s="492"/>
      <c r="J145" s="336"/>
      <c r="K145" s="336"/>
      <c r="L145" s="349"/>
      <c r="M145" s="349"/>
      <c r="N145" s="349"/>
      <c r="O145" s="336"/>
      <c r="P145" s="351"/>
      <c r="Q145" s="298"/>
      <c r="R145" s="2"/>
      <c r="S145" s="2"/>
      <c r="AK145" s="2"/>
      <c r="AL145" s="2"/>
      <c r="AM145" s="2"/>
      <c r="AN145" s="2"/>
      <c r="AO145" s="2"/>
      <c r="AP145" s="2"/>
      <c r="AQ145" s="2"/>
      <c r="AR145" s="2"/>
      <c r="AS145" s="2"/>
      <c r="AT145" s="2"/>
    </row>
    <row r="146">
      <c r="A146" s="207"/>
      <c r="B146" s="2"/>
      <c r="C146" s="2"/>
      <c r="D146" s="2"/>
      <c r="E146" s="341"/>
      <c r="F146" s="352"/>
      <c r="G146" s="462" t="s">
        <v>330</v>
      </c>
      <c r="H146" s="495" t="str">
        <f>COMPUTE_TIME_MS(H145, H144)</f>
        <v>#N/A</v>
      </c>
      <c r="I146" s="464"/>
      <c r="J146" s="465"/>
      <c r="K146" s="465"/>
      <c r="L146" s="466"/>
      <c r="M146" s="466"/>
      <c r="N146" s="466"/>
      <c r="O146" s="465"/>
      <c r="P146" s="467"/>
      <c r="Q146" s="379"/>
      <c r="R146" s="2"/>
      <c r="S146" s="2"/>
      <c r="AK146" s="2"/>
      <c r="AL146" s="2"/>
      <c r="AM146" s="2"/>
      <c r="AN146" s="2"/>
      <c r="AO146" s="2"/>
      <c r="AP146" s="2"/>
      <c r="AQ146" s="2"/>
      <c r="AR146" s="2"/>
      <c r="AS146" s="2"/>
      <c r="AT146" s="2"/>
    </row>
    <row r="147">
      <c r="A147" s="207"/>
      <c r="B147" s="2"/>
      <c r="C147" s="2"/>
      <c r="D147" s="2"/>
      <c r="E147" s="341"/>
      <c r="F147" s="458" t="s">
        <v>331</v>
      </c>
      <c r="G147" s="455" t="s">
        <v>332</v>
      </c>
      <c r="H147" s="377">
        <f>IF(Q130,0,P133)+IF(Q134,0,P137)+IF(Q138,0,P141)</f>
        <v>75.1875</v>
      </c>
      <c r="I147" s="336"/>
      <c r="J147" s="336"/>
      <c r="K147" s="336"/>
      <c r="L147" s="349"/>
      <c r="M147" s="349"/>
      <c r="N147" s="349"/>
      <c r="O147" s="336"/>
      <c r="P147" s="351"/>
      <c r="Q147" s="298"/>
      <c r="R147" s="2"/>
      <c r="S147" s="2"/>
      <c r="AK147" s="2"/>
      <c r="AL147" s="2"/>
      <c r="AM147" s="2"/>
      <c r="AN147" s="2"/>
      <c r="AO147" s="2"/>
      <c r="AP147" s="2"/>
      <c r="AQ147" s="2"/>
      <c r="AR147" s="2"/>
      <c r="AS147" s="2"/>
      <c r="AT147" s="2"/>
    </row>
    <row r="148">
      <c r="A148" s="2"/>
      <c r="B148" s="2"/>
      <c r="C148" s="2"/>
      <c r="D148" s="2"/>
      <c r="E148" s="352"/>
      <c r="F148" s="352"/>
      <c r="G148" s="469" t="s">
        <v>333</v>
      </c>
      <c r="H148" s="496" t="str">
        <f>HBM_TIME_MS(H147)</f>
        <v>#N/A</v>
      </c>
      <c r="I148" s="465"/>
      <c r="J148" s="465"/>
      <c r="K148" s="465"/>
      <c r="L148" s="466"/>
      <c r="M148" s="466"/>
      <c r="N148" s="466"/>
      <c r="O148" s="465"/>
      <c r="P148" s="467"/>
      <c r="Q148" s="379"/>
      <c r="R148" s="2"/>
      <c r="S148" s="2"/>
      <c r="AK148" s="2"/>
      <c r="AL148" s="2"/>
      <c r="AM148" s="2"/>
      <c r="AN148" s="2"/>
      <c r="AO148" s="2"/>
      <c r="AP148" s="2"/>
      <c r="AQ148" s="2"/>
      <c r="AR148" s="2"/>
      <c r="AS148" s="2"/>
      <c r="AT148" s="2"/>
    </row>
    <row r="149">
      <c r="A149" s="161"/>
      <c r="B149" s="161"/>
      <c r="C149" s="161"/>
      <c r="D149" s="161"/>
      <c r="E149" s="333" t="s">
        <v>342</v>
      </c>
      <c r="F149" s="357" t="s">
        <v>292</v>
      </c>
      <c r="G149" s="335"/>
      <c r="H149" s="364" t="s">
        <v>281</v>
      </c>
      <c r="I149" s="364" t="s">
        <v>282</v>
      </c>
      <c r="J149" s="273" t="s">
        <v>104</v>
      </c>
      <c r="K149" s="273" t="s">
        <v>102</v>
      </c>
      <c r="L149" s="273" t="s">
        <v>207</v>
      </c>
      <c r="M149" s="472" t="s">
        <v>201</v>
      </c>
      <c r="N149" s="364" t="s">
        <v>283</v>
      </c>
      <c r="O149" s="365" t="str">
        <f>EXTRACT_ACTIVATION_DTYPE(PARAMS("attn_proj_dtype"))</f>
        <v>bf16</v>
      </c>
      <c r="P149" s="366"/>
      <c r="Q149" s="365" t="b">
        <v>0</v>
      </c>
      <c r="R149" s="2"/>
      <c r="S149" s="2"/>
      <c r="AK149" s="2"/>
      <c r="AL149" s="2"/>
      <c r="AM149" s="2"/>
      <c r="AN149" s="2"/>
      <c r="AO149" s="2"/>
      <c r="AP149" s="2"/>
      <c r="AQ149" s="2"/>
      <c r="AR149" s="2"/>
      <c r="AS149" s="2"/>
      <c r="AT149" s="2"/>
    </row>
    <row r="150">
      <c r="A150" s="161"/>
      <c r="B150" s="161"/>
      <c r="C150" s="161"/>
      <c r="D150" s="161"/>
      <c r="E150" s="341"/>
      <c r="F150" s="342"/>
      <c r="G150" s="343"/>
      <c r="H150" s="273" t="s">
        <v>285</v>
      </c>
      <c r="I150" s="364" t="s">
        <v>282</v>
      </c>
      <c r="J150" s="363">
        <f t="shared" ref="J150:M150" si="25">PARAMS(J149)</f>
        <v>1024</v>
      </c>
      <c r="K150" s="364">
        <f t="shared" si="25"/>
        <v>1</v>
      </c>
      <c r="L150" s="364">
        <f t="shared" si="25"/>
        <v>128</v>
      </c>
      <c r="M150" s="364">
        <f t="shared" si="25"/>
        <v>128</v>
      </c>
      <c r="N150" s="364" t="s">
        <v>283</v>
      </c>
      <c r="O150" s="341"/>
      <c r="P150" s="366">
        <f>SIZEOF_IN_MIB(J150:M150, $O149)</f>
        <v>32</v>
      </c>
      <c r="Q150" s="341"/>
      <c r="R150" s="2"/>
      <c r="S150" s="2"/>
      <c r="AK150" s="2"/>
      <c r="AL150" s="2"/>
      <c r="AM150" s="2"/>
      <c r="AN150" s="2"/>
      <c r="AO150" s="2"/>
      <c r="AP150" s="2"/>
      <c r="AQ150" s="2"/>
      <c r="AR150" s="2"/>
      <c r="AS150" s="2"/>
      <c r="AT150" s="2"/>
    </row>
    <row r="151">
      <c r="A151" s="161"/>
      <c r="B151" s="161"/>
      <c r="C151" s="161"/>
      <c r="D151" s="161"/>
      <c r="E151" s="341"/>
      <c r="F151" s="342"/>
      <c r="G151" s="343"/>
      <c r="H151" s="363" t="s">
        <v>287</v>
      </c>
      <c r="I151" s="363" t="s">
        <v>282</v>
      </c>
      <c r="J151" s="273" t="s">
        <v>196</v>
      </c>
      <c r="K151" s="273"/>
      <c r="L151" s="273"/>
      <c r="M151" s="363"/>
      <c r="N151" s="363" t="s">
        <v>283</v>
      </c>
      <c r="O151" s="341"/>
      <c r="P151" s="366"/>
      <c r="Q151" s="341"/>
      <c r="R151" s="2"/>
      <c r="S151" s="2"/>
      <c r="AG151" s="2"/>
      <c r="AH151" s="2"/>
      <c r="AI151" s="2"/>
      <c r="AJ151" s="2"/>
      <c r="AK151" s="2"/>
      <c r="AL151" s="2"/>
      <c r="AM151" s="2"/>
      <c r="AN151" s="2"/>
      <c r="AO151" s="2"/>
      <c r="AP151" s="2"/>
      <c r="AQ151" s="2"/>
      <c r="AR151" s="2"/>
      <c r="AS151" s="2"/>
      <c r="AT151" s="2"/>
    </row>
    <row r="152">
      <c r="A152" s="161"/>
      <c r="B152" s="161"/>
      <c r="C152" s="161"/>
      <c r="D152" s="161"/>
      <c r="E152" s="341"/>
      <c r="F152" s="353"/>
      <c r="G152" s="354"/>
      <c r="H152" s="273" t="s">
        <v>289</v>
      </c>
      <c r="I152" s="363" t="s">
        <v>282</v>
      </c>
      <c r="J152" s="363">
        <f t="shared" ref="J152:M152" si="26">J150/SHARDING(J151)</f>
        <v>64</v>
      </c>
      <c r="K152" s="363">
        <f t="shared" si="26"/>
        <v>1</v>
      </c>
      <c r="L152" s="363">
        <f t="shared" si="26"/>
        <v>128</v>
      </c>
      <c r="M152" s="363">
        <f t="shared" si="26"/>
        <v>128</v>
      </c>
      <c r="N152" s="363" t="s">
        <v>283</v>
      </c>
      <c r="O152" s="352"/>
      <c r="P152" s="366">
        <f>SIZEOF_IN_MIB(J152:M152, $O149)</f>
        <v>2</v>
      </c>
      <c r="Q152" s="352"/>
      <c r="R152" s="2"/>
      <c r="S152" s="2"/>
      <c r="AG152" s="2"/>
      <c r="AH152" s="2"/>
      <c r="AI152" s="2"/>
      <c r="AJ152" s="2"/>
      <c r="AK152" s="2"/>
      <c r="AL152" s="2"/>
      <c r="AM152" s="2"/>
      <c r="AN152" s="2"/>
      <c r="AO152" s="2"/>
      <c r="AP152" s="2"/>
      <c r="AQ152" s="2"/>
      <c r="AR152" s="2"/>
      <c r="AS152" s="2"/>
      <c r="AT152" s="2"/>
    </row>
    <row r="153">
      <c r="A153" s="161"/>
      <c r="B153" s="161"/>
      <c r="C153" s="161"/>
      <c r="D153" s="161"/>
      <c r="E153" s="341"/>
      <c r="F153" s="334" t="s">
        <v>296</v>
      </c>
      <c r="G153" s="335"/>
      <c r="H153" s="363" t="s">
        <v>281</v>
      </c>
      <c r="I153" s="363" t="s">
        <v>282</v>
      </c>
      <c r="J153" s="364"/>
      <c r="K153" s="273" t="s">
        <v>207</v>
      </c>
      <c r="L153" s="472" t="s">
        <v>201</v>
      </c>
      <c r="M153" s="273" t="s">
        <v>198</v>
      </c>
      <c r="N153" s="363" t="s">
        <v>283</v>
      </c>
      <c r="O153" s="365" t="str">
        <f>EXTRACT_WEIGHT_DTYPE(PARAMS("attn_proj_dtype"))</f>
        <v>bf16</v>
      </c>
      <c r="P153" s="366"/>
      <c r="Q153" s="365" t="b">
        <v>0</v>
      </c>
      <c r="R153" s="2"/>
      <c r="S153" s="2"/>
      <c r="AG153" s="2"/>
      <c r="AH153" s="2"/>
      <c r="AI153" s="2"/>
      <c r="AJ153" s="2"/>
      <c r="AK153" s="2"/>
      <c r="AL153" s="2"/>
      <c r="AM153" s="2"/>
      <c r="AN153" s="2"/>
      <c r="AO153" s="2"/>
      <c r="AP153" s="2"/>
      <c r="AQ153" s="2"/>
      <c r="AR153" s="2"/>
      <c r="AS153" s="2"/>
      <c r="AT153" s="2"/>
    </row>
    <row r="154">
      <c r="A154" s="161"/>
      <c r="B154" s="161"/>
      <c r="C154" s="161"/>
      <c r="D154" s="161"/>
      <c r="E154" s="341"/>
      <c r="F154" s="342"/>
      <c r="G154" s="343"/>
      <c r="H154" s="273" t="s">
        <v>285</v>
      </c>
      <c r="I154" s="363" t="s">
        <v>282</v>
      </c>
      <c r="J154" s="364"/>
      <c r="K154" s="363">
        <f t="shared" ref="K154:M154" si="27">PARAMS(K153)</f>
        <v>128</v>
      </c>
      <c r="L154" s="363">
        <f t="shared" si="27"/>
        <v>128</v>
      </c>
      <c r="M154" s="363">
        <f t="shared" si="27"/>
        <v>512</v>
      </c>
      <c r="N154" s="363" t="s">
        <v>283</v>
      </c>
      <c r="O154" s="341"/>
      <c r="P154" s="366">
        <f>SIZEOF_IN_MIB(J154:M154, $O153)</f>
        <v>16</v>
      </c>
      <c r="Q154" s="341"/>
      <c r="R154" s="2"/>
      <c r="S154" s="2"/>
      <c r="AG154" s="2"/>
      <c r="AH154" s="2"/>
      <c r="AI154" s="2"/>
      <c r="AJ154" s="2"/>
      <c r="AK154" s="2"/>
      <c r="AL154" s="2"/>
      <c r="AM154" s="2"/>
      <c r="AN154" s="2"/>
      <c r="AO154" s="2"/>
      <c r="AP154" s="2"/>
      <c r="AQ154" s="2"/>
      <c r="AR154" s="2"/>
      <c r="AS154" s="2"/>
      <c r="AT154" s="2"/>
    </row>
    <row r="155">
      <c r="A155" s="161"/>
      <c r="B155" s="161"/>
      <c r="C155" s="161"/>
      <c r="D155" s="161"/>
      <c r="E155" s="341"/>
      <c r="F155" s="342"/>
      <c r="G155" s="343"/>
      <c r="H155" s="363" t="s">
        <v>287</v>
      </c>
      <c r="I155" s="363" t="s">
        <v>282</v>
      </c>
      <c r="J155" s="364"/>
      <c r="K155" s="364"/>
      <c r="L155" s="363"/>
      <c r="M155" s="363"/>
      <c r="N155" s="363" t="s">
        <v>283</v>
      </c>
      <c r="O155" s="341"/>
      <c r="P155" s="366"/>
      <c r="Q155" s="341"/>
      <c r="R155" s="2"/>
      <c r="S155" s="2"/>
      <c r="AG155" s="2"/>
      <c r="AH155" s="2"/>
      <c r="AI155" s="2"/>
      <c r="AJ155" s="2"/>
      <c r="AK155" s="2"/>
      <c r="AL155" s="2"/>
      <c r="AM155" s="2"/>
      <c r="AN155" s="2"/>
      <c r="AO155" s="2"/>
      <c r="AP155" s="2"/>
      <c r="AQ155" s="2"/>
      <c r="AR155" s="2"/>
      <c r="AS155" s="2"/>
      <c r="AT155" s="2"/>
    </row>
    <row r="156">
      <c r="A156" s="161"/>
      <c r="B156" s="161"/>
      <c r="C156" s="161"/>
      <c r="D156" s="161"/>
      <c r="E156" s="341"/>
      <c r="F156" s="353"/>
      <c r="G156" s="354"/>
      <c r="H156" s="349" t="s">
        <v>289</v>
      </c>
      <c r="I156" s="349" t="s">
        <v>282</v>
      </c>
      <c r="J156" s="336"/>
      <c r="K156" s="349">
        <f t="shared" ref="K156:M156" si="28">K154/SHARDING(K155)</f>
        <v>128</v>
      </c>
      <c r="L156" s="349">
        <f t="shared" si="28"/>
        <v>128</v>
      </c>
      <c r="M156" s="349">
        <f t="shared" si="28"/>
        <v>512</v>
      </c>
      <c r="N156" s="349" t="s">
        <v>283</v>
      </c>
      <c r="O156" s="316"/>
      <c r="P156" s="351">
        <f>SIZEOF_IN_MIB(J156:M156, $O153)</f>
        <v>16</v>
      </c>
      <c r="Q156" s="316"/>
      <c r="R156" s="2"/>
      <c r="S156" s="2"/>
      <c r="T156" s="284"/>
      <c r="U156" s="284"/>
      <c r="V156" s="284"/>
      <c r="W156" s="284"/>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c r="A157" s="161"/>
      <c r="B157" s="161"/>
      <c r="C157" s="161"/>
      <c r="D157" s="161"/>
      <c r="E157" s="341"/>
      <c r="F157" s="334" t="s">
        <v>56</v>
      </c>
      <c r="G157" s="335"/>
      <c r="H157" s="346" t="s">
        <v>281</v>
      </c>
      <c r="I157" s="346" t="s">
        <v>282</v>
      </c>
      <c r="J157" s="344" t="s">
        <v>104</v>
      </c>
      <c r="K157" s="344" t="s">
        <v>102</v>
      </c>
      <c r="L157" s="344" t="s">
        <v>207</v>
      </c>
      <c r="M157" s="344" t="s">
        <v>198</v>
      </c>
      <c r="N157" s="346" t="s">
        <v>283</v>
      </c>
      <c r="O157" s="473" t="s">
        <v>133</v>
      </c>
      <c r="P157" s="348"/>
      <c r="Q157" s="473" t="b">
        <v>0</v>
      </c>
      <c r="R157" s="2"/>
      <c r="S157" s="2"/>
      <c r="T157" s="284"/>
      <c r="U157" s="284"/>
      <c r="V157" s="284"/>
      <c r="W157" s="284"/>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c r="A158" s="161"/>
      <c r="B158" s="161"/>
      <c r="C158" s="161"/>
      <c r="D158" s="161"/>
      <c r="E158" s="341"/>
      <c r="F158" s="342"/>
      <c r="G158" s="343"/>
      <c r="H158" s="337" t="s">
        <v>285</v>
      </c>
      <c r="I158" s="349" t="s">
        <v>282</v>
      </c>
      <c r="J158" s="349">
        <f t="shared" ref="J158:M158" si="29">PARAMS(J157)</f>
        <v>1024</v>
      </c>
      <c r="K158" s="349">
        <f t="shared" si="29"/>
        <v>1</v>
      </c>
      <c r="L158" s="349">
        <f t="shared" si="29"/>
        <v>128</v>
      </c>
      <c r="M158" s="349">
        <f t="shared" si="29"/>
        <v>512</v>
      </c>
      <c r="N158" s="349" t="s">
        <v>283</v>
      </c>
      <c r="O158" s="350"/>
      <c r="P158" s="351">
        <f>SIZEOF_IN_MIB(J158:M158, $O157)</f>
        <v>128</v>
      </c>
      <c r="Q158" s="350"/>
      <c r="R158" s="2"/>
      <c r="S158" s="2"/>
      <c r="T158" s="284"/>
      <c r="U158" s="284"/>
      <c r="V158" s="284"/>
      <c r="W158" s="284"/>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c r="A159" s="161"/>
      <c r="B159" s="161"/>
      <c r="C159" s="161"/>
      <c r="D159" s="161"/>
      <c r="E159" s="341"/>
      <c r="F159" s="342"/>
      <c r="G159" s="343"/>
      <c r="H159" s="346" t="s">
        <v>287</v>
      </c>
      <c r="I159" s="346" t="s">
        <v>282</v>
      </c>
      <c r="J159" s="344" t="s">
        <v>196</v>
      </c>
      <c r="K159" s="344"/>
      <c r="L159" s="344"/>
      <c r="M159" s="346"/>
      <c r="N159" s="346" t="s">
        <v>283</v>
      </c>
      <c r="O159" s="347"/>
      <c r="P159" s="348"/>
      <c r="Q159" s="347"/>
      <c r="R159" s="2"/>
      <c r="S159" s="2"/>
      <c r="T159" s="284"/>
      <c r="U159" s="284"/>
      <c r="V159" s="284"/>
      <c r="W159" s="284"/>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61"/>
      <c r="B160" s="161"/>
      <c r="C160" s="161"/>
      <c r="D160" s="161"/>
      <c r="E160" s="341"/>
      <c r="F160" s="353"/>
      <c r="G160" s="354"/>
      <c r="H160" s="349" t="s">
        <v>289</v>
      </c>
      <c r="I160" s="349" t="s">
        <v>282</v>
      </c>
      <c r="J160" s="349">
        <f t="shared" ref="J160:M160" si="30">J158/SHARDING(J159)</f>
        <v>64</v>
      </c>
      <c r="K160" s="349">
        <f t="shared" si="30"/>
        <v>1</v>
      </c>
      <c r="L160" s="349">
        <f t="shared" si="30"/>
        <v>128</v>
      </c>
      <c r="M160" s="349">
        <f t="shared" si="30"/>
        <v>512</v>
      </c>
      <c r="N160" s="349" t="s">
        <v>283</v>
      </c>
      <c r="O160" s="316"/>
      <c r="P160" s="351">
        <f>SIZEOF_IN_MIB(J160:M160, $O157)</f>
        <v>8</v>
      </c>
      <c r="Q160" s="316"/>
      <c r="R160" s="2"/>
      <c r="S160" s="2"/>
      <c r="T160" s="284"/>
      <c r="U160" s="284"/>
      <c r="V160" s="284"/>
      <c r="W160" s="284"/>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61"/>
      <c r="B161" s="161"/>
      <c r="C161" s="161"/>
      <c r="D161" s="161"/>
      <c r="E161" s="341"/>
      <c r="F161" s="474" t="s">
        <v>335</v>
      </c>
      <c r="G161" s="459" t="s">
        <v>109</v>
      </c>
      <c r="H161" s="497"/>
      <c r="I161" s="498"/>
      <c r="J161" s="345"/>
      <c r="K161" s="345"/>
      <c r="L161" s="346"/>
      <c r="M161" s="346"/>
      <c r="N161" s="346"/>
      <c r="O161" s="345"/>
      <c r="P161" s="348"/>
      <c r="Q161" s="379"/>
      <c r="T161" s="4"/>
      <c r="U161" s="4"/>
      <c r="V161" s="4"/>
      <c r="W161" s="4"/>
    </row>
    <row r="162">
      <c r="A162" s="161"/>
      <c r="B162" s="2"/>
      <c r="C162" s="2"/>
      <c r="D162" s="2"/>
      <c r="E162" s="341"/>
      <c r="F162" s="352"/>
      <c r="G162" s="459"/>
      <c r="H162" s="349"/>
      <c r="I162" s="492"/>
      <c r="J162" s="336"/>
      <c r="K162" s="336"/>
      <c r="L162" s="349"/>
      <c r="M162" s="349"/>
      <c r="N162" s="349"/>
      <c r="O162" s="336"/>
      <c r="P162" s="351"/>
      <c r="Q162" s="298"/>
      <c r="T162" s="4"/>
      <c r="U162" s="4"/>
      <c r="V162" s="4"/>
      <c r="W162" s="4"/>
    </row>
    <row r="163">
      <c r="A163" s="2"/>
      <c r="B163" s="2"/>
      <c r="C163" s="2"/>
      <c r="D163" s="2"/>
      <c r="E163" s="341"/>
      <c r="F163" s="458" t="s">
        <v>327</v>
      </c>
      <c r="G163" s="459" t="s">
        <v>328</v>
      </c>
      <c r="H163" s="346" t="str">
        <f>VLOOKUP(O149&amp;","&amp;O153,$T$3:$W$12,4, FALSE)</f>
        <v>bf16</v>
      </c>
      <c r="I163" s="493"/>
      <c r="J163" s="345"/>
      <c r="K163" s="345"/>
      <c r="L163" s="346"/>
      <c r="M163" s="346"/>
      <c r="N163" s="346"/>
      <c r="O163" s="345"/>
      <c r="P163" s="348"/>
      <c r="Q163" s="379"/>
      <c r="T163" s="4"/>
      <c r="U163" s="4"/>
      <c r="V163" s="4"/>
      <c r="W163" s="4"/>
    </row>
    <row r="164">
      <c r="A164" s="161"/>
      <c r="B164" s="161"/>
      <c r="C164" s="161"/>
      <c r="D164" s="161"/>
      <c r="E164" s="341"/>
      <c r="F164" s="341"/>
      <c r="G164" s="455" t="s">
        <v>341</v>
      </c>
      <c r="H164" s="494" t="str">
        <f>CALCULATE_FLOPS(J152:M152,J156:M156,L156,K156,H163)</f>
        <v>#N/A</v>
      </c>
      <c r="I164" s="492"/>
      <c r="J164" s="336"/>
      <c r="K164" s="336"/>
      <c r="L164" s="349"/>
      <c r="M164" s="349"/>
      <c r="N164" s="349"/>
      <c r="O164" s="336"/>
      <c r="P164" s="351"/>
      <c r="Q164" s="298"/>
      <c r="T164" s="4"/>
      <c r="U164" s="4"/>
      <c r="V164" s="4"/>
      <c r="W164" s="4"/>
    </row>
    <row r="165">
      <c r="A165" s="161"/>
      <c r="B165" s="161"/>
      <c r="C165" s="161"/>
      <c r="D165" s="161"/>
      <c r="E165" s="341"/>
      <c r="F165" s="352"/>
      <c r="G165" s="462" t="s">
        <v>330</v>
      </c>
      <c r="H165" s="463" t="str">
        <f>COMPUTE_TIME_MS(H164, H163)</f>
        <v>#N/A</v>
      </c>
      <c r="I165" s="464"/>
      <c r="J165" s="465"/>
      <c r="K165" s="465"/>
      <c r="L165" s="466"/>
      <c r="M165" s="466"/>
      <c r="N165" s="466"/>
      <c r="O165" s="465"/>
      <c r="P165" s="467"/>
      <c r="Q165" s="379"/>
      <c r="T165" s="4"/>
      <c r="U165" s="4"/>
      <c r="V165" s="4"/>
      <c r="W165" s="4"/>
    </row>
    <row r="166">
      <c r="A166" s="161"/>
      <c r="B166" s="161"/>
      <c r="C166" s="161"/>
      <c r="D166" s="161"/>
      <c r="E166" s="341"/>
      <c r="F166" s="458" t="s">
        <v>331</v>
      </c>
      <c r="G166" s="455" t="s">
        <v>332</v>
      </c>
      <c r="H166" s="377">
        <f>IF(Q149,0,P152)+IF(Q153,0,P156)+IF(Q157,0,P160)</f>
        <v>26</v>
      </c>
      <c r="I166" s="336"/>
      <c r="J166" s="336"/>
      <c r="K166" s="336"/>
      <c r="L166" s="349"/>
      <c r="M166" s="349"/>
      <c r="N166" s="349"/>
      <c r="O166" s="336"/>
      <c r="P166" s="351"/>
      <c r="Q166" s="298"/>
      <c r="R166" s="2"/>
      <c r="S166" s="2"/>
      <c r="T166" s="284"/>
      <c r="U166" s="284"/>
      <c r="V166" s="284"/>
      <c r="W166" s="284"/>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c r="A167" s="161"/>
      <c r="B167" s="161"/>
      <c r="C167" s="161"/>
      <c r="D167" s="161"/>
      <c r="E167" s="352"/>
      <c r="F167" s="352"/>
      <c r="G167" s="469" t="s">
        <v>333</v>
      </c>
      <c r="H167" s="496" t="str">
        <f>HBM_TIME_MS(H166)</f>
        <v>#N/A</v>
      </c>
      <c r="I167" s="465"/>
      <c r="J167" s="465"/>
      <c r="K167" s="465"/>
      <c r="L167" s="466"/>
      <c r="M167" s="466"/>
      <c r="N167" s="466"/>
      <c r="O167" s="465"/>
      <c r="P167" s="467"/>
      <c r="Q167" s="379"/>
      <c r="R167" s="2"/>
      <c r="S167" s="2"/>
      <c r="T167" s="284"/>
      <c r="U167" s="284"/>
      <c r="V167" s="284"/>
      <c r="W167" s="284"/>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c r="A168" s="161"/>
      <c r="B168" s="161"/>
      <c r="C168" s="161"/>
      <c r="D168" s="161"/>
      <c r="E168" s="333" t="s">
        <v>343</v>
      </c>
      <c r="F168" s="357" t="s">
        <v>292</v>
      </c>
      <c r="G168" s="335"/>
      <c r="H168" s="336" t="s">
        <v>281</v>
      </c>
      <c r="I168" s="336" t="s">
        <v>282</v>
      </c>
      <c r="J168" s="337"/>
      <c r="K168" s="337" t="s">
        <v>104</v>
      </c>
      <c r="L168" s="337" t="s">
        <v>102</v>
      </c>
      <c r="M168" s="499" t="s">
        <v>178</v>
      </c>
      <c r="N168" s="336" t="s">
        <v>283</v>
      </c>
      <c r="O168" s="338" t="str">
        <f>EXTRACT_ACTIVATION_DTYPE(PARAMS("attn_proj_dtype"))</f>
        <v>bf16</v>
      </c>
      <c r="P168" s="351"/>
      <c r="Q168" s="338" t="b">
        <v>0</v>
      </c>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161"/>
      <c r="B169" s="161"/>
      <c r="C169" s="161"/>
      <c r="D169" s="161"/>
      <c r="E169" s="341"/>
      <c r="F169" s="342"/>
      <c r="G169" s="343"/>
      <c r="H169" s="273" t="s">
        <v>285</v>
      </c>
      <c r="I169" s="364" t="s">
        <v>282</v>
      </c>
      <c r="J169" s="363"/>
      <c r="K169" s="363">
        <f t="shared" ref="K169:M169" si="31">PARAMS(K168)</f>
        <v>1024</v>
      </c>
      <c r="L169" s="364">
        <f t="shared" si="31"/>
        <v>1</v>
      </c>
      <c r="M169" s="364">
        <f t="shared" si="31"/>
        <v>7168</v>
      </c>
      <c r="N169" s="364" t="s">
        <v>283</v>
      </c>
      <c r="O169" s="341"/>
      <c r="P169" s="366">
        <f>SIZEOF_IN_MIB(J169:M169, $O168)</f>
        <v>14</v>
      </c>
      <c r="Q169" s="341"/>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41"/>
      <c r="F170" s="342"/>
      <c r="G170" s="343"/>
      <c r="H170" s="363" t="s">
        <v>287</v>
      </c>
      <c r="I170" s="363" t="s">
        <v>282</v>
      </c>
      <c r="J170" s="364"/>
      <c r="K170" s="273" t="s">
        <v>196</v>
      </c>
      <c r="L170" s="273"/>
      <c r="M170" s="363"/>
      <c r="N170" s="363" t="s">
        <v>283</v>
      </c>
      <c r="O170" s="341"/>
      <c r="P170" s="366"/>
      <c r="Q170" s="341"/>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41"/>
      <c r="F171" s="353"/>
      <c r="G171" s="354"/>
      <c r="H171" s="273" t="s">
        <v>289</v>
      </c>
      <c r="I171" s="363" t="s">
        <v>282</v>
      </c>
      <c r="J171" s="364"/>
      <c r="K171" s="363">
        <f t="shared" ref="K171:M171" si="32">K169/SHARDING(K170)</f>
        <v>64</v>
      </c>
      <c r="L171" s="363">
        <f t="shared" si="32"/>
        <v>1</v>
      </c>
      <c r="M171" s="363">
        <f t="shared" si="32"/>
        <v>7168</v>
      </c>
      <c r="N171" s="363" t="s">
        <v>283</v>
      </c>
      <c r="O171" s="352"/>
      <c r="P171" s="366">
        <f>SIZEOF_IN_MIB(J171:M171, $O168)</f>
        <v>0.875</v>
      </c>
      <c r="Q171" s="35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34" t="s">
        <v>296</v>
      </c>
      <c r="G172" s="335"/>
      <c r="H172" s="363" t="s">
        <v>281</v>
      </c>
      <c r="I172" s="363" t="s">
        <v>282</v>
      </c>
      <c r="J172" s="364"/>
      <c r="K172" s="273"/>
      <c r="L172" s="472" t="s">
        <v>178</v>
      </c>
      <c r="M172" s="273" t="s">
        <v>210</v>
      </c>
      <c r="N172" s="363" t="s">
        <v>283</v>
      </c>
      <c r="O172" s="365" t="str">
        <f>EXTRACT_WEIGHT_DTYPE(PARAMS("attn_proj_dtype"))</f>
        <v>bf16</v>
      </c>
      <c r="P172" s="366"/>
      <c r="Q172" s="365" t="b">
        <v>0</v>
      </c>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342"/>
      <c r="G173" s="343"/>
      <c r="H173" s="273" t="s">
        <v>285</v>
      </c>
      <c r="I173" s="363" t="s">
        <v>282</v>
      </c>
      <c r="J173" s="364"/>
      <c r="K173" s="363"/>
      <c r="L173" s="363">
        <f t="shared" ref="L173:M173" si="33">PARAMS(L172)</f>
        <v>7168</v>
      </c>
      <c r="M173" s="363">
        <f t="shared" si="33"/>
        <v>576</v>
      </c>
      <c r="N173" s="363" t="s">
        <v>283</v>
      </c>
      <c r="O173" s="341"/>
      <c r="P173" s="366">
        <f>SIZEOF_IN_MIB(J173:M173, $O172)</f>
        <v>7.875</v>
      </c>
      <c r="Q173" s="341"/>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61"/>
      <c r="B174" s="161"/>
      <c r="C174" s="161"/>
      <c r="D174" s="161"/>
      <c r="E174" s="341"/>
      <c r="F174" s="342"/>
      <c r="G174" s="343"/>
      <c r="H174" s="363" t="s">
        <v>287</v>
      </c>
      <c r="I174" s="363" t="s">
        <v>282</v>
      </c>
      <c r="J174" s="364"/>
      <c r="K174" s="364"/>
      <c r="L174" s="363"/>
      <c r="M174" s="363"/>
      <c r="N174" s="363" t="s">
        <v>283</v>
      </c>
      <c r="O174" s="341"/>
      <c r="P174" s="366"/>
      <c r="Q174" s="341"/>
    </row>
    <row r="175">
      <c r="A175" s="161"/>
      <c r="B175" s="161"/>
      <c r="C175" s="161"/>
      <c r="D175" s="161"/>
      <c r="E175" s="341"/>
      <c r="F175" s="353"/>
      <c r="G175" s="354"/>
      <c r="H175" s="349" t="s">
        <v>289</v>
      </c>
      <c r="I175" s="349" t="s">
        <v>282</v>
      </c>
      <c r="J175" s="336"/>
      <c r="K175" s="349"/>
      <c r="L175" s="349">
        <f t="shared" ref="L175:M175" si="34">L173/SHARDING(L174)</f>
        <v>7168</v>
      </c>
      <c r="M175" s="349">
        <f t="shared" si="34"/>
        <v>576</v>
      </c>
      <c r="N175" s="349" t="s">
        <v>283</v>
      </c>
      <c r="O175" s="316"/>
      <c r="P175" s="351">
        <f>SIZEOF_IN_MIB(J175:M175, $O172)</f>
        <v>7.875</v>
      </c>
      <c r="Q175" s="316"/>
    </row>
    <row r="176">
      <c r="A176" s="161"/>
      <c r="B176" s="161"/>
      <c r="C176" s="161"/>
      <c r="D176" s="161"/>
      <c r="E176" s="341"/>
      <c r="F176" s="334" t="s">
        <v>56</v>
      </c>
      <c r="G176" s="335"/>
      <c r="H176" s="346" t="s">
        <v>281</v>
      </c>
      <c r="I176" s="346" t="s">
        <v>282</v>
      </c>
      <c r="J176" s="345"/>
      <c r="K176" s="344" t="s">
        <v>104</v>
      </c>
      <c r="L176" s="344" t="s">
        <v>102</v>
      </c>
      <c r="M176" s="344" t="s">
        <v>210</v>
      </c>
      <c r="N176" s="346" t="s">
        <v>283</v>
      </c>
      <c r="O176" s="473" t="s">
        <v>133</v>
      </c>
      <c r="P176" s="348"/>
      <c r="Q176" s="473" t="b">
        <v>0</v>
      </c>
    </row>
    <row r="177">
      <c r="A177" s="161"/>
      <c r="B177" s="2"/>
      <c r="C177" s="2"/>
      <c r="D177" s="2"/>
      <c r="E177" s="341"/>
      <c r="F177" s="342"/>
      <c r="G177" s="343"/>
      <c r="H177" s="337" t="s">
        <v>285</v>
      </c>
      <c r="I177" s="349" t="s">
        <v>282</v>
      </c>
      <c r="J177" s="336"/>
      <c r="K177" s="349">
        <f t="shared" ref="K177:M177" si="35">PARAMS(K176)</f>
        <v>1024</v>
      </c>
      <c r="L177" s="349">
        <f t="shared" si="35"/>
        <v>1</v>
      </c>
      <c r="M177" s="349">
        <f t="shared" si="35"/>
        <v>576</v>
      </c>
      <c r="N177" s="349" t="s">
        <v>283</v>
      </c>
      <c r="O177" s="350"/>
      <c r="P177" s="351">
        <f>SIZEOF_IN_MIB(K177:M177, $O176)</f>
        <v>1.125</v>
      </c>
      <c r="Q177" s="350"/>
    </row>
    <row r="178">
      <c r="A178" s="2"/>
      <c r="B178" s="2"/>
      <c r="C178" s="2"/>
      <c r="D178" s="2"/>
      <c r="E178" s="341"/>
      <c r="F178" s="342"/>
      <c r="G178" s="343"/>
      <c r="H178" s="346" t="s">
        <v>287</v>
      </c>
      <c r="I178" s="346" t="s">
        <v>282</v>
      </c>
      <c r="J178" s="345"/>
      <c r="K178" s="344" t="s">
        <v>196</v>
      </c>
      <c r="L178" s="344"/>
      <c r="M178" s="346"/>
      <c r="N178" s="346" t="s">
        <v>283</v>
      </c>
      <c r="O178" s="347"/>
      <c r="P178" s="348"/>
      <c r="Q178" s="347"/>
    </row>
    <row r="179">
      <c r="A179" s="161"/>
      <c r="B179" s="161"/>
      <c r="C179" s="161"/>
      <c r="D179" s="161"/>
      <c r="E179" s="341"/>
      <c r="F179" s="353"/>
      <c r="G179" s="354"/>
      <c r="H179" s="349" t="s">
        <v>289</v>
      </c>
      <c r="I179" s="349" t="s">
        <v>282</v>
      </c>
      <c r="J179" s="349"/>
      <c r="K179" s="349">
        <f t="shared" ref="K179:M179" si="36">K177/SHARDING(K178)</f>
        <v>64</v>
      </c>
      <c r="L179" s="349">
        <f t="shared" si="36"/>
        <v>1</v>
      </c>
      <c r="M179" s="349">
        <f t="shared" si="36"/>
        <v>576</v>
      </c>
      <c r="N179" s="349" t="s">
        <v>283</v>
      </c>
      <c r="O179" s="316"/>
      <c r="P179" s="351">
        <f>SIZEOF_IN_MIB(K179:M179, $O176)</f>
        <v>0.0703125</v>
      </c>
      <c r="Q179" s="316"/>
    </row>
    <row r="180">
      <c r="A180" s="161"/>
      <c r="B180" s="161"/>
      <c r="C180" s="161"/>
      <c r="D180" s="161"/>
      <c r="E180" s="341"/>
      <c r="F180" s="474" t="s">
        <v>335</v>
      </c>
      <c r="G180" s="459" t="s">
        <v>109</v>
      </c>
      <c r="H180" s="497"/>
      <c r="I180" s="498"/>
      <c r="J180" s="345"/>
      <c r="K180" s="345"/>
      <c r="L180" s="346"/>
      <c r="M180" s="346"/>
      <c r="N180" s="346"/>
      <c r="O180" s="345"/>
      <c r="P180" s="348"/>
      <c r="Q180" s="379"/>
    </row>
    <row r="181">
      <c r="A181" s="161"/>
      <c r="B181" s="161"/>
      <c r="C181" s="161"/>
      <c r="D181" s="161"/>
      <c r="E181" s="341"/>
      <c r="F181" s="352"/>
      <c r="G181" s="459"/>
      <c r="H181" s="349"/>
      <c r="I181" s="492"/>
      <c r="J181" s="336"/>
      <c r="K181" s="336"/>
      <c r="L181" s="349"/>
      <c r="M181" s="349"/>
      <c r="N181" s="349"/>
      <c r="O181" s="336"/>
      <c r="P181" s="351"/>
      <c r="Q181" s="298"/>
    </row>
    <row r="182">
      <c r="A182" s="161"/>
      <c r="B182" s="161"/>
      <c r="C182" s="161"/>
      <c r="D182" s="161"/>
      <c r="E182" s="341"/>
      <c r="F182" s="458" t="s">
        <v>327</v>
      </c>
      <c r="G182" s="459" t="s">
        <v>328</v>
      </c>
      <c r="H182" s="346" t="str">
        <f>VLOOKUP(O168&amp;","&amp;O172,$T$3:$W$12,4, FALSE)</f>
        <v>bf16</v>
      </c>
      <c r="I182" s="493"/>
      <c r="J182" s="345"/>
      <c r="K182" s="345"/>
      <c r="L182" s="346"/>
      <c r="M182" s="346"/>
      <c r="N182" s="346"/>
      <c r="O182" s="345"/>
      <c r="P182" s="348"/>
      <c r="Q182" s="379"/>
    </row>
    <row r="183">
      <c r="A183" s="161"/>
      <c r="B183" s="161"/>
      <c r="C183" s="161"/>
      <c r="D183" s="161"/>
      <c r="E183" s="341"/>
      <c r="F183" s="341"/>
      <c r="G183" s="455" t="s">
        <v>341</v>
      </c>
      <c r="H183" s="494" t="str">
        <f>CALCULATE_FLOPS(J171:M171,J175:M175,L175,1,H182)</f>
        <v>#N/A</v>
      </c>
      <c r="I183" s="492"/>
      <c r="J183" s="336"/>
      <c r="K183" s="336"/>
      <c r="L183" s="349"/>
      <c r="M183" s="349"/>
      <c r="N183" s="349"/>
      <c r="O183" s="336"/>
      <c r="P183" s="351"/>
      <c r="Q183" s="298"/>
    </row>
    <row r="184">
      <c r="A184" s="161"/>
      <c r="B184" s="161"/>
      <c r="C184" s="161"/>
      <c r="D184" s="161"/>
      <c r="E184" s="341"/>
      <c r="F184" s="352"/>
      <c r="G184" s="462" t="s">
        <v>330</v>
      </c>
      <c r="H184" s="495" t="str">
        <f>COMPUTE_TIME_MS(H183, H182)</f>
        <v>#N/A</v>
      </c>
      <c r="I184" s="464"/>
      <c r="J184" s="465"/>
      <c r="K184" s="465"/>
      <c r="L184" s="466"/>
      <c r="M184" s="466"/>
      <c r="N184" s="466"/>
      <c r="O184" s="465"/>
      <c r="P184" s="467"/>
      <c r="Q184" s="379"/>
    </row>
    <row r="185">
      <c r="A185" s="161"/>
      <c r="B185" s="161"/>
      <c r="C185" s="161"/>
      <c r="D185" s="161"/>
      <c r="E185" s="341"/>
      <c r="F185" s="458" t="s">
        <v>331</v>
      </c>
      <c r="G185" s="455" t="s">
        <v>332</v>
      </c>
      <c r="H185" s="377">
        <f>IF(Q168,0,P171)+IF(Q172,0,P175)+IF(Q176,0,P179)</f>
        <v>8.8203125</v>
      </c>
      <c r="I185" s="336"/>
      <c r="J185" s="336"/>
      <c r="K185" s="336"/>
      <c r="L185" s="349"/>
      <c r="M185" s="349"/>
      <c r="N185" s="349"/>
      <c r="O185" s="336"/>
      <c r="P185" s="351"/>
      <c r="Q185" s="298"/>
    </row>
    <row r="186">
      <c r="A186" s="161"/>
      <c r="B186" s="161"/>
      <c r="C186" s="161"/>
      <c r="D186" s="161"/>
      <c r="E186" s="352"/>
      <c r="F186" s="352"/>
      <c r="G186" s="469" t="s">
        <v>333</v>
      </c>
      <c r="H186" s="500" t="str">
        <f>HBM_TIME_MS(H185)</f>
        <v>#N/A</v>
      </c>
      <c r="I186" s="465"/>
      <c r="J186" s="465"/>
      <c r="K186" s="465"/>
      <c r="L186" s="466"/>
      <c r="M186" s="466"/>
      <c r="N186" s="466"/>
      <c r="O186" s="465"/>
      <c r="P186" s="467"/>
      <c r="Q186" s="379"/>
    </row>
    <row r="187">
      <c r="A187" s="161"/>
      <c r="B187" s="161"/>
      <c r="C187" s="161"/>
      <c r="D187" s="161"/>
      <c r="E187" s="501" t="s">
        <v>344</v>
      </c>
      <c r="F187" s="474" t="s">
        <v>345</v>
      </c>
      <c r="G187" s="502" t="s">
        <v>301</v>
      </c>
      <c r="H187" s="503" t="s">
        <v>281</v>
      </c>
      <c r="I187" s="336" t="s">
        <v>282</v>
      </c>
      <c r="J187" s="504" t="str">
        <f t="array" ref="J187:M190">J176:M179</f>
        <v/>
      </c>
      <c r="K187" s="337" t="s">
        <v>104</v>
      </c>
      <c r="L187" s="337" t="s">
        <v>102</v>
      </c>
      <c r="M187" s="337" t="s">
        <v>210</v>
      </c>
      <c r="N187" s="349" t="s">
        <v>283</v>
      </c>
      <c r="O187" s="338" t="s">
        <v>125</v>
      </c>
      <c r="P187" s="505"/>
      <c r="Q187" s="506"/>
    </row>
    <row r="188">
      <c r="A188" s="161"/>
      <c r="B188" s="161"/>
      <c r="C188" s="161"/>
      <c r="D188" s="161"/>
      <c r="E188" s="341"/>
      <c r="F188" s="341"/>
      <c r="G188" s="341"/>
      <c r="H188" s="507" t="s">
        <v>285</v>
      </c>
      <c r="I188" s="345" t="s">
        <v>282</v>
      </c>
      <c r="J188" s="508"/>
      <c r="K188" s="345">
        <v>1024.0</v>
      </c>
      <c r="L188" s="346">
        <v>1.0</v>
      </c>
      <c r="M188" s="346">
        <v>576.0</v>
      </c>
      <c r="N188" s="346" t="s">
        <v>283</v>
      </c>
      <c r="O188" s="347"/>
      <c r="P188" s="509">
        <f>SIZEOF_IN_MIB(J188:M188, O187)</f>
        <v>0.5625</v>
      </c>
      <c r="Q188" s="347"/>
    </row>
    <row r="189">
      <c r="A189" s="161"/>
      <c r="B189" s="161"/>
      <c r="C189" s="161"/>
      <c r="D189" s="161"/>
      <c r="E189" s="341"/>
      <c r="F189" s="341"/>
      <c r="G189" s="341"/>
      <c r="H189" s="503" t="s">
        <v>302</v>
      </c>
      <c r="I189" s="336" t="s">
        <v>282</v>
      </c>
      <c r="J189" s="504"/>
      <c r="K189" s="504" t="s">
        <v>196</v>
      </c>
      <c r="L189" s="349"/>
      <c r="M189" s="510"/>
      <c r="N189" s="349" t="s">
        <v>283</v>
      </c>
      <c r="O189" s="350"/>
      <c r="P189" s="511"/>
      <c r="Q189" s="350"/>
    </row>
    <row r="190">
      <c r="A190" s="161"/>
      <c r="B190" s="161"/>
      <c r="C190" s="161"/>
      <c r="D190" s="161"/>
      <c r="E190" s="341"/>
      <c r="F190" s="341"/>
      <c r="G190" s="341"/>
      <c r="H190" s="507" t="s">
        <v>303</v>
      </c>
      <c r="I190" s="345" t="s">
        <v>282</v>
      </c>
      <c r="J190" s="508"/>
      <c r="K190" s="346">
        <v>64.0</v>
      </c>
      <c r="L190" s="346">
        <v>1.0</v>
      </c>
      <c r="M190" s="346">
        <v>576.0</v>
      </c>
      <c r="N190" s="346" t="s">
        <v>283</v>
      </c>
      <c r="O190" s="347"/>
      <c r="P190" s="509">
        <f>SIZEOF_IN_MIB(J190:M190, O187)</f>
        <v>0.03515625</v>
      </c>
      <c r="Q190" s="347"/>
    </row>
    <row r="191">
      <c r="A191" s="161"/>
      <c r="B191" s="161"/>
      <c r="C191" s="161"/>
      <c r="D191" s="161"/>
      <c r="E191" s="341"/>
      <c r="F191" s="341"/>
      <c r="G191" s="341"/>
      <c r="H191" s="503" t="s">
        <v>304</v>
      </c>
      <c r="I191" s="336" t="s">
        <v>282</v>
      </c>
      <c r="J191" s="504"/>
      <c r="K191" s="504"/>
      <c r="L191" s="510"/>
      <c r="M191" s="510"/>
      <c r="N191" s="349" t="s">
        <v>283</v>
      </c>
      <c r="O191" s="350"/>
      <c r="P191" s="505"/>
      <c r="Q191" s="350"/>
    </row>
    <row r="192">
      <c r="A192" s="161"/>
      <c r="B192" s="161"/>
      <c r="C192" s="161"/>
      <c r="D192" s="161"/>
      <c r="E192" s="341"/>
      <c r="F192" s="341"/>
      <c r="G192" s="352"/>
      <c r="H192" s="507" t="s">
        <v>303</v>
      </c>
      <c r="I192" s="345" t="s">
        <v>282</v>
      </c>
      <c r="J192" s="508"/>
      <c r="K192" s="346">
        <f t="shared" ref="K192:M192" si="37">K188/SHARDING(K191)</f>
        <v>1024</v>
      </c>
      <c r="L192" s="346">
        <f t="shared" si="37"/>
        <v>1</v>
      </c>
      <c r="M192" s="346">
        <f t="shared" si="37"/>
        <v>576</v>
      </c>
      <c r="N192" s="346" t="s">
        <v>283</v>
      </c>
      <c r="O192" s="355"/>
      <c r="P192" s="509">
        <f>SIZEOF_IN_MIB(J192:M192, O187)</f>
        <v>0.5625</v>
      </c>
      <c r="Q192" s="355"/>
    </row>
    <row r="193">
      <c r="A193" s="161"/>
      <c r="B193" s="161"/>
      <c r="C193" s="161"/>
      <c r="D193" s="161"/>
      <c r="E193" s="341"/>
      <c r="F193" s="341"/>
      <c r="G193" s="512" t="s">
        <v>305</v>
      </c>
      <c r="H193" s="513"/>
      <c r="I193" s="445"/>
      <c r="J193" s="445"/>
      <c r="K193" s="445"/>
      <c r="L193" s="514"/>
      <c r="M193" s="514"/>
      <c r="N193" s="514"/>
      <c r="O193" s="445"/>
      <c r="P193" s="515"/>
      <c r="Q193" s="445"/>
    </row>
    <row r="194">
      <c r="A194" s="161"/>
      <c r="B194" s="161"/>
      <c r="C194" s="161"/>
      <c r="D194" s="161"/>
      <c r="E194" s="341"/>
      <c r="F194" s="341"/>
      <c r="G194" s="516" t="s">
        <v>306</v>
      </c>
      <c r="H194" s="517">
        <f>SHARDING(K189)*SHARDING(L189)*SHARDING(M189)</f>
        <v>16</v>
      </c>
      <c r="I194" s="508"/>
      <c r="J194" s="508"/>
      <c r="K194" s="508"/>
      <c r="L194" s="518"/>
      <c r="M194" s="518"/>
      <c r="N194" s="518"/>
      <c r="O194" s="508"/>
      <c r="P194" s="519"/>
      <c r="Q194" s="508"/>
    </row>
    <row r="195">
      <c r="A195" s="161"/>
      <c r="B195" s="161"/>
      <c r="C195" s="161"/>
      <c r="D195" s="161"/>
      <c r="E195" s="341"/>
      <c r="F195" s="341"/>
      <c r="G195" s="516" t="s">
        <v>307</v>
      </c>
      <c r="H195" s="520">
        <f>P190 * (H194-1)</f>
        <v>0.52734375</v>
      </c>
      <c r="I195" s="504"/>
      <c r="J195" s="504"/>
      <c r="K195" s="504"/>
      <c r="L195" s="510"/>
      <c r="M195" s="510"/>
      <c r="N195" s="510"/>
      <c r="O195" s="504"/>
      <c r="P195" s="511"/>
      <c r="Q195" s="504"/>
    </row>
    <row r="196">
      <c r="A196" s="161"/>
      <c r="B196" s="161"/>
      <c r="C196" s="161"/>
      <c r="D196" s="161"/>
      <c r="E196" s="341"/>
      <c r="F196" s="341"/>
      <c r="G196" s="516" t="s">
        <v>308</v>
      </c>
      <c r="H196" s="521">
        <f>H195*H194</f>
        <v>8.4375</v>
      </c>
      <c r="I196" s="508"/>
      <c r="J196" s="508"/>
      <c r="K196" s="508"/>
      <c r="L196" s="518"/>
      <c r="M196" s="518"/>
      <c r="N196" s="518"/>
      <c r="O196" s="508"/>
      <c r="P196" s="519"/>
      <c r="Q196" s="508"/>
    </row>
    <row r="197">
      <c r="A197" s="161"/>
      <c r="B197" s="161"/>
      <c r="C197" s="161"/>
      <c r="D197" s="161"/>
      <c r="E197" s="341"/>
      <c r="F197" s="341"/>
      <c r="G197" s="516" t="s">
        <v>309</v>
      </c>
      <c r="H197" s="503" t="str">
        <f>IFS(H194=8,12,
H194=4,4,
H194=2,1,
H194=1,0,
TRUE,NA())</f>
        <v>#N/A</v>
      </c>
      <c r="I197" s="504"/>
      <c r="J197" s="504"/>
      <c r="K197" s="504"/>
      <c r="L197" s="510"/>
      <c r="M197" s="510"/>
      <c r="N197" s="510"/>
      <c r="O197" s="504"/>
      <c r="P197" s="511"/>
      <c r="Q197" s="504"/>
    </row>
    <row r="198">
      <c r="A198" s="161"/>
      <c r="B198" s="161"/>
      <c r="C198" s="161"/>
      <c r="D198" s="161"/>
      <c r="E198" s="341"/>
      <c r="F198" s="341"/>
      <c r="G198" s="522" t="s">
        <v>310</v>
      </c>
      <c r="H198" s="523">
        <v>1.0</v>
      </c>
      <c r="I198" s="508"/>
      <c r="J198" s="508"/>
      <c r="K198" s="508"/>
      <c r="L198" s="518"/>
      <c r="M198" s="518"/>
      <c r="N198" s="518"/>
      <c r="O198" s="508"/>
      <c r="P198" s="519"/>
      <c r="Q198" s="508"/>
    </row>
    <row r="199">
      <c r="A199" s="161"/>
      <c r="B199" s="161"/>
      <c r="C199" s="161"/>
      <c r="D199" s="161"/>
      <c r="E199" s="341"/>
      <c r="F199" s="341"/>
      <c r="G199" s="524" t="s">
        <v>311</v>
      </c>
      <c r="H199" s="525" t="str">
        <f>ALL_GATHER_CHIP2CHIP_TIME_MS2(H196 * H198, H197)</f>
        <v>#N/A</v>
      </c>
      <c r="I199" s="504"/>
      <c r="J199" s="504"/>
      <c r="K199" s="504"/>
      <c r="L199" s="510"/>
      <c r="M199" s="510"/>
      <c r="N199" s="510"/>
      <c r="O199" s="504"/>
      <c r="P199" s="511"/>
      <c r="Q199" s="504"/>
    </row>
    <row r="200">
      <c r="A200" s="161"/>
      <c r="B200" s="161"/>
      <c r="C200" s="161"/>
      <c r="D200" s="161"/>
      <c r="E200" s="341"/>
      <c r="F200" s="341"/>
      <c r="G200" s="522"/>
      <c r="H200" s="526"/>
      <c r="I200" s="508"/>
      <c r="J200" s="508"/>
      <c r="K200" s="508"/>
      <c r="L200" s="518"/>
      <c r="M200" s="518"/>
      <c r="N200" s="518"/>
      <c r="O200" s="508"/>
      <c r="P200" s="519"/>
      <c r="Q200" s="508"/>
    </row>
    <row r="201">
      <c r="A201" s="161"/>
      <c r="B201" s="161"/>
      <c r="C201" s="161"/>
      <c r="D201" s="161"/>
      <c r="E201" s="341"/>
      <c r="F201" s="341"/>
      <c r="G201" s="512" t="s">
        <v>312</v>
      </c>
      <c r="H201" s="513"/>
      <c r="I201" s="445"/>
      <c r="J201" s="445"/>
      <c r="K201" s="445"/>
      <c r="L201" s="514"/>
      <c r="M201" s="514"/>
      <c r="N201" s="514"/>
      <c r="O201" s="445"/>
      <c r="P201" s="515"/>
      <c r="Q201" s="445"/>
    </row>
    <row r="202">
      <c r="A202" s="161"/>
      <c r="B202" s="161"/>
      <c r="C202" s="161"/>
      <c r="D202" s="161"/>
      <c r="E202" s="341"/>
      <c r="F202" s="341"/>
      <c r="G202" s="527" t="s">
        <v>313</v>
      </c>
      <c r="H202" s="528" t="s">
        <v>306</v>
      </c>
      <c r="I202" s="508"/>
      <c r="J202" s="529" t="str">
        <f>SHARDING(K189)*SHARDING(L189)*SHARDING(M189)/HW_SPEC("# of TensorCore per Chip")</f>
        <v>#N/A</v>
      </c>
      <c r="K202" s="508"/>
      <c r="L202" s="518"/>
      <c r="M202" s="518"/>
      <c r="N202" s="518"/>
      <c r="O202" s="508"/>
      <c r="P202" s="519"/>
      <c r="Q202" s="508"/>
    </row>
    <row r="203">
      <c r="A203" s="161"/>
      <c r="B203" s="161"/>
      <c r="C203" s="161"/>
      <c r="D203" s="161"/>
      <c r="E203" s="341"/>
      <c r="F203" s="341"/>
      <c r="G203" s="341"/>
      <c r="H203" s="530" t="s">
        <v>307</v>
      </c>
      <c r="I203" s="504"/>
      <c r="J203" s="520" t="str">
        <f>P190 * HW_SPEC("# of TensorCore per Chip") * (J202-1)</f>
        <v>#N/A</v>
      </c>
      <c r="K203" s="504"/>
      <c r="L203" s="510"/>
      <c r="M203" s="510"/>
      <c r="N203" s="510"/>
      <c r="O203" s="504"/>
      <c r="P203" s="511"/>
      <c r="Q203" s="504"/>
    </row>
    <row r="204">
      <c r="A204" s="161"/>
      <c r="B204" s="161"/>
      <c r="C204" s="161"/>
      <c r="D204" s="161"/>
      <c r="E204" s="341"/>
      <c r="F204" s="341"/>
      <c r="G204" s="341"/>
      <c r="H204" s="528" t="s">
        <v>308</v>
      </c>
      <c r="I204" s="508"/>
      <c r="J204" s="521" t="str">
        <f>J203*J202</f>
        <v>#N/A</v>
      </c>
      <c r="K204" s="508"/>
      <c r="L204" s="518"/>
      <c r="M204" s="518"/>
      <c r="N204" s="518"/>
      <c r="O204" s="508"/>
      <c r="P204" s="519"/>
      <c r="Q204" s="508"/>
    </row>
    <row r="205">
      <c r="A205" s="161"/>
      <c r="B205" s="161"/>
      <c r="C205" s="161"/>
      <c r="D205" s="161"/>
      <c r="E205" s="341"/>
      <c r="F205" s="341"/>
      <c r="G205" s="341"/>
      <c r="H205" s="530" t="s">
        <v>309</v>
      </c>
      <c r="I205" s="504"/>
      <c r="J205" s="531" t="str">
        <f>IFS(J202=8,12,
J202=4,4,
J202=2,1,
J202=1,0,
TRUE,NA())</f>
        <v>#N/A</v>
      </c>
      <c r="K205" s="504"/>
      <c r="L205" s="510"/>
      <c r="M205" s="510"/>
      <c r="N205" s="510"/>
      <c r="O205" s="504"/>
      <c r="P205" s="511"/>
      <c r="Q205" s="504"/>
    </row>
    <row r="206">
      <c r="A206" s="161"/>
      <c r="B206" s="161"/>
      <c r="C206" s="161"/>
      <c r="D206" s="161"/>
      <c r="E206" s="341"/>
      <c r="F206" s="341"/>
      <c r="G206" s="341"/>
      <c r="H206" s="526" t="s">
        <v>310</v>
      </c>
      <c r="I206" s="508"/>
      <c r="J206" s="345">
        <v>2.0</v>
      </c>
      <c r="K206" s="508"/>
      <c r="L206" s="518"/>
      <c r="M206" s="518"/>
      <c r="N206" s="518"/>
      <c r="O206" s="508"/>
      <c r="P206" s="519"/>
      <c r="Q206" s="508"/>
    </row>
    <row r="207">
      <c r="A207" s="161"/>
      <c r="B207" s="161"/>
      <c r="C207" s="161"/>
      <c r="D207" s="161"/>
      <c r="E207" s="341"/>
      <c r="F207" s="341"/>
      <c r="G207" s="352"/>
      <c r="H207" s="530" t="s">
        <v>311</v>
      </c>
      <c r="I207" s="504"/>
      <c r="J207" s="532" t="str">
        <f>ALL_GATHER_CHIP2CHIP_TIME_MS2(J204 * J206, J205)</f>
        <v>#N/A</v>
      </c>
      <c r="K207" s="504"/>
      <c r="L207" s="510"/>
      <c r="M207" s="510"/>
      <c r="N207" s="510"/>
      <c r="O207" s="504"/>
      <c r="P207" s="511"/>
      <c r="Q207" s="504"/>
    </row>
    <row r="208">
      <c r="A208" s="161"/>
      <c r="B208" s="161"/>
      <c r="C208" s="161"/>
      <c r="D208" s="161"/>
      <c r="E208" s="341"/>
      <c r="F208" s="341"/>
      <c r="G208" s="527" t="s">
        <v>314</v>
      </c>
      <c r="H208" s="528" t="s">
        <v>306</v>
      </c>
      <c r="I208" s="508"/>
      <c r="J208" s="533" t="str">
        <f>HW_SPEC("# of TensorCore per Chip")</f>
        <v>#N/A</v>
      </c>
      <c r="K208" s="508"/>
      <c r="L208" s="518"/>
      <c r="M208" s="518"/>
      <c r="N208" s="518"/>
      <c r="O208" s="508"/>
      <c r="P208" s="519"/>
      <c r="Q208" s="508"/>
    </row>
    <row r="209">
      <c r="A209" s="161"/>
      <c r="B209" s="161"/>
      <c r="C209" s="161"/>
      <c r="D209" s="161"/>
      <c r="E209" s="341"/>
      <c r="F209" s="341"/>
      <c r="G209" s="341"/>
      <c r="H209" s="530" t="s">
        <v>307</v>
      </c>
      <c r="I209" s="504"/>
      <c r="J209" s="520" t="str">
        <f>P190*J202 * (J208-1)</f>
        <v>#N/A</v>
      </c>
      <c r="K209" s="504"/>
      <c r="L209" s="510"/>
      <c r="M209" s="510"/>
      <c r="N209" s="510"/>
      <c r="O209" s="504"/>
      <c r="P209" s="511"/>
      <c r="Q209" s="504"/>
    </row>
    <row r="210">
      <c r="A210" s="161"/>
      <c r="B210" s="161"/>
      <c r="C210" s="161"/>
      <c r="D210" s="161"/>
      <c r="E210" s="341"/>
      <c r="F210" s="341"/>
      <c r="G210" s="341"/>
      <c r="H210" s="528" t="s">
        <v>308</v>
      </c>
      <c r="I210" s="508"/>
      <c r="J210" s="521" t="str">
        <f>J209*J208</f>
        <v>#N/A</v>
      </c>
      <c r="K210" s="508"/>
      <c r="L210" s="518"/>
      <c r="M210" s="518"/>
      <c r="N210" s="518"/>
      <c r="O210" s="508"/>
      <c r="P210" s="519"/>
      <c r="Q210" s="508"/>
    </row>
    <row r="211">
      <c r="A211" s="161"/>
      <c r="B211" s="161"/>
      <c r="C211" s="161"/>
      <c r="D211" s="161"/>
      <c r="E211" s="341"/>
      <c r="F211" s="341"/>
      <c r="G211" s="341"/>
      <c r="H211" s="530" t="s">
        <v>311</v>
      </c>
      <c r="I211" s="504"/>
      <c r="J211" s="534" t="str">
        <f>ALL_GATHER_CORE2CORE_TIME_MS(J210)</f>
        <v>#N/A</v>
      </c>
      <c r="K211" s="504"/>
      <c r="L211" s="510"/>
      <c r="M211" s="510"/>
      <c r="N211" s="510"/>
      <c r="O211" s="504"/>
      <c r="P211" s="511"/>
      <c r="Q211" s="504"/>
    </row>
    <row r="212">
      <c r="A212" s="161"/>
      <c r="B212" s="161"/>
      <c r="C212" s="161"/>
      <c r="D212" s="161"/>
      <c r="E212" s="341"/>
      <c r="F212" s="341"/>
      <c r="G212" s="352"/>
      <c r="H212" s="535" t="s">
        <v>346</v>
      </c>
      <c r="I212" s="508"/>
      <c r="J212" s="536" t="str">
        <f>J211/J202</f>
        <v>#N/A</v>
      </c>
      <c r="K212" s="508"/>
      <c r="L212" s="518"/>
      <c r="M212" s="518"/>
      <c r="N212" s="518"/>
      <c r="O212" s="508"/>
      <c r="P212" s="519"/>
      <c r="Q212" s="508"/>
    </row>
    <row r="213">
      <c r="A213" s="161"/>
      <c r="B213" s="161"/>
      <c r="C213" s="161"/>
      <c r="D213" s="161"/>
      <c r="E213" s="341"/>
      <c r="F213" s="341"/>
      <c r="G213" s="524" t="s">
        <v>316</v>
      </c>
      <c r="H213" s="537" t="str">
        <f>J207+J212</f>
        <v>#N/A</v>
      </c>
      <c r="I213" s="504"/>
      <c r="J213" s="538"/>
      <c r="K213" s="504"/>
      <c r="L213" s="510"/>
      <c r="M213" s="510"/>
      <c r="N213" s="510"/>
      <c r="O213" s="504"/>
      <c r="P213" s="511"/>
      <c r="Q213" s="504"/>
    </row>
    <row r="214">
      <c r="A214" s="161"/>
      <c r="B214" s="161"/>
      <c r="C214" s="161"/>
      <c r="D214" s="161"/>
      <c r="E214" s="341"/>
      <c r="F214" s="341"/>
      <c r="G214" s="522"/>
      <c r="H214" s="539"/>
      <c r="I214" s="508"/>
      <c r="J214" s="540"/>
      <c r="K214" s="508"/>
      <c r="L214" s="518"/>
      <c r="M214" s="518"/>
      <c r="N214" s="518"/>
      <c r="O214" s="508"/>
      <c r="P214" s="519"/>
      <c r="Q214" s="508"/>
    </row>
    <row r="215">
      <c r="A215" s="161"/>
      <c r="B215" s="161"/>
      <c r="C215" s="161"/>
      <c r="D215" s="161"/>
      <c r="E215" s="341"/>
      <c r="F215" s="341"/>
      <c r="G215" s="541" t="s">
        <v>322</v>
      </c>
      <c r="H215" s="444" t="s">
        <v>323</v>
      </c>
      <c r="I215" s="445"/>
      <c r="J215" s="445"/>
      <c r="K215" s="445"/>
      <c r="L215" s="514"/>
      <c r="M215" s="514"/>
      <c r="N215" s="514"/>
      <c r="O215" s="445"/>
      <c r="P215" s="515"/>
      <c r="Q215" s="445"/>
    </row>
    <row r="216">
      <c r="A216" s="161"/>
      <c r="B216" s="161"/>
      <c r="C216" s="161"/>
      <c r="D216" s="161"/>
      <c r="E216" s="341"/>
      <c r="F216" s="341"/>
      <c r="G216" s="541" t="s">
        <v>340</v>
      </c>
      <c r="H216" s="542">
        <f>IFS(H215=G193,H199,
H215=G201,H213 ,
TRUE,0)</f>
        <v>0</v>
      </c>
      <c r="I216" s="445"/>
      <c r="J216" s="445"/>
      <c r="K216" s="445"/>
      <c r="L216" s="514"/>
      <c r="M216" s="514"/>
      <c r="N216" s="514"/>
      <c r="O216" s="445"/>
      <c r="P216" s="543"/>
      <c r="Q216" s="445"/>
    </row>
    <row r="217">
      <c r="A217" s="161"/>
      <c r="B217" s="161"/>
      <c r="C217" s="161"/>
      <c r="D217" s="161"/>
      <c r="E217" s="333" t="s">
        <v>347</v>
      </c>
      <c r="F217" s="357" t="s">
        <v>292</v>
      </c>
      <c r="G217" s="335"/>
      <c r="H217" s="364" t="s">
        <v>281</v>
      </c>
      <c r="I217" s="364" t="s">
        <v>282</v>
      </c>
      <c r="J217" s="273" t="s">
        <v>104</v>
      </c>
      <c r="K217" s="273" t="s">
        <v>102</v>
      </c>
      <c r="L217" s="273" t="s">
        <v>207</v>
      </c>
      <c r="M217" s="472" t="s">
        <v>198</v>
      </c>
      <c r="N217" s="364" t="s">
        <v>283</v>
      </c>
      <c r="O217" s="365" t="str">
        <f>PARAMS("attn_kv_k_dtype")</f>
        <v>bf16</v>
      </c>
      <c r="P217" s="366"/>
      <c r="Q217" s="365" t="b">
        <v>0</v>
      </c>
    </row>
    <row r="218">
      <c r="A218" s="161"/>
      <c r="B218" s="161"/>
      <c r="C218" s="161"/>
      <c r="D218" s="161"/>
      <c r="E218" s="341"/>
      <c r="F218" s="342"/>
      <c r="G218" s="343"/>
      <c r="H218" s="273" t="s">
        <v>285</v>
      </c>
      <c r="I218" s="364" t="s">
        <v>282</v>
      </c>
      <c r="J218" s="363">
        <f t="shared" ref="J218:M218" si="38">PARAMS(J217)</f>
        <v>1024</v>
      </c>
      <c r="K218" s="364">
        <f t="shared" si="38"/>
        <v>1</v>
      </c>
      <c r="L218" s="364">
        <f t="shared" si="38"/>
        <v>128</v>
      </c>
      <c r="M218" s="364">
        <f t="shared" si="38"/>
        <v>512</v>
      </c>
      <c r="N218" s="364" t="s">
        <v>283</v>
      </c>
      <c r="O218" s="341"/>
      <c r="P218" s="366">
        <f>SIZEOF_IN_MIB(J218:M218, $O217)</f>
        <v>128</v>
      </c>
      <c r="Q218" s="341"/>
    </row>
    <row r="219">
      <c r="A219" s="161"/>
      <c r="B219" s="161"/>
      <c r="C219" s="161"/>
      <c r="D219" s="161"/>
      <c r="E219" s="341"/>
      <c r="F219" s="342"/>
      <c r="G219" s="343"/>
      <c r="H219" s="363" t="s">
        <v>287</v>
      </c>
      <c r="I219" s="363" t="s">
        <v>282</v>
      </c>
      <c r="J219" s="273" t="s">
        <v>196</v>
      </c>
      <c r="K219" s="273"/>
      <c r="L219" s="273"/>
      <c r="M219" s="363"/>
      <c r="N219" s="363" t="s">
        <v>283</v>
      </c>
      <c r="O219" s="341"/>
      <c r="P219" s="366"/>
      <c r="Q219" s="341"/>
    </row>
    <row r="220">
      <c r="A220" s="161"/>
      <c r="B220" s="161"/>
      <c r="C220" s="161"/>
      <c r="D220" s="161"/>
      <c r="E220" s="341"/>
      <c r="F220" s="353"/>
      <c r="G220" s="354"/>
      <c r="H220" s="273" t="s">
        <v>289</v>
      </c>
      <c r="I220" s="363" t="s">
        <v>282</v>
      </c>
      <c r="J220" s="363">
        <f t="shared" ref="J220:M220" si="39">J218/SHARDING(J219)</f>
        <v>64</v>
      </c>
      <c r="K220" s="363">
        <f t="shared" si="39"/>
        <v>1</v>
      </c>
      <c r="L220" s="363">
        <f t="shared" si="39"/>
        <v>128</v>
      </c>
      <c r="M220" s="363">
        <f t="shared" si="39"/>
        <v>512</v>
      </c>
      <c r="N220" s="363" t="s">
        <v>283</v>
      </c>
      <c r="O220" s="352"/>
      <c r="P220" s="366">
        <f>SIZEOF_IN_MIB(J220:M220, $O217)</f>
        <v>8</v>
      </c>
      <c r="Q220" s="352"/>
    </row>
    <row r="221">
      <c r="A221" s="161"/>
      <c r="B221" s="161"/>
      <c r="C221" s="161"/>
      <c r="D221" s="161"/>
      <c r="E221" s="341"/>
      <c r="F221" s="334" t="s">
        <v>296</v>
      </c>
      <c r="G221" s="335"/>
      <c r="H221" s="363" t="s">
        <v>281</v>
      </c>
      <c r="I221" s="363" t="s">
        <v>282</v>
      </c>
      <c r="J221" s="364"/>
      <c r="K221" s="273" t="s">
        <v>104</v>
      </c>
      <c r="L221" s="273" t="s">
        <v>106</v>
      </c>
      <c r="M221" s="472" t="s">
        <v>198</v>
      </c>
      <c r="N221" s="363" t="s">
        <v>283</v>
      </c>
      <c r="O221" s="365" t="str">
        <f>PARAMS("kv_dtype")</f>
        <v>fp8</v>
      </c>
      <c r="P221" s="366"/>
      <c r="Q221" s="365" t="b">
        <v>0</v>
      </c>
    </row>
    <row r="222">
      <c r="E222" s="341"/>
      <c r="F222" s="342"/>
      <c r="G222" s="343"/>
      <c r="H222" s="273" t="s">
        <v>285</v>
      </c>
      <c r="I222" s="363" t="s">
        <v>282</v>
      </c>
      <c r="J222" s="364"/>
      <c r="K222" s="363">
        <f t="shared" ref="K222:M222" si="40">PARAMS(K221)</f>
        <v>1024</v>
      </c>
      <c r="L222" s="363">
        <f t="shared" si="40"/>
        <v>5120</v>
      </c>
      <c r="M222" s="363">
        <f t="shared" si="40"/>
        <v>512</v>
      </c>
      <c r="N222" s="363" t="s">
        <v>283</v>
      </c>
      <c r="O222" s="341"/>
      <c r="P222" s="366">
        <f>SIZEOF_IN_MIB(J222:M222, $O221)</f>
        <v>2560</v>
      </c>
      <c r="Q222" s="341"/>
    </row>
    <row r="223">
      <c r="E223" s="341"/>
      <c r="F223" s="342"/>
      <c r="G223" s="343"/>
      <c r="H223" s="363" t="s">
        <v>287</v>
      </c>
      <c r="I223" s="363" t="s">
        <v>282</v>
      </c>
      <c r="J223" s="364"/>
      <c r="K223" s="273" t="s">
        <v>196</v>
      </c>
      <c r="L223" s="363"/>
      <c r="M223" s="363"/>
      <c r="N223" s="363" t="s">
        <v>283</v>
      </c>
      <c r="O223" s="341"/>
      <c r="P223" s="366"/>
      <c r="Q223" s="341"/>
    </row>
    <row r="224">
      <c r="E224" s="341"/>
      <c r="F224" s="353"/>
      <c r="G224" s="354"/>
      <c r="H224" s="349" t="s">
        <v>289</v>
      </c>
      <c r="I224" s="349" t="s">
        <v>282</v>
      </c>
      <c r="J224" s="336"/>
      <c r="K224" s="349">
        <f t="shared" ref="K224:M224" si="41">K222/SHARDING(K223)</f>
        <v>64</v>
      </c>
      <c r="L224" s="349">
        <f t="shared" si="41"/>
        <v>5120</v>
      </c>
      <c r="M224" s="349">
        <f t="shared" si="41"/>
        <v>512</v>
      </c>
      <c r="N224" s="349" t="s">
        <v>283</v>
      </c>
      <c r="O224" s="316"/>
      <c r="P224" s="351">
        <f>SIZEOF_IN_MIB(J224:M224, $O221)</f>
        <v>160</v>
      </c>
      <c r="Q224" s="316"/>
    </row>
    <row r="225">
      <c r="E225" s="341"/>
      <c r="F225" s="334" t="s">
        <v>56</v>
      </c>
      <c r="G225" s="335"/>
      <c r="H225" s="346" t="s">
        <v>281</v>
      </c>
      <c r="I225" s="346" t="s">
        <v>282</v>
      </c>
      <c r="J225" s="344" t="s">
        <v>104</v>
      </c>
      <c r="K225" s="344" t="s">
        <v>102</v>
      </c>
      <c r="L225" s="344" t="s">
        <v>106</v>
      </c>
      <c r="M225" s="344" t="s">
        <v>207</v>
      </c>
      <c r="N225" s="346" t="s">
        <v>283</v>
      </c>
      <c r="O225" s="473" t="s">
        <v>133</v>
      </c>
      <c r="P225" s="348"/>
      <c r="Q225" s="473" t="b">
        <v>1</v>
      </c>
    </row>
    <row r="226">
      <c r="E226" s="341"/>
      <c r="F226" s="342"/>
      <c r="G226" s="343"/>
      <c r="H226" s="337" t="s">
        <v>285</v>
      </c>
      <c r="I226" s="349" t="s">
        <v>282</v>
      </c>
      <c r="J226" s="349">
        <f t="shared" ref="J226:M226" si="42">PARAMS(J225)</f>
        <v>1024</v>
      </c>
      <c r="K226" s="349">
        <f t="shared" si="42"/>
        <v>1</v>
      </c>
      <c r="L226" s="349">
        <f t="shared" si="42"/>
        <v>5120</v>
      </c>
      <c r="M226" s="349">
        <f t="shared" si="42"/>
        <v>128</v>
      </c>
      <c r="N226" s="349" t="s">
        <v>283</v>
      </c>
      <c r="O226" s="350"/>
      <c r="P226" s="351">
        <f>SIZEOF_IN_MIB(J226:M226, $O225)</f>
        <v>1280</v>
      </c>
      <c r="Q226" s="350"/>
    </row>
    <row r="227">
      <c r="E227" s="341"/>
      <c r="F227" s="342"/>
      <c r="G227" s="343"/>
      <c r="H227" s="346" t="s">
        <v>287</v>
      </c>
      <c r="I227" s="346" t="s">
        <v>282</v>
      </c>
      <c r="J227" s="344" t="s">
        <v>196</v>
      </c>
      <c r="K227" s="344"/>
      <c r="L227" s="344"/>
      <c r="M227" s="346"/>
      <c r="N227" s="346" t="s">
        <v>283</v>
      </c>
      <c r="O227" s="347"/>
      <c r="P227" s="348"/>
      <c r="Q227" s="347"/>
    </row>
    <row r="228">
      <c r="E228" s="341"/>
      <c r="F228" s="353"/>
      <c r="G228" s="354"/>
      <c r="H228" s="349" t="s">
        <v>289</v>
      </c>
      <c r="I228" s="349" t="s">
        <v>282</v>
      </c>
      <c r="J228" s="349">
        <f t="shared" ref="J228:M228" si="43">J226/SHARDING(J227)</f>
        <v>64</v>
      </c>
      <c r="K228" s="349">
        <f t="shared" si="43"/>
        <v>1</v>
      </c>
      <c r="L228" s="349">
        <f t="shared" si="43"/>
        <v>5120</v>
      </c>
      <c r="M228" s="349">
        <f t="shared" si="43"/>
        <v>128</v>
      </c>
      <c r="N228" s="349" t="s">
        <v>283</v>
      </c>
      <c r="O228" s="316"/>
      <c r="P228" s="351">
        <f>SIZEOF_IN_MIB(J228:M228, $O225)</f>
        <v>80</v>
      </c>
      <c r="Q228" s="316"/>
    </row>
    <row r="229">
      <c r="E229" s="341"/>
      <c r="F229" s="474" t="s">
        <v>335</v>
      </c>
      <c r="G229" s="459" t="s">
        <v>109</v>
      </c>
      <c r="H229" s="544" t="s">
        <v>348</v>
      </c>
      <c r="I229" s="345"/>
      <c r="J229" s="345"/>
      <c r="K229" s="345"/>
      <c r="L229" s="346"/>
      <c r="M229" s="346"/>
      <c r="N229" s="346"/>
      <c r="O229" s="545"/>
      <c r="P229" s="348"/>
      <c r="Q229" s="545"/>
    </row>
    <row r="230">
      <c r="E230" s="341"/>
      <c r="F230" s="352"/>
      <c r="G230" s="459"/>
      <c r="H230" s="349"/>
      <c r="I230" s="492"/>
      <c r="J230" s="336"/>
      <c r="K230" s="336"/>
      <c r="L230" s="349"/>
      <c r="M230" s="349"/>
      <c r="N230" s="349"/>
      <c r="O230" s="336"/>
      <c r="P230" s="351"/>
      <c r="Q230" s="298"/>
    </row>
    <row r="231">
      <c r="E231" s="341"/>
      <c r="F231" s="458" t="s">
        <v>327</v>
      </c>
      <c r="G231" s="459" t="s">
        <v>328</v>
      </c>
      <c r="H231" s="346" t="str">
        <f>VLOOKUP(O217&amp;","&amp;O221,$T$3:$W$12,4, FALSE)</f>
        <v>bf16</v>
      </c>
      <c r="I231" s="493"/>
      <c r="J231" s="345"/>
      <c r="K231" s="345"/>
      <c r="L231" s="346"/>
      <c r="M231" s="346"/>
      <c r="N231" s="346"/>
      <c r="O231" s="345"/>
      <c r="P231" s="348"/>
      <c r="Q231" s="379"/>
    </row>
    <row r="232">
      <c r="E232" s="341"/>
      <c r="F232" s="341"/>
      <c r="G232" s="455" t="s">
        <v>341</v>
      </c>
      <c r="H232" s="494" t="str">
        <f>CALCULATE_FLOPS(J220:M220,J224:M224,M224,K224,H231)</f>
        <v>#N/A</v>
      </c>
      <c r="I232" s="492"/>
      <c r="J232" s="336"/>
      <c r="K232" s="336"/>
      <c r="L232" s="349"/>
      <c r="M232" s="349"/>
      <c r="N232" s="349"/>
      <c r="O232" s="336"/>
      <c r="P232" s="351"/>
      <c r="Q232" s="298"/>
    </row>
    <row r="233">
      <c r="E233" s="341"/>
      <c r="F233" s="352"/>
      <c r="G233" s="462" t="s">
        <v>330</v>
      </c>
      <c r="H233" s="463" t="str">
        <f>COMPUTE_TIME_MS(H232, H231)</f>
        <v>#N/A</v>
      </c>
      <c r="I233" s="464"/>
      <c r="J233" s="465"/>
      <c r="K233" s="465"/>
      <c r="L233" s="466"/>
      <c r="M233" s="466"/>
      <c r="N233" s="466"/>
      <c r="O233" s="465"/>
      <c r="P233" s="467"/>
      <c r="Q233" s="379"/>
    </row>
    <row r="234">
      <c r="E234" s="341"/>
      <c r="F234" s="458" t="s">
        <v>331</v>
      </c>
      <c r="G234" s="455" t="s">
        <v>332</v>
      </c>
      <c r="H234" s="377">
        <f>IF(Q217,0,P220)+IF(Q221,0,P224)+IF(Q225,0,P228)</f>
        <v>168</v>
      </c>
      <c r="I234" s="336"/>
      <c r="J234" s="336"/>
      <c r="K234" s="336"/>
      <c r="L234" s="349"/>
      <c r="M234" s="349"/>
      <c r="N234" s="349"/>
      <c r="O234" s="336"/>
      <c r="P234" s="351"/>
      <c r="Q234" s="298"/>
    </row>
    <row r="235">
      <c r="E235" s="352"/>
      <c r="F235" s="352"/>
      <c r="G235" s="469" t="s">
        <v>333</v>
      </c>
      <c r="H235" s="500" t="str">
        <f>HBM_TIME_MS(H234)</f>
        <v>#N/A</v>
      </c>
      <c r="I235" s="465"/>
      <c r="J235" s="465"/>
      <c r="K235" s="465"/>
      <c r="L235" s="466"/>
      <c r="M235" s="466"/>
      <c r="N235" s="466"/>
      <c r="O235" s="465"/>
      <c r="P235" s="467"/>
      <c r="Q235" s="379"/>
    </row>
    <row r="236">
      <c r="E236" s="333" t="s">
        <v>349</v>
      </c>
      <c r="F236" s="357" t="s">
        <v>292</v>
      </c>
      <c r="G236" s="335"/>
      <c r="H236" s="364" t="s">
        <v>281</v>
      </c>
      <c r="I236" s="364" t="s">
        <v>282</v>
      </c>
      <c r="J236" s="273" t="s">
        <v>104</v>
      </c>
      <c r="K236" s="273" t="s">
        <v>102</v>
      </c>
      <c r="L236" s="273" t="s">
        <v>207</v>
      </c>
      <c r="M236" s="472" t="s">
        <v>204</v>
      </c>
      <c r="N236" s="364" t="s">
        <v>283</v>
      </c>
      <c r="O236" s="365" t="str">
        <f>PARAMS("attn_kv_k_dtype")</f>
        <v>bf16</v>
      </c>
      <c r="P236" s="366"/>
      <c r="Q236" s="365" t="b">
        <v>0</v>
      </c>
    </row>
    <row r="237">
      <c r="E237" s="341"/>
      <c r="F237" s="342"/>
      <c r="G237" s="343"/>
      <c r="H237" s="273" t="s">
        <v>285</v>
      </c>
      <c r="I237" s="364" t="s">
        <v>282</v>
      </c>
      <c r="J237" s="363">
        <f t="shared" ref="J237:M237" si="44">PARAMS(J236)</f>
        <v>1024</v>
      </c>
      <c r="K237" s="364">
        <f t="shared" si="44"/>
        <v>1</v>
      </c>
      <c r="L237" s="364">
        <f t="shared" si="44"/>
        <v>128</v>
      </c>
      <c r="M237" s="364">
        <f t="shared" si="44"/>
        <v>64</v>
      </c>
      <c r="N237" s="364" t="s">
        <v>283</v>
      </c>
      <c r="O237" s="341"/>
      <c r="P237" s="366">
        <f>SIZEOF_IN_MIB(J237:M237, $O236)</f>
        <v>16</v>
      </c>
      <c r="Q237" s="341"/>
    </row>
    <row r="238">
      <c r="E238" s="341"/>
      <c r="F238" s="342"/>
      <c r="G238" s="343"/>
      <c r="H238" s="363" t="s">
        <v>287</v>
      </c>
      <c r="I238" s="363" t="s">
        <v>282</v>
      </c>
      <c r="J238" s="273" t="s">
        <v>196</v>
      </c>
      <c r="K238" s="273"/>
      <c r="L238" s="273"/>
      <c r="M238" s="363"/>
      <c r="N238" s="363" t="s">
        <v>283</v>
      </c>
      <c r="O238" s="341"/>
      <c r="P238" s="366"/>
      <c r="Q238" s="341"/>
    </row>
    <row r="239">
      <c r="E239" s="341"/>
      <c r="F239" s="353"/>
      <c r="G239" s="354"/>
      <c r="H239" s="273" t="s">
        <v>289</v>
      </c>
      <c r="I239" s="363" t="s">
        <v>282</v>
      </c>
      <c r="J239" s="363">
        <f t="shared" ref="J239:M239" si="45">J237/SHARDING(J238)</f>
        <v>64</v>
      </c>
      <c r="K239" s="363">
        <f t="shared" si="45"/>
        <v>1</v>
      </c>
      <c r="L239" s="363">
        <f t="shared" si="45"/>
        <v>128</v>
      </c>
      <c r="M239" s="363">
        <f t="shared" si="45"/>
        <v>64</v>
      </c>
      <c r="N239" s="363" t="s">
        <v>283</v>
      </c>
      <c r="O239" s="352"/>
      <c r="P239" s="366">
        <f>SIZEOF_IN_MIB(J239:M239, $O236)</f>
        <v>1</v>
      </c>
      <c r="Q239" s="352"/>
    </row>
    <row r="240">
      <c r="E240" s="341"/>
      <c r="F240" s="334" t="s">
        <v>296</v>
      </c>
      <c r="G240" s="335"/>
      <c r="H240" s="363" t="s">
        <v>281</v>
      </c>
      <c r="I240" s="363" t="s">
        <v>282</v>
      </c>
      <c r="J240" s="364"/>
      <c r="K240" s="273" t="s">
        <v>104</v>
      </c>
      <c r="L240" s="273" t="s">
        <v>106</v>
      </c>
      <c r="M240" s="472" t="s">
        <v>204</v>
      </c>
      <c r="N240" s="363" t="s">
        <v>283</v>
      </c>
      <c r="O240" s="365" t="str">
        <f>PARAMS("kv_dtype")</f>
        <v>fp8</v>
      </c>
      <c r="P240" s="366"/>
      <c r="Q240" s="365" t="b">
        <v>0</v>
      </c>
    </row>
    <row r="241">
      <c r="E241" s="341"/>
      <c r="F241" s="342"/>
      <c r="G241" s="343"/>
      <c r="H241" s="273" t="s">
        <v>285</v>
      </c>
      <c r="I241" s="363" t="s">
        <v>282</v>
      </c>
      <c r="J241" s="364"/>
      <c r="K241" s="363">
        <f t="shared" ref="K241:M241" si="46">PARAMS(K240)</f>
        <v>1024</v>
      </c>
      <c r="L241" s="363">
        <f t="shared" si="46"/>
        <v>5120</v>
      </c>
      <c r="M241" s="363">
        <f t="shared" si="46"/>
        <v>64</v>
      </c>
      <c r="N241" s="363" t="s">
        <v>283</v>
      </c>
      <c r="O241" s="341"/>
      <c r="P241" s="366">
        <f>SIZEOF_IN_MIB(J241:M241, $O240)</f>
        <v>320</v>
      </c>
      <c r="Q241" s="341"/>
    </row>
    <row r="242">
      <c r="E242" s="341"/>
      <c r="F242" s="342"/>
      <c r="G242" s="343"/>
      <c r="H242" s="363" t="s">
        <v>287</v>
      </c>
      <c r="I242" s="363" t="s">
        <v>282</v>
      </c>
      <c r="J242" s="364"/>
      <c r="K242" s="273" t="s">
        <v>196</v>
      </c>
      <c r="L242" s="363"/>
      <c r="M242" s="363"/>
      <c r="N242" s="363" t="s">
        <v>283</v>
      </c>
      <c r="O242" s="341"/>
      <c r="P242" s="366"/>
      <c r="Q242" s="341"/>
    </row>
    <row r="243">
      <c r="E243" s="341"/>
      <c r="F243" s="353"/>
      <c r="G243" s="354"/>
      <c r="H243" s="349" t="s">
        <v>289</v>
      </c>
      <c r="I243" s="349" t="s">
        <v>282</v>
      </c>
      <c r="J243" s="336"/>
      <c r="K243" s="349">
        <f t="shared" ref="K243:M243" si="47">K241/SHARDING(K242)</f>
        <v>64</v>
      </c>
      <c r="L243" s="349">
        <f t="shared" si="47"/>
        <v>5120</v>
      </c>
      <c r="M243" s="349">
        <f t="shared" si="47"/>
        <v>64</v>
      </c>
      <c r="N243" s="349" t="s">
        <v>283</v>
      </c>
      <c r="O243" s="316"/>
      <c r="P243" s="351">
        <f>SIZEOF_IN_MIB(J243:M243, $O240)</f>
        <v>20</v>
      </c>
      <c r="Q243" s="316"/>
    </row>
    <row r="244">
      <c r="E244" s="341"/>
      <c r="F244" s="334" t="s">
        <v>56</v>
      </c>
      <c r="G244" s="335"/>
      <c r="H244" s="346" t="s">
        <v>281</v>
      </c>
      <c r="I244" s="346" t="s">
        <v>282</v>
      </c>
      <c r="J244" s="344" t="s">
        <v>104</v>
      </c>
      <c r="K244" s="344" t="s">
        <v>102</v>
      </c>
      <c r="L244" s="344" t="s">
        <v>106</v>
      </c>
      <c r="M244" s="344" t="s">
        <v>207</v>
      </c>
      <c r="N244" s="346" t="s">
        <v>283</v>
      </c>
      <c r="O244" s="546" t="s">
        <v>133</v>
      </c>
      <c r="P244" s="348"/>
      <c r="Q244" s="473" t="b">
        <v>1</v>
      </c>
    </row>
    <row r="245">
      <c r="E245" s="341"/>
      <c r="F245" s="342"/>
      <c r="G245" s="343"/>
      <c r="H245" s="337" t="s">
        <v>285</v>
      </c>
      <c r="I245" s="349" t="s">
        <v>282</v>
      </c>
      <c r="J245" s="349">
        <f t="shared" ref="J245:M245" si="48">PARAMS(J244)</f>
        <v>1024</v>
      </c>
      <c r="K245" s="349">
        <f t="shared" si="48"/>
        <v>1</v>
      </c>
      <c r="L245" s="349">
        <f t="shared" si="48"/>
        <v>5120</v>
      </c>
      <c r="M245" s="349">
        <f t="shared" si="48"/>
        <v>128</v>
      </c>
      <c r="N245" s="349" t="s">
        <v>283</v>
      </c>
      <c r="O245" s="350"/>
      <c r="P245" s="351">
        <f>SIZEOF_IN_MIB(J245:M245, $O244)</f>
        <v>1280</v>
      </c>
      <c r="Q245" s="350"/>
    </row>
    <row r="246">
      <c r="E246" s="341"/>
      <c r="F246" s="342"/>
      <c r="G246" s="343"/>
      <c r="H246" s="346" t="s">
        <v>287</v>
      </c>
      <c r="I246" s="346" t="s">
        <v>282</v>
      </c>
      <c r="J246" s="344" t="s">
        <v>196</v>
      </c>
      <c r="K246" s="344"/>
      <c r="L246" s="344"/>
      <c r="M246" s="346"/>
      <c r="N246" s="346" t="s">
        <v>283</v>
      </c>
      <c r="O246" s="347"/>
      <c r="P246" s="348"/>
      <c r="Q246" s="347"/>
    </row>
    <row r="247">
      <c r="E247" s="341"/>
      <c r="F247" s="353"/>
      <c r="G247" s="354"/>
      <c r="H247" s="349" t="s">
        <v>289</v>
      </c>
      <c r="I247" s="349" t="s">
        <v>282</v>
      </c>
      <c r="J247" s="349">
        <f t="shared" ref="J247:M247" si="49">J245/SHARDING(J246)</f>
        <v>64</v>
      </c>
      <c r="K247" s="349">
        <f t="shared" si="49"/>
        <v>1</v>
      </c>
      <c r="L247" s="349">
        <f t="shared" si="49"/>
        <v>5120</v>
      </c>
      <c r="M247" s="349">
        <f t="shared" si="49"/>
        <v>128</v>
      </c>
      <c r="N247" s="349" t="s">
        <v>283</v>
      </c>
      <c r="O247" s="316"/>
      <c r="P247" s="351">
        <f>SIZEOF_IN_MIB(J247:M247, $O244)</f>
        <v>80</v>
      </c>
      <c r="Q247" s="316"/>
    </row>
    <row r="248">
      <c r="E248" s="341"/>
      <c r="F248" s="474" t="s">
        <v>335</v>
      </c>
      <c r="G248" s="459" t="s">
        <v>109</v>
      </c>
      <c r="H248" s="497"/>
      <c r="I248" s="498"/>
      <c r="J248" s="345"/>
      <c r="K248" s="345"/>
      <c r="L248" s="346"/>
      <c r="M248" s="346"/>
      <c r="N248" s="346"/>
      <c r="O248" s="345"/>
      <c r="P248" s="348"/>
      <c r="Q248" s="379"/>
    </row>
    <row r="249">
      <c r="E249" s="341"/>
      <c r="F249" s="352"/>
      <c r="G249" s="459"/>
      <c r="H249" s="349"/>
      <c r="I249" s="492"/>
      <c r="J249" s="336"/>
      <c r="K249" s="336"/>
      <c r="L249" s="349"/>
      <c r="M249" s="349"/>
      <c r="N249" s="349"/>
      <c r="O249" s="336"/>
      <c r="P249" s="351"/>
      <c r="Q249" s="298"/>
    </row>
    <row r="250">
      <c r="E250" s="341"/>
      <c r="F250" s="458" t="s">
        <v>327</v>
      </c>
      <c r="G250" s="459" t="s">
        <v>328</v>
      </c>
      <c r="H250" s="346" t="str">
        <f>VLOOKUP(O236&amp;","&amp;O240,$T$3:$W$12,4, FALSE)</f>
        <v>bf16</v>
      </c>
      <c r="I250" s="493"/>
      <c r="J250" s="345"/>
      <c r="K250" s="345"/>
      <c r="L250" s="346"/>
      <c r="M250" s="346"/>
      <c r="N250" s="346"/>
      <c r="O250" s="345"/>
      <c r="P250" s="348"/>
      <c r="Q250" s="379"/>
    </row>
    <row r="251">
      <c r="E251" s="341"/>
      <c r="F251" s="341"/>
      <c r="G251" s="455" t="s">
        <v>341</v>
      </c>
      <c r="H251" s="494" t="str">
        <f>CALCULATE_FLOPS(J239:M239,J243:M243,M243,K243,H250)</f>
        <v>#N/A</v>
      </c>
      <c r="I251" s="492"/>
      <c r="J251" s="336"/>
      <c r="K251" s="336"/>
      <c r="L251" s="349"/>
      <c r="M251" s="349"/>
      <c r="N251" s="349"/>
      <c r="O251" s="336"/>
      <c r="P251" s="351"/>
      <c r="Q251" s="298"/>
    </row>
    <row r="252">
      <c r="E252" s="341"/>
      <c r="F252" s="352"/>
      <c r="G252" s="462" t="s">
        <v>330</v>
      </c>
      <c r="H252" s="495" t="str">
        <f>COMPUTE_TIME_MS(H251, H250)</f>
        <v>#N/A</v>
      </c>
      <c r="I252" s="464"/>
      <c r="J252" s="465"/>
      <c r="K252" s="465"/>
      <c r="L252" s="466"/>
      <c r="M252" s="466"/>
      <c r="N252" s="466"/>
      <c r="O252" s="465"/>
      <c r="P252" s="467"/>
      <c r="Q252" s="379"/>
    </row>
    <row r="253">
      <c r="E253" s="341"/>
      <c r="F253" s="458" t="s">
        <v>331</v>
      </c>
      <c r="G253" s="455" t="s">
        <v>332</v>
      </c>
      <c r="H253" s="377">
        <f>IF(Q236,0,P239)+IF(Q240,0,P243)+IF(Q244,0,P247)</f>
        <v>21</v>
      </c>
      <c r="I253" s="336"/>
      <c r="J253" s="336"/>
      <c r="K253" s="336"/>
      <c r="L253" s="349"/>
      <c r="M253" s="349"/>
      <c r="N253" s="349"/>
      <c r="O253" s="336"/>
      <c r="P253" s="351"/>
      <c r="Q253" s="298"/>
    </row>
    <row r="254">
      <c r="E254" s="352"/>
      <c r="F254" s="352"/>
      <c r="G254" s="469" t="s">
        <v>333</v>
      </c>
      <c r="H254" s="500" t="str">
        <f>HBM_TIME_MS(H253)</f>
        <v>#N/A</v>
      </c>
      <c r="I254" s="465"/>
      <c r="J254" s="465"/>
      <c r="K254" s="465"/>
      <c r="L254" s="466"/>
      <c r="M254" s="466"/>
      <c r="N254" s="466"/>
      <c r="O254" s="465"/>
      <c r="P254" s="467"/>
      <c r="Q254" s="379"/>
    </row>
    <row r="255">
      <c r="E255" s="333" t="s">
        <v>350</v>
      </c>
      <c r="F255" s="357" t="s">
        <v>292</v>
      </c>
      <c r="G255" s="335"/>
      <c r="H255" s="364" t="s">
        <v>281</v>
      </c>
      <c r="I255" s="364" t="s">
        <v>282</v>
      </c>
      <c r="J255" s="273" t="s">
        <v>104</v>
      </c>
      <c r="K255" s="273" t="s">
        <v>102</v>
      </c>
      <c r="L255" s="472" t="s">
        <v>106</v>
      </c>
      <c r="M255" s="273" t="s">
        <v>207</v>
      </c>
      <c r="N255" s="364" t="s">
        <v>283</v>
      </c>
      <c r="O255" s="365" t="str">
        <f>PARAMS("attn_av_a_dtype")</f>
        <v>bf16</v>
      </c>
      <c r="P255" s="366"/>
      <c r="Q255" s="365" t="b">
        <v>1</v>
      </c>
    </row>
    <row r="256">
      <c r="E256" s="341"/>
      <c r="F256" s="342"/>
      <c r="G256" s="343"/>
      <c r="H256" s="273" t="s">
        <v>285</v>
      </c>
      <c r="I256" s="364" t="s">
        <v>282</v>
      </c>
      <c r="J256" s="363">
        <f t="shared" ref="J256:M256" si="50">PARAMS(J255)</f>
        <v>1024</v>
      </c>
      <c r="K256" s="364">
        <f t="shared" si="50"/>
        <v>1</v>
      </c>
      <c r="L256" s="364">
        <f t="shared" si="50"/>
        <v>5120</v>
      </c>
      <c r="M256" s="364">
        <f t="shared" si="50"/>
        <v>128</v>
      </c>
      <c r="N256" s="364" t="s">
        <v>283</v>
      </c>
      <c r="O256" s="341"/>
      <c r="P256" s="366">
        <f>SIZEOF_IN_MIB(J256:M256, $O255)</f>
        <v>1280</v>
      </c>
      <c r="Q256" s="341"/>
    </row>
    <row r="257">
      <c r="E257" s="341"/>
      <c r="F257" s="342"/>
      <c r="G257" s="343"/>
      <c r="H257" s="363" t="s">
        <v>287</v>
      </c>
      <c r="I257" s="363" t="s">
        <v>282</v>
      </c>
      <c r="J257" s="273" t="s">
        <v>196</v>
      </c>
      <c r="K257" s="273"/>
      <c r="L257" s="273"/>
      <c r="M257" s="363"/>
      <c r="N257" s="363" t="s">
        <v>283</v>
      </c>
      <c r="O257" s="341"/>
      <c r="P257" s="366"/>
      <c r="Q257" s="341"/>
    </row>
    <row r="258">
      <c r="E258" s="341"/>
      <c r="F258" s="353"/>
      <c r="G258" s="354"/>
      <c r="H258" s="273" t="s">
        <v>289</v>
      </c>
      <c r="I258" s="363" t="s">
        <v>282</v>
      </c>
      <c r="J258" s="363">
        <f t="shared" ref="J258:M258" si="51">J256/SHARDING(J257)</f>
        <v>64</v>
      </c>
      <c r="K258" s="363">
        <f t="shared" si="51"/>
        <v>1</v>
      </c>
      <c r="L258" s="363">
        <f t="shared" si="51"/>
        <v>5120</v>
      </c>
      <c r="M258" s="363">
        <f t="shared" si="51"/>
        <v>128</v>
      </c>
      <c r="N258" s="363" t="s">
        <v>283</v>
      </c>
      <c r="O258" s="352"/>
      <c r="P258" s="366">
        <f>SIZEOF_IN_MIB(J258:M258, $O255)</f>
        <v>80</v>
      </c>
      <c r="Q258" s="352"/>
    </row>
    <row r="259">
      <c r="E259" s="341"/>
      <c r="F259" s="334" t="s">
        <v>296</v>
      </c>
      <c r="G259" s="335"/>
      <c r="H259" s="363" t="s">
        <v>281</v>
      </c>
      <c r="I259" s="363" t="s">
        <v>282</v>
      </c>
      <c r="J259" s="273" t="s">
        <v>104</v>
      </c>
      <c r="K259" s="273"/>
      <c r="L259" s="472" t="s">
        <v>106</v>
      </c>
      <c r="M259" s="273" t="s">
        <v>198</v>
      </c>
      <c r="N259" s="363" t="s">
        <v>283</v>
      </c>
      <c r="O259" s="365" t="str">
        <f>PARAMS("kv_dtype")</f>
        <v>fp8</v>
      </c>
      <c r="P259" s="366"/>
      <c r="Q259" s="365" t="b">
        <v>1</v>
      </c>
    </row>
    <row r="260">
      <c r="E260" s="341"/>
      <c r="F260" s="342"/>
      <c r="G260" s="343"/>
      <c r="H260" s="273" t="s">
        <v>285</v>
      </c>
      <c r="I260" s="363" t="s">
        <v>282</v>
      </c>
      <c r="J260" s="363">
        <f>PARAMS(J259)</f>
        <v>1024</v>
      </c>
      <c r="K260" s="363"/>
      <c r="L260" s="363">
        <f t="shared" ref="L260:M260" si="52">PARAMS(L259)</f>
        <v>5120</v>
      </c>
      <c r="M260" s="363">
        <f t="shared" si="52"/>
        <v>512</v>
      </c>
      <c r="N260" s="363" t="s">
        <v>283</v>
      </c>
      <c r="O260" s="341"/>
      <c r="P260" s="366">
        <f>SIZEOF_IN_MIB(J260:M260, $O259)</f>
        <v>2560</v>
      </c>
      <c r="Q260" s="341"/>
    </row>
    <row r="261">
      <c r="E261" s="341"/>
      <c r="F261" s="342"/>
      <c r="G261" s="343"/>
      <c r="H261" s="363" t="s">
        <v>287</v>
      </c>
      <c r="I261" s="363" t="s">
        <v>282</v>
      </c>
      <c r="J261" s="273" t="s">
        <v>196</v>
      </c>
      <c r="K261" s="364"/>
      <c r="L261" s="363"/>
      <c r="M261" s="363"/>
      <c r="N261" s="363" t="s">
        <v>283</v>
      </c>
      <c r="O261" s="341"/>
      <c r="P261" s="366"/>
      <c r="Q261" s="341"/>
    </row>
    <row r="262">
      <c r="E262" s="341"/>
      <c r="F262" s="353"/>
      <c r="G262" s="354"/>
      <c r="H262" s="349" t="s">
        <v>289</v>
      </c>
      <c r="I262" s="349" t="s">
        <v>282</v>
      </c>
      <c r="J262" s="349">
        <f>J260/SHARDING(J261)</f>
        <v>64</v>
      </c>
      <c r="K262" s="349"/>
      <c r="L262" s="349">
        <f t="shared" ref="L262:M262" si="53">L260/SHARDING(L261)</f>
        <v>5120</v>
      </c>
      <c r="M262" s="349">
        <f t="shared" si="53"/>
        <v>512</v>
      </c>
      <c r="N262" s="349" t="s">
        <v>283</v>
      </c>
      <c r="O262" s="316"/>
      <c r="P262" s="351">
        <f>SIZEOF_IN_MIB(J262:M262, $O259)</f>
        <v>160</v>
      </c>
      <c r="Q262" s="316"/>
    </row>
    <row r="263">
      <c r="E263" s="341"/>
      <c r="F263" s="334" t="s">
        <v>56</v>
      </c>
      <c r="G263" s="335"/>
      <c r="H263" s="346" t="s">
        <v>281</v>
      </c>
      <c r="I263" s="346" t="s">
        <v>282</v>
      </c>
      <c r="J263" s="344" t="s">
        <v>104</v>
      </c>
      <c r="K263" s="344" t="s">
        <v>102</v>
      </c>
      <c r="L263" s="344" t="s">
        <v>207</v>
      </c>
      <c r="M263" s="344" t="s">
        <v>198</v>
      </c>
      <c r="N263" s="346" t="s">
        <v>283</v>
      </c>
      <c r="O263" s="546" t="s">
        <v>133</v>
      </c>
      <c r="P263" s="348"/>
      <c r="Q263" s="473" t="b">
        <v>0</v>
      </c>
    </row>
    <row r="264">
      <c r="E264" s="341"/>
      <c r="F264" s="342"/>
      <c r="G264" s="343"/>
      <c r="H264" s="337" t="s">
        <v>285</v>
      </c>
      <c r="I264" s="349" t="s">
        <v>282</v>
      </c>
      <c r="J264" s="349">
        <f t="shared" ref="J264:M264" si="54">PARAMS(J263)</f>
        <v>1024</v>
      </c>
      <c r="K264" s="349">
        <f t="shared" si="54"/>
        <v>1</v>
      </c>
      <c r="L264" s="349">
        <f t="shared" si="54"/>
        <v>128</v>
      </c>
      <c r="M264" s="349">
        <f t="shared" si="54"/>
        <v>512</v>
      </c>
      <c r="N264" s="349" t="s">
        <v>283</v>
      </c>
      <c r="O264" s="350"/>
      <c r="P264" s="351">
        <f>SIZEOF_IN_MIB(J264:M264, $O263)</f>
        <v>128</v>
      </c>
      <c r="Q264" s="350"/>
    </row>
    <row r="265">
      <c r="E265" s="341"/>
      <c r="F265" s="342"/>
      <c r="G265" s="343"/>
      <c r="H265" s="346" t="s">
        <v>287</v>
      </c>
      <c r="I265" s="346" t="s">
        <v>282</v>
      </c>
      <c r="J265" s="344" t="s">
        <v>196</v>
      </c>
      <c r="K265" s="344"/>
      <c r="L265" s="344"/>
      <c r="M265" s="346"/>
      <c r="N265" s="346" t="s">
        <v>283</v>
      </c>
      <c r="O265" s="347"/>
      <c r="P265" s="348"/>
      <c r="Q265" s="347"/>
    </row>
    <row r="266">
      <c r="E266" s="341"/>
      <c r="F266" s="353"/>
      <c r="G266" s="354"/>
      <c r="H266" s="349" t="s">
        <v>289</v>
      </c>
      <c r="I266" s="349" t="s">
        <v>282</v>
      </c>
      <c r="J266" s="349">
        <f t="shared" ref="J266:M266" si="55">J264/SHARDING(J265)</f>
        <v>64</v>
      </c>
      <c r="K266" s="349">
        <f t="shared" si="55"/>
        <v>1</v>
      </c>
      <c r="L266" s="349">
        <f t="shared" si="55"/>
        <v>128</v>
      </c>
      <c r="M266" s="349">
        <f t="shared" si="55"/>
        <v>512</v>
      </c>
      <c r="N266" s="349" t="s">
        <v>283</v>
      </c>
      <c r="O266" s="316"/>
      <c r="P266" s="351">
        <f>SIZEOF_IN_MIB(J266:M266, $O263)</f>
        <v>8</v>
      </c>
      <c r="Q266" s="316"/>
    </row>
    <row r="267">
      <c r="E267" s="341"/>
      <c r="F267" s="474" t="s">
        <v>335</v>
      </c>
      <c r="G267" s="459" t="s">
        <v>109</v>
      </c>
      <c r="H267" s="497"/>
      <c r="I267" s="498"/>
      <c r="J267" s="345"/>
      <c r="K267" s="345"/>
      <c r="L267" s="346"/>
      <c r="M267" s="346"/>
      <c r="N267" s="346"/>
      <c r="O267" s="345"/>
      <c r="P267" s="348"/>
      <c r="Q267" s="379"/>
    </row>
    <row r="268">
      <c r="E268" s="341"/>
      <c r="F268" s="352"/>
      <c r="G268" s="459"/>
      <c r="H268" s="349"/>
      <c r="I268" s="492"/>
      <c r="J268" s="336"/>
      <c r="K268" s="336"/>
      <c r="L268" s="349"/>
      <c r="M268" s="349"/>
      <c r="N268" s="349"/>
      <c r="O268" s="336"/>
      <c r="P268" s="351"/>
      <c r="Q268" s="298"/>
    </row>
    <row r="269">
      <c r="E269" s="341"/>
      <c r="F269" s="458" t="s">
        <v>327</v>
      </c>
      <c r="G269" s="459" t="s">
        <v>328</v>
      </c>
      <c r="H269" s="346" t="str">
        <f>VLOOKUP(O255&amp;","&amp;O259,$T$3:$W$12,4, FALSE)</f>
        <v>bf16</v>
      </c>
      <c r="I269" s="493"/>
      <c r="J269" s="345"/>
      <c r="K269" s="345"/>
      <c r="L269" s="346"/>
      <c r="M269" s="346"/>
      <c r="N269" s="346"/>
      <c r="O269" s="345"/>
      <c r="P269" s="348"/>
      <c r="Q269" s="379"/>
    </row>
    <row r="270">
      <c r="E270" s="341"/>
      <c r="F270" s="341"/>
      <c r="G270" s="455" t="s">
        <v>341</v>
      </c>
      <c r="H270" s="494" t="str">
        <f>CALCULATE_FLOPS(J258:M258,J262:M262,L262,J262,H269)</f>
        <v>#N/A</v>
      </c>
      <c r="I270" s="492"/>
      <c r="J270" s="336"/>
      <c r="K270" s="336"/>
      <c r="L270" s="349"/>
      <c r="M270" s="349"/>
      <c r="N270" s="349"/>
      <c r="O270" s="336"/>
      <c r="P270" s="351"/>
      <c r="Q270" s="298"/>
    </row>
    <row r="271">
      <c r="E271" s="341"/>
      <c r="F271" s="352"/>
      <c r="G271" s="462" t="s">
        <v>330</v>
      </c>
      <c r="H271" s="495" t="str">
        <f>COMPUTE_TIME_MS(H270, H269)</f>
        <v>#N/A</v>
      </c>
      <c r="I271" s="464"/>
      <c r="J271" s="465"/>
      <c r="K271" s="465"/>
      <c r="L271" s="466"/>
      <c r="M271" s="466"/>
      <c r="N271" s="466"/>
      <c r="O271" s="465"/>
      <c r="P271" s="467"/>
      <c r="Q271" s="379"/>
    </row>
    <row r="272">
      <c r="E272" s="341"/>
      <c r="F272" s="458" t="s">
        <v>331</v>
      </c>
      <c r="G272" s="455" t="s">
        <v>332</v>
      </c>
      <c r="H272" s="377">
        <f>IF(Q255,0,P258)+IF(Q259,0,P262)+IF(Q263,0,P266)</f>
        <v>8</v>
      </c>
      <c r="I272" s="336"/>
      <c r="J272" s="336"/>
      <c r="K272" s="336"/>
      <c r="L272" s="349"/>
      <c r="M272" s="349"/>
      <c r="N272" s="349"/>
      <c r="O272" s="336"/>
      <c r="P272" s="351"/>
      <c r="Q272" s="298"/>
    </row>
    <row r="273">
      <c r="E273" s="352"/>
      <c r="F273" s="352"/>
      <c r="G273" s="469" t="s">
        <v>333</v>
      </c>
      <c r="H273" s="547" t="str">
        <f>HBM_TIME_MS(H272)</f>
        <v>#N/A</v>
      </c>
      <c r="I273" s="465"/>
      <c r="J273" s="465"/>
      <c r="K273" s="465"/>
      <c r="L273" s="466"/>
      <c r="M273" s="466"/>
      <c r="N273" s="466"/>
      <c r="O273" s="465"/>
      <c r="P273" s="467"/>
      <c r="Q273" s="379"/>
    </row>
    <row r="274">
      <c r="E274" s="333" t="s">
        <v>351</v>
      </c>
      <c r="F274" s="357" t="s">
        <v>292</v>
      </c>
      <c r="G274" s="335"/>
      <c r="H274" s="336" t="s">
        <v>281</v>
      </c>
      <c r="I274" s="336" t="s">
        <v>282</v>
      </c>
      <c r="J274" s="337" t="s">
        <v>104</v>
      </c>
      <c r="K274" s="337" t="s">
        <v>102</v>
      </c>
      <c r="L274" s="337" t="s">
        <v>207</v>
      </c>
      <c r="M274" s="499" t="s">
        <v>198</v>
      </c>
      <c r="N274" s="336" t="s">
        <v>283</v>
      </c>
      <c r="O274" s="338" t="str">
        <f>EXTRACT_ACTIVATION_DTYPE(PARAMS("attn_proj_dtype"))</f>
        <v>bf16</v>
      </c>
      <c r="P274" s="351"/>
      <c r="Q274" s="338" t="b">
        <v>0</v>
      </c>
    </row>
    <row r="275">
      <c r="E275" s="341"/>
      <c r="F275" s="342"/>
      <c r="G275" s="343"/>
      <c r="H275" s="344" t="s">
        <v>285</v>
      </c>
      <c r="I275" s="345" t="s">
        <v>282</v>
      </c>
      <c r="J275" s="346">
        <f t="shared" ref="J275:M275" si="56">PARAMS(J274)</f>
        <v>1024</v>
      </c>
      <c r="K275" s="345">
        <f t="shared" si="56"/>
        <v>1</v>
      </c>
      <c r="L275" s="345">
        <f t="shared" si="56"/>
        <v>128</v>
      </c>
      <c r="M275" s="345">
        <f t="shared" si="56"/>
        <v>512</v>
      </c>
      <c r="N275" s="345" t="s">
        <v>283</v>
      </c>
      <c r="O275" s="347"/>
      <c r="P275" s="348">
        <f>SIZEOF_IN_MIB(J275:M275, $O274)</f>
        <v>128</v>
      </c>
      <c r="Q275" s="347"/>
    </row>
    <row r="276">
      <c r="E276" s="341"/>
      <c r="F276" s="342"/>
      <c r="G276" s="343"/>
      <c r="H276" s="349" t="s">
        <v>287</v>
      </c>
      <c r="I276" s="349" t="s">
        <v>282</v>
      </c>
      <c r="J276" s="337" t="s">
        <v>196</v>
      </c>
      <c r="K276" s="337"/>
      <c r="L276" s="337"/>
      <c r="M276" s="349"/>
      <c r="N276" s="349" t="s">
        <v>283</v>
      </c>
      <c r="O276" s="350"/>
      <c r="P276" s="351"/>
      <c r="Q276" s="350"/>
    </row>
    <row r="277">
      <c r="E277" s="341"/>
      <c r="F277" s="353"/>
      <c r="G277" s="354"/>
      <c r="H277" s="344" t="s">
        <v>289</v>
      </c>
      <c r="I277" s="346" t="s">
        <v>282</v>
      </c>
      <c r="J277" s="346">
        <f t="shared" ref="J277:M277" si="57">J275/SHARDING(J276)</f>
        <v>64</v>
      </c>
      <c r="K277" s="346">
        <f t="shared" si="57"/>
        <v>1</v>
      </c>
      <c r="L277" s="346">
        <f t="shared" si="57"/>
        <v>128</v>
      </c>
      <c r="M277" s="346">
        <f t="shared" si="57"/>
        <v>512</v>
      </c>
      <c r="N277" s="346" t="s">
        <v>283</v>
      </c>
      <c r="O277" s="355"/>
      <c r="P277" s="348">
        <f>SIZEOF_IN_MIB(J277:M277, $O274)</f>
        <v>8</v>
      </c>
      <c r="Q277" s="355"/>
    </row>
    <row r="278">
      <c r="E278" s="341"/>
      <c r="F278" s="334" t="s">
        <v>296</v>
      </c>
      <c r="G278" s="335"/>
      <c r="H278" s="349" t="s">
        <v>281</v>
      </c>
      <c r="I278" s="349" t="s">
        <v>282</v>
      </c>
      <c r="J278" s="336"/>
      <c r="K278" s="337" t="s">
        <v>207</v>
      </c>
      <c r="L278" s="337" t="s">
        <v>201</v>
      </c>
      <c r="M278" s="499" t="s">
        <v>198</v>
      </c>
      <c r="N278" s="349" t="s">
        <v>283</v>
      </c>
      <c r="O278" s="338" t="str">
        <f>EXTRACT_WEIGHT_DTYPE(PARAMS("attn_proj_dtype"))</f>
        <v>bf16</v>
      </c>
      <c r="P278" s="351"/>
      <c r="Q278" s="338" t="b">
        <v>0</v>
      </c>
    </row>
    <row r="279">
      <c r="E279" s="341"/>
      <c r="F279" s="342"/>
      <c r="G279" s="343"/>
      <c r="H279" s="344" t="s">
        <v>285</v>
      </c>
      <c r="I279" s="346" t="s">
        <v>282</v>
      </c>
      <c r="J279" s="345"/>
      <c r="K279" s="346">
        <f t="shared" ref="K279:M279" si="58">PARAMS(K278)</f>
        <v>128</v>
      </c>
      <c r="L279" s="346">
        <f t="shared" si="58"/>
        <v>128</v>
      </c>
      <c r="M279" s="346">
        <f t="shared" si="58"/>
        <v>512</v>
      </c>
      <c r="N279" s="346" t="s">
        <v>283</v>
      </c>
      <c r="O279" s="347"/>
      <c r="P279" s="348">
        <f>SIZEOF_IN_MIB(J279:M279, $O278)</f>
        <v>16</v>
      </c>
      <c r="Q279" s="347"/>
    </row>
    <row r="280">
      <c r="E280" s="341"/>
      <c r="F280" s="342"/>
      <c r="G280" s="343"/>
      <c r="H280" s="349" t="s">
        <v>287</v>
      </c>
      <c r="I280" s="349" t="s">
        <v>282</v>
      </c>
      <c r="J280" s="336"/>
      <c r="K280" s="336"/>
      <c r="L280" s="349"/>
      <c r="M280" s="349"/>
      <c r="N280" s="349" t="s">
        <v>283</v>
      </c>
      <c r="O280" s="350"/>
      <c r="P280" s="351"/>
      <c r="Q280" s="350"/>
    </row>
    <row r="281">
      <c r="E281" s="341"/>
      <c r="F281" s="353"/>
      <c r="G281" s="354"/>
      <c r="H281" s="346" t="s">
        <v>289</v>
      </c>
      <c r="I281" s="346" t="s">
        <v>282</v>
      </c>
      <c r="J281" s="345"/>
      <c r="K281" s="346">
        <f t="shared" ref="K281:M281" si="59">K279/SHARDING(K280)</f>
        <v>128</v>
      </c>
      <c r="L281" s="346">
        <f t="shared" si="59"/>
        <v>128</v>
      </c>
      <c r="M281" s="346">
        <f t="shared" si="59"/>
        <v>512</v>
      </c>
      <c r="N281" s="346" t="s">
        <v>283</v>
      </c>
      <c r="O281" s="355"/>
      <c r="P281" s="348">
        <f>SIZEOF_IN_MIB(J281:M281, $O278)</f>
        <v>16</v>
      </c>
      <c r="Q281" s="355"/>
    </row>
    <row r="282">
      <c r="E282" s="341"/>
      <c r="F282" s="334" t="s">
        <v>56</v>
      </c>
      <c r="G282" s="335"/>
      <c r="H282" s="349" t="s">
        <v>281</v>
      </c>
      <c r="I282" s="349" t="s">
        <v>282</v>
      </c>
      <c r="J282" s="337" t="s">
        <v>104</v>
      </c>
      <c r="K282" s="337" t="s">
        <v>102</v>
      </c>
      <c r="L282" s="337" t="s">
        <v>207</v>
      </c>
      <c r="M282" s="337" t="s">
        <v>201</v>
      </c>
      <c r="N282" s="349" t="s">
        <v>283</v>
      </c>
      <c r="O282" s="338" t="s">
        <v>133</v>
      </c>
      <c r="P282" s="351"/>
      <c r="Q282" s="338" t="b">
        <v>0</v>
      </c>
    </row>
    <row r="283">
      <c r="E283" s="341"/>
      <c r="F283" s="342"/>
      <c r="G283" s="343"/>
      <c r="H283" s="344" t="s">
        <v>285</v>
      </c>
      <c r="I283" s="346" t="s">
        <v>282</v>
      </c>
      <c r="J283" s="346">
        <f t="shared" ref="J283:M283" si="60">PARAMS(J282)</f>
        <v>1024</v>
      </c>
      <c r="K283" s="346">
        <f t="shared" si="60"/>
        <v>1</v>
      </c>
      <c r="L283" s="346">
        <f t="shared" si="60"/>
        <v>128</v>
      </c>
      <c r="M283" s="346">
        <f t="shared" si="60"/>
        <v>128</v>
      </c>
      <c r="N283" s="346" t="s">
        <v>283</v>
      </c>
      <c r="O283" s="347"/>
      <c r="P283" s="348">
        <f>SIZEOF_IN_MIB(J283:M283, $O282)</f>
        <v>32</v>
      </c>
      <c r="Q283" s="347"/>
    </row>
    <row r="284">
      <c r="E284" s="341"/>
      <c r="F284" s="342"/>
      <c r="G284" s="343"/>
      <c r="H284" s="349" t="s">
        <v>287</v>
      </c>
      <c r="I284" s="349" t="s">
        <v>282</v>
      </c>
      <c r="J284" s="337" t="s">
        <v>196</v>
      </c>
      <c r="K284" s="337"/>
      <c r="L284" s="337"/>
      <c r="M284" s="349"/>
      <c r="N284" s="349" t="s">
        <v>283</v>
      </c>
      <c r="O284" s="350"/>
      <c r="P284" s="351"/>
      <c r="Q284" s="350"/>
    </row>
    <row r="285">
      <c r="E285" s="341"/>
      <c r="F285" s="353"/>
      <c r="G285" s="354"/>
      <c r="H285" s="346" t="s">
        <v>289</v>
      </c>
      <c r="I285" s="346" t="s">
        <v>282</v>
      </c>
      <c r="J285" s="346">
        <f t="shared" ref="J285:M285" si="61">J283/SHARDING(J284)</f>
        <v>64</v>
      </c>
      <c r="K285" s="346">
        <f t="shared" si="61"/>
        <v>1</v>
      </c>
      <c r="L285" s="346">
        <f t="shared" si="61"/>
        <v>128</v>
      </c>
      <c r="M285" s="346">
        <f t="shared" si="61"/>
        <v>128</v>
      </c>
      <c r="N285" s="346" t="s">
        <v>283</v>
      </c>
      <c r="O285" s="355"/>
      <c r="P285" s="348">
        <f>SIZEOF_IN_MIB(J285:M285, $O282)</f>
        <v>2</v>
      </c>
      <c r="Q285" s="355"/>
    </row>
    <row r="286">
      <c r="E286" s="341"/>
      <c r="F286" s="474" t="s">
        <v>335</v>
      </c>
      <c r="G286" s="459" t="s">
        <v>109</v>
      </c>
      <c r="H286" s="548"/>
      <c r="I286" s="549"/>
      <c r="J286" s="336"/>
      <c r="K286" s="336"/>
      <c r="L286" s="349"/>
      <c r="M286" s="349"/>
      <c r="N286" s="349"/>
      <c r="O286" s="336"/>
      <c r="P286" s="351"/>
      <c r="Q286" s="298"/>
    </row>
    <row r="287">
      <c r="E287" s="341"/>
      <c r="F287" s="352"/>
      <c r="G287" s="459"/>
      <c r="H287" s="346"/>
      <c r="I287" s="493"/>
      <c r="J287" s="345"/>
      <c r="K287" s="345"/>
      <c r="L287" s="346"/>
      <c r="M287" s="346"/>
      <c r="N287" s="346"/>
      <c r="O287" s="345"/>
      <c r="P287" s="348"/>
      <c r="Q287" s="379"/>
    </row>
    <row r="288">
      <c r="E288" s="341"/>
      <c r="F288" s="458" t="s">
        <v>327</v>
      </c>
      <c r="G288" s="459" t="s">
        <v>328</v>
      </c>
      <c r="H288" s="349" t="str">
        <f>VLOOKUP(O274&amp;","&amp;O278,$T$3:$W$12,4, FALSE)</f>
        <v>bf16</v>
      </c>
      <c r="I288" s="492"/>
      <c r="J288" s="336"/>
      <c r="K288" s="336"/>
      <c r="L288" s="349"/>
      <c r="M288" s="349"/>
      <c r="N288" s="349"/>
      <c r="O288" s="336"/>
      <c r="P288" s="351"/>
      <c r="Q288" s="298"/>
    </row>
    <row r="289">
      <c r="E289" s="341"/>
      <c r="F289" s="341"/>
      <c r="G289" s="455" t="s">
        <v>341</v>
      </c>
      <c r="H289" s="550" t="str">
        <f>CALCULATE_FLOPS(J277:M277,J281:M281,M281,K281,H288)</f>
        <v>#N/A</v>
      </c>
      <c r="I289" s="493"/>
      <c r="J289" s="345"/>
      <c r="K289" s="345"/>
      <c r="L289" s="346"/>
      <c r="M289" s="346"/>
      <c r="N289" s="346"/>
      <c r="O289" s="345"/>
      <c r="P289" s="348"/>
      <c r="Q289" s="379"/>
    </row>
    <row r="290">
      <c r="E290" s="341"/>
      <c r="F290" s="352"/>
      <c r="G290" s="462" t="s">
        <v>330</v>
      </c>
      <c r="H290" s="495" t="str">
        <f>COMPUTE_TIME_MS(H289, H288)</f>
        <v>#N/A</v>
      </c>
      <c r="I290" s="464"/>
      <c r="J290" s="465"/>
      <c r="K290" s="465"/>
      <c r="L290" s="466"/>
      <c r="M290" s="466"/>
      <c r="N290" s="466"/>
      <c r="O290" s="465"/>
      <c r="P290" s="467"/>
      <c r="Q290" s="298"/>
    </row>
    <row r="291">
      <c r="E291" s="341"/>
      <c r="F291" s="458" t="s">
        <v>331</v>
      </c>
      <c r="G291" s="455" t="s">
        <v>332</v>
      </c>
      <c r="H291" s="509">
        <f>IF(Q274,0,P277)+IF(Q278,0,P281)+IF(Q282,0,P285)</f>
        <v>26</v>
      </c>
      <c r="I291" s="345"/>
      <c r="J291" s="345"/>
      <c r="K291" s="345"/>
      <c r="L291" s="346"/>
      <c r="M291" s="346"/>
      <c r="N291" s="346"/>
      <c r="O291" s="345"/>
      <c r="P291" s="348"/>
      <c r="Q291" s="379"/>
    </row>
    <row r="292">
      <c r="E292" s="352"/>
      <c r="F292" s="352"/>
      <c r="G292" s="469" t="s">
        <v>333</v>
      </c>
      <c r="H292" s="500" t="str">
        <f>HBM_TIME_MS(H291)</f>
        <v>#N/A</v>
      </c>
      <c r="I292" s="465"/>
      <c r="J292" s="465"/>
      <c r="K292" s="465"/>
      <c r="L292" s="466"/>
      <c r="M292" s="466"/>
      <c r="N292" s="466"/>
      <c r="O292" s="465"/>
      <c r="P292" s="467"/>
      <c r="Q292" s="298"/>
    </row>
    <row r="293">
      <c r="E293" s="333" t="s">
        <v>355</v>
      </c>
      <c r="F293" s="357" t="s">
        <v>292</v>
      </c>
      <c r="G293" s="335"/>
      <c r="H293" s="345" t="s">
        <v>281</v>
      </c>
      <c r="I293" s="345" t="s">
        <v>282</v>
      </c>
      <c r="J293" s="344" t="s">
        <v>104</v>
      </c>
      <c r="K293" s="344" t="s">
        <v>102</v>
      </c>
      <c r="L293" s="556" t="s">
        <v>207</v>
      </c>
      <c r="M293" s="556" t="s">
        <v>201</v>
      </c>
      <c r="N293" s="345" t="s">
        <v>283</v>
      </c>
      <c r="O293" s="473" t="str">
        <f>EXTRACT_ACTIVATION_DTYPE(PARAMS("attn_proj_dtype"))</f>
        <v>bf16</v>
      </c>
      <c r="P293" s="348"/>
      <c r="Q293" s="473" t="b">
        <v>0</v>
      </c>
    </row>
    <row r="294">
      <c r="E294" s="341"/>
      <c r="F294" s="342"/>
      <c r="G294" s="343"/>
      <c r="H294" s="337" t="s">
        <v>285</v>
      </c>
      <c r="I294" s="336" t="s">
        <v>282</v>
      </c>
      <c r="J294" s="349">
        <f t="shared" ref="J294:M294" si="62">PARAMS(J293)</f>
        <v>1024</v>
      </c>
      <c r="K294" s="336">
        <f t="shared" si="62"/>
        <v>1</v>
      </c>
      <c r="L294" s="336">
        <f t="shared" si="62"/>
        <v>128</v>
      </c>
      <c r="M294" s="336">
        <f t="shared" si="62"/>
        <v>128</v>
      </c>
      <c r="N294" s="336" t="s">
        <v>283</v>
      </c>
      <c r="O294" s="350"/>
      <c r="P294" s="351">
        <f>SIZEOF_IN_MIB(J294:M294, $O293)</f>
        <v>32</v>
      </c>
      <c r="Q294" s="350"/>
    </row>
    <row r="295">
      <c r="E295" s="341"/>
      <c r="F295" s="342"/>
      <c r="G295" s="343"/>
      <c r="H295" s="346" t="s">
        <v>287</v>
      </c>
      <c r="I295" s="346" t="s">
        <v>282</v>
      </c>
      <c r="J295" s="344" t="s">
        <v>196</v>
      </c>
      <c r="K295" s="344"/>
      <c r="L295" s="344"/>
      <c r="M295" s="346"/>
      <c r="N295" s="346" t="s">
        <v>283</v>
      </c>
      <c r="O295" s="347"/>
      <c r="P295" s="348"/>
      <c r="Q295" s="347"/>
    </row>
    <row r="296">
      <c r="E296" s="341"/>
      <c r="F296" s="353"/>
      <c r="G296" s="354"/>
      <c r="H296" s="337" t="s">
        <v>289</v>
      </c>
      <c r="I296" s="349" t="s">
        <v>282</v>
      </c>
      <c r="J296" s="349">
        <f t="shared" ref="J296:M296" si="63">J294/SHARDING(J295)</f>
        <v>64</v>
      </c>
      <c r="K296" s="349">
        <f t="shared" si="63"/>
        <v>1</v>
      </c>
      <c r="L296" s="349">
        <f t="shared" si="63"/>
        <v>128</v>
      </c>
      <c r="M296" s="349">
        <f t="shared" si="63"/>
        <v>128</v>
      </c>
      <c r="N296" s="349" t="s">
        <v>283</v>
      </c>
      <c r="O296" s="316"/>
      <c r="P296" s="351">
        <f>SIZEOF_IN_MIB(J296:M296, $O293)</f>
        <v>2</v>
      </c>
      <c r="Q296" s="316"/>
    </row>
    <row r="297">
      <c r="E297" s="341"/>
      <c r="F297" s="334" t="s">
        <v>296</v>
      </c>
      <c r="G297" s="335"/>
      <c r="H297" s="346" t="s">
        <v>281</v>
      </c>
      <c r="I297" s="346" t="s">
        <v>282</v>
      </c>
      <c r="J297" s="345"/>
      <c r="K297" s="556" t="s">
        <v>207</v>
      </c>
      <c r="L297" s="556" t="s">
        <v>201</v>
      </c>
      <c r="M297" s="344" t="s">
        <v>178</v>
      </c>
      <c r="N297" s="346" t="s">
        <v>283</v>
      </c>
      <c r="O297" s="473" t="str">
        <f>EXTRACT_WEIGHT_DTYPE(PARAMS("attn_proj_dtype"))</f>
        <v>bf16</v>
      </c>
      <c r="P297" s="348"/>
      <c r="Q297" s="473" t="b">
        <v>0</v>
      </c>
    </row>
    <row r="298">
      <c r="E298" s="341"/>
      <c r="F298" s="342"/>
      <c r="G298" s="343"/>
      <c r="H298" s="337" t="s">
        <v>285</v>
      </c>
      <c r="I298" s="349" t="s">
        <v>282</v>
      </c>
      <c r="J298" s="336"/>
      <c r="K298" s="349">
        <f t="shared" ref="K298:M298" si="64">PARAMS(K297)</f>
        <v>128</v>
      </c>
      <c r="L298" s="349">
        <f t="shared" si="64"/>
        <v>128</v>
      </c>
      <c r="M298" s="349">
        <f t="shared" si="64"/>
        <v>7168</v>
      </c>
      <c r="N298" s="349" t="s">
        <v>283</v>
      </c>
      <c r="O298" s="350"/>
      <c r="P298" s="351">
        <f>SIZEOF_IN_MIB(J298:M298, $O297)</f>
        <v>224</v>
      </c>
      <c r="Q298" s="350"/>
    </row>
    <row r="299">
      <c r="E299" s="341"/>
      <c r="F299" s="342"/>
      <c r="G299" s="343"/>
      <c r="H299" s="346" t="s">
        <v>287</v>
      </c>
      <c r="I299" s="346" t="s">
        <v>282</v>
      </c>
      <c r="J299" s="345"/>
      <c r="K299" s="345"/>
      <c r="L299" s="346"/>
      <c r="M299" s="346"/>
      <c r="N299" s="346" t="s">
        <v>283</v>
      </c>
      <c r="O299" s="347"/>
      <c r="P299" s="348"/>
      <c r="Q299" s="347"/>
    </row>
    <row r="300">
      <c r="E300" s="341"/>
      <c r="F300" s="353"/>
      <c r="G300" s="354"/>
      <c r="H300" s="349" t="s">
        <v>289</v>
      </c>
      <c r="I300" s="349" t="s">
        <v>282</v>
      </c>
      <c r="J300" s="336"/>
      <c r="K300" s="349">
        <f t="shared" ref="K300:M300" si="65">K298/SHARDING(K299)</f>
        <v>128</v>
      </c>
      <c r="L300" s="349">
        <f t="shared" si="65"/>
        <v>128</v>
      </c>
      <c r="M300" s="349">
        <f t="shared" si="65"/>
        <v>7168</v>
      </c>
      <c r="N300" s="349" t="s">
        <v>283</v>
      </c>
      <c r="O300" s="316"/>
      <c r="P300" s="351">
        <f>SIZEOF_IN_MIB(J300:M300, $O297)</f>
        <v>224</v>
      </c>
      <c r="Q300" s="316"/>
    </row>
    <row r="301">
      <c r="E301" s="341"/>
      <c r="F301" s="334" t="s">
        <v>56</v>
      </c>
      <c r="G301" s="335"/>
      <c r="H301" s="346" t="s">
        <v>281</v>
      </c>
      <c r="I301" s="346" t="s">
        <v>282</v>
      </c>
      <c r="J301" s="345"/>
      <c r="K301" s="344" t="s">
        <v>104</v>
      </c>
      <c r="L301" s="344" t="s">
        <v>102</v>
      </c>
      <c r="M301" s="344" t="s">
        <v>178</v>
      </c>
      <c r="N301" s="346" t="s">
        <v>283</v>
      </c>
      <c r="O301" s="473" t="s">
        <v>133</v>
      </c>
      <c r="P301" s="348"/>
      <c r="Q301" s="473" t="b">
        <v>0</v>
      </c>
    </row>
    <row r="302">
      <c r="E302" s="341"/>
      <c r="F302" s="342"/>
      <c r="G302" s="343"/>
      <c r="H302" s="337" t="s">
        <v>285</v>
      </c>
      <c r="I302" s="349" t="s">
        <v>282</v>
      </c>
      <c r="J302" s="336"/>
      <c r="K302" s="349">
        <f t="shared" ref="K302:M302" si="66">PARAMS(K301)</f>
        <v>1024</v>
      </c>
      <c r="L302" s="349">
        <f t="shared" si="66"/>
        <v>1</v>
      </c>
      <c r="M302" s="349">
        <f t="shared" si="66"/>
        <v>7168</v>
      </c>
      <c r="N302" s="349" t="s">
        <v>283</v>
      </c>
      <c r="O302" s="350"/>
      <c r="P302" s="351">
        <f>SIZEOF_IN_MIB(K302:M302, $O301)</f>
        <v>14</v>
      </c>
      <c r="Q302" s="350"/>
    </row>
    <row r="303">
      <c r="E303" s="341"/>
      <c r="F303" s="342"/>
      <c r="G303" s="343"/>
      <c r="H303" s="346" t="s">
        <v>287</v>
      </c>
      <c r="I303" s="346" t="s">
        <v>282</v>
      </c>
      <c r="J303" s="345"/>
      <c r="K303" s="344" t="s">
        <v>196</v>
      </c>
      <c r="L303" s="344"/>
      <c r="M303" s="346"/>
      <c r="N303" s="346" t="s">
        <v>283</v>
      </c>
      <c r="O303" s="347"/>
      <c r="P303" s="348"/>
      <c r="Q303" s="347"/>
    </row>
    <row r="304">
      <c r="E304" s="341"/>
      <c r="F304" s="353"/>
      <c r="G304" s="354"/>
      <c r="H304" s="349" t="s">
        <v>289</v>
      </c>
      <c r="I304" s="349" t="s">
        <v>282</v>
      </c>
      <c r="J304" s="349"/>
      <c r="K304" s="349">
        <f t="shared" ref="K304:M304" si="67">K302/SHARDING(K303)</f>
        <v>64</v>
      </c>
      <c r="L304" s="349">
        <f t="shared" si="67"/>
        <v>1</v>
      </c>
      <c r="M304" s="349">
        <f t="shared" si="67"/>
        <v>7168</v>
      </c>
      <c r="N304" s="349" t="s">
        <v>283</v>
      </c>
      <c r="O304" s="316"/>
      <c r="P304" s="351">
        <f>SIZEOF_IN_MIB(K304:M304, $O301)</f>
        <v>0.875</v>
      </c>
      <c r="Q304" s="316"/>
    </row>
    <row r="305">
      <c r="E305" s="341"/>
      <c r="F305" s="474" t="s">
        <v>335</v>
      </c>
      <c r="G305" s="459" t="s">
        <v>109</v>
      </c>
      <c r="H305" s="497"/>
      <c r="I305" s="498"/>
      <c r="J305" s="345"/>
      <c r="K305" s="345"/>
      <c r="L305" s="346"/>
      <c r="M305" s="346"/>
      <c r="N305" s="346"/>
      <c r="O305" s="345"/>
      <c r="P305" s="348"/>
      <c r="Q305" s="379"/>
    </row>
    <row r="306">
      <c r="E306" s="341"/>
      <c r="F306" s="352"/>
      <c r="G306" s="459"/>
      <c r="H306" s="349"/>
      <c r="I306" s="492"/>
      <c r="J306" s="336"/>
      <c r="K306" s="336"/>
      <c r="L306" s="349"/>
      <c r="M306" s="349"/>
      <c r="N306" s="349"/>
      <c r="O306" s="336"/>
      <c r="P306" s="339"/>
      <c r="Q306" s="298"/>
    </row>
    <row r="307">
      <c r="E307" s="341"/>
      <c r="F307" s="458" t="s">
        <v>327</v>
      </c>
      <c r="G307" s="459" t="s">
        <v>328</v>
      </c>
      <c r="H307" s="346" t="str">
        <f>VLOOKUP(O293&amp;","&amp;O297,$T$3:$W$12,4, FALSE)</f>
        <v>bf16</v>
      </c>
      <c r="I307" s="493"/>
      <c r="J307" s="345"/>
      <c r="K307" s="345"/>
      <c r="L307" s="346"/>
      <c r="M307" s="346"/>
      <c r="N307" s="346"/>
      <c r="O307" s="345"/>
      <c r="P307" s="578"/>
      <c r="Q307" s="379"/>
    </row>
    <row r="308">
      <c r="E308" s="341"/>
      <c r="F308" s="341"/>
      <c r="G308" s="455" t="s">
        <v>341</v>
      </c>
      <c r="H308" s="494" t="str">
        <f>CALCULATE_FLOPS(J296:M296,J300:M300,K300:L300,1,H307)</f>
        <v>#N/A</v>
      </c>
      <c r="I308" s="883" t="s">
        <v>359</v>
      </c>
      <c r="J308" s="336"/>
      <c r="K308" s="336"/>
      <c r="L308" s="349"/>
      <c r="M308" s="349"/>
      <c r="N308" s="349"/>
      <c r="O308" s="336"/>
      <c r="P308" s="339"/>
      <c r="Q308" s="298"/>
    </row>
    <row r="309">
      <c r="E309" s="341"/>
      <c r="F309" s="352"/>
      <c r="G309" s="462" t="s">
        <v>330</v>
      </c>
      <c r="H309" s="585" t="str">
        <f>COMPUTE_TIME_MS(H308, H307)</f>
        <v>#N/A</v>
      </c>
      <c r="I309" s="464"/>
      <c r="J309" s="465"/>
      <c r="K309" s="465"/>
      <c r="L309" s="466"/>
      <c r="M309" s="466"/>
      <c r="N309" s="466"/>
      <c r="O309" s="465"/>
      <c r="P309" s="586"/>
      <c r="Q309" s="379"/>
    </row>
    <row r="310">
      <c r="E310" s="341"/>
      <c r="F310" s="458" t="s">
        <v>331</v>
      </c>
      <c r="G310" s="455" t="s">
        <v>332</v>
      </c>
      <c r="H310" s="377">
        <f>IF(Q293,0,P296)+IF(Q297,0,P300)+IF(Q301,0,P304)</f>
        <v>226.875</v>
      </c>
      <c r="I310" s="336"/>
      <c r="J310" s="336"/>
      <c r="K310" s="336"/>
      <c r="L310" s="349"/>
      <c r="M310" s="349"/>
      <c r="N310" s="349"/>
      <c r="O310" s="336"/>
      <c r="P310" s="339"/>
      <c r="Q310" s="298"/>
    </row>
    <row r="311">
      <c r="E311" s="352"/>
      <c r="F311" s="352"/>
      <c r="G311" s="469" t="s">
        <v>333</v>
      </c>
      <c r="H311" s="547" t="str">
        <f>HBM_TIME_MS(H310)</f>
        <v>#N/A</v>
      </c>
      <c r="I311" s="465"/>
      <c r="J311" s="465"/>
      <c r="K311" s="465"/>
      <c r="L311" s="466"/>
      <c r="M311" s="466"/>
      <c r="N311" s="466"/>
      <c r="O311" s="465"/>
      <c r="P311" s="586"/>
      <c r="Q311" s="11"/>
    </row>
    <row r="315">
      <c r="E315" s="281" t="s">
        <v>360</v>
      </c>
    </row>
    <row r="316">
      <c r="E316" s="324" t="s">
        <v>272</v>
      </c>
      <c r="F316" s="587" t="s">
        <v>273</v>
      </c>
      <c r="G316" s="326"/>
      <c r="H316" s="588"/>
      <c r="I316" s="325" t="s">
        <v>274</v>
      </c>
      <c r="J316" s="589"/>
      <c r="K316" s="589"/>
      <c r="L316" s="589"/>
      <c r="M316" s="589"/>
      <c r="N316" s="588"/>
      <c r="O316" s="328" t="s">
        <v>275</v>
      </c>
      <c r="P316" s="328" t="s">
        <v>361</v>
      </c>
      <c r="Q316" s="330" t="s">
        <v>277</v>
      </c>
    </row>
    <row r="317">
      <c r="E317" s="333" t="s">
        <v>362</v>
      </c>
      <c r="F317" s="590" t="s">
        <v>335</v>
      </c>
      <c r="G317" s="591" t="s">
        <v>363</v>
      </c>
      <c r="H317" s="592" t="s">
        <v>364</v>
      </c>
      <c r="I317" s="448"/>
      <c r="J317" s="448"/>
      <c r="K317" s="553"/>
      <c r="L317" s="553"/>
      <c r="M317" s="593"/>
      <c r="N317" s="448"/>
      <c r="O317" s="553"/>
      <c r="P317" s="448"/>
      <c r="Q317" s="553"/>
    </row>
    <row r="318">
      <c r="E318" s="341"/>
      <c r="F318" s="341"/>
      <c r="G318" s="371" t="s">
        <v>301</v>
      </c>
      <c r="H318" s="531" t="s">
        <v>281</v>
      </c>
      <c r="I318" s="336" t="s">
        <v>282</v>
      </c>
      <c r="J318" s="336"/>
      <c r="K318" s="337" t="s">
        <v>104</v>
      </c>
      <c r="L318" s="337" t="s">
        <v>212</v>
      </c>
      <c r="M318" s="358" t="s">
        <v>178</v>
      </c>
      <c r="N318" s="336" t="s">
        <v>283</v>
      </c>
      <c r="O318" s="338" t="str">
        <f>PARAMS("expert_dispatch_dtype")</f>
        <v>fp8</v>
      </c>
      <c r="P318" s="336"/>
      <c r="Q318" s="338"/>
    </row>
    <row r="319">
      <c r="E319" s="341"/>
      <c r="F319" s="341"/>
      <c r="G319" s="341"/>
      <c r="H319" s="378" t="s">
        <v>285</v>
      </c>
      <c r="I319" s="345" t="s">
        <v>282</v>
      </c>
      <c r="J319" s="346"/>
      <c r="K319" s="345">
        <f t="shared" ref="K319:M319" si="68">PARAMS(K318)</f>
        <v>1024</v>
      </c>
      <c r="L319" s="345">
        <f t="shared" si="68"/>
        <v>8</v>
      </c>
      <c r="M319" s="345">
        <f t="shared" si="68"/>
        <v>7168</v>
      </c>
      <c r="N319" s="345" t="s">
        <v>283</v>
      </c>
      <c r="O319" s="347"/>
      <c r="P319" s="509">
        <f>SIZEOF_IN_MIB(J319:M319, O318)</f>
        <v>56</v>
      </c>
      <c r="Q319" s="347"/>
    </row>
    <row r="320">
      <c r="E320" s="341"/>
      <c r="F320" s="341"/>
      <c r="G320" s="341"/>
      <c r="H320" s="376" t="s">
        <v>302</v>
      </c>
      <c r="I320" s="349" t="s">
        <v>282</v>
      </c>
      <c r="J320" s="336"/>
      <c r="K320" s="337" t="s">
        <v>196</v>
      </c>
      <c r="L320" s="337"/>
      <c r="M320" s="337"/>
      <c r="N320" s="349" t="s">
        <v>283</v>
      </c>
      <c r="O320" s="350"/>
      <c r="P320" s="377"/>
      <c r="Q320" s="350"/>
    </row>
    <row r="321">
      <c r="E321" s="341"/>
      <c r="F321" s="341"/>
      <c r="G321" s="341"/>
      <c r="H321" s="378" t="s">
        <v>303</v>
      </c>
      <c r="I321" s="346" t="s">
        <v>282</v>
      </c>
      <c r="J321" s="345"/>
      <c r="K321" s="346">
        <f t="shared" ref="K321:M321" si="69">K319/SHARDING(K320)</f>
        <v>64</v>
      </c>
      <c r="L321" s="346">
        <f t="shared" si="69"/>
        <v>8</v>
      </c>
      <c r="M321" s="346">
        <f t="shared" si="69"/>
        <v>7168</v>
      </c>
      <c r="N321" s="344" t="s">
        <v>283</v>
      </c>
      <c r="O321" s="347"/>
      <c r="P321" s="509"/>
      <c r="Q321" s="347"/>
    </row>
    <row r="322">
      <c r="E322" s="341"/>
      <c r="F322" s="341"/>
      <c r="G322" s="352"/>
      <c r="H322" s="376" t="s">
        <v>304</v>
      </c>
      <c r="I322" s="349" t="s">
        <v>282</v>
      </c>
      <c r="J322" s="336"/>
      <c r="K322" s="337" t="s">
        <v>196</v>
      </c>
      <c r="L322" s="337"/>
      <c r="M322" s="337"/>
      <c r="N322" s="349" t="s">
        <v>283</v>
      </c>
      <c r="O322" s="316"/>
      <c r="P322" s="377">
        <f>SIZEOF_IN_MIB(J321:M321, O318)</f>
        <v>3.5</v>
      </c>
      <c r="Q322" s="316"/>
    </row>
    <row r="323">
      <c r="E323" s="341"/>
      <c r="F323" s="341"/>
      <c r="G323" s="594" t="s">
        <v>608</v>
      </c>
      <c r="H323" s="715">
        <f>P319</f>
        <v>56</v>
      </c>
      <c r="I323" s="379"/>
      <c r="J323" s="379"/>
      <c r="K323" s="379"/>
      <c r="L323" s="379"/>
      <c r="M323" s="379"/>
      <c r="N323" s="379"/>
      <c r="O323" s="379"/>
      <c r="P323" s="596"/>
      <c r="Q323" s="379"/>
    </row>
    <row r="324">
      <c r="E324" s="341"/>
      <c r="F324" s="341"/>
      <c r="G324" s="599" t="s">
        <v>609</v>
      </c>
      <c r="H324" s="885" t="str">
        <f>ALL2ALL_CHIP2CHIP_TIME_MS(H323)</f>
        <v>#N/A</v>
      </c>
      <c r="I324" s="298"/>
      <c r="J324" s="298"/>
      <c r="K324" s="298"/>
      <c r="L324" s="298"/>
      <c r="M324" s="298"/>
      <c r="N324" s="298"/>
      <c r="O324" s="298"/>
      <c r="P324" s="598"/>
      <c r="Q324" s="298"/>
    </row>
    <row r="325">
      <c r="E325" s="341"/>
      <c r="F325" s="341"/>
      <c r="G325" s="601"/>
      <c r="H325" s="517"/>
      <c r="I325" s="346"/>
      <c r="J325" s="345"/>
      <c r="K325" s="344"/>
      <c r="L325" s="556"/>
      <c r="M325" s="344"/>
      <c r="N325" s="346"/>
      <c r="O325" s="344"/>
      <c r="P325" s="509"/>
      <c r="Q325" s="344"/>
    </row>
    <row r="326">
      <c r="E326" s="341"/>
      <c r="F326" s="341"/>
      <c r="G326" s="591" t="s">
        <v>368</v>
      </c>
      <c r="H326" s="603" t="s">
        <v>656</v>
      </c>
      <c r="I326" s="449"/>
      <c r="J326" s="448"/>
      <c r="K326" s="553"/>
      <c r="L326" s="446"/>
      <c r="M326" s="553"/>
      <c r="N326" s="449"/>
      <c r="O326" s="553"/>
      <c r="P326" s="604"/>
      <c r="Q326" s="553"/>
    </row>
    <row r="327">
      <c r="E327" s="341"/>
      <c r="F327" s="341"/>
      <c r="G327" s="371" t="s">
        <v>301</v>
      </c>
      <c r="H327" s="517" t="s">
        <v>281</v>
      </c>
      <c r="I327" s="346" t="s">
        <v>282</v>
      </c>
      <c r="J327" s="345"/>
      <c r="K327" s="344" t="s">
        <v>104</v>
      </c>
      <c r="L327" s="556" t="s">
        <v>102</v>
      </c>
      <c r="M327" s="344" t="s">
        <v>178</v>
      </c>
      <c r="N327" s="346" t="s">
        <v>283</v>
      </c>
      <c r="O327" s="473" t="str">
        <f>PARAMS("expert_dispatch_dtype")</f>
        <v>fp8</v>
      </c>
      <c r="P327" s="509"/>
      <c r="Q327" s="473"/>
    </row>
    <row r="328">
      <c r="E328" s="341"/>
      <c r="F328" s="341"/>
      <c r="G328" s="341"/>
      <c r="H328" s="376" t="s">
        <v>285</v>
      </c>
      <c r="I328" s="349" t="s">
        <v>282</v>
      </c>
      <c r="J328" s="336"/>
      <c r="K328" s="349">
        <f t="shared" ref="K328:M328" si="70">PARAMS(K327)</f>
        <v>1024</v>
      </c>
      <c r="L328" s="349">
        <f t="shared" si="70"/>
        <v>1</v>
      </c>
      <c r="M328" s="349">
        <f t="shared" si="70"/>
        <v>7168</v>
      </c>
      <c r="N328" s="349" t="s">
        <v>283</v>
      </c>
      <c r="O328" s="350"/>
      <c r="P328" s="377">
        <f>SIZEOF_IN_MIB(J328:M328, O327)</f>
        <v>7</v>
      </c>
      <c r="Q328" s="350"/>
    </row>
    <row r="329">
      <c r="E329" s="341"/>
      <c r="F329" s="341"/>
      <c r="G329" s="341"/>
      <c r="H329" s="378" t="s">
        <v>302</v>
      </c>
      <c r="I329" s="346" t="s">
        <v>282</v>
      </c>
      <c r="J329" s="345"/>
      <c r="K329" s="344" t="s">
        <v>196</v>
      </c>
      <c r="L329" s="344"/>
      <c r="M329" s="344"/>
      <c r="N329" s="346" t="s">
        <v>283</v>
      </c>
      <c r="O329" s="347"/>
      <c r="P329" s="509"/>
      <c r="Q329" s="347"/>
    </row>
    <row r="330">
      <c r="E330" s="341"/>
      <c r="F330" s="341"/>
      <c r="G330" s="341"/>
      <c r="H330" s="602" t="s">
        <v>289</v>
      </c>
      <c r="I330" s="349" t="s">
        <v>282</v>
      </c>
      <c r="J330" s="336"/>
      <c r="K330" s="349">
        <f t="shared" ref="K330:M330" si="71">K328/SHARDING(K329)</f>
        <v>64</v>
      </c>
      <c r="L330" s="349">
        <f t="shared" si="71"/>
        <v>1</v>
      </c>
      <c r="M330" s="349">
        <f t="shared" si="71"/>
        <v>7168</v>
      </c>
      <c r="N330" s="349" t="s">
        <v>283</v>
      </c>
      <c r="O330" s="350"/>
      <c r="P330" s="377">
        <f>SIZEOF_IN_MIB(J330:M330, O327)</f>
        <v>0.4375</v>
      </c>
      <c r="Q330" s="316"/>
    </row>
    <row r="331">
      <c r="E331" s="341"/>
      <c r="F331" s="341"/>
      <c r="G331" s="352"/>
      <c r="H331" s="610" t="s">
        <v>304</v>
      </c>
      <c r="I331" s="346" t="s">
        <v>282</v>
      </c>
      <c r="J331" s="379"/>
      <c r="K331" s="379"/>
      <c r="L331" s="379"/>
      <c r="M331" s="344"/>
      <c r="N331" s="346" t="s">
        <v>283</v>
      </c>
      <c r="O331" s="355"/>
      <c r="P331" s="596"/>
      <c r="Q331" s="379"/>
    </row>
    <row r="332">
      <c r="E332" s="341"/>
      <c r="F332" s="341"/>
      <c r="G332" s="385" t="s">
        <v>306</v>
      </c>
      <c r="H332" s="886">
        <f>SHARDING(K329)*SHARDING(L329)</f>
        <v>16</v>
      </c>
      <c r="I332" s="298"/>
      <c r="J332" s="298"/>
      <c r="K332" s="298"/>
      <c r="L332" s="298"/>
      <c r="M332" s="298"/>
      <c r="N332" s="298"/>
      <c r="O332" s="298"/>
      <c r="P332" s="598"/>
      <c r="Q332" s="298"/>
    </row>
    <row r="333">
      <c r="E333" s="341"/>
      <c r="F333" s="341"/>
      <c r="G333" s="385" t="s">
        <v>307</v>
      </c>
      <c r="H333" s="395">
        <f>P330 * (H332-1)</f>
        <v>6.5625</v>
      </c>
      <c r="I333" s="379"/>
      <c r="J333" s="379"/>
      <c r="K333" s="379"/>
      <c r="L333" s="379"/>
      <c r="M333" s="379"/>
      <c r="N333" s="379"/>
      <c r="O333" s="379"/>
      <c r="P333" s="596"/>
      <c r="Q333" s="379"/>
    </row>
    <row r="334">
      <c r="E334" s="341"/>
      <c r="F334" s="341"/>
      <c r="G334" s="394" t="s">
        <v>308</v>
      </c>
      <c r="H334" s="390">
        <f>H333*H332</f>
        <v>105</v>
      </c>
      <c r="I334" s="349"/>
      <c r="J334" s="336"/>
      <c r="K334" s="336"/>
      <c r="L334" s="337"/>
      <c r="M334" s="349"/>
      <c r="N334" s="349"/>
      <c r="O334" s="337"/>
      <c r="P334" s="377"/>
      <c r="Q334" s="337"/>
    </row>
    <row r="335">
      <c r="E335" s="341"/>
      <c r="F335" s="341"/>
      <c r="G335" s="396" t="s">
        <v>309</v>
      </c>
      <c r="H335" s="887" t="str">
        <f>IFS(H332=8,12,
H332=4,4,
H332=2,1,
H332=1,0,
TRUE,NA())</f>
        <v>#N/A</v>
      </c>
      <c r="I335" s="346"/>
      <c r="J335" s="345"/>
      <c r="K335" s="345"/>
      <c r="L335" s="344"/>
      <c r="M335" s="346"/>
      <c r="N335" s="346"/>
      <c r="O335" s="344"/>
      <c r="P335" s="509"/>
      <c r="Q335" s="344"/>
    </row>
    <row r="336">
      <c r="E336" s="341"/>
      <c r="F336" s="341"/>
      <c r="G336" s="9" t="s">
        <v>310</v>
      </c>
      <c r="H336" s="293">
        <v>1.0</v>
      </c>
      <c r="I336" s="349"/>
      <c r="J336" s="336"/>
      <c r="K336" s="336"/>
      <c r="L336" s="337"/>
      <c r="M336" s="349"/>
      <c r="N336" s="349"/>
      <c r="O336" s="337"/>
      <c r="P336" s="377"/>
      <c r="Q336" s="337"/>
    </row>
    <row r="337">
      <c r="E337" s="341"/>
      <c r="F337" s="341"/>
      <c r="G337" s="402" t="s">
        <v>311</v>
      </c>
      <c r="H337" s="608" t="str">
        <f>ALL_GATHER_CHIP2CHIP_TIME_MS2(H334 * H336, H335)</f>
        <v>#N/A</v>
      </c>
      <c r="I337" s="346"/>
      <c r="J337" s="345"/>
      <c r="K337" s="345"/>
      <c r="L337" s="344"/>
      <c r="M337" s="346"/>
      <c r="N337" s="346"/>
      <c r="O337" s="344"/>
      <c r="P337" s="509"/>
      <c r="Q337" s="344"/>
    </row>
    <row r="338">
      <c r="E338" s="341"/>
      <c r="F338" s="341"/>
      <c r="G338" s="601"/>
      <c r="H338" s="602"/>
      <c r="I338" s="349"/>
      <c r="J338" s="336"/>
      <c r="K338" s="337"/>
      <c r="L338" s="499"/>
      <c r="M338" s="337"/>
      <c r="N338" s="349"/>
      <c r="O338" s="337"/>
      <c r="P338" s="377"/>
      <c r="Q338" s="337"/>
    </row>
    <row r="339">
      <c r="E339" s="341"/>
      <c r="F339" s="341"/>
      <c r="G339" s="591" t="s">
        <v>117</v>
      </c>
      <c r="H339" s="592" t="s">
        <v>371</v>
      </c>
      <c r="I339" s="449"/>
      <c r="J339" s="448"/>
      <c r="K339" s="553"/>
      <c r="L339" s="446"/>
      <c r="M339" s="553"/>
      <c r="N339" s="449"/>
      <c r="O339" s="553"/>
      <c r="P339" s="604"/>
      <c r="Q339" s="553"/>
    </row>
    <row r="340">
      <c r="E340" s="341"/>
      <c r="F340" s="341"/>
      <c r="G340" s="609" t="s">
        <v>301</v>
      </c>
      <c r="H340" s="602" t="s">
        <v>281</v>
      </c>
      <c r="I340" s="349" t="s">
        <v>282</v>
      </c>
      <c r="J340" s="336"/>
      <c r="K340" s="337" t="s">
        <v>104</v>
      </c>
      <c r="L340" s="499" t="s">
        <v>102</v>
      </c>
      <c r="M340" s="337" t="s">
        <v>178</v>
      </c>
      <c r="N340" s="349" t="s">
        <v>283</v>
      </c>
      <c r="O340" s="338" t="str">
        <f>PARAMS("expert_dispatch_dtype")</f>
        <v>fp8</v>
      </c>
      <c r="P340" s="377"/>
      <c r="Q340" s="337"/>
    </row>
    <row r="341">
      <c r="E341" s="341"/>
      <c r="F341" s="341"/>
      <c r="G341" s="341"/>
      <c r="H341" s="378" t="s">
        <v>285</v>
      </c>
      <c r="I341" s="346" t="s">
        <v>282</v>
      </c>
      <c r="J341" s="345"/>
      <c r="K341" s="346">
        <f t="shared" ref="K341:M341" si="72">PARAMS(K340)</f>
        <v>1024</v>
      </c>
      <c r="L341" s="346">
        <f t="shared" si="72"/>
        <v>1</v>
      </c>
      <c r="M341" s="346">
        <f t="shared" si="72"/>
        <v>7168</v>
      </c>
      <c r="N341" s="346" t="s">
        <v>283</v>
      </c>
      <c r="O341" s="347"/>
      <c r="P341" s="509">
        <f>SIZEOF_IN_MIB(J341:M341, O340)</f>
        <v>7</v>
      </c>
      <c r="Q341" s="344"/>
    </row>
    <row r="342">
      <c r="E342" s="341"/>
      <c r="F342" s="341"/>
      <c r="G342" s="341"/>
      <c r="H342" s="376" t="s">
        <v>302</v>
      </c>
      <c r="I342" s="349" t="s">
        <v>282</v>
      </c>
      <c r="J342" s="336"/>
      <c r="K342" s="337" t="s">
        <v>196</v>
      </c>
      <c r="L342" s="337"/>
      <c r="M342" s="337"/>
      <c r="N342" s="349" t="s">
        <v>283</v>
      </c>
      <c r="O342" s="350"/>
      <c r="P342" s="377"/>
      <c r="Q342" s="337"/>
    </row>
    <row r="343">
      <c r="E343" s="341"/>
      <c r="F343" s="341"/>
      <c r="G343" s="341"/>
      <c r="H343" s="378" t="s">
        <v>303</v>
      </c>
      <c r="I343" s="346" t="s">
        <v>282</v>
      </c>
      <c r="J343" s="345"/>
      <c r="K343" s="346">
        <f t="shared" ref="K343:M343" si="73">K341/SHARDING(K342)</f>
        <v>64</v>
      </c>
      <c r="L343" s="346">
        <f t="shared" si="73"/>
        <v>1</v>
      </c>
      <c r="M343" s="346">
        <f t="shared" si="73"/>
        <v>7168</v>
      </c>
      <c r="N343" s="346" t="s">
        <v>283</v>
      </c>
      <c r="O343" s="347"/>
      <c r="P343" s="509">
        <f>SIZEOF_IN_MIB(J343:M343, O340)</f>
        <v>0.4375</v>
      </c>
      <c r="Q343" s="344"/>
    </row>
    <row r="344">
      <c r="E344" s="341"/>
      <c r="F344" s="341"/>
      <c r="G344" s="352"/>
      <c r="H344" s="605" t="s">
        <v>304</v>
      </c>
      <c r="I344" s="349" t="s">
        <v>282</v>
      </c>
      <c r="J344" s="298"/>
      <c r="K344" s="298"/>
      <c r="L344" s="298"/>
      <c r="M344" s="337"/>
      <c r="N344" s="349" t="s">
        <v>283</v>
      </c>
      <c r="O344" s="316"/>
      <c r="P344" s="298"/>
      <c r="Q344" s="337"/>
    </row>
    <row r="345">
      <c r="E345" s="341"/>
      <c r="F345" s="341"/>
      <c r="G345" s="458" t="s">
        <v>372</v>
      </c>
      <c r="H345" s="610" t="s">
        <v>306</v>
      </c>
      <c r="I345" s="379"/>
      <c r="J345" s="410" t="str">
        <f>SHARDING(K342) * SHARDING(L342) / HW_SPEC("# of TensorCore per Chip")</f>
        <v>#N/A</v>
      </c>
      <c r="K345" s="345"/>
      <c r="L345" s="344"/>
      <c r="M345" s="346"/>
      <c r="N345" s="346"/>
      <c r="O345" s="344"/>
      <c r="P345" s="509"/>
      <c r="Q345" s="344"/>
    </row>
    <row r="346">
      <c r="E346" s="341"/>
      <c r="F346" s="341"/>
      <c r="G346" s="341"/>
      <c r="H346" s="605" t="s">
        <v>307</v>
      </c>
      <c r="I346" s="298"/>
      <c r="J346" s="390" t="str">
        <f>P343 * HW_SPEC("# of TensorCore per Chip") * (J345-1)</f>
        <v>#N/A</v>
      </c>
      <c r="K346" s="336"/>
      <c r="L346" s="337"/>
      <c r="M346" s="349"/>
      <c r="N346" s="349"/>
      <c r="O346" s="337"/>
      <c r="P346" s="377"/>
      <c r="Q346" s="337"/>
    </row>
    <row r="347">
      <c r="E347" s="341"/>
      <c r="F347" s="341"/>
      <c r="G347" s="341"/>
      <c r="H347" s="410" t="s">
        <v>308</v>
      </c>
      <c r="I347" s="379"/>
      <c r="J347" s="395" t="str">
        <f>J346*J345</f>
        <v>#N/A</v>
      </c>
      <c r="K347" s="345"/>
      <c r="L347" s="344"/>
      <c r="M347" s="346"/>
      <c r="N347" s="346"/>
      <c r="O347" s="344"/>
      <c r="P347" s="509"/>
      <c r="Q347" s="344"/>
    </row>
    <row r="348">
      <c r="E348" s="341"/>
      <c r="F348" s="341"/>
      <c r="G348" s="341"/>
      <c r="H348" s="478" t="s">
        <v>309</v>
      </c>
      <c r="I348" s="298"/>
      <c r="J348" s="397" t="str">
        <f>IFS(J345=8,12,
J345=4,4,
J345=2,1,
J345=1,0,
TRUE,NA())</f>
        <v>#N/A</v>
      </c>
      <c r="K348" s="336"/>
      <c r="L348" s="337"/>
      <c r="M348" s="349"/>
      <c r="N348" s="349"/>
      <c r="O348" s="337"/>
      <c r="P348" s="377"/>
      <c r="Q348" s="337"/>
    </row>
    <row r="349">
      <c r="E349" s="341"/>
      <c r="F349" s="341"/>
      <c r="G349" s="341"/>
      <c r="H349" s="606" t="s">
        <v>310</v>
      </c>
      <c r="I349" s="379"/>
      <c r="J349" s="611" t="s">
        <v>611</v>
      </c>
      <c r="K349" s="345"/>
      <c r="L349" s="344"/>
      <c r="M349" s="346"/>
      <c r="N349" s="346"/>
      <c r="O349" s="344"/>
      <c r="P349" s="509"/>
      <c r="Q349" s="344"/>
    </row>
    <row r="350">
      <c r="E350" s="341"/>
      <c r="F350" s="341"/>
      <c r="G350" s="352"/>
      <c r="H350" s="612" t="s">
        <v>311</v>
      </c>
      <c r="I350" s="613"/>
      <c r="J350" s="403" t="str">
        <f>ALL_GATHER_CHIP2CHIP_TIME_MS2(J347 * J349, J348)</f>
        <v>#N/A</v>
      </c>
      <c r="K350" s="336"/>
      <c r="L350" s="337"/>
      <c r="M350" s="349"/>
      <c r="N350" s="349"/>
      <c r="O350" s="337"/>
      <c r="P350" s="377"/>
      <c r="Q350" s="337"/>
    </row>
    <row r="351">
      <c r="E351" s="341"/>
      <c r="F351" s="341"/>
      <c r="G351" s="458" t="s">
        <v>373</v>
      </c>
      <c r="H351" s="410" t="s">
        <v>306</v>
      </c>
      <c r="I351" s="387"/>
      <c r="J351" s="483" t="str">
        <f>HW_SPEC("# of TensorCore per Chip")</f>
        <v>#N/A</v>
      </c>
      <c r="K351" s="345"/>
      <c r="L351" s="344"/>
      <c r="M351" s="346"/>
      <c r="N351" s="346"/>
      <c r="O351" s="344"/>
      <c r="P351" s="509"/>
      <c r="Q351" s="344"/>
    </row>
    <row r="352">
      <c r="E352" s="341"/>
      <c r="F352" s="341"/>
      <c r="G352" s="341"/>
      <c r="H352" s="478" t="s">
        <v>307</v>
      </c>
      <c r="I352" s="391"/>
      <c r="J352" s="390" t="str">
        <f> P341 / J351 * (J351-1)</f>
        <v>#N/A</v>
      </c>
      <c r="K352" s="336"/>
      <c r="L352" s="337"/>
      <c r="M352" s="349"/>
      <c r="N352" s="349"/>
      <c r="O352" s="337"/>
      <c r="P352" s="377"/>
      <c r="Q352" s="337"/>
    </row>
    <row r="353">
      <c r="E353" s="341"/>
      <c r="F353" s="341"/>
      <c r="G353" s="341"/>
      <c r="H353" s="410" t="s">
        <v>308</v>
      </c>
      <c r="I353" s="387"/>
      <c r="J353" s="395" t="str">
        <f>J352*J351</f>
        <v>#N/A</v>
      </c>
      <c r="K353" s="345"/>
      <c r="L353" s="344"/>
      <c r="M353" s="346"/>
      <c r="N353" s="346"/>
      <c r="O353" s="344"/>
      <c r="P353" s="509"/>
      <c r="Q353" s="344"/>
    </row>
    <row r="354">
      <c r="E354" s="341"/>
      <c r="F354" s="341"/>
      <c r="G354" s="341"/>
      <c r="H354" s="614" t="s">
        <v>311</v>
      </c>
      <c r="I354" s="615"/>
      <c r="J354" s="616" t="str">
        <f>ALL_GATHER_CORE2CORE_TIME_MS(J353)</f>
        <v>#N/A</v>
      </c>
      <c r="K354" s="336"/>
      <c r="L354" s="337"/>
      <c r="M354" s="349"/>
      <c r="N354" s="349"/>
      <c r="O354" s="337"/>
      <c r="P354" s="377"/>
      <c r="Q354" s="337"/>
    </row>
    <row r="355">
      <c r="E355" s="341"/>
      <c r="F355" s="341"/>
      <c r="G355" s="352"/>
      <c r="H355" s="617" t="s">
        <v>374</v>
      </c>
      <c r="I355" s="618"/>
      <c r="J355" s="619" t="str">
        <f>J354/J345</f>
        <v>#N/A</v>
      </c>
      <c r="K355" s="345"/>
      <c r="L355" s="344"/>
      <c r="M355" s="346"/>
      <c r="N355" s="346"/>
      <c r="O355" s="344"/>
      <c r="P355" s="509"/>
      <c r="Q355" s="344"/>
    </row>
    <row r="356">
      <c r="E356" s="341"/>
      <c r="F356" s="341"/>
      <c r="G356" s="402" t="s">
        <v>316</v>
      </c>
      <c r="H356" s="620" t="str">
        <f>J350+J355</f>
        <v>#N/A</v>
      </c>
      <c r="I356" s="298"/>
      <c r="J356" s="621"/>
      <c r="K356" s="336"/>
      <c r="L356" s="337"/>
      <c r="M356" s="349"/>
      <c r="N356" s="349"/>
      <c r="O356" s="337"/>
      <c r="P356" s="377"/>
      <c r="Q356" s="337"/>
    </row>
    <row r="357">
      <c r="E357" s="341"/>
      <c r="F357" s="341"/>
      <c r="G357" s="601"/>
      <c r="H357" s="622"/>
      <c r="I357" s="493"/>
      <c r="J357" s="345"/>
      <c r="K357" s="345"/>
      <c r="L357" s="346"/>
      <c r="M357" s="346"/>
      <c r="N357" s="346"/>
      <c r="O357" s="345"/>
      <c r="P357" s="509"/>
      <c r="Q357" s="379"/>
    </row>
    <row r="358">
      <c r="E358" s="341"/>
      <c r="F358" s="341"/>
      <c r="G358" s="623" t="s">
        <v>375</v>
      </c>
      <c r="H358" s="624" t="s">
        <v>117</v>
      </c>
      <c r="I358" s="581"/>
      <c r="J358" s="448"/>
      <c r="K358" s="448"/>
      <c r="L358" s="449"/>
      <c r="M358" s="449"/>
      <c r="N358" s="449"/>
      <c r="O358" s="448"/>
      <c r="P358" s="604"/>
      <c r="Q358" s="572"/>
    </row>
    <row r="359">
      <c r="E359" s="341"/>
      <c r="F359" s="341"/>
      <c r="G359" s="591" t="s">
        <v>340</v>
      </c>
      <c r="H359" s="625" t="str">
        <f>IFS(H358=G317,H324,H358=G326,H337,H358=G339,H356, TRUE,0)</f>
        <v>#N/A</v>
      </c>
      <c r="I359" s="581"/>
      <c r="J359" s="448"/>
      <c r="K359" s="448"/>
      <c r="L359" s="449"/>
      <c r="M359" s="449"/>
      <c r="N359" s="449"/>
      <c r="O359" s="448"/>
      <c r="P359" s="604"/>
      <c r="Q359" s="572"/>
    </row>
    <row r="360">
      <c r="E360" s="341"/>
      <c r="F360" s="341"/>
      <c r="G360" s="452" t="s">
        <v>325</v>
      </c>
      <c r="H360" s="626" t="str">
        <f>IFS(PARAMS("topo")="2x2x2", (2+2+2)/2,
PARAMS("topo")="2x2", (2+2)/2,
TRUE, NA())</f>
        <v>#N/A</v>
      </c>
      <c r="I360" s="460"/>
      <c r="J360" s="454"/>
      <c r="K360" s="454"/>
      <c r="L360" s="455"/>
      <c r="M360" s="455"/>
      <c r="N360" s="455"/>
      <c r="O360" s="454"/>
      <c r="P360" s="468"/>
      <c r="Q360" s="11"/>
    </row>
    <row r="361">
      <c r="E361" s="352"/>
      <c r="F361" s="352"/>
      <c r="G361" s="446" t="s">
        <v>326</v>
      </c>
      <c r="H361" s="447" t="str">
        <f>IF(H358="No Collectives", 0, H360 * HW_SPEC("Chip-to-Chip ICI Latency (ms)"))</f>
        <v>#N/A</v>
      </c>
      <c r="I361" s="581"/>
      <c r="J361" s="448"/>
      <c r="K361" s="448"/>
      <c r="L361" s="449"/>
      <c r="M361" s="449"/>
      <c r="N361" s="449"/>
      <c r="O361" s="448"/>
      <c r="P361" s="604"/>
      <c r="Q361" s="572"/>
    </row>
    <row r="362">
      <c r="E362" s="333" t="s">
        <v>377</v>
      </c>
      <c r="F362" s="627" t="s">
        <v>292</v>
      </c>
      <c r="G362" s="335"/>
      <c r="H362" s="372" t="s">
        <v>281</v>
      </c>
      <c r="I362" s="364" t="s">
        <v>282</v>
      </c>
      <c r="J362" s="364"/>
      <c r="K362" s="273" t="s">
        <v>104</v>
      </c>
      <c r="L362" s="273" t="s">
        <v>212</v>
      </c>
      <c r="M362" s="472" t="s">
        <v>178</v>
      </c>
      <c r="N362" s="364" t="s">
        <v>283</v>
      </c>
      <c r="O362" s="628" t="str">
        <f>EXTRACT_ACTIVATION_DTYPE(PARAMS("moe_dtype"))</f>
        <v>fp8</v>
      </c>
      <c r="P362" s="375"/>
      <c r="Q362" s="365" t="b">
        <v>0</v>
      </c>
    </row>
    <row r="363">
      <c r="E363" s="341"/>
      <c r="F363" s="342"/>
      <c r="G363" s="343"/>
      <c r="H363" s="374" t="s">
        <v>285</v>
      </c>
      <c r="I363" s="364" t="s">
        <v>282</v>
      </c>
      <c r="J363" s="363"/>
      <c r="K363" s="364">
        <f t="shared" ref="K363:M363" si="74">PARAMS(K362)</f>
        <v>1024</v>
      </c>
      <c r="L363" s="364">
        <f t="shared" si="74"/>
        <v>8</v>
      </c>
      <c r="M363" s="364">
        <f t="shared" si="74"/>
        <v>7168</v>
      </c>
      <c r="N363" s="364" t="s">
        <v>283</v>
      </c>
      <c r="O363" s="341"/>
      <c r="P363" s="375">
        <f>SIZEOF_IN_MIB(J363:M363, O362)</f>
        <v>56</v>
      </c>
      <c r="Q363" s="341"/>
    </row>
    <row r="364">
      <c r="E364" s="341"/>
      <c r="F364" s="342"/>
      <c r="G364" s="343"/>
      <c r="H364" s="629" t="s">
        <v>287</v>
      </c>
      <c r="I364" s="363" t="s">
        <v>282</v>
      </c>
      <c r="J364" s="364"/>
      <c r="K364" s="273" t="s">
        <v>196</v>
      </c>
      <c r="L364" s="273"/>
      <c r="M364" s="273"/>
      <c r="N364" s="363" t="s">
        <v>283</v>
      </c>
      <c r="O364" s="341"/>
      <c r="P364" s="375"/>
      <c r="Q364" s="341"/>
    </row>
    <row r="365">
      <c r="E365" s="341"/>
      <c r="F365" s="353"/>
      <c r="G365" s="354"/>
      <c r="H365" s="376" t="s">
        <v>289</v>
      </c>
      <c r="I365" s="349" t="s">
        <v>282</v>
      </c>
      <c r="J365" s="336"/>
      <c r="K365" s="349">
        <f t="shared" ref="K365:M365" si="75">K363/SHARDING(K364)</f>
        <v>64</v>
      </c>
      <c r="L365" s="349">
        <f t="shared" si="75"/>
        <v>8</v>
      </c>
      <c r="M365" s="349">
        <f t="shared" si="75"/>
        <v>7168</v>
      </c>
      <c r="N365" s="349" t="s">
        <v>283</v>
      </c>
      <c r="O365" s="316"/>
      <c r="P365" s="377">
        <f>SIZEOF_IN_MIB(J365:M365, O362)</f>
        <v>3.5</v>
      </c>
      <c r="Q365" s="316"/>
    </row>
    <row r="366">
      <c r="E366" s="341"/>
      <c r="F366" s="630" t="s">
        <v>296</v>
      </c>
      <c r="G366" s="335"/>
      <c r="H366" s="517" t="s">
        <v>281</v>
      </c>
      <c r="I366" s="346" t="s">
        <v>282</v>
      </c>
      <c r="J366" s="344">
        <v>2.0</v>
      </c>
      <c r="K366" s="344" t="s">
        <v>184</v>
      </c>
      <c r="L366" s="556" t="s">
        <v>178</v>
      </c>
      <c r="M366" s="344" t="s">
        <v>182</v>
      </c>
      <c r="N366" s="346" t="s">
        <v>283</v>
      </c>
      <c r="O366" s="631" t="str">
        <f>EXTRACT_WEIGHT_DTYPE(PARAMS("moe_dtype"))</f>
        <v>fp4</v>
      </c>
      <c r="P366" s="509"/>
      <c r="Q366" s="473" t="b">
        <v>0</v>
      </c>
    </row>
    <row r="367">
      <c r="E367" s="341"/>
      <c r="F367" s="342"/>
      <c r="G367" s="343"/>
      <c r="H367" s="376" t="s">
        <v>285</v>
      </c>
      <c r="I367" s="349" t="s">
        <v>282</v>
      </c>
      <c r="J367" s="349">
        <f t="shared" ref="J367:M367" si="76">PARAMS(J366)</f>
        <v>2</v>
      </c>
      <c r="K367" s="349">
        <f t="shared" si="76"/>
        <v>256</v>
      </c>
      <c r="L367" s="349">
        <f t="shared" si="76"/>
        <v>7168</v>
      </c>
      <c r="M367" s="349">
        <f t="shared" si="76"/>
        <v>2048</v>
      </c>
      <c r="N367" s="349" t="s">
        <v>283</v>
      </c>
      <c r="O367" s="350"/>
      <c r="P367" s="377">
        <f>SIZEOF_IN_MIB(J367:M367, O366)</f>
        <v>3584</v>
      </c>
      <c r="Q367" s="350"/>
    </row>
    <row r="368">
      <c r="E368" s="341"/>
      <c r="F368" s="342"/>
      <c r="G368" s="343"/>
      <c r="H368" s="517" t="s">
        <v>287</v>
      </c>
      <c r="I368" s="346"/>
      <c r="J368" s="345"/>
      <c r="K368" s="344" t="s">
        <v>196</v>
      </c>
      <c r="L368" s="344"/>
      <c r="M368" s="344"/>
      <c r="N368" s="346" t="s">
        <v>283</v>
      </c>
      <c r="O368" s="347"/>
      <c r="P368" s="509"/>
      <c r="Q368" s="347"/>
    </row>
    <row r="369">
      <c r="E369" s="341"/>
      <c r="F369" s="353"/>
      <c r="G369" s="354"/>
      <c r="H369" s="602" t="s">
        <v>289</v>
      </c>
      <c r="I369" s="349" t="s">
        <v>282</v>
      </c>
      <c r="J369" s="349">
        <f t="shared" ref="J369:M369" si="77">J367/SHARDING(J368)</f>
        <v>2</v>
      </c>
      <c r="K369" s="349">
        <f t="shared" si="77"/>
        <v>16</v>
      </c>
      <c r="L369" s="349">
        <f t="shared" si="77"/>
        <v>7168</v>
      </c>
      <c r="M369" s="349">
        <f t="shared" si="77"/>
        <v>2048</v>
      </c>
      <c r="N369" s="349" t="s">
        <v>283</v>
      </c>
      <c r="O369" s="316"/>
      <c r="P369" s="377">
        <f>SIZEOF_IN_MIB(J369:M369, O366)</f>
        <v>224</v>
      </c>
      <c r="Q369" s="316"/>
    </row>
    <row r="370">
      <c r="E370" s="341"/>
      <c r="F370" s="630" t="s">
        <v>56</v>
      </c>
      <c r="G370" s="335"/>
      <c r="H370" s="517" t="s">
        <v>281</v>
      </c>
      <c r="I370" s="346" t="s">
        <v>282</v>
      </c>
      <c r="J370" s="344">
        <v>2.0</v>
      </c>
      <c r="K370" s="344" t="s">
        <v>104</v>
      </c>
      <c r="L370" s="344" t="s">
        <v>212</v>
      </c>
      <c r="M370" s="344" t="s">
        <v>182</v>
      </c>
      <c r="N370" s="346" t="s">
        <v>283</v>
      </c>
      <c r="O370" s="546" t="s">
        <v>133</v>
      </c>
      <c r="P370" s="509"/>
      <c r="Q370" s="473" t="b">
        <v>0</v>
      </c>
    </row>
    <row r="371">
      <c r="E371" s="341"/>
      <c r="F371" s="342"/>
      <c r="G371" s="343"/>
      <c r="H371" s="376" t="s">
        <v>285</v>
      </c>
      <c r="I371" s="349" t="s">
        <v>282</v>
      </c>
      <c r="J371" s="349">
        <f t="shared" ref="J371:M371" si="78">PARAMS(J370)</f>
        <v>2</v>
      </c>
      <c r="K371" s="349">
        <f t="shared" si="78"/>
        <v>1024</v>
      </c>
      <c r="L371" s="349">
        <f t="shared" si="78"/>
        <v>8</v>
      </c>
      <c r="M371" s="349">
        <f t="shared" si="78"/>
        <v>2048</v>
      </c>
      <c r="N371" s="349" t="s">
        <v>283</v>
      </c>
      <c r="O371" s="350"/>
      <c r="P371" s="377">
        <f>SIZEOF_IN_MIB(J371:M371, O370)</f>
        <v>64</v>
      </c>
      <c r="Q371" s="350"/>
    </row>
    <row r="372">
      <c r="E372" s="341"/>
      <c r="F372" s="342"/>
      <c r="G372" s="343"/>
      <c r="H372" s="517" t="s">
        <v>287</v>
      </c>
      <c r="I372" s="346" t="s">
        <v>282</v>
      </c>
      <c r="J372" s="345"/>
      <c r="K372" s="344" t="s">
        <v>196</v>
      </c>
      <c r="L372" s="344"/>
      <c r="M372" s="344"/>
      <c r="N372" s="346" t="s">
        <v>283</v>
      </c>
      <c r="O372" s="347"/>
      <c r="P372" s="509"/>
      <c r="Q372" s="347"/>
    </row>
    <row r="373">
      <c r="E373" s="341"/>
      <c r="F373" s="353"/>
      <c r="G373" s="354"/>
      <c r="H373" s="602" t="s">
        <v>289</v>
      </c>
      <c r="I373" s="349" t="s">
        <v>282</v>
      </c>
      <c r="J373" s="349">
        <f t="shared" ref="J373:M373" si="79">J371/SHARDING(J372)</f>
        <v>2</v>
      </c>
      <c r="K373" s="349">
        <f t="shared" si="79"/>
        <v>64</v>
      </c>
      <c r="L373" s="349">
        <f t="shared" si="79"/>
        <v>8</v>
      </c>
      <c r="M373" s="349">
        <f t="shared" si="79"/>
        <v>2048</v>
      </c>
      <c r="N373" s="349" t="s">
        <v>283</v>
      </c>
      <c r="O373" s="316"/>
      <c r="P373" s="377">
        <f>SIZEOF_IN_MIB(J373:M373, O370)</f>
        <v>4</v>
      </c>
      <c r="Q373" s="316"/>
    </row>
    <row r="374">
      <c r="E374" s="341"/>
      <c r="F374" s="370" t="s">
        <v>378</v>
      </c>
      <c r="G374" s="601" t="s">
        <v>657</v>
      </c>
      <c r="H374" s="498" t="str">
        <f>L368</f>
        <v/>
      </c>
      <c r="I374" s="632" t="s">
        <v>658</v>
      </c>
      <c r="J374" s="345"/>
      <c r="K374" s="345"/>
      <c r="L374" s="346"/>
      <c r="M374" s="346"/>
      <c r="N374" s="346"/>
      <c r="O374" s="345"/>
      <c r="P374" s="509"/>
      <c r="Q374" s="379"/>
    </row>
    <row r="375">
      <c r="E375" s="341"/>
      <c r="F375" s="341"/>
      <c r="G375" s="591" t="s">
        <v>381</v>
      </c>
      <c r="H375" s="633" t="s">
        <v>382</v>
      </c>
      <c r="I375" s="633"/>
      <c r="J375" s="448"/>
      <c r="K375" s="448"/>
      <c r="L375" s="449"/>
      <c r="M375" s="449"/>
      <c r="N375" s="449"/>
      <c r="O375" s="448"/>
      <c r="P375" s="604"/>
      <c r="Q375" s="572"/>
    </row>
    <row r="376">
      <c r="E376" s="341"/>
      <c r="F376" s="341"/>
      <c r="G376" s="594" t="s">
        <v>306</v>
      </c>
      <c r="H376" s="634">
        <f>SHARDING(H374)</f>
        <v>1</v>
      </c>
      <c r="I376" s="498"/>
      <c r="J376" s="345"/>
      <c r="K376" s="345"/>
      <c r="L376" s="346"/>
      <c r="M376" s="346"/>
      <c r="N376" s="346"/>
      <c r="O376" s="345"/>
      <c r="P376" s="509"/>
      <c r="Q376" s="379"/>
    </row>
    <row r="377">
      <c r="E377" s="341"/>
      <c r="F377" s="341"/>
      <c r="G377" s="594" t="s">
        <v>383</v>
      </c>
      <c r="H377" s="635">
        <f>P373/H376*(H376-1)</f>
        <v>0</v>
      </c>
      <c r="I377" s="549"/>
      <c r="J377" s="336"/>
      <c r="K377" s="336"/>
      <c r="L377" s="349"/>
      <c r="M377" s="349"/>
      <c r="N377" s="349"/>
      <c r="O377" s="336"/>
      <c r="P377" s="377"/>
      <c r="Q377" s="298"/>
    </row>
    <row r="378">
      <c r="E378" s="341"/>
      <c r="F378" s="341"/>
      <c r="G378" s="594" t="s">
        <v>384</v>
      </c>
      <c r="H378" s="636">
        <f>H377*H376</f>
        <v>0</v>
      </c>
      <c r="I378" s="498"/>
      <c r="J378" s="345"/>
      <c r="K378" s="345"/>
      <c r="L378" s="346"/>
      <c r="M378" s="346"/>
      <c r="N378" s="346"/>
      <c r="O378" s="345"/>
      <c r="P378" s="509"/>
      <c r="Q378" s="379"/>
    </row>
    <row r="379">
      <c r="E379" s="341"/>
      <c r="F379" s="341"/>
      <c r="G379" s="637" t="s">
        <v>385</v>
      </c>
      <c r="H379" s="638" t="s">
        <v>309</v>
      </c>
      <c r="I379" s="549"/>
      <c r="J379" s="639">
        <f>IFS(H376=8,12,
H376=4,4,
H376=2,1,
H376=1,0,
TRUE,NA())</f>
        <v>0</v>
      </c>
      <c r="K379" s="336"/>
      <c r="L379" s="349"/>
      <c r="M379" s="349"/>
      <c r="N379" s="349"/>
      <c r="O379" s="336"/>
      <c r="P379" s="377"/>
      <c r="Q379" s="298"/>
    </row>
    <row r="380">
      <c r="E380" s="341"/>
      <c r="F380" s="341"/>
      <c r="G380" s="341"/>
      <c r="H380" s="640" t="s">
        <v>386</v>
      </c>
      <c r="I380" s="379"/>
      <c r="J380" s="641" t="str">
        <f>HW_SPEC("# of TensorCore per Chip")</f>
        <v>#N/A</v>
      </c>
      <c r="K380" s="345"/>
      <c r="L380" s="346"/>
      <c r="M380" s="346"/>
      <c r="N380" s="346"/>
      <c r="O380" s="345"/>
      <c r="P380" s="509"/>
      <c r="Q380" s="379"/>
    </row>
    <row r="381">
      <c r="E381" s="341"/>
      <c r="F381" s="341"/>
      <c r="G381" s="352"/>
      <c r="H381" s="642" t="s">
        <v>311</v>
      </c>
      <c r="I381" s="549"/>
      <c r="J381" s="643" t="str">
        <f>REDUCE_SCATTER_CHIP2CHIP_TIME_MS2(H378*J380,J379)</f>
        <v>#N/A</v>
      </c>
      <c r="K381" s="336"/>
      <c r="L381" s="349"/>
      <c r="M381" s="349"/>
      <c r="N381" s="349"/>
      <c r="O381" s="336"/>
      <c r="P381" s="377"/>
      <c r="Q381" s="298"/>
    </row>
    <row r="382">
      <c r="E382" s="341"/>
      <c r="F382" s="341"/>
      <c r="G382" s="644" t="s">
        <v>387</v>
      </c>
      <c r="H382" s="645" t="s">
        <v>311</v>
      </c>
      <c r="I382" s="379"/>
      <c r="J382" s="646">
        <f>REDUCE_SCATTER_CORE2CORE_TIME_MS(H378)</f>
        <v>0</v>
      </c>
      <c r="K382" s="345"/>
      <c r="L382" s="346"/>
      <c r="M382" s="346"/>
      <c r="N382" s="346"/>
      <c r="O382" s="345"/>
      <c r="P382" s="509"/>
      <c r="Q382" s="379"/>
    </row>
    <row r="383">
      <c r="E383" s="341"/>
      <c r="F383" s="341"/>
      <c r="G383" s="11"/>
      <c r="H383" s="298"/>
      <c r="I383" s="549"/>
      <c r="J383" s="336"/>
      <c r="K383" s="336"/>
      <c r="L383" s="349"/>
      <c r="M383" s="349"/>
      <c r="N383" s="349"/>
      <c r="O383" s="336"/>
      <c r="P383" s="377"/>
      <c r="Q383" s="298"/>
    </row>
    <row r="384">
      <c r="E384" s="341"/>
      <c r="F384" s="341"/>
      <c r="G384" s="591" t="s">
        <v>388</v>
      </c>
      <c r="H384" s="647" t="s">
        <v>389</v>
      </c>
      <c r="I384" s="648"/>
      <c r="J384" s="448"/>
      <c r="K384" s="448"/>
      <c r="L384" s="449"/>
      <c r="M384" s="449"/>
      <c r="N384" s="449"/>
      <c r="O384" s="448"/>
      <c r="P384" s="604"/>
      <c r="Q384" s="572"/>
    </row>
    <row r="385">
      <c r="E385" s="341"/>
      <c r="F385" s="341"/>
      <c r="G385" s="601" t="s">
        <v>390</v>
      </c>
      <c r="H385" s="649">
        <f>P373/2</f>
        <v>2</v>
      </c>
      <c r="I385" s="650"/>
      <c r="J385" s="454"/>
      <c r="K385" s="454"/>
      <c r="L385" s="455"/>
      <c r="M385" s="455"/>
      <c r="N385" s="455"/>
      <c r="O385" s="454"/>
      <c r="P385" s="468"/>
      <c r="Q385" s="11"/>
    </row>
    <row r="386">
      <c r="E386" s="341"/>
      <c r="F386" s="341"/>
      <c r="G386" s="11"/>
      <c r="H386" s="11"/>
      <c r="I386" s="650"/>
      <c r="J386" s="454"/>
      <c r="K386" s="454"/>
      <c r="L386" s="455"/>
      <c r="M386" s="455"/>
      <c r="N386" s="455"/>
      <c r="O386" s="454"/>
      <c r="P386" s="468"/>
      <c r="Q386" s="11"/>
    </row>
    <row r="387">
      <c r="E387" s="341"/>
      <c r="F387" s="341"/>
      <c r="G387" s="591" t="s">
        <v>263</v>
      </c>
      <c r="H387" s="647" t="s">
        <v>391</v>
      </c>
      <c r="I387" s="648"/>
      <c r="J387" s="448"/>
      <c r="K387" s="448"/>
      <c r="L387" s="449"/>
      <c r="M387" s="449"/>
      <c r="N387" s="449"/>
      <c r="O387" s="448"/>
      <c r="P387" s="604"/>
      <c r="Q387" s="572"/>
    </row>
    <row r="388">
      <c r="E388" s="341"/>
      <c r="F388" s="341"/>
      <c r="G388" s="594" t="s">
        <v>306</v>
      </c>
      <c r="H388" s="651">
        <f>H376</f>
        <v>1</v>
      </c>
      <c r="I388" s="650"/>
      <c r="J388" s="454"/>
      <c r="K388" s="454"/>
      <c r="L388" s="455"/>
      <c r="M388" s="455"/>
      <c r="N388" s="455"/>
      <c r="O388" s="454"/>
      <c r="P388" s="468"/>
      <c r="Q388" s="11"/>
    </row>
    <row r="389">
      <c r="E389" s="341"/>
      <c r="F389" s="341"/>
      <c r="G389" s="594" t="s">
        <v>392</v>
      </c>
      <c r="H389" s="652">
        <f>H385/H388 * (H388-1)</f>
        <v>0</v>
      </c>
      <c r="I389" s="650"/>
      <c r="J389" s="454"/>
      <c r="K389" s="454"/>
      <c r="L389" s="455"/>
      <c r="M389" s="455"/>
      <c r="N389" s="455"/>
      <c r="O389" s="454"/>
      <c r="P389" s="468"/>
      <c r="Q389" s="11"/>
    </row>
    <row r="390">
      <c r="E390" s="341"/>
      <c r="F390" s="341"/>
      <c r="G390" s="594" t="s">
        <v>308</v>
      </c>
      <c r="H390" s="652">
        <f>H389*H388</f>
        <v>0</v>
      </c>
      <c r="I390" s="650"/>
      <c r="J390" s="454"/>
      <c r="K390" s="454"/>
      <c r="L390" s="455"/>
      <c r="M390" s="455"/>
      <c r="N390" s="455"/>
      <c r="O390" s="454"/>
      <c r="P390" s="468"/>
      <c r="Q390" s="11"/>
    </row>
    <row r="391">
      <c r="E391" s="341"/>
      <c r="F391" s="341"/>
      <c r="G391" s="653" t="s">
        <v>385</v>
      </c>
      <c r="H391" s="385" t="s">
        <v>309</v>
      </c>
      <c r="I391" s="11"/>
      <c r="J391" s="654" t="str">
        <f>IFS(H388=8,12,
H388=4,4,
H388=2,1,
TRUE,NA())</f>
        <v>#N/A</v>
      </c>
      <c r="K391" s="454"/>
      <c r="L391" s="455"/>
      <c r="M391" s="455"/>
      <c r="N391" s="455"/>
      <c r="O391" s="454"/>
      <c r="P391" s="468"/>
      <c r="Q391" s="11"/>
      <c r="S391" s="655"/>
    </row>
    <row r="392">
      <c r="E392" s="341"/>
      <c r="F392" s="341"/>
      <c r="G392" s="341"/>
      <c r="H392" s="385" t="s">
        <v>386</v>
      </c>
      <c r="I392" s="11"/>
      <c r="J392" s="656" t="str">
        <f>HW_SPEC("# of TensorCore per Chip")</f>
        <v>#N/A</v>
      </c>
      <c r="K392" s="454"/>
      <c r="L392" s="455"/>
      <c r="M392" s="455"/>
      <c r="N392" s="455"/>
      <c r="O392" s="454"/>
      <c r="P392" s="468"/>
      <c r="Q392" s="11"/>
    </row>
    <row r="393">
      <c r="E393" s="341"/>
      <c r="F393" s="341"/>
      <c r="G393" s="352"/>
      <c r="H393" s="402" t="s">
        <v>311</v>
      </c>
      <c r="I393" s="650"/>
      <c r="J393" s="657" t="str">
        <f>REDUCE_SCATTER_CHIP2CHIP_TIME_MS2(H390*J392,J391)</f>
        <v>#N/A</v>
      </c>
      <c r="K393" s="454"/>
      <c r="L393" s="455"/>
      <c r="M393" s="455"/>
      <c r="N393" s="455"/>
      <c r="O393" s="454"/>
      <c r="P393" s="468"/>
      <c r="Q393" s="11"/>
    </row>
    <row r="394">
      <c r="E394" s="341"/>
      <c r="F394" s="341"/>
      <c r="G394" s="658" t="s">
        <v>387</v>
      </c>
      <c r="H394" s="402" t="s">
        <v>311</v>
      </c>
      <c r="I394" s="650"/>
      <c r="J394" s="657">
        <f>REDUCE_SCATTER_CORE2CORE_TIME_MS(H390)</f>
        <v>0</v>
      </c>
      <c r="K394" s="454"/>
      <c r="L394" s="455"/>
      <c r="M394" s="455"/>
      <c r="N394" s="455"/>
      <c r="O394" s="454"/>
      <c r="P394" s="468"/>
      <c r="Q394" s="11"/>
    </row>
    <row r="395">
      <c r="E395" s="341"/>
      <c r="F395" s="341"/>
      <c r="G395" s="594"/>
      <c r="H395" s="659"/>
      <c r="I395" s="650"/>
      <c r="J395" s="454"/>
      <c r="K395" s="454"/>
      <c r="L395" s="455"/>
      <c r="M395" s="455"/>
      <c r="N395" s="455"/>
      <c r="O395" s="454"/>
      <c r="P395" s="468"/>
      <c r="Q395" s="11"/>
    </row>
    <row r="396">
      <c r="E396" s="341"/>
      <c r="F396" s="341"/>
      <c r="G396" s="591" t="s">
        <v>393</v>
      </c>
      <c r="H396" s="660" t="s">
        <v>394</v>
      </c>
      <c r="I396" s="648"/>
      <c r="J396" s="448"/>
      <c r="K396" s="448"/>
      <c r="L396" s="449"/>
      <c r="M396" s="449"/>
      <c r="N396" s="449"/>
      <c r="O396" s="448"/>
      <c r="P396" s="604"/>
      <c r="Q396" s="572"/>
    </row>
    <row r="397">
      <c r="E397" s="341"/>
      <c r="F397" s="341"/>
      <c r="G397" s="661" t="s">
        <v>395</v>
      </c>
      <c r="H397" s="662">
        <f>IFS(H396=G379,J381,
H396=G382,J382 ,
TRUE,0)</f>
        <v>0</v>
      </c>
      <c r="I397" s="650"/>
      <c r="J397" s="454"/>
      <c r="K397" s="454"/>
      <c r="L397" s="455"/>
      <c r="M397" s="455"/>
      <c r="N397" s="455"/>
      <c r="O397" s="454"/>
      <c r="P397" s="468"/>
      <c r="Q397" s="11"/>
    </row>
    <row r="398">
      <c r="E398" s="341"/>
      <c r="F398" s="341"/>
      <c r="G398" s="661" t="s">
        <v>396</v>
      </c>
      <c r="H398" s="662">
        <f>IFS(H396=G391,J393,
H396=G394,J394 ,
TRUE,0)</f>
        <v>0</v>
      </c>
      <c r="I398" s="650"/>
      <c r="J398" s="454"/>
      <c r="K398" s="454"/>
      <c r="L398" s="455"/>
      <c r="M398" s="455"/>
      <c r="N398" s="455"/>
      <c r="O398" s="454"/>
      <c r="P398" s="468"/>
      <c r="Q398" s="11"/>
    </row>
    <row r="399">
      <c r="E399" s="341"/>
      <c r="F399" s="352"/>
      <c r="G399" s="591" t="s">
        <v>340</v>
      </c>
      <c r="H399" s="625">
        <f>SUM(H397:H398)</f>
        <v>0</v>
      </c>
      <c r="I399" s="581"/>
      <c r="J399" s="448"/>
      <c r="K399" s="448"/>
      <c r="L399" s="449"/>
      <c r="M399" s="449"/>
      <c r="N399" s="449"/>
      <c r="O399" s="448"/>
      <c r="P399" s="604"/>
      <c r="Q399" s="572"/>
    </row>
    <row r="400">
      <c r="E400" s="341"/>
      <c r="F400" s="609" t="s">
        <v>327</v>
      </c>
      <c r="G400" s="601" t="s">
        <v>328</v>
      </c>
      <c r="H400" s="663" t="str">
        <f>VLOOKUP(O362&amp;","&amp;O366,$T$3:$W$12,4, FALSE)</f>
        <v>fp8</v>
      </c>
      <c r="I400" s="460"/>
      <c r="J400" s="454"/>
      <c r="K400" s="454"/>
      <c r="L400" s="455"/>
      <c r="M400" s="455"/>
      <c r="N400" s="455"/>
      <c r="O400" s="454"/>
      <c r="P400" s="468"/>
      <c r="Q400" s="11"/>
    </row>
    <row r="401">
      <c r="E401" s="341"/>
      <c r="F401" s="341"/>
      <c r="G401" s="601" t="s">
        <v>403</v>
      </c>
      <c r="H401" s="667" t="str">
        <f>CALCULATE_FLOPS(J365:M365,J369:M369,L369,K369,H400)</f>
        <v>#N/A</v>
      </c>
      <c r="I401" s="460"/>
      <c r="J401" s="454"/>
      <c r="K401" s="454"/>
      <c r="L401" s="455"/>
      <c r="M401" s="455"/>
      <c r="N401" s="455"/>
      <c r="O401" s="454"/>
      <c r="P401" s="468"/>
      <c r="Q401" s="11"/>
    </row>
    <row r="402">
      <c r="E402" s="341"/>
      <c r="F402" s="352"/>
      <c r="G402" s="669" t="s">
        <v>330</v>
      </c>
      <c r="H402" s="670" t="str">
        <f>COMPUTE_TIME_MS(H401, H400)</f>
        <v>#N/A</v>
      </c>
      <c r="I402" s="464"/>
      <c r="J402" s="465"/>
      <c r="K402" s="465"/>
      <c r="L402" s="466"/>
      <c r="M402" s="466"/>
      <c r="N402" s="466"/>
      <c r="O402" s="465"/>
      <c r="P402" s="671"/>
      <c r="Q402" s="11"/>
    </row>
    <row r="403">
      <c r="E403" s="341"/>
      <c r="F403" s="609" t="s">
        <v>331</v>
      </c>
      <c r="G403" s="663" t="s">
        <v>332</v>
      </c>
      <c r="H403" s="672">
        <f>IF(Q362,0,P365)+IF(Q366,0,P369)+IF(Q370,0,P373 / 2)</f>
        <v>229.5</v>
      </c>
      <c r="I403" s="454"/>
      <c r="J403" s="454"/>
      <c r="K403" s="454"/>
      <c r="L403" s="455"/>
      <c r="M403" s="455"/>
      <c r="N403" s="455"/>
      <c r="O403" s="454"/>
      <c r="P403" s="468"/>
      <c r="Q403" s="11"/>
    </row>
    <row r="404">
      <c r="E404" s="352"/>
      <c r="F404" s="352"/>
      <c r="G404" s="673" t="s">
        <v>333</v>
      </c>
      <c r="H404" s="670" t="str">
        <f>HBM_TIME_MS(H403)</f>
        <v>#N/A</v>
      </c>
      <c r="I404" s="465"/>
      <c r="J404" s="465"/>
      <c r="K404" s="465"/>
      <c r="L404" s="466"/>
      <c r="M404" s="466"/>
      <c r="N404" s="466"/>
      <c r="O404" s="465"/>
      <c r="P404" s="671"/>
      <c r="Q404" s="11"/>
    </row>
    <row r="405">
      <c r="E405" s="333" t="s">
        <v>404</v>
      </c>
      <c r="F405" s="627" t="s">
        <v>292</v>
      </c>
      <c r="G405" s="335"/>
      <c r="H405" s="372" t="s">
        <v>281</v>
      </c>
      <c r="I405" s="364" t="s">
        <v>282</v>
      </c>
      <c r="J405" s="273"/>
      <c r="K405" s="273" t="s">
        <v>104</v>
      </c>
      <c r="L405" s="273" t="s">
        <v>212</v>
      </c>
      <c r="M405" s="472" t="s">
        <v>182</v>
      </c>
      <c r="N405" s="364" t="s">
        <v>283</v>
      </c>
      <c r="O405" s="628" t="str">
        <f>EXTRACT_ACTIVATION_DTYPE(PARAMS("moe_dtype"))</f>
        <v>fp8</v>
      </c>
      <c r="P405" s="375"/>
      <c r="Q405" s="365" t="b">
        <v>0</v>
      </c>
    </row>
    <row r="406">
      <c r="E406" s="341"/>
      <c r="F406" s="342"/>
      <c r="G406" s="343"/>
      <c r="H406" s="374" t="s">
        <v>285</v>
      </c>
      <c r="I406" s="364" t="s">
        <v>282</v>
      </c>
      <c r="J406" s="363"/>
      <c r="K406" s="364">
        <f t="shared" ref="K406:M406" si="80">PARAMS(K405)</f>
        <v>1024</v>
      </c>
      <c r="L406" s="364">
        <f t="shared" si="80"/>
        <v>8</v>
      </c>
      <c r="M406" s="364">
        <f t="shared" si="80"/>
        <v>2048</v>
      </c>
      <c r="N406" s="364" t="s">
        <v>283</v>
      </c>
      <c r="O406" s="341"/>
      <c r="P406" s="375">
        <f>SIZEOF_IN_MIB(J406:M406, O405)</f>
        <v>16</v>
      </c>
      <c r="Q406" s="341"/>
    </row>
    <row r="407">
      <c r="E407" s="341"/>
      <c r="F407" s="342"/>
      <c r="G407" s="343"/>
      <c r="H407" s="629" t="s">
        <v>287</v>
      </c>
      <c r="I407" s="363" t="s">
        <v>282</v>
      </c>
      <c r="J407" s="364"/>
      <c r="K407" s="273" t="s">
        <v>196</v>
      </c>
      <c r="L407" s="273"/>
      <c r="M407" s="273"/>
      <c r="N407" s="363" t="s">
        <v>283</v>
      </c>
      <c r="O407" s="341"/>
      <c r="P407" s="375"/>
      <c r="Q407" s="341"/>
    </row>
    <row r="408">
      <c r="E408" s="341"/>
      <c r="F408" s="353"/>
      <c r="G408" s="354"/>
      <c r="H408" s="374" t="s">
        <v>289</v>
      </c>
      <c r="I408" s="363" t="s">
        <v>282</v>
      </c>
      <c r="J408" s="364"/>
      <c r="K408" s="363">
        <f t="shared" ref="K408:M408" si="81">K406/SHARDING(K407)</f>
        <v>64</v>
      </c>
      <c r="L408" s="363">
        <f t="shared" si="81"/>
        <v>8</v>
      </c>
      <c r="M408" s="363">
        <f t="shared" si="81"/>
        <v>2048</v>
      </c>
      <c r="N408" s="363" t="s">
        <v>283</v>
      </c>
      <c r="O408" s="316"/>
      <c r="P408" s="375">
        <f>SIZEOF_IN_MIB(J408:M408, O405)</f>
        <v>1</v>
      </c>
      <c r="Q408" s="352"/>
    </row>
    <row r="409">
      <c r="E409" s="341"/>
      <c r="F409" s="630" t="s">
        <v>296</v>
      </c>
      <c r="G409" s="335"/>
      <c r="H409" s="629" t="s">
        <v>281</v>
      </c>
      <c r="I409" s="363" t="s">
        <v>282</v>
      </c>
      <c r="J409" s="364"/>
      <c r="K409" s="273" t="s">
        <v>184</v>
      </c>
      <c r="L409" s="472" t="s">
        <v>182</v>
      </c>
      <c r="M409" s="273" t="s">
        <v>178</v>
      </c>
      <c r="N409" s="363" t="s">
        <v>283</v>
      </c>
      <c r="O409" s="631" t="str">
        <f>EXTRACT_WEIGHT_DTYPE(PARAMS("moe_dtype"))</f>
        <v>fp4</v>
      </c>
      <c r="P409" s="375"/>
      <c r="Q409" s="365" t="b">
        <v>0</v>
      </c>
    </row>
    <row r="410">
      <c r="E410" s="341"/>
      <c r="F410" s="342"/>
      <c r="G410" s="343"/>
      <c r="H410" s="374" t="s">
        <v>285</v>
      </c>
      <c r="I410" s="363" t="s">
        <v>282</v>
      </c>
      <c r="J410" s="364"/>
      <c r="K410" s="363">
        <f t="shared" ref="K410:M410" si="82">PARAMS(K409)</f>
        <v>256</v>
      </c>
      <c r="L410" s="363">
        <f t="shared" si="82"/>
        <v>2048</v>
      </c>
      <c r="M410" s="363">
        <f t="shared" si="82"/>
        <v>7168</v>
      </c>
      <c r="N410" s="363" t="s">
        <v>283</v>
      </c>
      <c r="O410" s="350"/>
      <c r="P410" s="375">
        <f>SIZEOF_IN_MIB(J410:M410, O409)</f>
        <v>1792</v>
      </c>
      <c r="Q410" s="341"/>
    </row>
    <row r="411">
      <c r="E411" s="341"/>
      <c r="F411" s="342"/>
      <c r="G411" s="343"/>
      <c r="H411" s="629" t="s">
        <v>287</v>
      </c>
      <c r="I411" s="363" t="s">
        <v>282</v>
      </c>
      <c r="J411" s="364"/>
      <c r="K411" s="273" t="s">
        <v>196</v>
      </c>
      <c r="L411" s="273"/>
      <c r="M411" s="273"/>
      <c r="N411" s="363" t="s">
        <v>283</v>
      </c>
      <c r="O411" s="347"/>
      <c r="P411" s="375"/>
      <c r="Q411" s="341"/>
    </row>
    <row r="412">
      <c r="E412" s="341"/>
      <c r="F412" s="353"/>
      <c r="G412" s="354"/>
      <c r="H412" s="629" t="s">
        <v>289</v>
      </c>
      <c r="I412" s="363" t="s">
        <v>282</v>
      </c>
      <c r="J412" s="364"/>
      <c r="K412" s="363">
        <f t="shared" ref="K412:M412" si="83">K410/SHARDING(K411)</f>
        <v>16</v>
      </c>
      <c r="L412" s="363">
        <f t="shared" si="83"/>
        <v>2048</v>
      </c>
      <c r="M412" s="363">
        <f t="shared" si="83"/>
        <v>7168</v>
      </c>
      <c r="N412" s="363" t="s">
        <v>283</v>
      </c>
      <c r="O412" s="316"/>
      <c r="P412" s="375">
        <f>SIZEOF_IN_MIB(J412:M412, O409)</f>
        <v>112</v>
      </c>
      <c r="Q412" s="352"/>
    </row>
    <row r="413">
      <c r="E413" s="341"/>
      <c r="F413" s="630" t="s">
        <v>56</v>
      </c>
      <c r="G413" s="335"/>
      <c r="H413" s="629" t="s">
        <v>281</v>
      </c>
      <c r="I413" s="363" t="s">
        <v>282</v>
      </c>
      <c r="J413" s="364"/>
      <c r="K413" s="273" t="s">
        <v>104</v>
      </c>
      <c r="L413" s="273" t="s">
        <v>212</v>
      </c>
      <c r="M413" s="273" t="s">
        <v>178</v>
      </c>
      <c r="N413" s="363" t="s">
        <v>283</v>
      </c>
      <c r="O413" s="674" t="s">
        <v>133</v>
      </c>
      <c r="P413" s="375"/>
      <c r="Q413" s="365" t="b">
        <v>0</v>
      </c>
    </row>
    <row r="414">
      <c r="E414" s="341"/>
      <c r="F414" s="342"/>
      <c r="G414" s="343"/>
      <c r="H414" s="374" t="s">
        <v>285</v>
      </c>
      <c r="I414" s="363" t="s">
        <v>282</v>
      </c>
      <c r="J414" s="364"/>
      <c r="K414" s="363">
        <f t="shared" ref="K414:M414" si="84">PARAMS(K413)</f>
        <v>1024</v>
      </c>
      <c r="L414" s="363">
        <f t="shared" si="84"/>
        <v>8</v>
      </c>
      <c r="M414" s="363">
        <f t="shared" si="84"/>
        <v>7168</v>
      </c>
      <c r="N414" s="363" t="s">
        <v>283</v>
      </c>
      <c r="O414" s="341"/>
      <c r="P414" s="375">
        <f>SIZEOF_IN_MIB(J414:M414, O413)</f>
        <v>112</v>
      </c>
      <c r="Q414" s="341"/>
    </row>
    <row r="415">
      <c r="E415" s="341"/>
      <c r="F415" s="342"/>
      <c r="G415" s="343"/>
      <c r="H415" s="629" t="s">
        <v>287</v>
      </c>
      <c r="I415" s="363" t="s">
        <v>282</v>
      </c>
      <c r="J415" s="364"/>
      <c r="K415" s="273" t="s">
        <v>196</v>
      </c>
      <c r="L415" s="273"/>
      <c r="M415" s="273"/>
      <c r="N415" s="363" t="s">
        <v>283</v>
      </c>
      <c r="O415" s="341"/>
      <c r="P415" s="375"/>
      <c r="Q415" s="341"/>
    </row>
    <row r="416">
      <c r="E416" s="341"/>
      <c r="F416" s="353"/>
      <c r="G416" s="354"/>
      <c r="H416" s="629" t="s">
        <v>289</v>
      </c>
      <c r="I416" s="363" t="s">
        <v>282</v>
      </c>
      <c r="J416" s="363"/>
      <c r="K416" s="363">
        <f t="shared" ref="K416:M416" si="85">K414/SHARDING(K415)</f>
        <v>64</v>
      </c>
      <c r="L416" s="363">
        <f t="shared" si="85"/>
        <v>8</v>
      </c>
      <c r="M416" s="363">
        <f t="shared" si="85"/>
        <v>7168</v>
      </c>
      <c r="N416" s="363" t="s">
        <v>283</v>
      </c>
      <c r="O416" s="352"/>
      <c r="P416" s="375">
        <f>SIZEOF_IN_MIB(J416:M416, O413)</f>
        <v>7</v>
      </c>
      <c r="Q416" s="352"/>
    </row>
    <row r="417">
      <c r="E417" s="341"/>
      <c r="F417" s="370" t="s">
        <v>378</v>
      </c>
      <c r="G417" s="675" t="s">
        <v>659</v>
      </c>
      <c r="H417" s="676" t="str">
        <f>L411</f>
        <v/>
      </c>
      <c r="I417" s="364"/>
      <c r="J417" s="11"/>
      <c r="K417" s="364"/>
      <c r="L417" s="363"/>
      <c r="M417" s="363"/>
      <c r="N417" s="363"/>
      <c r="O417" s="364"/>
      <c r="P417" s="375"/>
      <c r="Q417" s="677"/>
    </row>
    <row r="418">
      <c r="E418" s="341"/>
      <c r="F418" s="341"/>
      <c r="G418" s="678" t="s">
        <v>406</v>
      </c>
      <c r="H418" s="679" t="s">
        <v>660</v>
      </c>
      <c r="I418" s="448"/>
      <c r="J418" s="448"/>
      <c r="K418" s="448"/>
      <c r="L418" s="449"/>
      <c r="M418" s="449"/>
      <c r="N418" s="449"/>
      <c r="O418" s="448"/>
      <c r="P418" s="604"/>
      <c r="Q418" s="450"/>
    </row>
    <row r="419">
      <c r="E419" s="341"/>
      <c r="F419" s="341"/>
      <c r="G419" s="680" t="s">
        <v>306</v>
      </c>
      <c r="H419" s="374">
        <f>SHARDING(H417)</f>
        <v>1</v>
      </c>
      <c r="I419" s="364"/>
      <c r="J419" s="364"/>
      <c r="K419" s="364"/>
      <c r="L419" s="363"/>
      <c r="M419" s="363"/>
      <c r="N419" s="363"/>
      <c r="O419" s="364"/>
      <c r="P419" s="375"/>
      <c r="Q419" s="677"/>
    </row>
    <row r="420">
      <c r="E420" s="341"/>
      <c r="F420" s="341"/>
      <c r="G420" s="680" t="s">
        <v>392</v>
      </c>
      <c r="H420" s="681">
        <f>P416 / H419 * (H419-1)</f>
        <v>0</v>
      </c>
      <c r="I420" s="364"/>
      <c r="J420" s="364"/>
      <c r="K420" s="364"/>
      <c r="L420" s="363"/>
      <c r="M420" s="363"/>
      <c r="N420" s="363"/>
      <c r="O420" s="364"/>
      <c r="P420" s="375"/>
      <c r="Q420" s="677"/>
    </row>
    <row r="421">
      <c r="E421" s="341"/>
      <c r="F421" s="341"/>
      <c r="G421" s="680" t="s">
        <v>308</v>
      </c>
      <c r="H421" s="681">
        <f>H420*H419</f>
        <v>0</v>
      </c>
      <c r="I421" s="364"/>
      <c r="J421" s="364"/>
      <c r="K421" s="364"/>
      <c r="L421" s="363"/>
      <c r="M421" s="363"/>
      <c r="N421" s="363"/>
      <c r="O421" s="364"/>
      <c r="P421" s="375"/>
      <c r="Q421" s="677"/>
    </row>
    <row r="422">
      <c r="E422" s="341"/>
      <c r="F422" s="341"/>
      <c r="G422" s="385" t="s">
        <v>309</v>
      </c>
      <c r="H422" s="654" t="str">
        <f>IFS(H419=8,12,
H419=4,4,
H419=2,1,
TRUE,NA())</f>
        <v>#N/A</v>
      </c>
      <c r="I422" s="11"/>
      <c r="J422" s="364"/>
      <c r="K422" s="364"/>
      <c r="L422" s="363"/>
      <c r="M422" s="363"/>
      <c r="N422" s="363"/>
      <c r="O422" s="364"/>
      <c r="P422" s="375"/>
      <c r="Q422" s="677"/>
    </row>
    <row r="423">
      <c r="E423" s="341"/>
      <c r="F423" s="341"/>
      <c r="G423" s="682" t="s">
        <v>340</v>
      </c>
      <c r="H423" s="683">
        <f>ALL_REDUCE_CHIP2CHIP_TIME_MS(H421,H422)</f>
        <v>0</v>
      </c>
      <c r="I423" s="364"/>
      <c r="J423" s="364"/>
      <c r="K423" s="364"/>
      <c r="L423" s="363"/>
      <c r="M423" s="363"/>
      <c r="N423" s="363"/>
      <c r="O423" s="364"/>
      <c r="P423" s="375"/>
      <c r="Q423" s="677"/>
    </row>
    <row r="424">
      <c r="E424" s="341"/>
      <c r="F424" s="341"/>
      <c r="G424" s="682"/>
      <c r="H424" s="683"/>
      <c r="I424" s="364"/>
      <c r="J424" s="364"/>
      <c r="K424" s="364"/>
      <c r="L424" s="363"/>
      <c r="M424" s="363"/>
      <c r="N424" s="363"/>
      <c r="O424" s="364"/>
      <c r="P424" s="375"/>
      <c r="Q424" s="677"/>
    </row>
    <row r="425">
      <c r="E425" s="341"/>
      <c r="F425" s="341"/>
      <c r="G425" s="678" t="s">
        <v>408</v>
      </c>
      <c r="H425" s="684" t="s">
        <v>409</v>
      </c>
      <c r="I425" s="448"/>
      <c r="J425" s="448"/>
      <c r="K425" s="448"/>
      <c r="L425" s="449"/>
      <c r="M425" s="449"/>
      <c r="N425" s="449"/>
      <c r="O425" s="448"/>
      <c r="P425" s="604"/>
      <c r="Q425" s="450"/>
    </row>
    <row r="426">
      <c r="E426" s="341"/>
      <c r="F426" s="341"/>
      <c r="G426" s="8" t="s">
        <v>340</v>
      </c>
      <c r="H426" s="670">
        <f>0</f>
        <v>0</v>
      </c>
      <c r="I426" s="364"/>
      <c r="J426" s="364"/>
      <c r="K426" s="364"/>
      <c r="L426" s="363"/>
      <c r="M426" s="363"/>
      <c r="N426" s="363"/>
      <c r="O426" s="364"/>
      <c r="P426" s="375"/>
      <c r="Q426" s="677"/>
    </row>
    <row r="427">
      <c r="E427" s="341"/>
      <c r="F427" s="341"/>
      <c r="G427" s="8"/>
      <c r="H427" s="670"/>
      <c r="I427" s="364"/>
      <c r="J427" s="364"/>
      <c r="K427" s="364"/>
      <c r="L427" s="363"/>
      <c r="M427" s="363"/>
      <c r="N427" s="363"/>
      <c r="O427" s="364"/>
      <c r="P427" s="375"/>
      <c r="Q427" s="677"/>
    </row>
    <row r="428">
      <c r="E428" s="341"/>
      <c r="F428" s="341"/>
      <c r="G428" s="591" t="s">
        <v>393</v>
      </c>
      <c r="H428" s="685" t="s">
        <v>627</v>
      </c>
      <c r="I428" s="448"/>
      <c r="J428" s="448"/>
      <c r="K428" s="448"/>
      <c r="L428" s="449"/>
      <c r="M428" s="449"/>
      <c r="N428" s="449"/>
      <c r="O428" s="448"/>
      <c r="P428" s="604"/>
      <c r="Q428" s="450"/>
    </row>
    <row r="429">
      <c r="E429" s="341"/>
      <c r="F429" s="352"/>
      <c r="G429" s="669" t="s">
        <v>340</v>
      </c>
      <c r="H429" s="670">
        <f>IFS(H428=G418,H423,H428=G425,H426,TRUE,0)</f>
        <v>0</v>
      </c>
      <c r="I429" s="686"/>
      <c r="J429" s="364"/>
      <c r="K429" s="364"/>
      <c r="L429" s="363"/>
      <c r="M429" s="363"/>
      <c r="N429" s="363"/>
      <c r="O429" s="364"/>
      <c r="P429" s="375"/>
      <c r="Q429" s="677"/>
    </row>
    <row r="430">
      <c r="E430" s="341"/>
      <c r="F430" s="609" t="s">
        <v>327</v>
      </c>
      <c r="G430" s="601" t="s">
        <v>328</v>
      </c>
      <c r="H430" s="663" t="str">
        <f>VLOOKUP(O405&amp;","&amp;O409,$T$3:$W$12,4, FALSE)</f>
        <v>fp8</v>
      </c>
      <c r="I430" s="460"/>
      <c r="J430" s="454"/>
      <c r="K430" s="454"/>
      <c r="L430" s="455"/>
      <c r="M430" s="455"/>
      <c r="N430" s="455"/>
      <c r="O430" s="454"/>
      <c r="P430" s="468"/>
      <c r="Q430" s="11"/>
    </row>
    <row r="431">
      <c r="E431" s="341"/>
      <c r="F431" s="341"/>
      <c r="G431" s="663" t="s">
        <v>341</v>
      </c>
      <c r="H431" s="687" t="str">
        <f>CALCULATE_FLOPS(J408:M408,J412:M412,L412,K412,H430)</f>
        <v>#N/A</v>
      </c>
      <c r="I431" s="492"/>
      <c r="J431" s="336"/>
      <c r="K431" s="336"/>
      <c r="L431" s="349"/>
      <c r="M431" s="349"/>
      <c r="N431" s="349"/>
      <c r="O431" s="336"/>
      <c r="P431" s="377"/>
      <c r="Q431" s="298"/>
    </row>
    <row r="432">
      <c r="E432" s="341"/>
      <c r="F432" s="352"/>
      <c r="G432" s="669" t="s">
        <v>330</v>
      </c>
      <c r="H432" s="688" t="str">
        <f>COMPUTE_TIME_MS(H431, H430)</f>
        <v>#N/A</v>
      </c>
      <c r="I432" s="464"/>
      <c r="J432" s="465"/>
      <c r="K432" s="465"/>
      <c r="L432" s="466"/>
      <c r="M432" s="466"/>
      <c r="N432" s="466"/>
      <c r="O432" s="465"/>
      <c r="P432" s="671"/>
      <c r="Q432" s="379"/>
    </row>
    <row r="433">
      <c r="E433" s="341"/>
      <c r="F433" s="609" t="s">
        <v>331</v>
      </c>
      <c r="G433" s="663" t="s">
        <v>332</v>
      </c>
      <c r="H433" s="689">
        <f>IF(Q405,0,P408)+IF(Q409,0,P412)+IF(Q413,0,P416)</f>
        <v>120</v>
      </c>
      <c r="I433" s="336"/>
      <c r="J433" s="336"/>
      <c r="K433" s="336"/>
      <c r="L433" s="349"/>
      <c r="M433" s="349"/>
      <c r="N433" s="349"/>
      <c r="O433" s="336"/>
      <c r="P433" s="377"/>
      <c r="Q433" s="298"/>
    </row>
    <row r="434">
      <c r="E434" s="352"/>
      <c r="F434" s="352"/>
      <c r="G434" s="673" t="s">
        <v>333</v>
      </c>
      <c r="H434" s="690" t="str">
        <f>HBM_TIME_MS(H433)</f>
        <v>#N/A</v>
      </c>
      <c r="I434" s="465"/>
      <c r="J434" s="465"/>
      <c r="K434" s="465"/>
      <c r="L434" s="466"/>
      <c r="M434" s="466"/>
      <c r="N434" s="466"/>
      <c r="O434" s="465"/>
      <c r="P434" s="671"/>
      <c r="Q434" s="379"/>
    </row>
    <row r="435">
      <c r="E435" s="333" t="s">
        <v>411</v>
      </c>
      <c r="F435" s="691" t="s">
        <v>412</v>
      </c>
      <c r="G435" s="371" t="s">
        <v>301</v>
      </c>
      <c r="H435" s="531" t="s">
        <v>281</v>
      </c>
      <c r="I435" s="336" t="s">
        <v>282</v>
      </c>
      <c r="J435" s="337"/>
      <c r="K435" s="337" t="s">
        <v>104</v>
      </c>
      <c r="L435" s="337" t="s">
        <v>212</v>
      </c>
      <c r="M435" s="499" t="s">
        <v>178</v>
      </c>
      <c r="N435" s="336" t="s">
        <v>283</v>
      </c>
      <c r="O435" s="338" t="str">
        <f>PARAMS("expert_collect_dtype")</f>
        <v>bf16</v>
      </c>
      <c r="P435" s="377"/>
      <c r="Q435" s="337"/>
    </row>
    <row r="436">
      <c r="E436" s="341"/>
      <c r="F436" s="341"/>
      <c r="G436" s="341"/>
      <c r="H436" s="378" t="s">
        <v>285</v>
      </c>
      <c r="I436" s="345" t="s">
        <v>282</v>
      </c>
      <c r="J436" s="346"/>
      <c r="K436" s="345">
        <f t="shared" ref="K436:M436" si="86">PARAMS(K435)</f>
        <v>1024</v>
      </c>
      <c r="L436" s="345">
        <f t="shared" si="86"/>
        <v>8</v>
      </c>
      <c r="M436" s="345">
        <f t="shared" si="86"/>
        <v>7168</v>
      </c>
      <c r="N436" s="345" t="s">
        <v>283</v>
      </c>
      <c r="O436" s="347"/>
      <c r="P436" s="509">
        <f>SIZEOF_IN_MIB(J436:M436, O435)</f>
        <v>112</v>
      </c>
      <c r="Q436" s="344"/>
    </row>
    <row r="437">
      <c r="E437" s="341"/>
      <c r="F437" s="341"/>
      <c r="G437" s="341"/>
      <c r="H437" s="376" t="s">
        <v>287</v>
      </c>
      <c r="I437" s="349" t="s">
        <v>282</v>
      </c>
      <c r="J437" s="336"/>
      <c r="K437" s="337" t="s">
        <v>196</v>
      </c>
      <c r="L437" s="337"/>
      <c r="M437" s="337"/>
      <c r="N437" s="349" t="s">
        <v>283</v>
      </c>
      <c r="O437" s="350"/>
      <c r="P437" s="377"/>
      <c r="Q437" s="337"/>
    </row>
    <row r="438">
      <c r="E438" s="341"/>
      <c r="F438" s="341"/>
      <c r="G438" s="341"/>
      <c r="H438" s="378" t="s">
        <v>289</v>
      </c>
      <c r="I438" s="346" t="s">
        <v>282</v>
      </c>
      <c r="J438" s="345"/>
      <c r="K438" s="346">
        <f t="shared" ref="K438:M438" si="87">K436/SHARDING(K437)</f>
        <v>64</v>
      </c>
      <c r="L438" s="346">
        <f t="shared" si="87"/>
        <v>8</v>
      </c>
      <c r="M438" s="346">
        <f t="shared" si="87"/>
        <v>7168</v>
      </c>
      <c r="N438" s="346" t="s">
        <v>283</v>
      </c>
      <c r="O438" s="355"/>
      <c r="P438" s="509">
        <f>SIZEOF_IN_MIB(J438:M438, O435)</f>
        <v>7</v>
      </c>
      <c r="Q438" s="344"/>
    </row>
    <row r="439">
      <c r="E439" s="341"/>
      <c r="F439" s="341"/>
      <c r="G439" s="352"/>
      <c r="H439" s="376" t="s">
        <v>304</v>
      </c>
      <c r="I439" s="349"/>
      <c r="J439" s="336"/>
      <c r="K439" s="337" t="s">
        <v>196</v>
      </c>
      <c r="L439" s="349"/>
      <c r="M439" s="349"/>
      <c r="N439" s="349"/>
      <c r="O439" s="337"/>
      <c r="P439" s="377"/>
      <c r="Q439" s="337"/>
    </row>
    <row r="440">
      <c r="E440" s="341"/>
      <c r="F440" s="341"/>
      <c r="G440" s="594" t="s">
        <v>306</v>
      </c>
      <c r="H440" s="901" t="str">
        <f>SHARDING(K437)*SHARDING(L437)/HW_SPEC("# of TensorCore per Chip")</f>
        <v>#N/A</v>
      </c>
      <c r="I440" s="346"/>
      <c r="J440" s="345"/>
      <c r="K440" s="346"/>
      <c r="L440" s="346"/>
      <c r="M440" s="346"/>
      <c r="N440" s="346"/>
      <c r="O440" s="344"/>
      <c r="P440" s="509"/>
      <c r="Q440" s="344"/>
    </row>
    <row r="441">
      <c r="E441" s="341"/>
      <c r="F441" s="341"/>
      <c r="G441" s="594" t="s">
        <v>383</v>
      </c>
      <c r="H441" s="888" t="str">
        <f>P436 / H440 / H440  * (H440-1)</f>
        <v>#N/A</v>
      </c>
      <c r="I441" s="349"/>
      <c r="J441" s="336"/>
      <c r="K441" s="349"/>
      <c r="L441" s="349"/>
      <c r="M441" s="349"/>
      <c r="N441" s="349"/>
      <c r="O441" s="337"/>
      <c r="P441" s="377"/>
      <c r="Q441" s="337"/>
    </row>
    <row r="442">
      <c r="E442" s="341"/>
      <c r="F442" s="341"/>
      <c r="G442" s="594" t="s">
        <v>661</v>
      </c>
      <c r="H442" s="901" t="str">
        <f>IFS(H440=1,0,
H440=2, 1,
H440=4, 2,
H440=8, 3)</f>
        <v>#N/A</v>
      </c>
      <c r="I442" s="346"/>
      <c r="J442" s="345"/>
      <c r="K442" s="346"/>
      <c r="L442" s="346"/>
      <c r="M442" s="346"/>
      <c r="N442" s="346"/>
      <c r="O442" s="344"/>
      <c r="P442" s="509"/>
      <c r="Q442" s="344"/>
    </row>
    <row r="443">
      <c r="E443" s="341"/>
      <c r="F443" s="341"/>
      <c r="G443" s="594" t="s">
        <v>662</v>
      </c>
      <c r="H443" s="695" t="str">
        <f>IFS(H440=1,0,
H440=2, 0,
H440=4, 1,
H440=8, 3)</f>
        <v>#N/A</v>
      </c>
      <c r="I443" s="349"/>
      <c r="J443" s="336"/>
      <c r="K443" s="349"/>
      <c r="L443" s="349"/>
      <c r="M443" s="349"/>
      <c r="N443" s="349"/>
      <c r="O443" s="337"/>
      <c r="P443" s="377"/>
      <c r="Q443" s="337"/>
    </row>
    <row r="444">
      <c r="E444" s="341"/>
      <c r="F444" s="341"/>
      <c r="G444" s="594" t="s">
        <v>663</v>
      </c>
      <c r="H444" s="901" t="str">
        <f>IFS(H440=1,0,
H440=2, 0,
H440=4, 0,
H440=8, 1)</f>
        <v>#N/A</v>
      </c>
      <c r="I444" s="346"/>
      <c r="J444" s="345"/>
      <c r="K444" s="346"/>
      <c r="L444" s="346"/>
      <c r="M444" s="346"/>
      <c r="N444" s="346"/>
      <c r="O444" s="344"/>
      <c r="P444" s="509"/>
      <c r="Q444" s="344"/>
    </row>
    <row r="445">
      <c r="E445" s="341"/>
      <c r="F445" s="341"/>
      <c r="G445" s="594" t="s">
        <v>664</v>
      </c>
      <c r="H445" s="695" t="str">
        <f>IFS(H440=1,0,
H440=2, 1,
H440=4, 4,
H440=8, 12)</f>
        <v>#N/A</v>
      </c>
      <c r="I445" s="349"/>
      <c r="J445" s="336"/>
      <c r="K445" s="349"/>
      <c r="L445" s="349"/>
      <c r="M445" s="349"/>
      <c r="N445" s="349"/>
      <c r="O445" s="337"/>
      <c r="P445" s="377"/>
      <c r="Q445" s="337"/>
    </row>
    <row r="446">
      <c r="E446" s="341"/>
      <c r="F446" s="341"/>
      <c r="G446" s="594" t="s">
        <v>616</v>
      </c>
      <c r="H446" s="902" t="str">
        <f>H441*H440*(1*H442+2*H443+3*H444)/H445</f>
        <v>#N/A</v>
      </c>
      <c r="I446" s="346"/>
      <c r="J446" s="345"/>
      <c r="K446" s="346"/>
      <c r="L446" s="346"/>
      <c r="M446" s="346"/>
      <c r="N446" s="346"/>
      <c r="O446" s="344"/>
      <c r="P446" s="509"/>
      <c r="Q446" s="344"/>
    </row>
    <row r="447">
      <c r="E447" s="341"/>
      <c r="F447" s="352"/>
      <c r="G447" s="594" t="s">
        <v>665</v>
      </c>
      <c r="H447" s="643" t="str">
        <f>ALL2ALL_CHIP2CHIP_TIME_MS(H446)</f>
        <v>#N/A</v>
      </c>
      <c r="I447" s="349"/>
      <c r="J447" s="336"/>
      <c r="K447" s="349"/>
      <c r="L447" s="349"/>
      <c r="M447" s="349"/>
      <c r="N447" s="349"/>
      <c r="O447" s="337"/>
      <c r="P447" s="377"/>
      <c r="Q447" s="337"/>
    </row>
    <row r="448">
      <c r="E448" s="341"/>
      <c r="F448" s="702" t="s">
        <v>417</v>
      </c>
      <c r="G448" s="661" t="s">
        <v>169</v>
      </c>
      <c r="H448" s="711" t="s">
        <v>666</v>
      </c>
      <c r="I448" s="345"/>
      <c r="J448" s="344"/>
      <c r="K448" s="344"/>
      <c r="L448" s="344"/>
      <c r="M448" s="344"/>
      <c r="N448" s="346"/>
      <c r="O448" s="344"/>
      <c r="P448" s="509"/>
      <c r="Q448" s="344"/>
    </row>
    <row r="449">
      <c r="E449" s="341"/>
      <c r="F449" s="341"/>
      <c r="G449" s="371" t="s">
        <v>301</v>
      </c>
      <c r="H449" s="531" t="s">
        <v>281</v>
      </c>
      <c r="I449" s="336" t="s">
        <v>282</v>
      </c>
      <c r="J449" s="337"/>
      <c r="K449" s="337" t="s">
        <v>104</v>
      </c>
      <c r="L449" s="337" t="s">
        <v>102</v>
      </c>
      <c r="M449" s="337" t="s">
        <v>178</v>
      </c>
      <c r="N449" s="349"/>
      <c r="O449" s="338" t="str">
        <f>PARAMS("expert_collect_dtype")</f>
        <v>bf16</v>
      </c>
      <c r="P449" s="377"/>
      <c r="Q449" s="337"/>
    </row>
    <row r="450">
      <c r="E450" s="341"/>
      <c r="F450" s="341"/>
      <c r="G450" s="341"/>
      <c r="H450" s="378" t="s">
        <v>285</v>
      </c>
      <c r="I450" s="345" t="s">
        <v>282</v>
      </c>
      <c r="J450" s="346"/>
      <c r="K450" s="345">
        <f t="shared" ref="K450:M450" si="88">PARAMS(K449)</f>
        <v>1024</v>
      </c>
      <c r="L450" s="345">
        <f t="shared" si="88"/>
        <v>1</v>
      </c>
      <c r="M450" s="345">
        <f t="shared" si="88"/>
        <v>7168</v>
      </c>
      <c r="N450" s="346"/>
      <c r="O450" s="347"/>
      <c r="P450" s="509">
        <f>SIZEOF_IN_MIB(J450:M450, O449)</f>
        <v>14</v>
      </c>
      <c r="Q450" s="344"/>
    </row>
    <row r="451">
      <c r="E451" s="341"/>
      <c r="F451" s="341"/>
      <c r="G451" s="341"/>
      <c r="H451" s="602" t="s">
        <v>287</v>
      </c>
      <c r="I451" s="349" t="s">
        <v>282</v>
      </c>
      <c r="J451" s="336"/>
      <c r="K451" s="337"/>
      <c r="L451" s="337"/>
      <c r="M451" s="337" t="s">
        <v>97</v>
      </c>
      <c r="N451" s="349"/>
      <c r="O451" s="350"/>
      <c r="P451" s="377"/>
      <c r="Q451" s="337"/>
    </row>
    <row r="452">
      <c r="E452" s="341"/>
      <c r="F452" s="341"/>
      <c r="G452" s="341"/>
      <c r="H452" s="374" t="s">
        <v>289</v>
      </c>
      <c r="I452" s="363" t="s">
        <v>282</v>
      </c>
      <c r="J452" s="364"/>
      <c r="K452" s="363">
        <f t="shared" ref="K452:M452" si="89">K450/SHARDING(K451)</f>
        <v>1024</v>
      </c>
      <c r="L452" s="363">
        <f t="shared" si="89"/>
        <v>1</v>
      </c>
      <c r="M452" s="363">
        <f t="shared" si="89"/>
        <v>448</v>
      </c>
      <c r="N452" s="363"/>
      <c r="O452" s="352"/>
      <c r="P452" s="375">
        <f>SIZEOF_IN_MIB(J452:M452, O449)</f>
        <v>0.875</v>
      </c>
      <c r="Q452" s="273"/>
    </row>
    <row r="453">
      <c r="E453" s="341"/>
      <c r="F453" s="341"/>
      <c r="G453" s="352"/>
      <c r="H453" s="704" t="s">
        <v>419</v>
      </c>
      <c r="I453" s="705"/>
      <c r="J453" s="273" t="s">
        <v>196</v>
      </c>
      <c r="K453" s="363"/>
      <c r="L453" s="363"/>
      <c r="M453" s="363"/>
      <c r="N453" s="363"/>
      <c r="O453" s="273"/>
      <c r="P453" s="706"/>
      <c r="Q453" s="273"/>
    </row>
    <row r="454">
      <c r="E454" s="341"/>
      <c r="F454" s="341"/>
      <c r="G454" s="385" t="s">
        <v>306</v>
      </c>
      <c r="H454" s="707">
        <f>SHARDING(J453) * SHARDING(H417)</f>
        <v>16</v>
      </c>
      <c r="I454" s="363"/>
      <c r="J454" s="364"/>
      <c r="K454" s="363"/>
      <c r="L454" s="363"/>
      <c r="M454" s="363"/>
      <c r="N454" s="363"/>
      <c r="O454" s="273"/>
      <c r="P454" s="706"/>
      <c r="Q454" s="273"/>
    </row>
    <row r="455">
      <c r="E455" s="341"/>
      <c r="F455" s="341"/>
      <c r="G455" s="594" t="s">
        <v>383</v>
      </c>
      <c r="H455" s="652">
        <f>P452 / H454 * (H454-1)</f>
        <v>0.8203125</v>
      </c>
      <c r="I455" s="363"/>
      <c r="J455" s="364"/>
      <c r="K455" s="363"/>
      <c r="L455" s="363"/>
      <c r="M455" s="363"/>
      <c r="N455" s="363"/>
      <c r="O455" s="273"/>
      <c r="P455" s="706"/>
      <c r="Q455" s="273"/>
    </row>
    <row r="456">
      <c r="E456" s="341"/>
      <c r="F456" s="341"/>
      <c r="G456" s="594" t="s">
        <v>384</v>
      </c>
      <c r="H456" s="708">
        <f>H455*H454</f>
        <v>13.125</v>
      </c>
      <c r="I456" s="601"/>
      <c r="J456" s="364"/>
      <c r="K456" s="363"/>
      <c r="L456" s="363"/>
      <c r="M456" s="363"/>
      <c r="N456" s="363"/>
      <c r="O456" s="273"/>
      <c r="P456" s="706"/>
      <c r="Q456" s="273"/>
    </row>
    <row r="457">
      <c r="E457" s="341"/>
      <c r="F457" s="341"/>
      <c r="G457" s="594" t="s">
        <v>420</v>
      </c>
      <c r="H457" s="709" t="str">
        <f>HW_SPEC("# of TensorCore per Chip")</f>
        <v>#N/A</v>
      </c>
      <c r="I457" s="703" t="s">
        <v>421</v>
      </c>
      <c r="J457" s="336"/>
      <c r="K457" s="349"/>
      <c r="L457" s="349"/>
      <c r="M457" s="349"/>
      <c r="N457" s="349"/>
      <c r="O457" s="337"/>
      <c r="P457" s="710"/>
      <c r="Q457" s="337"/>
    </row>
    <row r="458">
      <c r="E458" s="341"/>
      <c r="F458" s="341"/>
      <c r="G458" s="385" t="s">
        <v>309</v>
      </c>
      <c r="H458" s="410" t="str">
        <f>IFS(H454=8,12,
H454=4,4,
H454=2,1,
TRUE,NA())</f>
        <v>#N/A</v>
      </c>
      <c r="I458" s="711"/>
      <c r="J458" s="345"/>
      <c r="K458" s="346"/>
      <c r="L458" s="346"/>
      <c r="M458" s="346"/>
      <c r="N458" s="346"/>
      <c r="O458" s="344"/>
      <c r="P458" s="712"/>
      <c r="Q458" s="344"/>
    </row>
    <row r="459">
      <c r="E459" s="341"/>
      <c r="F459" s="352"/>
      <c r="G459" s="594" t="s">
        <v>423</v>
      </c>
      <c r="H459" s="643" t="str">
        <f>REDUCE_SCATTER_CHIP2CHIP_TIME_MS2(H456*H457,H458)</f>
        <v>#N/A</v>
      </c>
      <c r="I459" s="602"/>
      <c r="J459" s="336"/>
      <c r="K459" s="349"/>
      <c r="L459" s="349"/>
      <c r="M459" s="349"/>
      <c r="N459" s="349"/>
      <c r="O459" s="337"/>
      <c r="P459" s="710"/>
      <c r="Q459" s="337"/>
    </row>
    <row r="460">
      <c r="E460" s="341"/>
      <c r="F460" s="702" t="s">
        <v>119</v>
      </c>
      <c r="G460" s="713" t="s">
        <v>169</v>
      </c>
      <c r="H460" s="398" t="s">
        <v>667</v>
      </c>
      <c r="I460" s="344"/>
      <c r="J460" s="345"/>
      <c r="K460" s="344"/>
      <c r="L460" s="556"/>
      <c r="M460" s="344"/>
      <c r="N460" s="346"/>
      <c r="O460" s="344"/>
      <c r="P460" s="509"/>
      <c r="Q460" s="344"/>
    </row>
    <row r="461">
      <c r="E461" s="341"/>
      <c r="F461" s="341"/>
      <c r="G461" s="609" t="s">
        <v>301</v>
      </c>
      <c r="H461" s="602" t="s">
        <v>281</v>
      </c>
      <c r="I461" s="602"/>
      <c r="J461" s="336"/>
      <c r="K461" s="337" t="s">
        <v>104</v>
      </c>
      <c r="L461" s="499" t="s">
        <v>102</v>
      </c>
      <c r="M461" s="337" t="s">
        <v>178</v>
      </c>
      <c r="N461" s="349"/>
      <c r="O461" s="338" t="str">
        <f>PARAMS("expert_collect_dtype")</f>
        <v>bf16</v>
      </c>
      <c r="P461" s="377"/>
      <c r="Q461" s="337"/>
    </row>
    <row r="462">
      <c r="E462" s="341"/>
      <c r="F462" s="341"/>
      <c r="G462" s="341"/>
      <c r="H462" s="378" t="s">
        <v>285</v>
      </c>
      <c r="I462" s="378"/>
      <c r="J462" s="345"/>
      <c r="K462" s="346">
        <f t="shared" ref="K462:M462" si="90">PARAMS(K461)</f>
        <v>1024</v>
      </c>
      <c r="L462" s="346">
        <f t="shared" si="90"/>
        <v>1</v>
      </c>
      <c r="M462" s="346">
        <f t="shared" si="90"/>
        <v>7168</v>
      </c>
      <c r="N462" s="346"/>
      <c r="O462" s="347"/>
      <c r="P462" s="509">
        <f>SIZEOF_IN_MIB(J462:M462, O461)</f>
        <v>14</v>
      </c>
      <c r="Q462" s="344"/>
    </row>
    <row r="463">
      <c r="E463" s="341"/>
      <c r="F463" s="341"/>
      <c r="G463" s="341"/>
      <c r="H463" s="602" t="s">
        <v>287</v>
      </c>
      <c r="I463" s="602"/>
      <c r="J463" s="336"/>
      <c r="K463" s="337"/>
      <c r="L463" s="337"/>
      <c r="M463" s="337"/>
      <c r="N463" s="349"/>
      <c r="O463" s="350"/>
      <c r="P463" s="377"/>
      <c r="Q463" s="337"/>
    </row>
    <row r="464">
      <c r="E464" s="341"/>
      <c r="F464" s="341"/>
      <c r="G464" s="341"/>
      <c r="H464" s="517" t="s">
        <v>289</v>
      </c>
      <c r="I464" s="517"/>
      <c r="J464" s="345"/>
      <c r="K464" s="346">
        <f t="shared" ref="K464:M464" si="91">K462/SHARDING(K463)</f>
        <v>1024</v>
      </c>
      <c r="L464" s="346">
        <f t="shared" si="91"/>
        <v>1</v>
      </c>
      <c r="M464" s="346">
        <f t="shared" si="91"/>
        <v>7168</v>
      </c>
      <c r="N464" s="346"/>
      <c r="O464" s="355"/>
      <c r="P464" s="509">
        <f>SIZEOF_IN_MIB(J464:M464, O461)</f>
        <v>14</v>
      </c>
      <c r="Q464" s="344"/>
    </row>
    <row r="465">
      <c r="E465" s="341"/>
      <c r="F465" s="341"/>
      <c r="G465" s="352"/>
      <c r="H465" s="639" t="s">
        <v>419</v>
      </c>
      <c r="I465" s="376"/>
      <c r="J465" s="639" t="s">
        <v>196</v>
      </c>
      <c r="K465" s="336"/>
      <c r="L465" s="337"/>
      <c r="M465" s="349"/>
      <c r="N465" s="349"/>
      <c r="O465" s="337"/>
      <c r="P465" s="377"/>
      <c r="Q465" s="337"/>
    </row>
    <row r="466">
      <c r="E466" s="341"/>
      <c r="F466" s="341"/>
      <c r="G466" s="458" t="s">
        <v>425</v>
      </c>
      <c r="H466" s="606" t="s">
        <v>306</v>
      </c>
      <c r="I466" s="379"/>
      <c r="J466" s="595" t="str">
        <f>SHARDING(J465)*SHARDING(H417)/HW_SPEC("# of TensorCore per Chip")</f>
        <v>#N/A</v>
      </c>
      <c r="K466" s="345"/>
      <c r="L466" s="344"/>
      <c r="M466" s="346"/>
      <c r="N466" s="346"/>
      <c r="O466" s="344"/>
      <c r="P466" s="509"/>
      <c r="Q466" s="344"/>
    </row>
    <row r="467">
      <c r="E467" s="341"/>
      <c r="F467" s="341"/>
      <c r="G467" s="341"/>
      <c r="H467" s="639" t="s">
        <v>426</v>
      </c>
      <c r="I467" s="298"/>
      <c r="J467" s="716" t="str">
        <f>P464 / J466 * (J466-1)</f>
        <v>#N/A</v>
      </c>
      <c r="K467" s="336"/>
      <c r="L467" s="337"/>
      <c r="M467" s="349"/>
      <c r="N467" s="349"/>
      <c r="O467" s="337"/>
      <c r="P467" s="377"/>
      <c r="Q467" s="337"/>
    </row>
    <row r="468">
      <c r="E468" s="341"/>
      <c r="F468" s="341"/>
      <c r="G468" s="341"/>
      <c r="H468" s="634" t="s">
        <v>384</v>
      </c>
      <c r="I468" s="379"/>
      <c r="J468" s="715" t="str">
        <f>J467*J466</f>
        <v>#N/A</v>
      </c>
      <c r="K468" s="345"/>
      <c r="L468" s="344"/>
      <c r="M468" s="346"/>
      <c r="N468" s="346"/>
      <c r="O468" s="344"/>
      <c r="P468" s="509"/>
      <c r="Q468" s="344"/>
    </row>
    <row r="469">
      <c r="E469" s="341"/>
      <c r="F469" s="341"/>
      <c r="G469" s="341"/>
      <c r="H469" s="639" t="s">
        <v>309</v>
      </c>
      <c r="I469" s="298"/>
      <c r="J469" s="714" t="str">
        <f>IFS(J466=8,12,
J466=4,4,
J466=2,1,
TRUE,NA())</f>
        <v>#N/A</v>
      </c>
      <c r="K469" s="336"/>
      <c r="L469" s="337"/>
      <c r="M469" s="349"/>
      <c r="N469" s="349"/>
      <c r="O469" s="337"/>
      <c r="P469" s="377"/>
      <c r="Q469" s="337"/>
    </row>
    <row r="470">
      <c r="E470" s="341"/>
      <c r="F470" s="341"/>
      <c r="G470" s="352"/>
      <c r="H470" s="634" t="s">
        <v>311</v>
      </c>
      <c r="I470" s="379"/>
      <c r="J470" s="889" t="str">
        <f>IF(J468=0,0, REDUCE_SCATTER_CHIP2CHIP_TIME_MS2(J468,J469))</f>
        <v>#N/A</v>
      </c>
      <c r="K470" s="345"/>
      <c r="L470" s="344"/>
      <c r="M470" s="346"/>
      <c r="N470" s="346"/>
      <c r="O470" s="344"/>
      <c r="P470" s="509"/>
      <c r="Q470" s="344"/>
    </row>
    <row r="471">
      <c r="E471" s="341"/>
      <c r="F471" s="341"/>
      <c r="G471" s="609" t="s">
        <v>427</v>
      </c>
      <c r="H471" s="416" t="s">
        <v>306</v>
      </c>
      <c r="I471" s="601"/>
      <c r="J471" s="717" t="str">
        <f>HW_SPEC("# of TensorCore per Chip")</f>
        <v>#N/A</v>
      </c>
      <c r="K471" s="364"/>
      <c r="L471" s="273"/>
      <c r="M471" s="363"/>
      <c r="N471" s="363"/>
      <c r="O471" s="273"/>
      <c r="P471" s="375"/>
      <c r="Q471" s="273"/>
    </row>
    <row r="472">
      <c r="E472" s="341"/>
      <c r="F472" s="341"/>
      <c r="G472" s="341"/>
      <c r="H472" s="704" t="s">
        <v>416</v>
      </c>
      <c r="I472" s="11"/>
      <c r="J472" s="718" t="str">
        <f>P464 * (J471-1)/J471</f>
        <v>#N/A</v>
      </c>
      <c r="K472" s="364"/>
      <c r="L472" s="273"/>
      <c r="M472" s="363"/>
      <c r="N472" s="363"/>
      <c r="O472" s="273"/>
      <c r="P472" s="375"/>
      <c r="Q472" s="273"/>
    </row>
    <row r="473">
      <c r="E473" s="341"/>
      <c r="F473" s="341"/>
      <c r="G473" s="341"/>
      <c r="H473" s="704" t="s">
        <v>384</v>
      </c>
      <c r="I473" s="11"/>
      <c r="J473" s="718" t="str">
        <f>J472*J471</f>
        <v>#N/A</v>
      </c>
      <c r="K473" s="364"/>
      <c r="L473" s="273"/>
      <c r="M473" s="363"/>
      <c r="N473" s="363"/>
      <c r="O473" s="273"/>
      <c r="P473" s="375"/>
      <c r="Q473" s="273"/>
    </row>
    <row r="474">
      <c r="E474" s="341"/>
      <c r="F474" s="341"/>
      <c r="G474" s="341"/>
      <c r="H474" s="704" t="s">
        <v>311</v>
      </c>
      <c r="I474" s="11"/>
      <c r="J474" s="719" t="str">
        <f>REDUCE_SCATTER_CORE2CORE_TIME_MS(J473)</f>
        <v>#N/A</v>
      </c>
      <c r="K474" s="364"/>
      <c r="L474" s="273"/>
      <c r="M474" s="363"/>
      <c r="N474" s="363"/>
      <c r="O474" s="273"/>
      <c r="P474" s="375"/>
      <c r="Q474" s="273"/>
    </row>
    <row r="475">
      <c r="E475" s="341"/>
      <c r="F475" s="341"/>
      <c r="G475" s="352"/>
      <c r="H475" s="704" t="s">
        <v>428</v>
      </c>
      <c r="I475" s="11"/>
      <c r="J475" s="719" t="str">
        <f>J474/J466</f>
        <v>#N/A</v>
      </c>
      <c r="K475" s="364"/>
      <c r="L475" s="273"/>
      <c r="M475" s="363"/>
      <c r="N475" s="363"/>
      <c r="O475" s="273"/>
      <c r="P475" s="375"/>
      <c r="Q475" s="273"/>
    </row>
    <row r="476">
      <c r="E476" s="341"/>
      <c r="F476" s="352"/>
      <c r="G476" s="599" t="s">
        <v>429</v>
      </c>
      <c r="H476" s="11" t="str">
        <f>SUM(J470+J475)</f>
        <v>#N/A</v>
      </c>
      <c r="I476" s="719"/>
      <c r="J476" s="364"/>
      <c r="K476" s="364"/>
      <c r="L476" s="273"/>
      <c r="M476" s="363"/>
      <c r="N476" s="363"/>
      <c r="O476" s="273"/>
      <c r="P476" s="375"/>
      <c r="Q476" s="273"/>
    </row>
    <row r="477">
      <c r="E477" s="341"/>
      <c r="F477" s="370" t="s">
        <v>335</v>
      </c>
      <c r="G477" s="720" t="s">
        <v>322</v>
      </c>
      <c r="H477" s="721" t="s">
        <v>119</v>
      </c>
      <c r="I477" s="650"/>
      <c r="J477" s="454"/>
      <c r="K477" s="454"/>
      <c r="L477" s="455"/>
      <c r="M477" s="455"/>
      <c r="N477" s="455"/>
      <c r="O477" s="454"/>
      <c r="P477" s="722"/>
      <c r="Q477" s="11"/>
    </row>
    <row r="478">
      <c r="E478" s="341"/>
      <c r="F478" s="352"/>
      <c r="G478" s="591" t="s">
        <v>340</v>
      </c>
      <c r="H478" s="723" t="str">
        <f>IFS(H477=F435,H447,H477=F448,H459,F460=H477,H476, TRUE,0)</f>
        <v>#N/A</v>
      </c>
      <c r="I478" s="581"/>
      <c r="J478" s="448"/>
      <c r="K478" s="448"/>
      <c r="L478" s="449"/>
      <c r="M478" s="449"/>
      <c r="N478" s="449"/>
      <c r="O478" s="448"/>
      <c r="P478" s="724"/>
      <c r="Q478" s="450"/>
    </row>
    <row r="479">
      <c r="E479" s="341"/>
      <c r="F479" s="713"/>
      <c r="G479" s="452" t="s">
        <v>325</v>
      </c>
      <c r="H479" s="626" t="str">
        <f>IFS(PARAMS("topo")="2x2x2", (2+2+2)/2,
PARAMS("topo")="2x2", (2+2)/2,
TRUE, NA())</f>
        <v>#N/A</v>
      </c>
      <c r="I479" s="650"/>
      <c r="J479" s="454"/>
      <c r="K479" s="454"/>
      <c r="L479" s="455"/>
      <c r="M479" s="455"/>
      <c r="N479" s="455"/>
      <c r="O479" s="454"/>
      <c r="P479" s="722"/>
      <c r="Q479" s="11"/>
    </row>
    <row r="480">
      <c r="E480" s="341"/>
      <c r="F480" s="713"/>
      <c r="G480" s="446" t="s">
        <v>326</v>
      </c>
      <c r="H480" s="447" t="str">
        <f>IF(H477="No Collectives", 0, H479 * HW_SPEC("Chip-to-Chip ICI Latency (ms)"))</f>
        <v>#N/A</v>
      </c>
      <c r="I480" s="648"/>
      <c r="J480" s="448"/>
      <c r="K480" s="448"/>
      <c r="L480" s="449"/>
      <c r="M480" s="449"/>
      <c r="N480" s="449"/>
      <c r="O480" s="448"/>
      <c r="P480" s="724"/>
      <c r="Q480" s="572"/>
    </row>
    <row r="481">
      <c r="E481" s="341"/>
      <c r="F481" s="609" t="s">
        <v>327</v>
      </c>
      <c r="G481" s="601" t="s">
        <v>109</v>
      </c>
      <c r="H481" s="891"/>
      <c r="I481" s="650"/>
      <c r="J481" s="454"/>
      <c r="K481" s="454"/>
      <c r="L481" s="455"/>
      <c r="M481" s="455"/>
      <c r="N481" s="455"/>
      <c r="O481" s="454"/>
      <c r="P481" s="722"/>
      <c r="Q481" s="11"/>
    </row>
    <row r="482">
      <c r="E482" s="341"/>
      <c r="F482" s="341"/>
      <c r="G482" s="601"/>
      <c r="H482" s="663"/>
      <c r="I482" s="460"/>
      <c r="J482" s="454"/>
      <c r="K482" s="454"/>
      <c r="L482" s="455"/>
      <c r="M482" s="455"/>
      <c r="N482" s="455"/>
      <c r="O482" s="454"/>
      <c r="P482" s="722"/>
      <c r="Q482" s="11"/>
    </row>
    <row r="483">
      <c r="E483" s="341"/>
      <c r="F483" s="352"/>
      <c r="G483" s="601"/>
      <c r="H483" s="663"/>
      <c r="I483" s="460"/>
      <c r="J483" s="454"/>
      <c r="K483" s="454"/>
      <c r="L483" s="455"/>
      <c r="M483" s="455"/>
      <c r="N483" s="455"/>
      <c r="O483" s="454"/>
      <c r="P483" s="722"/>
      <c r="Q483" s="11"/>
    </row>
    <row r="484">
      <c r="E484" s="341"/>
      <c r="F484" s="609" t="s">
        <v>331</v>
      </c>
      <c r="G484" s="601" t="s">
        <v>109</v>
      </c>
      <c r="H484" s="663"/>
      <c r="I484" s="460"/>
      <c r="J484" s="454"/>
      <c r="K484" s="454"/>
      <c r="L484" s="455"/>
      <c r="M484" s="455"/>
      <c r="N484" s="455"/>
      <c r="O484" s="454"/>
      <c r="P484" s="722"/>
      <c r="Q484" s="11"/>
    </row>
    <row r="485">
      <c r="E485" s="352"/>
      <c r="F485" s="352"/>
      <c r="G485" s="601"/>
      <c r="H485" s="663"/>
      <c r="I485" s="460"/>
      <c r="J485" s="454"/>
      <c r="K485" s="454"/>
      <c r="L485" s="455"/>
      <c r="M485" s="455"/>
      <c r="N485" s="455"/>
      <c r="O485" s="454"/>
      <c r="P485" s="722"/>
      <c r="Q485" s="11"/>
    </row>
    <row r="486">
      <c r="E486" s="333" t="s">
        <v>430</v>
      </c>
      <c r="F486" s="725" t="s">
        <v>292</v>
      </c>
      <c r="G486" s="335"/>
      <c r="H486" s="531" t="s">
        <v>281</v>
      </c>
      <c r="I486" s="336" t="s">
        <v>282</v>
      </c>
      <c r="J486" s="337"/>
      <c r="K486" s="337" t="s">
        <v>104</v>
      </c>
      <c r="L486" s="337" t="s">
        <v>102</v>
      </c>
      <c r="M486" s="499" t="s">
        <v>178</v>
      </c>
      <c r="N486" s="336" t="s">
        <v>283</v>
      </c>
      <c r="O486" s="338" t="s">
        <v>125</v>
      </c>
      <c r="P486" s="377"/>
      <c r="Q486" s="338" t="b">
        <v>0</v>
      </c>
    </row>
    <row r="487">
      <c r="E487" s="341"/>
      <c r="F487" s="342"/>
      <c r="G487" s="343"/>
      <c r="H487" s="378" t="s">
        <v>285</v>
      </c>
      <c r="I487" s="345" t="s">
        <v>282</v>
      </c>
      <c r="J487" s="346"/>
      <c r="K487" s="345">
        <f t="shared" ref="K487:M487" si="92">PARAMS(K486)</f>
        <v>1024</v>
      </c>
      <c r="L487" s="345">
        <f t="shared" si="92"/>
        <v>1</v>
      </c>
      <c r="M487" s="345">
        <f t="shared" si="92"/>
        <v>7168</v>
      </c>
      <c r="N487" s="345" t="s">
        <v>283</v>
      </c>
      <c r="O487" s="347"/>
      <c r="P487" s="509">
        <f>SIZEOF_IN_MIB(J487:M487, O486)</f>
        <v>7</v>
      </c>
      <c r="Q487" s="347"/>
    </row>
    <row r="488">
      <c r="E488" s="341"/>
      <c r="F488" s="342"/>
      <c r="G488" s="343"/>
      <c r="H488" s="602" t="s">
        <v>287</v>
      </c>
      <c r="I488" s="349" t="s">
        <v>282</v>
      </c>
      <c r="J488" s="336"/>
      <c r="K488" s="337" t="s">
        <v>97</v>
      </c>
      <c r="L488" s="337"/>
      <c r="M488" s="337"/>
      <c r="N488" s="349" t="s">
        <v>283</v>
      </c>
      <c r="O488" s="350"/>
      <c r="P488" s="377"/>
      <c r="Q488" s="350"/>
    </row>
    <row r="489">
      <c r="E489" s="341"/>
      <c r="F489" s="353"/>
      <c r="G489" s="354"/>
      <c r="H489" s="378" t="s">
        <v>289</v>
      </c>
      <c r="I489" s="346" t="s">
        <v>282</v>
      </c>
      <c r="J489" s="345"/>
      <c r="K489" s="346">
        <f t="shared" ref="K489:M489" si="93">K487/SHARDING(K488)</f>
        <v>64</v>
      </c>
      <c r="L489" s="346">
        <f t="shared" si="93"/>
        <v>1</v>
      </c>
      <c r="M489" s="346">
        <f t="shared" si="93"/>
        <v>7168</v>
      </c>
      <c r="N489" s="346" t="s">
        <v>283</v>
      </c>
      <c r="O489" s="355"/>
      <c r="P489" s="509">
        <f>SIZEOF_IN_MIB(J489:M489, O486)</f>
        <v>0.4375</v>
      </c>
      <c r="Q489" s="355"/>
    </row>
    <row r="490">
      <c r="E490" s="341"/>
      <c r="F490" s="726" t="s">
        <v>296</v>
      </c>
      <c r="G490" s="335"/>
      <c r="H490" s="602" t="s">
        <v>281</v>
      </c>
      <c r="I490" s="349" t="s">
        <v>282</v>
      </c>
      <c r="J490" s="336"/>
      <c r="K490" s="298"/>
      <c r="L490" s="337" t="s">
        <v>178</v>
      </c>
      <c r="M490" s="499" t="s">
        <v>182</v>
      </c>
      <c r="N490" s="349" t="s">
        <v>283</v>
      </c>
      <c r="O490" s="338" t="s">
        <v>180</v>
      </c>
      <c r="P490" s="377"/>
      <c r="Q490" s="338" t="b">
        <v>0</v>
      </c>
    </row>
    <row r="491">
      <c r="E491" s="341"/>
      <c r="F491" s="342"/>
      <c r="G491" s="343"/>
      <c r="H491" s="378" t="s">
        <v>285</v>
      </c>
      <c r="I491" s="346" t="s">
        <v>282</v>
      </c>
      <c r="J491" s="345"/>
      <c r="K491" s="398">
        <v>2.0</v>
      </c>
      <c r="L491" s="346">
        <f t="shared" ref="L491:M491" si="94">PARAMS(L490)</f>
        <v>7168</v>
      </c>
      <c r="M491" s="346">
        <f t="shared" si="94"/>
        <v>2048</v>
      </c>
      <c r="N491" s="346" t="s">
        <v>283</v>
      </c>
      <c r="O491" s="347"/>
      <c r="P491" s="509">
        <f>SIZEOF_IN_MIB(J491:M491, O490)</f>
        <v>14</v>
      </c>
      <c r="Q491" s="347"/>
    </row>
    <row r="492">
      <c r="E492" s="341"/>
      <c r="F492" s="342"/>
      <c r="G492" s="343"/>
      <c r="H492" s="602" t="s">
        <v>287</v>
      </c>
      <c r="I492" s="349" t="s">
        <v>282</v>
      </c>
      <c r="J492" s="336"/>
      <c r="K492" s="298"/>
      <c r="L492" s="337"/>
      <c r="M492" s="337"/>
      <c r="N492" s="349" t="s">
        <v>283</v>
      </c>
      <c r="O492" s="350"/>
      <c r="P492" s="377"/>
      <c r="Q492" s="350"/>
    </row>
    <row r="493">
      <c r="E493" s="341"/>
      <c r="F493" s="353"/>
      <c r="G493" s="354"/>
      <c r="H493" s="517" t="s">
        <v>289</v>
      </c>
      <c r="I493" s="346" t="s">
        <v>282</v>
      </c>
      <c r="J493" s="345"/>
      <c r="K493" s="398">
        <v>2.0</v>
      </c>
      <c r="L493" s="346">
        <f t="shared" ref="L493:M493" si="95">L491/SHARDING(L492)</f>
        <v>7168</v>
      </c>
      <c r="M493" s="346">
        <f t="shared" si="95"/>
        <v>2048</v>
      </c>
      <c r="N493" s="346" t="s">
        <v>283</v>
      </c>
      <c r="O493" s="355"/>
      <c r="P493" s="509">
        <f>SIZEOF_IN_MIB(J493:M493, O490)</f>
        <v>14</v>
      </c>
      <c r="Q493" s="355"/>
    </row>
    <row r="494">
      <c r="E494" s="341"/>
      <c r="F494" s="726" t="s">
        <v>56</v>
      </c>
      <c r="G494" s="335"/>
      <c r="H494" s="602" t="s">
        <v>281</v>
      </c>
      <c r="I494" s="349" t="s">
        <v>282</v>
      </c>
      <c r="J494" s="336"/>
      <c r="K494" s="337" t="s">
        <v>104</v>
      </c>
      <c r="L494" s="337" t="s">
        <v>102</v>
      </c>
      <c r="M494" s="337" t="s">
        <v>182</v>
      </c>
      <c r="N494" s="349" t="s">
        <v>283</v>
      </c>
      <c r="O494" s="727" t="s">
        <v>133</v>
      </c>
      <c r="P494" s="377"/>
      <c r="Q494" s="338" t="b">
        <v>0</v>
      </c>
    </row>
    <row r="495">
      <c r="E495" s="341"/>
      <c r="F495" s="342"/>
      <c r="G495" s="343"/>
      <c r="H495" s="378" t="s">
        <v>285</v>
      </c>
      <c r="I495" s="346" t="s">
        <v>282</v>
      </c>
      <c r="J495" s="344">
        <v>2.0</v>
      </c>
      <c r="K495" s="346">
        <f t="shared" ref="K495:M495" si="96">PARAMS(K494)</f>
        <v>1024</v>
      </c>
      <c r="L495" s="346">
        <f t="shared" si="96"/>
        <v>1</v>
      </c>
      <c r="M495" s="346">
        <f t="shared" si="96"/>
        <v>2048</v>
      </c>
      <c r="N495" s="346" t="s">
        <v>283</v>
      </c>
      <c r="O495" s="347"/>
      <c r="P495" s="509">
        <f>SIZEOF_IN_MIB(J495:M495, O494)</f>
        <v>8</v>
      </c>
      <c r="Q495" s="347"/>
    </row>
    <row r="496">
      <c r="E496" s="341"/>
      <c r="F496" s="342"/>
      <c r="G496" s="343"/>
      <c r="H496" s="602" t="s">
        <v>287</v>
      </c>
      <c r="I496" s="349" t="s">
        <v>282</v>
      </c>
      <c r="J496" s="336"/>
      <c r="K496" s="337" t="s">
        <v>97</v>
      </c>
      <c r="L496" s="337"/>
      <c r="M496" s="349"/>
      <c r="N496" s="349" t="s">
        <v>283</v>
      </c>
      <c r="O496" s="350"/>
      <c r="P496" s="377"/>
      <c r="Q496" s="350"/>
    </row>
    <row r="497">
      <c r="E497" s="341"/>
      <c r="F497" s="353"/>
      <c r="G497" s="354"/>
      <c r="H497" s="517" t="s">
        <v>289</v>
      </c>
      <c r="I497" s="346" t="s">
        <v>282</v>
      </c>
      <c r="J497" s="344">
        <v>2.0</v>
      </c>
      <c r="K497" s="346">
        <f t="shared" ref="K497:M497" si="97">K495/SHARDING(K496)</f>
        <v>64</v>
      </c>
      <c r="L497" s="346">
        <f t="shared" si="97"/>
        <v>1</v>
      </c>
      <c r="M497" s="346">
        <f t="shared" si="97"/>
        <v>2048</v>
      </c>
      <c r="N497" s="346" t="s">
        <v>283</v>
      </c>
      <c r="O497" s="355"/>
      <c r="P497" s="509">
        <f>SIZEOF_IN_MIB(J497:M497, O494)</f>
        <v>0.5</v>
      </c>
      <c r="Q497" s="355"/>
    </row>
    <row r="498">
      <c r="E498" s="341"/>
      <c r="F498" s="371" t="s">
        <v>335</v>
      </c>
      <c r="G498" s="601"/>
      <c r="H498" s="728"/>
      <c r="I498" s="336"/>
      <c r="J498" s="336"/>
      <c r="K498" s="336"/>
      <c r="L498" s="349"/>
      <c r="M498" s="349"/>
      <c r="N498" s="349"/>
      <c r="O498" s="336"/>
      <c r="P498" s="377"/>
      <c r="Q498" s="729"/>
    </row>
    <row r="499">
      <c r="E499" s="341"/>
      <c r="F499" s="352"/>
      <c r="G499" s="669" t="s">
        <v>340</v>
      </c>
      <c r="H499" s="730"/>
      <c r="I499" s="493"/>
      <c r="J499" s="345"/>
      <c r="K499" s="345"/>
      <c r="L499" s="346"/>
      <c r="M499" s="346"/>
      <c r="N499" s="346"/>
      <c r="O499" s="345"/>
      <c r="P499" s="509"/>
      <c r="Q499" s="545"/>
    </row>
    <row r="500">
      <c r="E500" s="341"/>
      <c r="F500" s="731" t="s">
        <v>327</v>
      </c>
      <c r="G500" s="601" t="s">
        <v>328</v>
      </c>
      <c r="H500" s="663" t="str">
        <f>VLOOKUP(O486&amp;","&amp;O490,$T$3:$W$12,4, FALSE)</f>
        <v>fp8</v>
      </c>
      <c r="I500" s="460"/>
      <c r="J500" s="454"/>
      <c r="K500" s="454"/>
      <c r="L500" s="455"/>
      <c r="M500" s="455"/>
      <c r="N500" s="455"/>
      <c r="O500" s="454"/>
      <c r="P500" s="468"/>
      <c r="Q500" s="11"/>
    </row>
    <row r="501">
      <c r="E501" s="341"/>
      <c r="F501" s="341"/>
      <c r="G501" s="663" t="s">
        <v>341</v>
      </c>
      <c r="H501" s="667" t="str">
        <f>CALCULATE_FLOPS(J489:M489,J493:M493,M493,L493,H500)</f>
        <v>#N/A</v>
      </c>
      <c r="I501" s="460"/>
      <c r="J501" s="454"/>
      <c r="K501" s="454"/>
      <c r="L501" s="455"/>
      <c r="M501" s="455"/>
      <c r="N501" s="455"/>
      <c r="O501" s="454"/>
      <c r="P501" s="468"/>
      <c r="Q501" s="11"/>
    </row>
    <row r="502">
      <c r="E502" s="341"/>
      <c r="F502" s="352"/>
      <c r="G502" s="669" t="s">
        <v>330</v>
      </c>
      <c r="H502" s="732" t="str">
        <f>COMPUTE_TIME_MS(H501, H500)</f>
        <v>#N/A</v>
      </c>
      <c r="I502" s="464"/>
      <c r="J502" s="465"/>
      <c r="K502" s="465"/>
      <c r="L502" s="466"/>
      <c r="M502" s="466"/>
      <c r="N502" s="466"/>
      <c r="O502" s="465"/>
      <c r="P502" s="671"/>
      <c r="Q502" s="11"/>
    </row>
    <row r="503">
      <c r="E503" s="341"/>
      <c r="F503" s="731" t="s">
        <v>331</v>
      </c>
      <c r="G503" s="663" t="s">
        <v>332</v>
      </c>
      <c r="H503" s="672">
        <f>IF(Q486,0,P489)+IF(Q490,0,P493)+IF(Q494,0,P497)</f>
        <v>14.9375</v>
      </c>
      <c r="I503" s="454"/>
      <c r="J503" s="454"/>
      <c r="K503" s="454"/>
      <c r="L503" s="455"/>
      <c r="M503" s="455"/>
      <c r="N503" s="455"/>
      <c r="O503" s="454"/>
      <c r="P503" s="468"/>
      <c r="Q503" s="11"/>
    </row>
    <row r="504">
      <c r="E504" s="352"/>
      <c r="F504" s="352"/>
      <c r="G504" s="673" t="s">
        <v>333</v>
      </c>
      <c r="H504" s="733" t="str">
        <f>HBM_TIME_MS(H503)</f>
        <v>#N/A</v>
      </c>
      <c r="I504" s="465"/>
      <c r="J504" s="465"/>
      <c r="K504" s="465"/>
      <c r="L504" s="466"/>
      <c r="M504" s="466"/>
      <c r="N504" s="466"/>
      <c r="O504" s="465"/>
      <c r="P504" s="671"/>
      <c r="Q504" s="11"/>
    </row>
    <row r="505">
      <c r="E505" s="333" t="s">
        <v>431</v>
      </c>
      <c r="F505" s="725" t="s">
        <v>292</v>
      </c>
      <c r="G505" s="335"/>
      <c r="H505" s="531" t="s">
        <v>281</v>
      </c>
      <c r="I505" s="336" t="s">
        <v>282</v>
      </c>
      <c r="J505" s="405"/>
      <c r="K505" s="734" t="s">
        <v>104</v>
      </c>
      <c r="L505" s="734" t="s">
        <v>102</v>
      </c>
      <c r="M505" s="735" t="s">
        <v>182</v>
      </c>
      <c r="N505" s="336" t="s">
        <v>283</v>
      </c>
      <c r="O505" s="338" t="s">
        <v>125</v>
      </c>
      <c r="P505" s="377"/>
      <c r="Q505" s="338" t="b">
        <v>0</v>
      </c>
    </row>
    <row r="506">
      <c r="E506" s="341"/>
      <c r="F506" s="342"/>
      <c r="G506" s="343"/>
      <c r="H506" s="378" t="s">
        <v>285</v>
      </c>
      <c r="I506" s="345" t="s">
        <v>282</v>
      </c>
      <c r="J506" s="400"/>
      <c r="K506" s="739">
        <f t="shared" ref="K506:M506" si="98">PARAMS(K505)</f>
        <v>1024</v>
      </c>
      <c r="L506" s="737">
        <f t="shared" si="98"/>
        <v>1</v>
      </c>
      <c r="M506" s="737">
        <f t="shared" si="98"/>
        <v>2048</v>
      </c>
      <c r="N506" s="345" t="s">
        <v>283</v>
      </c>
      <c r="O506" s="347"/>
      <c r="P506" s="509">
        <f>SIZEOF_IN_MIB(J506:M506, O505)</f>
        <v>2</v>
      </c>
      <c r="Q506" s="347"/>
    </row>
    <row r="507">
      <c r="E507" s="341"/>
      <c r="F507" s="342"/>
      <c r="G507" s="343"/>
      <c r="H507" s="602" t="s">
        <v>287</v>
      </c>
      <c r="I507" s="349" t="s">
        <v>282</v>
      </c>
      <c r="J507" s="404"/>
      <c r="K507" s="734" t="s">
        <v>97</v>
      </c>
      <c r="L507" s="405"/>
      <c r="M507" s="405"/>
      <c r="N507" s="349" t="s">
        <v>283</v>
      </c>
      <c r="O507" s="350"/>
      <c r="P507" s="377"/>
      <c r="Q507" s="350"/>
    </row>
    <row r="508">
      <c r="E508" s="341"/>
      <c r="F508" s="353"/>
      <c r="G508" s="354"/>
      <c r="H508" s="378" t="s">
        <v>289</v>
      </c>
      <c r="I508" s="346" t="s">
        <v>282</v>
      </c>
      <c r="J508" s="399"/>
      <c r="K508" s="736">
        <f t="shared" ref="K508:M508" si="99">K506/SHARDING(K507)</f>
        <v>64</v>
      </c>
      <c r="L508" s="736">
        <f t="shared" si="99"/>
        <v>1</v>
      </c>
      <c r="M508" s="736">
        <f t="shared" si="99"/>
        <v>2048</v>
      </c>
      <c r="N508" s="346" t="s">
        <v>283</v>
      </c>
      <c r="O508" s="355"/>
      <c r="P508" s="509">
        <f>SIZEOF_IN_MIB(J508:M508, O505)</f>
        <v>0.125</v>
      </c>
      <c r="Q508" s="355"/>
    </row>
    <row r="509">
      <c r="E509" s="341"/>
      <c r="F509" s="726" t="s">
        <v>296</v>
      </c>
      <c r="G509" s="335"/>
      <c r="H509" s="602" t="s">
        <v>281</v>
      </c>
      <c r="I509" s="349" t="s">
        <v>282</v>
      </c>
      <c r="J509" s="404"/>
      <c r="K509" s="391"/>
      <c r="L509" s="734" t="s">
        <v>182</v>
      </c>
      <c r="M509" s="735" t="s">
        <v>178</v>
      </c>
      <c r="N509" s="349" t="s">
        <v>283</v>
      </c>
      <c r="O509" s="338" t="s">
        <v>180</v>
      </c>
      <c r="P509" s="377"/>
      <c r="Q509" s="338" t="b">
        <v>0</v>
      </c>
    </row>
    <row r="510">
      <c r="E510" s="341"/>
      <c r="F510" s="342"/>
      <c r="G510" s="343"/>
      <c r="H510" s="378" t="s">
        <v>285</v>
      </c>
      <c r="I510" s="346" t="s">
        <v>282</v>
      </c>
      <c r="J510" s="399"/>
      <c r="K510" s="388"/>
      <c r="L510" s="736">
        <f t="shared" ref="L510:M510" si="100">PARAMS(L509)</f>
        <v>2048</v>
      </c>
      <c r="M510" s="736">
        <f t="shared" si="100"/>
        <v>7168</v>
      </c>
      <c r="N510" s="346" t="s">
        <v>283</v>
      </c>
      <c r="O510" s="347"/>
      <c r="P510" s="509">
        <f>SIZEOF_IN_MIB(J510:M510, O509)</f>
        <v>7</v>
      </c>
      <c r="Q510" s="347"/>
    </row>
    <row r="511">
      <c r="E511" s="341"/>
      <c r="F511" s="342"/>
      <c r="G511" s="343"/>
      <c r="H511" s="602" t="s">
        <v>287</v>
      </c>
      <c r="I511" s="349" t="s">
        <v>282</v>
      </c>
      <c r="J511" s="404"/>
      <c r="K511" s="391"/>
      <c r="L511" s="405"/>
      <c r="M511" s="405"/>
      <c r="N511" s="349" t="s">
        <v>283</v>
      </c>
      <c r="O511" s="350"/>
      <c r="P511" s="377"/>
      <c r="Q511" s="350"/>
    </row>
    <row r="512">
      <c r="E512" s="341"/>
      <c r="F512" s="353"/>
      <c r="G512" s="354"/>
      <c r="H512" s="517" t="s">
        <v>289</v>
      </c>
      <c r="I512" s="346" t="s">
        <v>282</v>
      </c>
      <c r="J512" s="399"/>
      <c r="K512" s="388"/>
      <c r="L512" s="736">
        <f t="shared" ref="L512:M512" si="101">L510/SHARDING(L511)</f>
        <v>2048</v>
      </c>
      <c r="M512" s="736">
        <f t="shared" si="101"/>
        <v>7168</v>
      </c>
      <c r="N512" s="346" t="s">
        <v>283</v>
      </c>
      <c r="O512" s="355"/>
      <c r="P512" s="509">
        <f>SIZEOF_IN_MIB(J512:M512, O509)</f>
        <v>7</v>
      </c>
      <c r="Q512" s="355"/>
    </row>
    <row r="513">
      <c r="E513" s="341"/>
      <c r="F513" s="726" t="s">
        <v>56</v>
      </c>
      <c r="G513" s="335"/>
      <c r="H513" s="602" t="s">
        <v>281</v>
      </c>
      <c r="I513" s="349" t="s">
        <v>282</v>
      </c>
      <c r="J513" s="404"/>
      <c r="K513" s="734" t="s">
        <v>104</v>
      </c>
      <c r="L513" s="734" t="s">
        <v>102</v>
      </c>
      <c r="M513" s="734" t="s">
        <v>178</v>
      </c>
      <c r="N513" s="349" t="s">
        <v>283</v>
      </c>
      <c r="O513" s="727" t="s">
        <v>133</v>
      </c>
      <c r="P513" s="377"/>
      <c r="Q513" s="338" t="b">
        <v>0</v>
      </c>
    </row>
    <row r="514">
      <c r="E514" s="341"/>
      <c r="F514" s="342"/>
      <c r="G514" s="343"/>
      <c r="H514" s="378" t="s">
        <v>285</v>
      </c>
      <c r="I514" s="346" t="s">
        <v>282</v>
      </c>
      <c r="J514" s="400"/>
      <c r="K514" s="739">
        <f t="shared" ref="K514:M514" si="102">PARAMS(K513)</f>
        <v>1024</v>
      </c>
      <c r="L514" s="736">
        <f t="shared" si="102"/>
        <v>1</v>
      </c>
      <c r="M514" s="736">
        <f t="shared" si="102"/>
        <v>7168</v>
      </c>
      <c r="N514" s="346" t="s">
        <v>283</v>
      </c>
      <c r="O514" s="347"/>
      <c r="P514" s="509">
        <f>SIZEOF_IN_MIB(J514:M514, O513)</f>
        <v>14</v>
      </c>
      <c r="Q514" s="347"/>
    </row>
    <row r="515">
      <c r="E515" s="341"/>
      <c r="F515" s="342"/>
      <c r="G515" s="343"/>
      <c r="H515" s="602" t="s">
        <v>287</v>
      </c>
      <c r="I515" s="349" t="s">
        <v>282</v>
      </c>
      <c r="J515" s="404"/>
      <c r="K515" s="734" t="s">
        <v>97</v>
      </c>
      <c r="L515" s="405"/>
      <c r="M515" s="405"/>
      <c r="N515" s="349" t="s">
        <v>283</v>
      </c>
      <c r="O515" s="350"/>
      <c r="P515" s="377"/>
      <c r="Q515" s="350"/>
    </row>
    <row r="516">
      <c r="E516" s="341"/>
      <c r="F516" s="353"/>
      <c r="G516" s="354"/>
      <c r="H516" s="517" t="s">
        <v>289</v>
      </c>
      <c r="I516" s="346" t="s">
        <v>282</v>
      </c>
      <c r="J516" s="400"/>
      <c r="K516" s="736">
        <f t="shared" ref="K516:M516" si="103">K514/SHARDING(K515)</f>
        <v>64</v>
      </c>
      <c r="L516" s="736">
        <f t="shared" si="103"/>
        <v>1</v>
      </c>
      <c r="M516" s="736">
        <f t="shared" si="103"/>
        <v>7168</v>
      </c>
      <c r="N516" s="346" t="s">
        <v>283</v>
      </c>
      <c r="O516" s="355"/>
      <c r="P516" s="509">
        <f>SIZEOF_IN_MIB(J516:M516, O513)</f>
        <v>0.875</v>
      </c>
      <c r="Q516" s="355"/>
    </row>
    <row r="517">
      <c r="E517" s="341"/>
      <c r="F517" s="371" t="s">
        <v>335</v>
      </c>
      <c r="G517" s="601"/>
      <c r="H517" s="728"/>
      <c r="I517" s="336"/>
      <c r="J517" s="336"/>
      <c r="K517" s="336"/>
      <c r="L517" s="349"/>
      <c r="M517" s="349"/>
      <c r="N517" s="349"/>
      <c r="O517" s="336"/>
      <c r="P517" s="377"/>
      <c r="Q517" s="729"/>
    </row>
    <row r="518">
      <c r="E518" s="341"/>
      <c r="F518" s="352"/>
      <c r="G518" s="669" t="s">
        <v>340</v>
      </c>
      <c r="H518" s="730"/>
      <c r="I518" s="493"/>
      <c r="J518" s="345"/>
      <c r="K518" s="345"/>
      <c r="L518" s="346"/>
      <c r="M518" s="346"/>
      <c r="N518" s="346"/>
      <c r="O518" s="345"/>
      <c r="P518" s="509"/>
      <c r="Q518" s="545"/>
    </row>
    <row r="519">
      <c r="E519" s="341"/>
      <c r="F519" s="731" t="s">
        <v>327</v>
      </c>
      <c r="G519" s="601" t="s">
        <v>328</v>
      </c>
      <c r="H519" s="663" t="str">
        <f>VLOOKUP(O505&amp;","&amp;O509,$T$3:$W$12,4, FALSE)</f>
        <v>fp8</v>
      </c>
      <c r="I519" s="460"/>
      <c r="J519" s="454"/>
      <c r="K519" s="454"/>
      <c r="L519" s="455"/>
      <c r="M519" s="455"/>
      <c r="N519" s="455"/>
      <c r="O519" s="454"/>
      <c r="P519" s="468"/>
      <c r="Q519" s="11"/>
    </row>
    <row r="520">
      <c r="E520" s="341"/>
      <c r="F520" s="341"/>
      <c r="G520" s="663" t="s">
        <v>341</v>
      </c>
      <c r="H520" s="667" t="str">
        <f>CALCULATE_FLOPS(J508:M508,J512:M512,M512,L512,H519)</f>
        <v>#N/A</v>
      </c>
      <c r="I520" s="460"/>
      <c r="J520" s="454"/>
      <c r="K520" s="454"/>
      <c r="L520" s="455"/>
      <c r="M520" s="455"/>
      <c r="N520" s="455"/>
      <c r="O520" s="454"/>
      <c r="P520" s="468"/>
      <c r="Q520" s="11"/>
    </row>
    <row r="521">
      <c r="E521" s="341"/>
      <c r="F521" s="352"/>
      <c r="G521" s="669" t="s">
        <v>330</v>
      </c>
      <c r="H521" s="732" t="str">
        <f>COMPUTE_TIME_MS(H520, H519)</f>
        <v>#N/A</v>
      </c>
      <c r="I521" s="464"/>
      <c r="J521" s="465"/>
      <c r="K521" s="465"/>
      <c r="L521" s="466"/>
      <c r="M521" s="466"/>
      <c r="N521" s="466"/>
      <c r="O521" s="465"/>
      <c r="P521" s="671"/>
      <c r="Q521" s="11"/>
    </row>
    <row r="522">
      <c r="E522" s="341"/>
      <c r="F522" s="731" t="s">
        <v>331</v>
      </c>
      <c r="G522" s="663" t="s">
        <v>332</v>
      </c>
      <c r="H522" s="672">
        <f>IF(Q505,0,P508)+IF(Q509,0,P512)+IF(Q513,0,P516)</f>
        <v>8</v>
      </c>
      <c r="I522" s="454"/>
      <c r="J522" s="454"/>
      <c r="K522" s="454"/>
      <c r="L522" s="455"/>
      <c r="M522" s="455"/>
      <c r="N522" s="455"/>
      <c r="O522" s="454"/>
      <c r="P522" s="468"/>
      <c r="Q522" s="11"/>
    </row>
    <row r="523">
      <c r="E523" s="352"/>
      <c r="F523" s="352"/>
      <c r="G523" s="673" t="s">
        <v>333</v>
      </c>
      <c r="H523" s="733" t="str">
        <f>HBM_TIME_MS(H522)</f>
        <v>#N/A</v>
      </c>
      <c r="I523" s="465"/>
      <c r="J523" s="465"/>
      <c r="K523" s="465"/>
      <c r="L523" s="466"/>
      <c r="M523" s="466"/>
      <c r="N523" s="466"/>
      <c r="O523" s="465"/>
      <c r="P523" s="671"/>
      <c r="Q523" s="11"/>
    </row>
    <row r="524">
      <c r="P524" s="227"/>
    </row>
    <row r="525">
      <c r="P525" s="227"/>
    </row>
    <row r="526">
      <c r="P526" s="227"/>
    </row>
    <row r="527">
      <c r="P527" s="227"/>
    </row>
    <row r="528">
      <c r="P528" s="227"/>
    </row>
    <row r="529">
      <c r="P529" s="227"/>
    </row>
    <row r="530">
      <c r="P530" s="227"/>
    </row>
    <row r="531">
      <c r="P531" s="227"/>
    </row>
    <row r="532">
      <c r="P532" s="227"/>
    </row>
    <row r="533">
      <c r="P533" s="227"/>
    </row>
    <row r="534">
      <c r="P534" s="227"/>
    </row>
    <row r="535">
      <c r="P535" s="227"/>
    </row>
    <row r="536">
      <c r="P536" s="227"/>
    </row>
    <row r="537">
      <c r="P537" s="227"/>
    </row>
    <row r="538">
      <c r="P538" s="227"/>
    </row>
    <row r="539">
      <c r="P539" s="227"/>
    </row>
    <row r="540">
      <c r="P540" s="227"/>
    </row>
    <row r="541">
      <c r="P541" s="227"/>
    </row>
    <row r="542">
      <c r="P542" s="227"/>
    </row>
    <row r="543">
      <c r="P543" s="227"/>
    </row>
    <row r="544">
      <c r="P544" s="227"/>
    </row>
    <row r="545">
      <c r="P545" s="227"/>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7">
      <formula1>"GhostFish,GB200"</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null!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896" t="s">
        <v>168</v>
      </c>
      <c r="B1" s="209"/>
      <c r="C1" s="209"/>
      <c r="D1" s="210"/>
      <c r="E1" s="211" t="str">
        <f>G73</f>
        <v>#N/A</v>
      </c>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892"/>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893"/>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3">
        <v>2048.0</v>
      </c>
      <c r="D4" s="893"/>
      <c r="F4" s="230" t="s">
        <v>96</v>
      </c>
      <c r="G4" s="225">
        <v>1.0</v>
      </c>
      <c r="H4" s="226"/>
      <c r="P4" s="227"/>
      <c r="Q4" s="181" t="s">
        <v>125</v>
      </c>
      <c r="R4" s="181">
        <v>1.0</v>
      </c>
      <c r="T4" s="66" t="str">
        <f t="shared" si="1"/>
        <v>fp4,fp8</v>
      </c>
      <c r="U4" s="181" t="s">
        <v>180</v>
      </c>
      <c r="V4" s="181" t="s">
        <v>125</v>
      </c>
      <c r="W4" s="181" t="s">
        <v>125</v>
      </c>
    </row>
    <row r="5">
      <c r="A5" s="223" t="s">
        <v>183</v>
      </c>
      <c r="B5" s="223" t="s">
        <v>184</v>
      </c>
      <c r="C5" s="223">
        <v>256.0</v>
      </c>
      <c r="D5" s="893"/>
      <c r="F5" s="230" t="s">
        <v>97</v>
      </c>
      <c r="G5" s="225">
        <v>16.0</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893"/>
      <c r="F6" s="230" t="s">
        <v>98</v>
      </c>
      <c r="G6" s="225">
        <v>1.0</v>
      </c>
      <c r="H6" s="226"/>
      <c r="P6" s="227"/>
      <c r="T6" s="66" t="str">
        <f t="shared" si="1"/>
        <v>fp8,fp4</v>
      </c>
      <c r="U6" s="181" t="s">
        <v>125</v>
      </c>
      <c r="V6" s="181" t="s">
        <v>180</v>
      </c>
      <c r="W6" s="181" t="s">
        <v>125</v>
      </c>
    </row>
    <row r="7">
      <c r="A7" s="231" t="s">
        <v>188</v>
      </c>
      <c r="B7" s="231" t="s">
        <v>189</v>
      </c>
      <c r="C7" s="231">
        <v>3.0</v>
      </c>
      <c r="D7" s="893"/>
      <c r="F7" s="230" t="s">
        <v>99</v>
      </c>
      <c r="G7" s="225">
        <v>1.0</v>
      </c>
      <c r="H7" s="226" t="s">
        <v>190</v>
      </c>
      <c r="P7" s="227"/>
      <c r="T7" s="66" t="str">
        <f t="shared" si="1"/>
        <v>fp8,fp8</v>
      </c>
      <c r="U7" s="181" t="s">
        <v>125</v>
      </c>
      <c r="V7" s="181" t="s">
        <v>125</v>
      </c>
      <c r="W7" s="181" t="s">
        <v>125</v>
      </c>
      <c r="AR7" s="161"/>
      <c r="AS7" s="161"/>
      <c r="AT7" s="161"/>
    </row>
    <row r="8">
      <c r="A8" s="223" t="s">
        <v>191</v>
      </c>
      <c r="B8" s="223" t="s">
        <v>192</v>
      </c>
      <c r="C8" s="223">
        <v>8.0</v>
      </c>
      <c r="D8" s="893"/>
      <c r="F8" s="219" t="s">
        <v>193</v>
      </c>
      <c r="P8" s="227"/>
      <c r="U8" s="181"/>
      <c r="V8" s="181"/>
      <c r="W8" s="181"/>
      <c r="AB8" s="181"/>
      <c r="AC8" s="181"/>
      <c r="AD8" s="181"/>
      <c r="AE8" s="181"/>
    </row>
    <row r="9">
      <c r="A9" s="232" t="s">
        <v>194</v>
      </c>
      <c r="B9" s="233" t="s">
        <v>195</v>
      </c>
      <c r="C9" s="223">
        <v>1536.0</v>
      </c>
      <c r="D9" s="893"/>
      <c r="F9" s="234" t="s">
        <v>196</v>
      </c>
      <c r="G9" s="235">
        <f>G5*G4</f>
        <v>16</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893"/>
      <c r="F10" s="237" t="s">
        <v>199</v>
      </c>
      <c r="G10" s="238">
        <f>PRODUCT(G3:G6)</f>
        <v>16</v>
      </c>
      <c r="H10" s="239"/>
      <c r="P10" s="227"/>
      <c r="T10" s="66" t="str">
        <f t="shared" si="2"/>
        <v>bf16,fp4</v>
      </c>
      <c r="U10" s="181" t="s">
        <v>133</v>
      </c>
      <c r="V10" s="181" t="s">
        <v>180</v>
      </c>
      <c r="W10" s="181" t="s">
        <v>133</v>
      </c>
      <c r="AP10" s="218"/>
      <c r="AQ10" s="218"/>
      <c r="AT10" s="228"/>
    </row>
    <row r="11">
      <c r="A11" s="232" t="s">
        <v>200</v>
      </c>
      <c r="B11" s="233" t="s">
        <v>201</v>
      </c>
      <c r="C11" s="223">
        <v>128.0</v>
      </c>
      <c r="D11" s="893"/>
      <c r="F11" s="237" t="s">
        <v>202</v>
      </c>
      <c r="G11" s="238" t="str">
        <f>$G$10/$H$18</f>
        <v>#N/A</v>
      </c>
      <c r="H11" s="239"/>
      <c r="P11" s="227"/>
      <c r="T11" s="66" t="str">
        <f t="shared" si="2"/>
        <v>bf16,fp8</v>
      </c>
      <c r="U11" s="181" t="s">
        <v>133</v>
      </c>
      <c r="V11" s="181" t="s">
        <v>125</v>
      </c>
      <c r="W11" s="181" t="s">
        <v>133</v>
      </c>
      <c r="AP11" s="222"/>
    </row>
    <row r="12">
      <c r="A12" s="232" t="s">
        <v>203</v>
      </c>
      <c r="B12" s="233" t="s">
        <v>204</v>
      </c>
      <c r="C12" s="223">
        <v>64.0</v>
      </c>
      <c r="D12" s="893"/>
      <c r="L12" s="844" t="s">
        <v>584</v>
      </c>
      <c r="P12" s="227"/>
      <c r="T12" s="66" t="s">
        <v>205</v>
      </c>
      <c r="U12" s="181" t="s">
        <v>133</v>
      </c>
      <c r="V12" s="181" t="s">
        <v>133</v>
      </c>
      <c r="W12" s="181" t="s">
        <v>133</v>
      </c>
      <c r="AP12" s="218"/>
      <c r="AQ12" s="218"/>
      <c r="AT12" s="228"/>
    </row>
    <row r="13">
      <c r="A13" s="223" t="s">
        <v>206</v>
      </c>
      <c r="B13" s="233" t="s">
        <v>207</v>
      </c>
      <c r="C13" s="223">
        <v>128.0</v>
      </c>
      <c r="D13" s="893"/>
    </row>
    <row r="14">
      <c r="A14" s="241" t="s">
        <v>208</v>
      </c>
      <c r="B14" s="242"/>
      <c r="C14" s="242"/>
      <c r="AG14" s="207"/>
      <c r="AH14" s="207"/>
      <c r="AI14" s="161"/>
      <c r="AJ14" s="2"/>
      <c r="AK14" s="2"/>
      <c r="AL14" s="2"/>
      <c r="AM14" s="2"/>
      <c r="AN14" s="161"/>
      <c r="AO14" s="2"/>
      <c r="AP14" s="207"/>
      <c r="AQ14" s="2"/>
      <c r="AR14" s="2"/>
      <c r="AS14" s="161"/>
      <c r="AT14" s="161"/>
    </row>
    <row r="15">
      <c r="A15" s="244" t="s">
        <v>209</v>
      </c>
      <c r="B15" s="244" t="s">
        <v>209</v>
      </c>
      <c r="C15" s="245">
        <f>$C$11+$C$12</f>
        <v>192</v>
      </c>
      <c r="AG15" s="2"/>
      <c r="AH15" s="2"/>
      <c r="AI15" s="161"/>
      <c r="AJ15" s="2"/>
      <c r="AK15" s="2"/>
      <c r="AL15" s="2"/>
      <c r="AM15" s="2"/>
      <c r="AN15" s="161"/>
      <c r="AO15" s="2"/>
      <c r="AP15" s="247"/>
      <c r="AQ15" s="247"/>
      <c r="AR15" s="2"/>
      <c r="AS15" s="161"/>
      <c r="AT15" s="248"/>
    </row>
    <row r="16">
      <c r="A16" s="244" t="s">
        <v>210</v>
      </c>
      <c r="B16" s="244" t="s">
        <v>210</v>
      </c>
      <c r="C16" s="249">
        <f>$C$10+$C$12</f>
        <v>576</v>
      </c>
      <c r="D16" s="893"/>
      <c r="AG16" s="2"/>
      <c r="AH16" s="2"/>
      <c r="AI16" s="161"/>
      <c r="AJ16" s="2"/>
      <c r="AK16" s="2"/>
      <c r="AL16" s="2"/>
      <c r="AM16" s="2"/>
      <c r="AN16" s="161"/>
      <c r="AO16" s="2"/>
      <c r="AP16" s="247"/>
      <c r="AQ16" s="247"/>
      <c r="AR16" s="2"/>
      <c r="AS16" s="161"/>
      <c r="AT16" s="248"/>
    </row>
    <row r="17">
      <c r="A17" s="249" t="s">
        <v>211</v>
      </c>
      <c r="B17" s="249" t="s">
        <v>212</v>
      </c>
      <c r="C17" s="245">
        <f>C8*$C$25</f>
        <v>8</v>
      </c>
      <c r="F17" s="250" t="s">
        <v>213</v>
      </c>
      <c r="G17" s="251" t="s">
        <v>585</v>
      </c>
      <c r="H17" s="251" t="s">
        <v>586</v>
      </c>
      <c r="AG17" s="2"/>
      <c r="AH17" s="2"/>
      <c r="AI17" s="161"/>
      <c r="AJ17" s="2"/>
      <c r="AK17" s="2"/>
      <c r="AL17" s="2"/>
      <c r="AM17" s="2"/>
      <c r="AN17" s="161"/>
      <c r="AO17" s="2"/>
      <c r="AP17" s="247"/>
      <c r="AQ17" s="247"/>
      <c r="AR17" s="2"/>
      <c r="AS17" s="161"/>
      <c r="AT17" s="248"/>
    </row>
    <row r="18">
      <c r="A18" s="252" t="s">
        <v>173</v>
      </c>
      <c r="B18" s="252" t="s">
        <v>214</v>
      </c>
      <c r="C18" s="253">
        <f>$G$10</f>
        <v>16</v>
      </c>
      <c r="F18" s="185" t="str">
        <f t="array" ref="F18:F31">DB!A2:A15</f>
        <v># of TensorCore per Chip</v>
      </c>
      <c r="G18" s="847">
        <v>1.0</v>
      </c>
      <c r="H18" s="254" t="str">
        <f t="array" ref="H18:H31">xlookup($H$17,DB!1:1,DB!2:15) * G18:G31</f>
        <v>#N/A</v>
      </c>
      <c r="AG18" s="2"/>
      <c r="AH18" s="2"/>
      <c r="AI18" s="161"/>
      <c r="AJ18" s="2"/>
      <c r="AK18" s="2"/>
      <c r="AL18" s="2"/>
      <c r="AM18" s="2"/>
      <c r="AN18" s="161"/>
      <c r="AO18" s="2"/>
      <c r="AP18" s="247"/>
      <c r="AQ18" s="2"/>
      <c r="AR18" s="2"/>
      <c r="AS18" s="161"/>
      <c r="AT18" s="161"/>
    </row>
    <row r="19">
      <c r="A19" s="252" t="s">
        <v>215</v>
      </c>
      <c r="B19" s="252" t="s">
        <v>216</v>
      </c>
      <c r="C19" s="253" t="str">
        <f>$G$11</f>
        <v>#N/A</v>
      </c>
      <c r="F19" s="185" t="s">
        <v>217</v>
      </c>
      <c r="G19" s="847">
        <v>1.0</v>
      </c>
      <c r="H19" s="254" t="e">
        <v>#N/A</v>
      </c>
      <c r="AG19" s="2"/>
      <c r="AH19" s="2"/>
      <c r="AI19" s="161"/>
      <c r="AJ19" s="2"/>
      <c r="AK19" s="2"/>
      <c r="AL19" s="2"/>
      <c r="AM19" s="2"/>
      <c r="AN19" s="161"/>
      <c r="AO19" s="2"/>
      <c r="AP19" s="247"/>
      <c r="AQ19" s="2"/>
      <c r="AR19" s="2"/>
      <c r="AS19" s="161"/>
      <c r="AT19" s="161"/>
    </row>
    <row r="20">
      <c r="A20" s="256" t="s">
        <v>587</v>
      </c>
      <c r="B20" s="256" t="s">
        <v>219</v>
      </c>
      <c r="C20" s="257" t="str">
        <f>IFS(C19=8,"2x2x2",C19=4,"2x2",TRUE,NA)</f>
        <v>#N/A</v>
      </c>
      <c r="D20" s="247"/>
      <c r="F20" s="185" t="s">
        <v>220</v>
      </c>
      <c r="G20" s="847">
        <v>1.0</v>
      </c>
      <c r="H20" s="254" t="e">
        <v>#N/A</v>
      </c>
      <c r="AG20" s="2"/>
      <c r="AH20" s="2"/>
      <c r="AI20" s="161"/>
      <c r="AJ20" s="2"/>
      <c r="AK20" s="2"/>
      <c r="AL20" s="2"/>
      <c r="AM20" s="2"/>
      <c r="AN20" s="161"/>
      <c r="AO20" s="2"/>
      <c r="AP20" s="247"/>
      <c r="AQ20" s="2"/>
      <c r="AR20" s="2"/>
      <c r="AS20" s="161"/>
      <c r="AT20" s="161"/>
    </row>
    <row r="21">
      <c r="A21" s="260" t="s">
        <v>588</v>
      </c>
      <c r="B21" s="260" t="s">
        <v>222</v>
      </c>
      <c r="C21" s="849" t="str">
        <f>IFS(C20="2x2x2",12,C20="2x2",4,TRUE,NA())</f>
        <v>#N/A</v>
      </c>
      <c r="D21" s="80"/>
      <c r="F21" s="185" t="s">
        <v>223</v>
      </c>
      <c r="G21" s="847">
        <v>1.0</v>
      </c>
      <c r="H21" s="254" t="e">
        <v>#N/A</v>
      </c>
      <c r="AG21" s="2"/>
      <c r="AH21" s="2"/>
      <c r="AI21" s="161"/>
      <c r="AJ21" s="2"/>
      <c r="AK21" s="2"/>
      <c r="AL21" s="2"/>
      <c r="AM21" s="2"/>
      <c r="AN21" s="161"/>
      <c r="AO21" s="2"/>
      <c r="AP21" s="247"/>
      <c r="AQ21" s="2"/>
      <c r="AR21" s="2"/>
      <c r="AS21" s="161"/>
      <c r="AT21" s="161"/>
    </row>
    <row r="22">
      <c r="A22" s="253"/>
      <c r="B22" s="253"/>
      <c r="C22" s="253"/>
      <c r="F22" s="185" t="s">
        <v>224</v>
      </c>
      <c r="G22" s="847">
        <v>1.0</v>
      </c>
      <c r="H22" s="254" t="e">
        <v>#N/A</v>
      </c>
      <c r="AG22" s="2"/>
      <c r="AH22" s="2"/>
      <c r="AI22" s="161"/>
      <c r="AJ22" s="2"/>
      <c r="AK22" s="2"/>
      <c r="AL22" s="2"/>
      <c r="AM22" s="2"/>
      <c r="AN22" s="161"/>
      <c r="AO22" s="2"/>
      <c r="AP22" s="247"/>
      <c r="AQ22" s="247"/>
      <c r="AR22" s="2"/>
      <c r="AS22" s="161"/>
      <c r="AT22" s="248"/>
    </row>
    <row r="23">
      <c r="A23" s="262" t="s">
        <v>225</v>
      </c>
      <c r="B23" s="263"/>
      <c r="C23" s="264"/>
      <c r="D23" s="893"/>
      <c r="F23" s="185" t="s">
        <v>226</v>
      </c>
      <c r="G23" s="847">
        <v>0.987</v>
      </c>
      <c r="H23" s="266" t="e">
        <v>#N/A</v>
      </c>
      <c r="AG23" s="2"/>
      <c r="AH23" s="2"/>
      <c r="AI23" s="161"/>
      <c r="AJ23" s="2"/>
      <c r="AK23" s="2"/>
      <c r="AL23" s="2"/>
      <c r="AM23" s="2"/>
      <c r="AN23" s="161"/>
      <c r="AO23" s="2"/>
      <c r="AP23" s="247"/>
      <c r="AQ23" s="247"/>
      <c r="AR23" s="2"/>
      <c r="AS23" s="161"/>
      <c r="AT23" s="248"/>
    </row>
    <row r="24">
      <c r="A24" s="249" t="s">
        <v>227</v>
      </c>
      <c r="B24" s="249" t="s">
        <v>228</v>
      </c>
      <c r="C24" s="249" t="s">
        <v>18</v>
      </c>
      <c r="D24" s="893"/>
      <c r="F24" s="185" t="s">
        <v>229</v>
      </c>
      <c r="G24" s="847">
        <v>0.8</v>
      </c>
      <c r="H24" s="266" t="e">
        <v>#N/A</v>
      </c>
      <c r="AG24" s="2"/>
      <c r="AH24" s="2"/>
      <c r="AI24" s="161"/>
      <c r="AJ24" s="2"/>
      <c r="AK24" s="2"/>
      <c r="AL24" s="2"/>
      <c r="AM24" s="2"/>
      <c r="AN24" s="161"/>
      <c r="AO24" s="2"/>
      <c r="AP24" s="247"/>
      <c r="AQ24" s="247"/>
      <c r="AR24" s="2"/>
      <c r="AS24" s="161"/>
      <c r="AT24" s="248"/>
    </row>
    <row r="25">
      <c r="A25" s="267" t="s">
        <v>101</v>
      </c>
      <c r="B25" s="267" t="s">
        <v>102</v>
      </c>
      <c r="C25" s="267">
        <f>IF(C24="Decode", 1, 2048)</f>
        <v>1</v>
      </c>
      <c r="D25" s="893"/>
      <c r="F25" s="185" t="s">
        <v>230</v>
      </c>
      <c r="G25" s="847">
        <v>1.0</v>
      </c>
      <c r="H25" s="254" t="e">
        <v>#N/A</v>
      </c>
      <c r="AG25" s="2"/>
      <c r="AH25" s="2"/>
      <c r="AI25" s="161"/>
      <c r="AJ25" s="248"/>
      <c r="AK25" s="2"/>
      <c r="AL25" s="2"/>
      <c r="AM25" s="2"/>
    </row>
    <row r="26">
      <c r="A26" s="249" t="s">
        <v>103</v>
      </c>
      <c r="B26" s="249" t="s">
        <v>104</v>
      </c>
      <c r="C26" s="249">
        <v>2048.0</v>
      </c>
      <c r="D26" s="181"/>
      <c r="F26" s="185" t="s">
        <v>231</v>
      </c>
      <c r="G26" s="847">
        <v>1.0</v>
      </c>
      <c r="H26" s="254" t="e">
        <v>#N/A</v>
      </c>
      <c r="AG26" s="207"/>
      <c r="AH26" s="207"/>
      <c r="AI26" s="207"/>
      <c r="AK26" s="2"/>
      <c r="AL26" s="2"/>
      <c r="AM26" s="2"/>
      <c r="AN26" s="161"/>
      <c r="AO26" s="2"/>
      <c r="AP26" s="2"/>
      <c r="AQ26" s="2"/>
      <c r="AR26" s="2"/>
      <c r="AS26" s="161"/>
      <c r="AT26" s="161"/>
    </row>
    <row r="27">
      <c r="A27" s="249" t="s">
        <v>105</v>
      </c>
      <c r="B27" s="252" t="s">
        <v>106</v>
      </c>
      <c r="C27" s="252">
        <f>1024+4096</f>
        <v>5120</v>
      </c>
      <c r="D27" s="893"/>
      <c r="F27" s="185" t="s">
        <v>233</v>
      </c>
      <c r="G27" s="847">
        <v>1.0</v>
      </c>
      <c r="H27" s="254" t="e">
        <v>#N/A</v>
      </c>
      <c r="AG27" s="207"/>
      <c r="AH27" s="207"/>
      <c r="AI27" s="207"/>
      <c r="AK27" s="2"/>
      <c r="AL27" s="2"/>
      <c r="AM27" s="2"/>
      <c r="AN27" s="161"/>
      <c r="AO27" s="2"/>
      <c r="AP27" s="2"/>
      <c r="AQ27" s="2"/>
      <c r="AR27" s="2"/>
      <c r="AS27" s="161"/>
      <c r="AT27" s="161"/>
    </row>
    <row r="28">
      <c r="A28" s="249" t="s">
        <v>110</v>
      </c>
      <c r="B28" s="253"/>
      <c r="C28" s="252">
        <v>0.15</v>
      </c>
      <c r="D28" s="893"/>
      <c r="F28" s="185" t="s">
        <v>234</v>
      </c>
      <c r="G28" s="847">
        <v>0.987</v>
      </c>
      <c r="H28" s="271" t="e">
        <v>#N/A</v>
      </c>
      <c r="AG28" s="207"/>
      <c r="AH28" s="207"/>
      <c r="AI28" s="207"/>
      <c r="AL28" s="2"/>
      <c r="AM28" s="2"/>
      <c r="AN28" s="161"/>
      <c r="AO28" s="2"/>
      <c r="AP28" s="2"/>
      <c r="AQ28" s="2"/>
      <c r="AR28" s="2"/>
      <c r="AS28" s="161"/>
      <c r="AT28" s="161"/>
    </row>
    <row r="29">
      <c r="A29" s="249" t="s">
        <v>111</v>
      </c>
      <c r="B29" s="253"/>
      <c r="C29" s="252">
        <v>1.0</v>
      </c>
      <c r="D29" s="893"/>
      <c r="F29" s="185" t="s">
        <v>235</v>
      </c>
      <c r="G29" s="847">
        <v>0.375</v>
      </c>
      <c r="H29" s="254" t="e">
        <v>#N/A</v>
      </c>
      <c r="AB29" s="181"/>
      <c r="AC29" s="181"/>
      <c r="AD29" s="181"/>
      <c r="AE29" s="181"/>
      <c r="AM29" s="222"/>
      <c r="AN29" s="218"/>
      <c r="AO29" s="222"/>
      <c r="AP29" s="222"/>
      <c r="AQ29" s="272"/>
      <c r="AR29" s="222"/>
      <c r="AS29" s="66"/>
    </row>
    <row r="30">
      <c r="A30" s="249" t="s">
        <v>112</v>
      </c>
      <c r="B30" s="252" t="s">
        <v>113</v>
      </c>
      <c r="C30" s="273" t="b">
        <v>1</v>
      </c>
      <c r="D30" s="894"/>
      <c r="F30" s="11" t="s">
        <v>236</v>
      </c>
      <c r="G30" s="858">
        <v>0.8</v>
      </c>
      <c r="H30" s="275" t="e">
        <v>#N/A</v>
      </c>
      <c r="AB30" s="181"/>
      <c r="AC30" s="181"/>
      <c r="AD30" s="181"/>
      <c r="AE30" s="181"/>
      <c r="AM30" s="222"/>
      <c r="AN30" s="218"/>
      <c r="AO30" s="222"/>
      <c r="AP30" s="222"/>
      <c r="AQ30" s="272"/>
      <c r="AR30" s="222"/>
      <c r="AS30" s="66"/>
    </row>
    <row r="31">
      <c r="A31" s="11"/>
      <c r="B31" s="11"/>
      <c r="C31" s="11"/>
      <c r="F31" s="182" t="s">
        <v>237</v>
      </c>
      <c r="G31" s="185">
        <v>1.0</v>
      </c>
      <c r="H31" s="182" t="e">
        <v>#N/A</v>
      </c>
      <c r="AM31" s="222"/>
      <c r="AN31" s="218"/>
      <c r="AO31" s="218"/>
      <c r="AP31" s="218"/>
      <c r="AQ31" s="218"/>
      <c r="AR31" s="222"/>
      <c r="AT31" s="228"/>
    </row>
    <row r="32">
      <c r="A32" s="262" t="s">
        <v>238</v>
      </c>
      <c r="B32" s="263"/>
      <c r="C32" s="264"/>
      <c r="AM32" s="222"/>
      <c r="AN32" s="218"/>
      <c r="AO32" s="218"/>
      <c r="AP32" s="218"/>
      <c r="AQ32" s="218"/>
      <c r="AR32" s="222"/>
      <c r="AT32" s="228"/>
    </row>
    <row r="33">
      <c r="A33" s="249" t="s">
        <v>126</v>
      </c>
      <c r="B33" s="244" t="s">
        <v>127</v>
      </c>
      <c r="C33" s="277" t="s">
        <v>650</v>
      </c>
      <c r="D33" s="278"/>
      <c r="AM33" s="222"/>
      <c r="AN33" s="218"/>
      <c r="AO33" s="218"/>
      <c r="AP33" s="222"/>
      <c r="AQ33" s="222"/>
      <c r="AR33" s="222"/>
    </row>
    <row r="34">
      <c r="A34" s="249" t="s">
        <v>123</v>
      </c>
      <c r="B34" s="252" t="s">
        <v>124</v>
      </c>
      <c r="C34" s="273" t="s">
        <v>125</v>
      </c>
      <c r="D34" s="278"/>
      <c r="AM34" s="222"/>
      <c r="AN34" s="218"/>
      <c r="AO34" s="218"/>
      <c r="AP34" s="222"/>
      <c r="AQ34" s="222"/>
      <c r="AR34" s="222"/>
    </row>
    <row r="35">
      <c r="A35" s="249" t="s">
        <v>131</v>
      </c>
      <c r="B35" s="244" t="s">
        <v>132</v>
      </c>
      <c r="C35" s="273" t="s">
        <v>133</v>
      </c>
      <c r="D35" s="278"/>
      <c r="F35" s="861" t="s">
        <v>590</v>
      </c>
      <c r="G35" s="862"/>
      <c r="AM35" s="222"/>
      <c r="AN35" s="218"/>
      <c r="AO35" s="218"/>
      <c r="AP35" s="222"/>
      <c r="AQ35" s="222"/>
      <c r="AR35" s="222"/>
    </row>
    <row r="36">
      <c r="A36" s="249" t="s">
        <v>134</v>
      </c>
      <c r="B36" s="244" t="s">
        <v>135</v>
      </c>
      <c r="C36" s="273" t="s">
        <v>133</v>
      </c>
      <c r="D36" s="278"/>
      <c r="F36" s="436" t="s">
        <v>592</v>
      </c>
      <c r="G36" s="863" t="s">
        <v>125</v>
      </c>
      <c r="AM36" s="222"/>
      <c r="AN36" s="218"/>
      <c r="AO36" s="218"/>
      <c r="AP36" s="222"/>
      <c r="AQ36" s="222"/>
      <c r="AR36" s="222"/>
    </row>
    <row r="37">
      <c r="A37" s="9" t="s">
        <v>138</v>
      </c>
      <c r="B37" s="244" t="s">
        <v>139</v>
      </c>
      <c r="C37" s="277" t="s">
        <v>651</v>
      </c>
      <c r="D37" s="278"/>
      <c r="F37" s="864" t="s">
        <v>593</v>
      </c>
      <c r="G37" s="863" t="str">
        <f>C34</f>
        <v>fp8</v>
      </c>
      <c r="AM37" s="222"/>
      <c r="AN37" s="218"/>
      <c r="AO37" s="218"/>
      <c r="AP37" s="222"/>
      <c r="AQ37" s="222"/>
      <c r="AR37" s="222"/>
    </row>
    <row r="38">
      <c r="A38" s="249" t="s">
        <v>136</v>
      </c>
      <c r="B38" s="244" t="s">
        <v>137</v>
      </c>
      <c r="C38" s="273" t="s">
        <v>125</v>
      </c>
      <c r="D38" s="278"/>
      <c r="F38" s="865" t="s">
        <v>594</v>
      </c>
      <c r="G38" s="866" t="s">
        <v>595</v>
      </c>
      <c r="AM38" s="222"/>
      <c r="AN38" s="218"/>
      <c r="AO38" s="218"/>
      <c r="AP38" s="222"/>
      <c r="AQ38" s="222"/>
      <c r="AR38" s="222"/>
    </row>
    <row r="39">
      <c r="A39" s="249" t="s">
        <v>140</v>
      </c>
      <c r="B39" s="244" t="s">
        <v>141</v>
      </c>
      <c r="C39" s="273" t="s">
        <v>133</v>
      </c>
      <c r="D39" s="278"/>
      <c r="F39" s="897"/>
      <c r="G39" s="898"/>
      <c r="AM39" s="222"/>
      <c r="AN39" s="218"/>
      <c r="AO39" s="218"/>
      <c r="AP39" s="222"/>
      <c r="AQ39" s="222"/>
      <c r="AR39" s="222"/>
    </row>
    <row r="40">
      <c r="D40" s="278"/>
      <c r="F40" s="867" t="s">
        <v>596</v>
      </c>
      <c r="G40" s="868">
        <f>671*1000000000</f>
        <v>671000000000</v>
      </c>
      <c r="AM40" s="222"/>
      <c r="AN40" s="218"/>
      <c r="AO40" s="218"/>
      <c r="AP40" s="222"/>
      <c r="AQ40" s="222"/>
      <c r="AR40" s="222"/>
    </row>
    <row r="41">
      <c r="A41" s="181"/>
      <c r="B41" s="278"/>
      <c r="C41" s="278"/>
      <c r="D41" s="278"/>
      <c r="F41" s="436" t="s">
        <v>597</v>
      </c>
      <c r="G41" s="869">
        <f>SUM(PRODUCT(L87:M87), PRODUCT(K135:M135), PRODUCT(K154:M154), PRODUCT(L173:M173), PRODUCT(K279:M279), PRODUCT(K298:M298)) * PARAMS("L")</f>
        <v>11413422080</v>
      </c>
      <c r="AM41" s="222"/>
      <c r="AN41" s="218"/>
      <c r="AO41" s="218"/>
      <c r="AP41" s="222"/>
      <c r="AQ41" s="222"/>
      <c r="AR41" s="222"/>
    </row>
    <row r="42" ht="27.0" customHeight="1">
      <c r="A42" s="281" t="s">
        <v>241</v>
      </c>
      <c r="F42" s="867"/>
      <c r="G42" s="870"/>
      <c r="AG42" s="2"/>
      <c r="AH42" s="2"/>
      <c r="AI42" s="2"/>
      <c r="AJ42" s="2"/>
      <c r="AK42" s="2"/>
      <c r="AL42" s="2"/>
      <c r="AM42" s="247"/>
      <c r="AN42" s="247"/>
      <c r="AO42" s="279"/>
      <c r="AP42" s="222"/>
      <c r="AQ42" s="247"/>
      <c r="AR42" s="247"/>
      <c r="AT42" s="280"/>
    </row>
    <row r="43" ht="30.0" customHeight="1">
      <c r="A43" s="250" t="s">
        <v>242</v>
      </c>
      <c r="B43" s="250" t="str">
        <f> "Value (" &amp; H17 &amp; ")"</f>
        <v>Value (GhostFish)</v>
      </c>
      <c r="C43" s="282" t="s">
        <v>591</v>
      </c>
      <c r="F43" s="867" t="s">
        <v>598</v>
      </c>
      <c r="G43" s="870">
        <f>G40-G41</f>
        <v>659586577920</v>
      </c>
      <c r="P43" s="227"/>
      <c r="AG43" s="2"/>
      <c r="AH43" s="2"/>
      <c r="AI43" s="2"/>
      <c r="AJ43" s="2"/>
      <c r="AK43" s="2"/>
      <c r="AL43" s="2"/>
      <c r="AM43" s="247"/>
      <c r="AN43" s="247"/>
      <c r="AO43" s="279"/>
      <c r="AP43" s="222"/>
      <c r="AQ43" s="247"/>
      <c r="AR43" s="247"/>
      <c r="AT43" s="280"/>
    </row>
    <row r="44" ht="15.0" customHeight="1">
      <c r="A44" s="185" t="s">
        <v>76</v>
      </c>
      <c r="B44" s="271">
        <f>$C26*$C25</f>
        <v>2048</v>
      </c>
      <c r="C44" s="182">
        <f>492*8</f>
        <v>3936</v>
      </c>
      <c r="F44" s="436" t="s">
        <v>599</v>
      </c>
      <c r="G44" s="869">
        <f>SUM(P87, P135, P154, P173, P279, P298) * PARAMS(B6) / 1024</f>
        <v>21.25915527</v>
      </c>
      <c r="P44" s="227"/>
      <c r="AG44" s="2"/>
      <c r="AH44" s="2"/>
      <c r="AI44" s="2"/>
      <c r="AJ44" s="2"/>
      <c r="AK44" s="2"/>
      <c r="AL44" s="2"/>
      <c r="AM44" s="247"/>
      <c r="AN44" s="247"/>
      <c r="AO44" s="279"/>
      <c r="AP44" s="222"/>
      <c r="AQ44" s="247"/>
      <c r="AR44" s="247"/>
      <c r="AT44" s="280"/>
    </row>
    <row r="45" ht="15.0" customHeight="1">
      <c r="A45" s="185" t="s">
        <v>243</v>
      </c>
      <c r="B45" s="288">
        <f>G10</f>
        <v>16</v>
      </c>
      <c r="C45" s="9">
        <v>8.0</v>
      </c>
      <c r="F45" s="867" t="s">
        <v>600</v>
      </c>
      <c r="G45" s="870">
        <f>(G43*  SWITCH(G36, "fp32", 4, "bf16", 2, "fp8", 1, "fp4", 0.5)/1024^3 + G44*G10) + (G10-1) * SUM(P491, P510) * (C6-3)/1024</f>
        <v>972.2761512</v>
      </c>
      <c r="P45" s="227"/>
      <c r="AG45" s="2"/>
      <c r="AH45" s="2"/>
      <c r="AI45" s="2"/>
      <c r="AJ45" s="2"/>
      <c r="AK45" s="2"/>
      <c r="AL45" s="2"/>
      <c r="AM45" s="247"/>
      <c r="AN45" s="247"/>
      <c r="AO45" s="279"/>
      <c r="AP45" s="222"/>
      <c r="AQ45" s="247"/>
      <c r="AR45" s="247"/>
      <c r="AT45" s="280"/>
    </row>
    <row r="46" ht="15.0" customHeight="1">
      <c r="A46" s="185" t="s">
        <v>146</v>
      </c>
      <c r="B46" s="289" t="str">
        <f>$G$73/1000 * $C$6</f>
        <v>#N/A</v>
      </c>
      <c r="C46" s="11">
        <f>0.0734</f>
        <v>0.0734</v>
      </c>
      <c r="F46" s="436" t="s">
        <v>601</v>
      </c>
      <c r="G46" s="869">
        <f>G45/G10</f>
        <v>60.76725945</v>
      </c>
      <c r="P46" s="227"/>
      <c r="AG46" s="2"/>
      <c r="AH46" s="2"/>
      <c r="AI46" s="2"/>
      <c r="AJ46" s="2"/>
      <c r="AK46" s="2"/>
      <c r="AL46" s="2"/>
      <c r="AM46" s="247"/>
      <c r="AN46" s="247"/>
      <c r="AO46" s="279"/>
      <c r="AP46" s="222"/>
      <c r="AQ46" s="247"/>
      <c r="AR46" s="247"/>
      <c r="AT46" s="280"/>
    </row>
    <row r="47" ht="15.0" customHeight="1">
      <c r="A47" s="185" t="s">
        <v>147</v>
      </c>
      <c r="B47" s="271" t="str">
        <f>$B$44/$B$46</f>
        <v>#N/A</v>
      </c>
      <c r="C47" s="193">
        <f>492/0.0733 * C45</f>
        <v>53697.13506</v>
      </c>
      <c r="F47" s="867" t="s">
        <v>602</v>
      </c>
      <c r="G47" s="871">
        <v>0.9</v>
      </c>
      <c r="P47" s="227"/>
      <c r="AG47" s="2"/>
      <c r="AH47" s="2"/>
      <c r="AI47" s="2"/>
      <c r="AJ47" s="2"/>
      <c r="AK47" s="2"/>
      <c r="AL47" s="2"/>
      <c r="AM47" s="247"/>
      <c r="AN47" s="247"/>
      <c r="AO47" s="279"/>
      <c r="AP47" s="222"/>
      <c r="AQ47" s="247"/>
      <c r="AR47" s="247"/>
      <c r="AT47" s="280"/>
    </row>
    <row r="48" ht="15.0" customHeight="1">
      <c r="A48" s="185" t="s">
        <v>148</v>
      </c>
      <c r="B48" s="193" t="str">
        <f>B44/(B46*(1+C28))*C29</f>
        <v>#N/A</v>
      </c>
      <c r="C48" s="193"/>
      <c r="F48" s="436" t="s">
        <v>603</v>
      </c>
      <c r="G48" s="869" t="str">
        <f>(((H28 * G47 - G46)*1024^3) * G9) / (PARAMS(B27) * PAD_128(C10+C12) * SWITCH(PARAMS("kv_dtype"), "fp32", 4, "bf16", 2, "fp8", 1, "fp4", 0.5)*PARAMS(B6))</f>
        <v>#N/A</v>
      </c>
      <c r="P48" s="227"/>
      <c r="AG48" s="2"/>
      <c r="AH48" s="2"/>
      <c r="AI48" s="2"/>
      <c r="AJ48" s="2"/>
      <c r="AK48" s="2"/>
      <c r="AL48" s="2"/>
      <c r="AM48" s="247"/>
      <c r="AN48" s="247"/>
      <c r="AO48" s="279"/>
      <c r="AP48" s="222"/>
      <c r="AQ48" s="247"/>
      <c r="AR48" s="247"/>
      <c r="AT48" s="280"/>
    </row>
    <row r="49" ht="15.0" customHeight="1">
      <c r="A49" s="185" t="s">
        <v>149</v>
      </c>
      <c r="B49" s="193" t="str">
        <f>B48/$G$11</f>
        <v>#N/A</v>
      </c>
      <c r="C49" s="193">
        <f>C47/C45</f>
        <v>6712.141883</v>
      </c>
      <c r="P49" s="227"/>
      <c r="AG49" s="2"/>
      <c r="AH49" s="2"/>
      <c r="AI49" s="2"/>
      <c r="AJ49" s="2"/>
      <c r="AK49" s="2"/>
      <c r="AL49" s="2"/>
      <c r="AM49" s="247"/>
      <c r="AN49" s="247"/>
      <c r="AO49" s="279"/>
      <c r="AP49" s="222"/>
      <c r="AQ49" s="247"/>
      <c r="AR49" s="247"/>
      <c r="AT49" s="280"/>
    </row>
    <row r="50" ht="15.0" customHeight="1">
      <c r="A50" s="899" t="s">
        <v>652</v>
      </c>
      <c r="B50" s="900" t="str">
        <f t="shared" ref="B50:C50" si="3">B49/$C$49</f>
        <v>#N/A</v>
      </c>
      <c r="C50" s="900">
        <f t="shared" si="3"/>
        <v>1</v>
      </c>
      <c r="P50" s="227"/>
      <c r="AG50" s="2"/>
      <c r="AH50" s="2"/>
      <c r="AI50" s="2"/>
      <c r="AJ50" s="2"/>
      <c r="AK50" s="2"/>
      <c r="AL50" s="2"/>
      <c r="AM50" s="247"/>
      <c r="AN50" s="247"/>
      <c r="AO50" s="279"/>
      <c r="AP50" s="222"/>
      <c r="AQ50" s="247"/>
      <c r="AR50" s="247"/>
      <c r="AT50" s="280"/>
    </row>
    <row r="51" ht="15.0" customHeight="1">
      <c r="P51" s="227"/>
      <c r="AG51" s="2"/>
      <c r="AH51" s="2"/>
      <c r="AI51" s="2"/>
      <c r="AJ51" s="2"/>
      <c r="AK51" s="2"/>
      <c r="AL51" s="2"/>
      <c r="AM51" s="247"/>
      <c r="AN51" s="247"/>
      <c r="AO51" s="279"/>
      <c r="AP51" s="222"/>
      <c r="AQ51" s="247"/>
      <c r="AR51" s="247"/>
      <c r="AT51" s="280"/>
    </row>
    <row r="52">
      <c r="A52" s="281"/>
      <c r="B52" s="281"/>
      <c r="D52" s="181"/>
      <c r="E52" s="181"/>
      <c r="F52" s="181"/>
      <c r="G52" s="181"/>
      <c r="AM52" s="222"/>
      <c r="AN52" s="218"/>
      <c r="AO52" s="218"/>
      <c r="AP52" s="218"/>
      <c r="AQ52" s="218"/>
      <c r="AR52" s="222"/>
      <c r="AT52" s="280"/>
    </row>
    <row r="53">
      <c r="A53" s="281" t="s">
        <v>244</v>
      </c>
      <c r="B53" s="281"/>
      <c r="D53" s="181"/>
      <c r="E53" s="181"/>
      <c r="F53" s="181"/>
      <c r="G53" s="181"/>
      <c r="AM53" s="222"/>
      <c r="AN53" s="218"/>
      <c r="AO53" s="218"/>
      <c r="AP53" s="218"/>
      <c r="AQ53" s="218"/>
      <c r="AR53" s="222"/>
      <c r="AT53" s="280"/>
    </row>
    <row r="54">
      <c r="A54" s="290" t="s">
        <v>245</v>
      </c>
      <c r="B54" s="290" t="s">
        <v>246</v>
      </c>
      <c r="C54" s="290" t="s">
        <v>247</v>
      </c>
      <c r="D54" s="290" t="s">
        <v>248</v>
      </c>
      <c r="E54" s="290" t="s">
        <v>249</v>
      </c>
      <c r="F54" s="290" t="s">
        <v>250</v>
      </c>
      <c r="G54" s="290" t="s">
        <v>251</v>
      </c>
      <c r="H54" s="290" t="s">
        <v>252</v>
      </c>
      <c r="I54" s="875"/>
      <c r="J54" s="290" t="s">
        <v>604</v>
      </c>
      <c r="AG54" s="207"/>
      <c r="AH54" s="207"/>
      <c r="AI54" s="2"/>
      <c r="AJ54" s="2"/>
      <c r="AK54" s="2"/>
      <c r="AL54" s="2"/>
      <c r="AM54" s="247"/>
      <c r="AN54" s="279"/>
      <c r="AO54" s="279"/>
      <c r="AP54" s="292"/>
      <c r="AQ54" s="279"/>
      <c r="AR54" s="247"/>
      <c r="AS54" s="66"/>
      <c r="AT54" s="280"/>
    </row>
    <row r="55">
      <c r="A55" s="293" t="s">
        <v>29</v>
      </c>
      <c r="B55" s="294" t="s">
        <v>255</v>
      </c>
      <c r="C55" s="295" t="str">
        <f>$H$129</f>
        <v>#N/A</v>
      </c>
      <c r="D55" s="295" t="str">
        <f>$H$127</f>
        <v>#N/A</v>
      </c>
      <c r="E55" s="296">
        <f>$H$124</f>
        <v>0</v>
      </c>
      <c r="F55" s="295">
        <f>H122</f>
        <v>0</v>
      </c>
      <c r="G55" s="295" t="str">
        <f t="shared" ref="G55:G59" si="4">max(C55:F55)</f>
        <v>#N/A</v>
      </c>
      <c r="H55" s="297" t="str">
        <f t="shared" ref="H55:H58" si="5">IFS(C55=G55, "HBM", D55=G55, "Compute", E55=G55, "ICI Lt", F55=G55, "ICI BW")</f>
        <v>#N/A</v>
      </c>
      <c r="I55" s="808"/>
      <c r="J55" s="876" t="str">
        <f t="shared" ref="J55:J61" si="6">G55/$G$71</f>
        <v>#N/A</v>
      </c>
      <c r="P55" s="301"/>
      <c r="AG55" s="2"/>
      <c r="AH55" s="2"/>
      <c r="AI55" s="207"/>
      <c r="AJ55" s="2"/>
      <c r="AK55" s="2"/>
      <c r="AL55" s="2"/>
      <c r="AM55" s="247"/>
      <c r="AN55" s="218"/>
      <c r="AO55" s="218"/>
      <c r="AP55" s="218"/>
      <c r="AQ55" s="218"/>
      <c r="AR55" s="247"/>
      <c r="AT55" s="280"/>
    </row>
    <row r="56">
      <c r="A56" s="293" t="s">
        <v>29</v>
      </c>
      <c r="B56" s="294" t="s">
        <v>32</v>
      </c>
      <c r="C56" s="295" t="str">
        <f>$H$148</f>
        <v>#N/A</v>
      </c>
      <c r="D56" s="295" t="str">
        <f>$H$146</f>
        <v>#N/A</v>
      </c>
      <c r="E56" s="297"/>
      <c r="F56" s="295"/>
      <c r="G56" s="295" t="str">
        <f t="shared" si="4"/>
        <v>#N/A</v>
      </c>
      <c r="H56" s="297" t="str">
        <f t="shared" si="5"/>
        <v>#N/A</v>
      </c>
      <c r="I56" s="808"/>
      <c r="J56" s="876" t="str">
        <f t="shared" si="6"/>
        <v>#N/A</v>
      </c>
      <c r="P56" s="227"/>
      <c r="AG56" s="2"/>
      <c r="AH56" s="2"/>
      <c r="AI56" s="2"/>
      <c r="AJ56" s="2"/>
      <c r="AK56" s="2"/>
      <c r="AL56" s="2"/>
      <c r="AM56" s="247"/>
      <c r="AN56" s="247"/>
      <c r="AO56" s="279"/>
      <c r="AP56" s="222"/>
      <c r="AQ56" s="247"/>
      <c r="AR56" s="247"/>
      <c r="AT56" s="280"/>
    </row>
    <row r="57">
      <c r="A57" s="293" t="s">
        <v>29</v>
      </c>
      <c r="B57" s="294" t="s">
        <v>34</v>
      </c>
      <c r="C57" s="295" t="str">
        <f>$H$167</f>
        <v>#N/A</v>
      </c>
      <c r="D57" s="295" t="str">
        <f>$H$165</f>
        <v>#N/A</v>
      </c>
      <c r="E57" s="297"/>
      <c r="F57" s="295"/>
      <c r="G57" s="295" t="str">
        <f t="shared" si="4"/>
        <v>#N/A</v>
      </c>
      <c r="H57" s="297" t="str">
        <f t="shared" si="5"/>
        <v>#N/A</v>
      </c>
      <c r="I57" s="808"/>
      <c r="J57" s="876" t="str">
        <f t="shared" si="6"/>
        <v>#N/A</v>
      </c>
      <c r="P57" s="227"/>
      <c r="AG57" s="2"/>
      <c r="AH57" s="2"/>
      <c r="AI57" s="2"/>
      <c r="AJ57" s="2"/>
      <c r="AK57" s="2"/>
      <c r="AL57" s="2"/>
      <c r="AM57" s="247"/>
      <c r="AN57" s="218"/>
      <c r="AO57" s="218"/>
      <c r="AP57" s="218"/>
      <c r="AQ57" s="218"/>
      <c r="AR57" s="247"/>
      <c r="AT57" s="280"/>
    </row>
    <row r="58">
      <c r="A58" s="293" t="s">
        <v>29</v>
      </c>
      <c r="B58" s="294" t="s">
        <v>256</v>
      </c>
      <c r="C58" s="295" t="str">
        <f>$H$186</f>
        <v>#N/A</v>
      </c>
      <c r="D58" s="295" t="str">
        <f>$H$184</f>
        <v>#N/A</v>
      </c>
      <c r="E58" s="297"/>
      <c r="F58" s="295"/>
      <c r="G58" s="295" t="str">
        <f t="shared" si="4"/>
        <v>#N/A</v>
      </c>
      <c r="H58" s="297" t="str">
        <f t="shared" si="5"/>
        <v>#N/A</v>
      </c>
      <c r="I58" s="808"/>
      <c r="J58" s="876" t="str">
        <f t="shared" si="6"/>
        <v>#N/A</v>
      </c>
      <c r="P58" s="227"/>
      <c r="AM58" s="222"/>
      <c r="AO58" s="222"/>
      <c r="AP58" s="222"/>
      <c r="AQ58" s="222"/>
      <c r="AR58" s="247"/>
      <c r="AS58" s="66"/>
      <c r="AT58" s="280"/>
    </row>
    <row r="59">
      <c r="A59" s="293" t="s">
        <v>29</v>
      </c>
      <c r="B59" s="294" t="s">
        <v>257</v>
      </c>
      <c r="C59" s="295"/>
      <c r="D59" s="295"/>
      <c r="E59" s="297"/>
      <c r="F59" s="295">
        <f>$H$216</f>
        <v>0</v>
      </c>
      <c r="G59" s="295">
        <f t="shared" si="4"/>
        <v>0</v>
      </c>
      <c r="H59" s="297" t="str">
        <f>IFS(F59=G59, "ICI BW", E59=G59, "ICI Lt",  C59=G59, "HBM", D59=G59, "Compute")</f>
        <v>ICI BW</v>
      </c>
      <c r="I59" s="808"/>
      <c r="J59" s="876" t="str">
        <f t="shared" si="6"/>
        <v>#N/A</v>
      </c>
      <c r="P59" s="227"/>
      <c r="R59" s="203"/>
      <c r="S59" s="203"/>
      <c r="T59" s="203"/>
      <c r="U59" s="203"/>
      <c r="V59" s="203"/>
      <c r="W59" s="2"/>
      <c r="AM59" s="222"/>
      <c r="AO59" s="218"/>
      <c r="AP59" s="218"/>
      <c r="AQ59" s="218"/>
      <c r="AR59" s="247"/>
      <c r="AT59" s="280"/>
    </row>
    <row r="60">
      <c r="A60" s="293" t="s">
        <v>29</v>
      </c>
      <c r="B60" s="302" t="s">
        <v>258</v>
      </c>
      <c r="C60" s="295" t="str">
        <f t="shared" ref="C60:D60" si="7">SUM(C62:C64)</f>
        <v>#N/A</v>
      </c>
      <c r="D60" s="295" t="str">
        <f t="shared" si="7"/>
        <v>#N/A</v>
      </c>
      <c r="E60" s="297"/>
      <c r="F60" s="295"/>
      <c r="G60" s="295" t="str">
        <f>IF(PARAMS("flash_attn"),MAX(C60:F60),0)</f>
        <v>#N/A</v>
      </c>
      <c r="H60" s="297" t="str">
        <f>IFS(G60=0,"",C60=G60, "HBM", D60=G60, "Compute", E60=G60, "ICI Lt", F60=G60, "ICI BW")</f>
        <v>#N/A</v>
      </c>
      <c r="I60" s="808"/>
      <c r="J60" s="876" t="str">
        <f t="shared" si="6"/>
        <v>#N/A</v>
      </c>
      <c r="P60" s="227"/>
      <c r="R60" s="203"/>
      <c r="S60" s="203"/>
      <c r="T60" s="203"/>
      <c r="U60" s="203"/>
      <c r="V60" s="203"/>
      <c r="W60" s="2"/>
      <c r="AM60" s="222"/>
      <c r="AO60" s="218"/>
      <c r="AP60" s="218"/>
      <c r="AQ60" s="218"/>
      <c r="AR60" s="247"/>
      <c r="AT60" s="280"/>
    </row>
    <row r="61">
      <c r="A61" s="293" t="s">
        <v>29</v>
      </c>
      <c r="B61" s="302" t="s">
        <v>259</v>
      </c>
      <c r="C61" s="295"/>
      <c r="D61" s="295"/>
      <c r="E61" s="297"/>
      <c r="F61" s="295"/>
      <c r="G61" s="295">
        <f>IF(PARAMS("flash_attn"),0,SUM(G62:G64))</f>
        <v>0</v>
      </c>
      <c r="H61" s="297"/>
      <c r="I61" s="808"/>
      <c r="J61" s="876" t="str">
        <f t="shared" si="6"/>
        <v>#N/A</v>
      </c>
      <c r="P61" s="227"/>
      <c r="R61" s="203"/>
      <c r="S61" s="203"/>
      <c r="T61" s="203"/>
      <c r="U61" s="203"/>
      <c r="V61" s="203"/>
      <c r="W61" s="2"/>
      <c r="AM61" s="222"/>
      <c r="AO61" s="218"/>
      <c r="AP61" s="218"/>
      <c r="AQ61" s="218"/>
      <c r="AR61" s="247"/>
      <c r="AT61" s="280"/>
    </row>
    <row r="62">
      <c r="A62" s="293" t="s">
        <v>29</v>
      </c>
      <c r="B62" s="294" t="s">
        <v>668</v>
      </c>
      <c r="C62" s="295" t="str">
        <f>$H$235</f>
        <v>#N/A</v>
      </c>
      <c r="D62" s="295" t="str">
        <f>$H$233</f>
        <v>#N/A</v>
      </c>
      <c r="E62" s="297"/>
      <c r="F62" s="295"/>
      <c r="G62" s="295" t="str">
        <f t="shared" ref="G62:G70" si="8">max(C62:F62)</f>
        <v>#N/A</v>
      </c>
      <c r="H62" s="297" t="str">
        <f t="shared" ref="H62:H70" si="9">IFS(C62=G62, "HBM", D62=G62, "Compute", E62=G62, "ICI Lt", F62=G62, "ICI BW")</f>
        <v>#N/A</v>
      </c>
      <c r="I62" s="808"/>
      <c r="J62" s="876"/>
      <c r="P62" s="227"/>
      <c r="R62" s="203"/>
      <c r="S62" s="203"/>
      <c r="T62" s="203"/>
      <c r="U62" s="203"/>
      <c r="V62" s="203"/>
      <c r="W62" s="2"/>
      <c r="AM62" s="222"/>
      <c r="AO62" s="218"/>
      <c r="AP62" s="218"/>
      <c r="AQ62" s="218"/>
      <c r="AR62" s="247"/>
      <c r="AT62" s="280"/>
    </row>
    <row r="63">
      <c r="A63" s="293" t="s">
        <v>29</v>
      </c>
      <c r="B63" s="294" t="s">
        <v>669</v>
      </c>
      <c r="C63" s="295" t="str">
        <f>$H$254</f>
        <v>#N/A</v>
      </c>
      <c r="D63" s="295" t="str">
        <f>$H$252</f>
        <v>#N/A</v>
      </c>
      <c r="E63" s="297"/>
      <c r="F63" s="295"/>
      <c r="G63" s="295" t="str">
        <f t="shared" si="8"/>
        <v>#N/A</v>
      </c>
      <c r="H63" s="297" t="str">
        <f t="shared" si="9"/>
        <v>#N/A</v>
      </c>
      <c r="I63" s="808"/>
      <c r="J63" s="876"/>
      <c r="P63" s="227"/>
      <c r="R63" s="303"/>
      <c r="S63" s="303"/>
      <c r="T63" s="303"/>
      <c r="U63" s="303"/>
      <c r="V63" s="303"/>
      <c r="W63" s="2"/>
      <c r="AM63" s="222"/>
      <c r="AN63" s="218"/>
      <c r="AO63" s="222"/>
      <c r="AP63" s="222"/>
      <c r="AQ63" s="218"/>
      <c r="AR63" s="247"/>
      <c r="AT63" s="280"/>
    </row>
    <row r="64">
      <c r="A64" s="293" t="s">
        <v>29</v>
      </c>
      <c r="B64" s="294" t="s">
        <v>670</v>
      </c>
      <c r="C64" s="295" t="str">
        <f>$H$273</f>
        <v>#N/A</v>
      </c>
      <c r="D64" s="295" t="str">
        <f>$H$271</f>
        <v>#N/A</v>
      </c>
      <c r="E64" s="297"/>
      <c r="F64" s="295"/>
      <c r="G64" s="295" t="str">
        <f t="shared" si="8"/>
        <v>#N/A</v>
      </c>
      <c r="H64" s="297" t="str">
        <f t="shared" si="9"/>
        <v>#N/A</v>
      </c>
      <c r="I64" s="808"/>
      <c r="J64" s="876"/>
      <c r="P64" s="227"/>
      <c r="R64" s="303"/>
      <c r="S64" s="303"/>
      <c r="T64" s="303"/>
      <c r="U64" s="303"/>
      <c r="V64" s="303"/>
      <c r="W64" s="2"/>
      <c r="AM64" s="222"/>
      <c r="AN64" s="218"/>
      <c r="AO64" s="218"/>
      <c r="AP64" s="218"/>
      <c r="AQ64" s="218"/>
      <c r="AR64" s="247"/>
      <c r="AT64" s="280"/>
    </row>
    <row r="65">
      <c r="A65" s="293" t="s">
        <v>29</v>
      </c>
      <c r="B65" s="294" t="s">
        <v>38</v>
      </c>
      <c r="C65" s="295" t="str">
        <f>H292</f>
        <v>#N/A</v>
      </c>
      <c r="D65" s="295" t="str">
        <f>H290</f>
        <v>#N/A</v>
      </c>
      <c r="E65" s="297"/>
      <c r="F65" s="295"/>
      <c r="G65" s="295" t="str">
        <f t="shared" si="8"/>
        <v>#N/A</v>
      </c>
      <c r="H65" s="297" t="str">
        <f t="shared" si="9"/>
        <v>#N/A</v>
      </c>
      <c r="I65" s="808"/>
      <c r="J65" s="876" t="str">
        <f t="shared" ref="J65:J71" si="10">G65/$G$71</f>
        <v>#N/A</v>
      </c>
      <c r="P65" s="227"/>
      <c r="R65" s="303"/>
      <c r="S65" s="303"/>
      <c r="T65" s="303"/>
      <c r="U65" s="303"/>
      <c r="V65" s="303"/>
      <c r="W65" s="304"/>
      <c r="AK65" s="280"/>
      <c r="AM65" s="222"/>
      <c r="AN65" s="218"/>
      <c r="AO65" s="218"/>
      <c r="AP65" s="218"/>
      <c r="AQ65" s="218"/>
      <c r="AR65" s="247"/>
      <c r="AT65" s="280"/>
    </row>
    <row r="66">
      <c r="A66" s="293" t="s">
        <v>29</v>
      </c>
      <c r="B66" s="294" t="s">
        <v>40</v>
      </c>
      <c r="C66" s="295" t="str">
        <f>H311</f>
        <v>#N/A</v>
      </c>
      <c r="D66" s="295" t="str">
        <f>H309</f>
        <v>#N/A</v>
      </c>
      <c r="E66" s="297"/>
      <c r="F66" s="295"/>
      <c r="G66" s="295" t="str">
        <f t="shared" si="8"/>
        <v>#N/A</v>
      </c>
      <c r="H66" s="297" t="str">
        <f t="shared" si="9"/>
        <v>#N/A</v>
      </c>
      <c r="I66" s="808"/>
      <c r="J66" s="876" t="str">
        <f t="shared" si="10"/>
        <v>#N/A</v>
      </c>
      <c r="P66" s="227"/>
      <c r="R66" s="303"/>
      <c r="S66" s="303"/>
      <c r="T66" s="303"/>
      <c r="U66" s="305"/>
      <c r="V66" s="305"/>
      <c r="W66" s="2"/>
      <c r="AK66" s="306"/>
      <c r="AL66" s="307"/>
      <c r="AM66" s="247"/>
      <c r="AN66" s="218"/>
      <c r="AO66" s="218"/>
      <c r="AP66" s="218"/>
      <c r="AQ66" s="218"/>
      <c r="AR66" s="247"/>
      <c r="AT66" s="280"/>
    </row>
    <row r="67">
      <c r="A67" s="293" t="s">
        <v>264</v>
      </c>
      <c r="B67" s="308" t="s">
        <v>44</v>
      </c>
      <c r="C67" s="295"/>
      <c r="D67" s="295"/>
      <c r="E67" s="296" t="str">
        <f>$H$361</f>
        <v>#N/A</v>
      </c>
      <c r="F67" s="295" t="str">
        <f>$H$359</f>
        <v>#N/A</v>
      </c>
      <c r="G67" s="295" t="str">
        <f t="shared" si="8"/>
        <v>#N/A</v>
      </c>
      <c r="H67" s="297" t="str">
        <f t="shared" si="9"/>
        <v>#N/A</v>
      </c>
      <c r="I67" s="808"/>
      <c r="J67" s="876" t="str">
        <f t="shared" si="10"/>
        <v>#N/A</v>
      </c>
      <c r="P67" s="227"/>
      <c r="R67" s="2"/>
      <c r="S67" s="2"/>
      <c r="T67" s="2"/>
      <c r="U67" s="2"/>
      <c r="V67" s="2"/>
      <c r="W67" s="2"/>
      <c r="AM67" s="222"/>
      <c r="AN67" s="218"/>
      <c r="AO67" s="222"/>
      <c r="AP67" s="222"/>
      <c r="AQ67" s="272"/>
      <c r="AR67" s="222"/>
    </row>
    <row r="68">
      <c r="A68" s="293" t="s">
        <v>264</v>
      </c>
      <c r="B68" s="308" t="s">
        <v>46</v>
      </c>
      <c r="C68" s="295" t="str">
        <f>$H$404</f>
        <v>#N/A</v>
      </c>
      <c r="D68" s="295" t="str">
        <f>$H$402</f>
        <v>#N/A</v>
      </c>
      <c r="E68" s="297"/>
      <c r="F68" s="295">
        <f>$H$399</f>
        <v>0</v>
      </c>
      <c r="G68" s="295" t="str">
        <f t="shared" si="8"/>
        <v>#N/A</v>
      </c>
      <c r="H68" s="297" t="str">
        <f t="shared" si="9"/>
        <v>#N/A</v>
      </c>
      <c r="I68" s="808"/>
      <c r="J68" s="876" t="str">
        <f t="shared" si="10"/>
        <v>#N/A</v>
      </c>
      <c r="P68" s="227"/>
      <c r="R68" s="2"/>
      <c r="S68" s="2"/>
      <c r="T68" s="2"/>
      <c r="U68" s="2"/>
      <c r="V68" s="2"/>
      <c r="W68" s="309"/>
      <c r="AM68" s="222"/>
      <c r="AN68" s="218"/>
      <c r="AO68" s="218"/>
      <c r="AP68" s="218"/>
      <c r="AQ68" s="218"/>
      <c r="AR68" s="222"/>
      <c r="AT68" s="228"/>
    </row>
    <row r="69">
      <c r="A69" s="293" t="s">
        <v>264</v>
      </c>
      <c r="B69" s="308" t="s">
        <v>48</v>
      </c>
      <c r="C69" s="295" t="str">
        <f>$H$434</f>
        <v>#N/A</v>
      </c>
      <c r="D69" s="295" t="str">
        <f>$H$432</f>
        <v>#N/A</v>
      </c>
      <c r="E69" s="297"/>
      <c r="F69" s="295">
        <f>$H$429</f>
        <v>0</v>
      </c>
      <c r="G69" s="295" t="str">
        <f t="shared" si="8"/>
        <v>#N/A</v>
      </c>
      <c r="H69" s="297" t="str">
        <f t="shared" si="9"/>
        <v>#N/A</v>
      </c>
      <c r="I69" s="808"/>
      <c r="J69" s="876" t="str">
        <f t="shared" si="10"/>
        <v>#N/A</v>
      </c>
      <c r="P69" s="227"/>
      <c r="R69" s="2"/>
      <c r="S69" s="2"/>
      <c r="T69" s="2"/>
      <c r="U69" s="2"/>
      <c r="V69" s="2"/>
      <c r="W69" s="309"/>
      <c r="AM69" s="222"/>
      <c r="AN69" s="218"/>
      <c r="AO69" s="218"/>
      <c r="AP69" s="222"/>
      <c r="AQ69" s="222"/>
      <c r="AR69" s="222"/>
    </row>
    <row r="70">
      <c r="A70" s="293" t="s">
        <v>264</v>
      </c>
      <c r="B70" s="308" t="s">
        <v>52</v>
      </c>
      <c r="C70" s="295"/>
      <c r="D70" s="295"/>
      <c r="E70" s="296" t="str">
        <f>$H$480</f>
        <v>#N/A</v>
      </c>
      <c r="F70" s="295" t="str">
        <f>$H$478</f>
        <v>#N/A</v>
      </c>
      <c r="G70" s="295" t="str">
        <f t="shared" si="8"/>
        <v>#N/A</v>
      </c>
      <c r="H70" s="297" t="str">
        <f t="shared" si="9"/>
        <v>#N/A</v>
      </c>
      <c r="I70" s="808"/>
      <c r="J70" s="876" t="str">
        <f t="shared" si="10"/>
        <v>#N/A</v>
      </c>
      <c r="P70" s="227"/>
      <c r="AM70" s="222"/>
      <c r="AN70" s="218"/>
      <c r="AO70" s="218"/>
      <c r="AP70" s="218"/>
      <c r="AQ70" s="218"/>
      <c r="AR70" s="222"/>
      <c r="AT70" s="280"/>
    </row>
    <row r="71">
      <c r="A71" s="310"/>
      <c r="B71" s="311"/>
      <c r="C71" s="311"/>
      <c r="D71" s="311"/>
      <c r="E71" s="310" t="s">
        <v>265</v>
      </c>
      <c r="F71" s="312" t="s">
        <v>121</v>
      </c>
      <c r="G71" s="311" t="str">
        <f>SUM(G55:G61,G65:G70)</f>
        <v>#N/A</v>
      </c>
      <c r="H71" s="311"/>
      <c r="I71" s="314"/>
      <c r="J71" s="315" t="str">
        <f t="shared" si="10"/>
        <v>#N/A</v>
      </c>
      <c r="P71" s="227"/>
      <c r="AG71" s="207"/>
      <c r="AH71" s="207"/>
      <c r="AI71" s="2"/>
      <c r="AJ71" s="2"/>
      <c r="AK71" s="2"/>
      <c r="AL71" s="2"/>
      <c r="AM71" s="247"/>
      <c r="AN71" s="279"/>
      <c r="AO71" s="279"/>
      <c r="AP71" s="292"/>
      <c r="AQ71" s="279"/>
      <c r="AR71" s="247"/>
      <c r="AT71" s="280"/>
    </row>
    <row r="72">
      <c r="A72" s="316"/>
      <c r="B72" s="311"/>
      <c r="C72" s="311"/>
      <c r="D72" s="311"/>
      <c r="E72" s="316"/>
      <c r="F72" s="312" t="s">
        <v>266</v>
      </c>
      <c r="G72" s="879" t="str">
        <f>SUM(G55:G61,G65:G66)+MAX(G67:G68)+MAX(G69:G70)</f>
        <v>#N/A</v>
      </c>
      <c r="H72" s="311"/>
      <c r="I72" s="314"/>
      <c r="J72" s="315"/>
      <c r="P72" s="227"/>
      <c r="AG72" s="207"/>
      <c r="AH72" s="207"/>
      <c r="AI72" s="2"/>
      <c r="AJ72" s="2"/>
      <c r="AK72" s="2"/>
      <c r="AL72" s="2"/>
      <c r="AM72" s="247"/>
      <c r="AN72" s="279"/>
      <c r="AO72" s="279"/>
      <c r="AP72" s="292"/>
      <c r="AQ72" s="279"/>
      <c r="AR72" s="247"/>
      <c r="AT72" s="280"/>
    </row>
    <row r="73">
      <c r="A73" s="318" t="s">
        <v>267</v>
      </c>
      <c r="B73" s="319"/>
      <c r="C73" s="319"/>
      <c r="D73" s="319"/>
      <c r="E73" s="318" t="s">
        <v>268</v>
      </c>
      <c r="F73" s="320" t="s">
        <v>121</v>
      </c>
      <c r="G73" s="880" t="str">
        <f>IF(F73=F71,G71,G72)</f>
        <v>#N/A</v>
      </c>
      <c r="H73" s="319"/>
      <c r="I73" s="322"/>
      <c r="J73" s="322"/>
      <c r="P73" s="227"/>
      <c r="AG73" s="2"/>
      <c r="AH73" s="2"/>
      <c r="AI73" s="2"/>
      <c r="AJ73" s="2"/>
      <c r="AK73" s="2"/>
      <c r="AL73" s="2"/>
      <c r="AM73" s="247"/>
      <c r="AN73" s="247"/>
      <c r="AO73" s="279"/>
      <c r="AP73" s="222"/>
      <c r="AQ73" s="247"/>
      <c r="AR73" s="247"/>
      <c r="AT73" s="280"/>
    </row>
    <row r="74" ht="15.0" customHeight="1">
      <c r="P74" s="227"/>
      <c r="AG74" s="2"/>
      <c r="AH74" s="2"/>
      <c r="AI74" s="2"/>
      <c r="AJ74" s="2"/>
      <c r="AK74" s="2"/>
      <c r="AL74" s="2"/>
      <c r="AM74" s="247"/>
      <c r="AN74" s="247"/>
      <c r="AO74" s="279"/>
      <c r="AP74" s="222"/>
      <c r="AQ74" s="247"/>
      <c r="AR74" s="247"/>
      <c r="AT74" s="280"/>
    </row>
    <row r="75">
      <c r="P75" s="227"/>
      <c r="AG75" s="2"/>
      <c r="AH75" s="2"/>
      <c r="AI75" s="2"/>
      <c r="AJ75" s="2"/>
      <c r="AK75" s="2"/>
      <c r="AL75" s="2"/>
      <c r="AM75" s="247"/>
      <c r="AN75" s="247"/>
      <c r="AO75" s="279"/>
      <c r="AP75" s="222"/>
      <c r="AQ75" s="247"/>
      <c r="AR75" s="247"/>
      <c r="AT75" s="280"/>
    </row>
    <row r="76">
      <c r="A76" s="323" t="s">
        <v>269</v>
      </c>
      <c r="E76" s="281" t="s">
        <v>270</v>
      </c>
      <c r="P76" s="227"/>
      <c r="AG76" s="2"/>
      <c r="AH76" s="2"/>
      <c r="AI76" s="2"/>
      <c r="AJ76" s="2"/>
      <c r="AK76" s="2"/>
      <c r="AL76" s="2"/>
      <c r="AM76" s="247"/>
      <c r="AN76" s="218"/>
      <c r="AO76" s="218"/>
      <c r="AP76" s="218"/>
      <c r="AQ76" s="218"/>
      <c r="AR76" s="247"/>
      <c r="AT76" s="280"/>
    </row>
    <row r="77">
      <c r="A77" s="183" t="s">
        <v>271</v>
      </c>
      <c r="B77" s="183" t="s">
        <v>171</v>
      </c>
      <c r="C77" s="183" t="s">
        <v>174</v>
      </c>
      <c r="E77" s="324" t="s">
        <v>272</v>
      </c>
      <c r="F77" s="325" t="s">
        <v>273</v>
      </c>
      <c r="G77" s="326"/>
      <c r="H77" s="327"/>
      <c r="I77" s="325" t="s">
        <v>274</v>
      </c>
      <c r="J77" s="326"/>
      <c r="K77" s="326"/>
      <c r="L77" s="326"/>
      <c r="M77" s="326"/>
      <c r="N77" s="327"/>
      <c r="O77" s="328" t="s">
        <v>275</v>
      </c>
      <c r="P77" s="329" t="s">
        <v>276</v>
      </c>
      <c r="Q77" s="330" t="s">
        <v>277</v>
      </c>
      <c r="AM77" s="222"/>
      <c r="AO77" s="222"/>
      <c r="AP77" s="222"/>
      <c r="AQ77" s="222"/>
      <c r="AR77" s="247"/>
      <c r="AT77" s="280"/>
    </row>
    <row r="78">
      <c r="A78" s="185" t="s">
        <v>278</v>
      </c>
      <c r="B78" s="331">
        <f>SUM(P87,P135,P154,P173,P279,P298) * PARAMS("L") / 1024</f>
        <v>21.25915527</v>
      </c>
      <c r="C78" s="332"/>
      <c r="D78" s="2"/>
      <c r="E78" s="333" t="s">
        <v>279</v>
      </c>
      <c r="F78" s="334" t="s">
        <v>280</v>
      </c>
      <c r="G78" s="335"/>
      <c r="H78" s="336" t="s">
        <v>281</v>
      </c>
      <c r="I78" s="336" t="s">
        <v>282</v>
      </c>
      <c r="J78" s="336"/>
      <c r="K78" s="337" t="s">
        <v>104</v>
      </c>
      <c r="L78" s="337" t="s">
        <v>102</v>
      </c>
      <c r="M78" s="336" t="s">
        <v>178</v>
      </c>
      <c r="N78" s="336" t="s">
        <v>283</v>
      </c>
      <c r="O78" s="338" t="s">
        <v>125</v>
      </c>
      <c r="P78" s="339"/>
      <c r="Q78" s="337"/>
      <c r="AM78" s="222"/>
      <c r="AO78" s="218"/>
      <c r="AP78" s="218"/>
      <c r="AQ78" s="218"/>
      <c r="AR78" s="247"/>
      <c r="AT78" s="280"/>
    </row>
    <row r="79">
      <c r="A79" s="185" t="s">
        <v>284</v>
      </c>
      <c r="B79" s="340">
        <f>SUM($P$319,$P$410) * PARAMS("L") / 1024</f>
        <v>113.421875</v>
      </c>
      <c r="C79" s="11"/>
      <c r="D79" s="2"/>
      <c r="E79" s="341"/>
      <c r="F79" s="342"/>
      <c r="G79" s="343"/>
      <c r="H79" s="344" t="s">
        <v>285</v>
      </c>
      <c r="I79" s="345" t="s">
        <v>282</v>
      </c>
      <c r="J79" s="346"/>
      <c r="K79" s="345">
        <f t="shared" ref="K79:M79" si="11">PARAMS(K78)</f>
        <v>2048</v>
      </c>
      <c r="L79" s="345">
        <f t="shared" si="11"/>
        <v>1</v>
      </c>
      <c r="M79" s="345">
        <f t="shared" si="11"/>
        <v>7168</v>
      </c>
      <c r="N79" s="345" t="s">
        <v>283</v>
      </c>
      <c r="O79" s="347"/>
      <c r="P79" s="348">
        <f>SIZEOF_IN_MIB(J79:M79, $O78)</f>
        <v>14</v>
      </c>
      <c r="Q79" s="344"/>
      <c r="AM79" s="222"/>
      <c r="AN79" s="218"/>
      <c r="AO79" s="222"/>
      <c r="AP79" s="222"/>
      <c r="AQ79" s="218"/>
      <c r="AR79" s="247"/>
      <c r="AT79" s="280"/>
    </row>
    <row r="80">
      <c r="A80" s="9" t="s">
        <v>286</v>
      </c>
      <c r="B80" s="11"/>
      <c r="C80" s="11"/>
      <c r="D80" s="2"/>
      <c r="E80" s="341"/>
      <c r="F80" s="342"/>
      <c r="G80" s="343"/>
      <c r="H80" s="349" t="s">
        <v>287</v>
      </c>
      <c r="I80" s="349" t="s">
        <v>282</v>
      </c>
      <c r="J80" s="336"/>
      <c r="K80" s="337" t="s">
        <v>196</v>
      </c>
      <c r="L80" s="337"/>
      <c r="M80" s="337"/>
      <c r="N80" s="349" t="s">
        <v>283</v>
      </c>
      <c r="O80" s="350"/>
      <c r="P80" s="351"/>
      <c r="Q80" s="337"/>
      <c r="AM80" s="222"/>
      <c r="AN80" s="218"/>
      <c r="AO80" s="218"/>
      <c r="AP80" s="218"/>
      <c r="AQ80" s="218"/>
      <c r="AR80" s="247"/>
      <c r="AT80" s="280"/>
    </row>
    <row r="81">
      <c r="A81" s="185" t="s">
        <v>288</v>
      </c>
      <c r="B81" s="340">
        <f>SIZEOF_IN_MIB(PARAMS("B")*PARAMS("S")*PARAMS("L")*(PARAMS("c_kv")+PARAMS("h_rope")), PARAMS("kv_dtype"))/1024</f>
        <v>343.125</v>
      </c>
      <c r="C81" s="11"/>
      <c r="D81" s="2"/>
      <c r="E81" s="352"/>
      <c r="F81" s="353"/>
      <c r="G81" s="354"/>
      <c r="H81" s="344" t="s">
        <v>289</v>
      </c>
      <c r="I81" s="346" t="s">
        <v>282</v>
      </c>
      <c r="J81" s="345"/>
      <c r="K81" s="346">
        <f t="shared" ref="K81:M81" si="12">K79/SHARDING(K80)</f>
        <v>128</v>
      </c>
      <c r="L81" s="346">
        <f t="shared" si="12"/>
        <v>1</v>
      </c>
      <c r="M81" s="346">
        <f t="shared" si="12"/>
        <v>7168</v>
      </c>
      <c r="N81" s="346" t="s">
        <v>283</v>
      </c>
      <c r="O81" s="355"/>
      <c r="P81" s="348">
        <f>SIZEOF_IN_MIB(J81:M81, $O78)</f>
        <v>0.875</v>
      </c>
      <c r="Q81" s="344"/>
      <c r="AG81" s="181"/>
      <c r="AK81" s="280"/>
      <c r="AM81" s="222"/>
      <c r="AN81" s="218"/>
      <c r="AO81" s="218"/>
      <c r="AP81" s="218"/>
      <c r="AQ81" s="218"/>
      <c r="AR81" s="247"/>
      <c r="AT81" s="280"/>
    </row>
    <row r="82">
      <c r="A82" s="9" t="s">
        <v>290</v>
      </c>
      <c r="B82" s="356">
        <f>MAX(P87,P106,P127,P146,P165,P184,P233,P252,P271,P287,P325,P374,P447,P466)/1024</f>
        <v>0.0205078125</v>
      </c>
      <c r="C82" s="9"/>
      <c r="D82" s="2"/>
      <c r="E82" s="333" t="s">
        <v>291</v>
      </c>
      <c r="F82" s="357" t="s">
        <v>292</v>
      </c>
      <c r="G82" s="335"/>
      <c r="H82" s="336" t="s">
        <v>281</v>
      </c>
      <c r="I82" s="336" t="s">
        <v>282</v>
      </c>
      <c r="J82" s="336"/>
      <c r="K82" s="337" t="s">
        <v>104</v>
      </c>
      <c r="L82" s="337" t="s">
        <v>102</v>
      </c>
      <c r="M82" s="358" t="s">
        <v>178</v>
      </c>
      <c r="N82" s="336" t="s">
        <v>283</v>
      </c>
      <c r="O82" s="338" t="str">
        <f>EXTRACT_ACTIVATION_DTYPE(PARAMS("attn_proj_dtype"))</f>
        <v>bf16</v>
      </c>
      <c r="P82" s="339"/>
      <c r="Q82" s="338" t="b">
        <v>0</v>
      </c>
      <c r="AG82" s="181"/>
      <c r="AK82" s="306"/>
      <c r="AL82" s="307"/>
      <c r="AM82" s="247"/>
      <c r="AN82" s="218"/>
      <c r="AO82" s="218"/>
      <c r="AP82" s="218"/>
      <c r="AQ82" s="218"/>
      <c r="AR82" s="247"/>
      <c r="AT82" s="280"/>
    </row>
    <row r="83">
      <c r="A83" s="8" t="s">
        <v>293</v>
      </c>
      <c r="B83" s="359">
        <f>SUM(B78:B81)</f>
        <v>477.8060303</v>
      </c>
      <c r="C83" s="8" t="str">
        <f>"&lt;=" &amp; ($H$28 * PARAMS("num_devices")) &amp; " (Capacity)?"</f>
        <v>#N/A</v>
      </c>
      <c r="D83" s="2"/>
      <c r="E83" s="341"/>
      <c r="F83" s="342"/>
      <c r="G83" s="343"/>
      <c r="H83" s="344" t="s">
        <v>285</v>
      </c>
      <c r="I83" s="345" t="s">
        <v>282</v>
      </c>
      <c r="J83" s="346"/>
      <c r="K83" s="345">
        <f t="shared" ref="K83:M83" si="13">PARAMS(K82)</f>
        <v>2048</v>
      </c>
      <c r="L83" s="345">
        <f t="shared" si="13"/>
        <v>1</v>
      </c>
      <c r="M83" s="345">
        <f t="shared" si="13"/>
        <v>7168</v>
      </c>
      <c r="N83" s="345" t="s">
        <v>283</v>
      </c>
      <c r="O83" s="347"/>
      <c r="P83" s="348">
        <f>SIZEOF_IN_MIB(J83:M83, $O82)</f>
        <v>28</v>
      </c>
      <c r="Q83" s="347"/>
      <c r="AG83" s="181"/>
      <c r="AM83" s="2"/>
      <c r="AR83" s="2"/>
    </row>
    <row r="84">
      <c r="A84" s="11"/>
      <c r="B84" s="11"/>
      <c r="C84" s="11"/>
      <c r="D84" s="161"/>
      <c r="E84" s="341"/>
      <c r="F84" s="342"/>
      <c r="G84" s="343"/>
      <c r="H84" s="349" t="s">
        <v>287</v>
      </c>
      <c r="I84" s="349" t="s">
        <v>282</v>
      </c>
      <c r="J84" s="336"/>
      <c r="K84" s="337" t="s">
        <v>196</v>
      </c>
      <c r="L84" s="337"/>
      <c r="M84" s="349"/>
      <c r="N84" s="349" t="s">
        <v>283</v>
      </c>
      <c r="O84" s="350"/>
      <c r="P84" s="351"/>
      <c r="Q84" s="350"/>
    </row>
    <row r="85">
      <c r="A85" s="185" t="s">
        <v>294</v>
      </c>
      <c r="B85" s="331">
        <f>SUM(P89,P137,P156,P175,P281,P300) * PARAMS("L") / 1024</f>
        <v>21.25915527</v>
      </c>
      <c r="C85" s="332"/>
      <c r="D85" s="161"/>
      <c r="E85" s="341"/>
      <c r="F85" s="353"/>
      <c r="G85" s="354"/>
      <c r="H85" s="344" t="s">
        <v>289</v>
      </c>
      <c r="I85" s="346" t="s">
        <v>282</v>
      </c>
      <c r="J85" s="345"/>
      <c r="K85" s="346">
        <f t="shared" ref="K85:M85" si="14">K83/SHARDING(K84)</f>
        <v>128</v>
      </c>
      <c r="L85" s="346">
        <f t="shared" si="14"/>
        <v>1</v>
      </c>
      <c r="M85" s="346">
        <f t="shared" si="14"/>
        <v>7168</v>
      </c>
      <c r="N85" s="346" t="s">
        <v>283</v>
      </c>
      <c r="O85" s="355"/>
      <c r="P85" s="348">
        <f>SIZEOF_IN_MIB(J85:M85, $O82)</f>
        <v>1.75</v>
      </c>
      <c r="Q85" s="355"/>
      <c r="AG85" s="181"/>
    </row>
    <row r="86">
      <c r="A86" s="185" t="s">
        <v>295</v>
      </c>
      <c r="B86" s="340">
        <f>SUM(P369,P412) * PARAMS("L") / 1024</f>
        <v>20.015625</v>
      </c>
      <c r="C86" s="332"/>
      <c r="D86" s="161"/>
      <c r="E86" s="341"/>
      <c r="F86" s="334" t="s">
        <v>296</v>
      </c>
      <c r="G86" s="335"/>
      <c r="H86" s="349" t="s">
        <v>281</v>
      </c>
      <c r="I86" s="349" t="s">
        <v>282</v>
      </c>
      <c r="J86" s="336"/>
      <c r="K86" s="336"/>
      <c r="L86" s="360" t="s">
        <v>178</v>
      </c>
      <c r="M86" s="337" t="s">
        <v>195</v>
      </c>
      <c r="N86" s="349" t="s">
        <v>283</v>
      </c>
      <c r="O86" s="338" t="str">
        <f>EXTRACT_WEIGHT_DTYPE(PARAMS("attn_proj_dtype"))</f>
        <v>bf16</v>
      </c>
      <c r="P86" s="351"/>
      <c r="Q86" s="338" t="b">
        <v>0</v>
      </c>
      <c r="AP86" s="218"/>
      <c r="AQ86" s="218"/>
      <c r="AT86" s="228"/>
    </row>
    <row r="87">
      <c r="A87" s="9" t="s">
        <v>286</v>
      </c>
      <c r="B87" s="11"/>
      <c r="C87" s="332"/>
      <c r="D87" s="161"/>
      <c r="E87" s="341"/>
      <c r="F87" s="342"/>
      <c r="G87" s="343"/>
      <c r="H87" s="344" t="s">
        <v>285</v>
      </c>
      <c r="I87" s="346" t="s">
        <v>282</v>
      </c>
      <c r="J87" s="345"/>
      <c r="K87" s="345"/>
      <c r="L87" s="346">
        <f t="shared" ref="L87:M87" si="15">PARAMS(L86)</f>
        <v>7168</v>
      </c>
      <c r="M87" s="346">
        <f t="shared" si="15"/>
        <v>1536</v>
      </c>
      <c r="N87" s="346" t="s">
        <v>283</v>
      </c>
      <c r="O87" s="347"/>
      <c r="P87" s="348">
        <f>SIZEOF_IN_MIB(J87:M87, $O86)</f>
        <v>21</v>
      </c>
      <c r="Q87" s="347"/>
      <c r="AP87" s="222"/>
    </row>
    <row r="88">
      <c r="A88" s="185" t="s">
        <v>297</v>
      </c>
      <c r="B88" s="340">
        <f>B81/PARAMS("num_devices")</f>
        <v>21.4453125</v>
      </c>
      <c r="C88" s="332"/>
      <c r="D88" s="161"/>
      <c r="E88" s="341"/>
      <c r="F88" s="342"/>
      <c r="G88" s="343"/>
      <c r="H88" s="349" t="s">
        <v>287</v>
      </c>
      <c r="I88" s="349" t="s">
        <v>282</v>
      </c>
      <c r="J88" s="336"/>
      <c r="K88" s="336"/>
      <c r="L88" s="349"/>
      <c r="M88" s="349"/>
      <c r="N88" s="349" t="s">
        <v>283</v>
      </c>
      <c r="O88" s="350"/>
      <c r="P88" s="351"/>
      <c r="Q88" s="350"/>
      <c r="AP88" s="218"/>
      <c r="AQ88" s="218"/>
      <c r="AT88" s="228"/>
    </row>
    <row r="89">
      <c r="A89" s="185" t="s">
        <v>298</v>
      </c>
      <c r="B89" s="340">
        <f>MAX(P89,P108,P129,P148,P167,P186,P235,P254,P273,P289,P327,P376,P449,P468)/1024</f>
        <v>0.0205078125</v>
      </c>
      <c r="C89" s="332"/>
      <c r="D89" s="161"/>
      <c r="E89" s="341"/>
      <c r="F89" s="353"/>
      <c r="G89" s="354"/>
      <c r="H89" s="346" t="s">
        <v>289</v>
      </c>
      <c r="I89" s="346" t="s">
        <v>282</v>
      </c>
      <c r="J89" s="345"/>
      <c r="K89" s="345"/>
      <c r="L89" s="346">
        <f t="shared" ref="L89:M89" si="16">L87/SHARDING(L88)</f>
        <v>7168</v>
      </c>
      <c r="M89" s="346">
        <f t="shared" si="16"/>
        <v>1536</v>
      </c>
      <c r="N89" s="346" t="s">
        <v>283</v>
      </c>
      <c r="O89" s="355"/>
      <c r="P89" s="348">
        <f>SIZEOF_IN_MIB(J89:M89, $O86)</f>
        <v>21</v>
      </c>
      <c r="Q89" s="355"/>
    </row>
    <row r="90">
      <c r="A90" s="199" t="s">
        <v>299</v>
      </c>
      <c r="B90" s="361">
        <f>SUM(B85:B88)</f>
        <v>62.72009277</v>
      </c>
      <c r="C90" s="362" t="str">
        <f>"&lt;=" &amp; ($H$28) &amp; " (Capacity)?"</f>
        <v>#N/A</v>
      </c>
      <c r="D90" s="161"/>
      <c r="E90" s="341"/>
      <c r="F90" s="334" t="s">
        <v>56</v>
      </c>
      <c r="G90" s="335"/>
      <c r="H90" s="363" t="s">
        <v>281</v>
      </c>
      <c r="I90" s="363" t="s">
        <v>282</v>
      </c>
      <c r="J90" s="364"/>
      <c r="K90" s="273" t="s">
        <v>104</v>
      </c>
      <c r="L90" s="273" t="s">
        <v>102</v>
      </c>
      <c r="M90" s="273" t="s">
        <v>195</v>
      </c>
      <c r="N90" s="363" t="s">
        <v>283</v>
      </c>
      <c r="O90" s="365" t="s">
        <v>133</v>
      </c>
      <c r="P90" s="366"/>
      <c r="Q90" s="365" t="b">
        <v>0</v>
      </c>
    </row>
    <row r="91">
      <c r="A91" s="161"/>
      <c r="B91" s="161"/>
      <c r="C91" s="161"/>
      <c r="D91" s="161"/>
      <c r="E91" s="341"/>
      <c r="F91" s="342"/>
      <c r="G91" s="343"/>
      <c r="H91" s="273" t="s">
        <v>285</v>
      </c>
      <c r="I91" s="363" t="s">
        <v>282</v>
      </c>
      <c r="J91" s="364"/>
      <c r="K91" s="363">
        <f t="shared" ref="K91:M91" si="17">PARAMS(K90)</f>
        <v>2048</v>
      </c>
      <c r="L91" s="364">
        <f t="shared" si="17"/>
        <v>1</v>
      </c>
      <c r="M91" s="363">
        <f t="shared" si="17"/>
        <v>1536</v>
      </c>
      <c r="N91" s="363" t="s">
        <v>283</v>
      </c>
      <c r="O91" s="341"/>
      <c r="P91" s="366">
        <f>SIZEOF_IN_MIB(K91:M91, $O90)</f>
        <v>6</v>
      </c>
      <c r="Q91" s="341"/>
    </row>
    <row r="92">
      <c r="A92" s="161"/>
      <c r="B92" s="161"/>
      <c r="C92" s="161"/>
      <c r="D92" s="161"/>
      <c r="E92" s="341"/>
      <c r="F92" s="342"/>
      <c r="G92" s="343"/>
      <c r="H92" s="363" t="s">
        <v>287</v>
      </c>
      <c r="I92" s="363" t="s">
        <v>282</v>
      </c>
      <c r="J92" s="364"/>
      <c r="K92" s="273" t="s">
        <v>196</v>
      </c>
      <c r="L92" s="273"/>
      <c r="M92" s="363"/>
      <c r="N92" s="363" t="s">
        <v>283</v>
      </c>
      <c r="O92" s="341"/>
      <c r="P92" s="366"/>
      <c r="Q92" s="341"/>
    </row>
    <row r="93">
      <c r="A93" s="161"/>
      <c r="B93" s="161"/>
      <c r="C93" s="161"/>
      <c r="D93" s="161"/>
      <c r="E93" s="341"/>
      <c r="F93" s="353"/>
      <c r="G93" s="354"/>
      <c r="H93" s="363" t="s">
        <v>289</v>
      </c>
      <c r="I93" s="363" t="s">
        <v>282</v>
      </c>
      <c r="J93" s="364"/>
      <c r="K93" s="363">
        <f t="shared" ref="K93:M93" si="18">K91/SHARDING(K92)</f>
        <v>128</v>
      </c>
      <c r="L93" s="363">
        <f t="shared" si="18"/>
        <v>1</v>
      </c>
      <c r="M93" s="363">
        <f t="shared" si="18"/>
        <v>1536</v>
      </c>
      <c r="N93" s="363" t="s">
        <v>283</v>
      </c>
      <c r="O93" s="352"/>
      <c r="P93" s="366">
        <f>SIZEOF_IN_MIB(K93:M93, $O90)</f>
        <v>0.375</v>
      </c>
      <c r="Q93" s="352"/>
    </row>
    <row r="94">
      <c r="A94" s="161"/>
      <c r="B94" s="161"/>
      <c r="C94" s="161"/>
      <c r="E94" s="341"/>
      <c r="F94" s="370" t="s">
        <v>300</v>
      </c>
      <c r="G94" s="371" t="s">
        <v>301</v>
      </c>
      <c r="H94" s="372" t="s">
        <v>281</v>
      </c>
      <c r="I94" s="364" t="s">
        <v>282</v>
      </c>
      <c r="J94" s="364" t="str">
        <f t="array" ref="J94:M97">J78:M81</f>
        <v/>
      </c>
      <c r="K94" s="273" t="s">
        <v>104</v>
      </c>
      <c r="L94" s="273" t="s">
        <v>102</v>
      </c>
      <c r="M94" s="373" t="s">
        <v>178</v>
      </c>
      <c r="N94" s="364" t="s">
        <v>283</v>
      </c>
      <c r="O94" s="365" t="str">
        <f>O82</f>
        <v>bf16</v>
      </c>
      <c r="P94" s="364"/>
      <c r="Q94" s="365"/>
    </row>
    <row r="95">
      <c r="A95" s="161"/>
      <c r="B95" s="161"/>
      <c r="C95" s="161"/>
      <c r="E95" s="341"/>
      <c r="F95" s="341"/>
      <c r="G95" s="341"/>
      <c r="H95" s="374" t="s">
        <v>285</v>
      </c>
      <c r="I95" s="364" t="s">
        <v>282</v>
      </c>
      <c r="J95" s="363"/>
      <c r="K95" s="364">
        <v>2048.0</v>
      </c>
      <c r="L95" s="364">
        <v>1.0</v>
      </c>
      <c r="M95" s="364">
        <v>7168.0</v>
      </c>
      <c r="N95" s="364" t="s">
        <v>283</v>
      </c>
      <c r="O95" s="341"/>
      <c r="P95" s="375">
        <f>SIZEOF_IN_MIB(J95:M95, O94)</f>
        <v>28</v>
      </c>
      <c r="Q95" s="341"/>
    </row>
    <row r="96">
      <c r="A96" s="161"/>
      <c r="B96" s="161"/>
      <c r="C96" s="161"/>
      <c r="E96" s="341"/>
      <c r="F96" s="341"/>
      <c r="G96" s="341"/>
      <c r="H96" s="374" t="s">
        <v>302</v>
      </c>
      <c r="I96" s="363" t="s">
        <v>282</v>
      </c>
      <c r="J96" s="364"/>
      <c r="K96" s="273" t="s">
        <v>196</v>
      </c>
      <c r="L96" s="273"/>
      <c r="M96" s="273"/>
      <c r="N96" s="363" t="s">
        <v>283</v>
      </c>
      <c r="O96" s="341"/>
      <c r="P96" s="375"/>
      <c r="Q96" s="341"/>
    </row>
    <row r="97">
      <c r="A97" s="161"/>
      <c r="B97" s="161"/>
      <c r="C97" s="161"/>
      <c r="E97" s="341"/>
      <c r="F97" s="341"/>
      <c r="G97" s="341"/>
      <c r="H97" s="376" t="s">
        <v>303</v>
      </c>
      <c r="I97" s="349" t="s">
        <v>282</v>
      </c>
      <c r="J97" s="336"/>
      <c r="K97" s="349">
        <v>128.0</v>
      </c>
      <c r="L97" s="349">
        <v>1.0</v>
      </c>
      <c r="M97" s="349">
        <v>7168.0</v>
      </c>
      <c r="N97" s="337" t="s">
        <v>283</v>
      </c>
      <c r="O97" s="350"/>
      <c r="P97" s="377">
        <f>SIZEOF_IN_MIB(J97:M97, O94)</f>
        <v>1.75</v>
      </c>
      <c r="Q97" s="350"/>
    </row>
    <row r="98">
      <c r="A98" s="161"/>
      <c r="B98" s="161"/>
      <c r="C98" s="161"/>
      <c r="E98" s="341"/>
      <c r="F98" s="341"/>
      <c r="G98" s="352"/>
      <c r="H98" s="378" t="s">
        <v>304</v>
      </c>
      <c r="I98" s="346" t="s">
        <v>282</v>
      </c>
      <c r="J98" s="345"/>
      <c r="K98" s="344"/>
      <c r="L98" s="344"/>
      <c r="M98" s="344"/>
      <c r="N98" s="346" t="s">
        <v>283</v>
      </c>
      <c r="O98" s="355"/>
      <c r="P98" s="379"/>
      <c r="Q98" s="355"/>
      <c r="R98" s="2"/>
      <c r="S98" s="2"/>
      <c r="AG98" s="2"/>
      <c r="AH98" s="2"/>
      <c r="AI98" s="2"/>
      <c r="AJ98" s="2"/>
      <c r="AK98" s="2"/>
      <c r="AL98" s="2"/>
      <c r="AM98" s="2"/>
      <c r="AN98" s="2"/>
      <c r="AO98" s="2"/>
      <c r="AP98" s="2"/>
      <c r="AQ98" s="2"/>
      <c r="AR98" s="2"/>
      <c r="AS98" s="2"/>
      <c r="AT98" s="2"/>
    </row>
    <row r="99">
      <c r="A99" s="161"/>
      <c r="B99" s="161"/>
      <c r="C99" s="161"/>
      <c r="E99" s="341"/>
      <c r="F99" s="341"/>
      <c r="G99" s="380" t="s">
        <v>305</v>
      </c>
      <c r="H99" s="381"/>
      <c r="I99" s="382"/>
      <c r="J99" s="382"/>
      <c r="K99" s="382"/>
      <c r="L99" s="383"/>
      <c r="M99" s="383"/>
      <c r="N99" s="383"/>
      <c r="O99" s="382"/>
      <c r="P99" s="384"/>
      <c r="Q99" s="382"/>
      <c r="R99" s="2"/>
      <c r="S99" s="2"/>
      <c r="AG99" s="2"/>
      <c r="AH99" s="2"/>
      <c r="AI99" s="2"/>
      <c r="AJ99" s="2"/>
      <c r="AK99" s="2"/>
      <c r="AL99" s="2"/>
      <c r="AM99" s="2"/>
      <c r="AN99" s="2"/>
      <c r="AO99" s="2"/>
      <c r="AP99" s="2"/>
      <c r="AQ99" s="2"/>
      <c r="AR99" s="2"/>
      <c r="AS99" s="2"/>
      <c r="AT99" s="2"/>
    </row>
    <row r="100">
      <c r="A100" s="161"/>
      <c r="B100" s="161"/>
      <c r="C100" s="161"/>
      <c r="E100" s="341"/>
      <c r="F100" s="341"/>
      <c r="G100" s="385" t="s">
        <v>306</v>
      </c>
      <c r="H100" s="386">
        <f>SHARDING(K96)*SHARDING(L96)*SHARDING(M96)</f>
        <v>16</v>
      </c>
      <c r="I100" s="387"/>
      <c r="J100" s="387"/>
      <c r="K100" s="387"/>
      <c r="L100" s="388"/>
      <c r="M100" s="388"/>
      <c r="N100" s="388"/>
      <c r="O100" s="387"/>
      <c r="P100" s="389"/>
      <c r="Q100" s="387"/>
      <c r="R100" s="2"/>
      <c r="S100" s="2"/>
      <c r="AG100" s="2"/>
      <c r="AH100" s="2"/>
      <c r="AI100" s="2"/>
      <c r="AJ100" s="2"/>
      <c r="AK100" s="2"/>
      <c r="AL100" s="2"/>
      <c r="AM100" s="2"/>
      <c r="AN100" s="2"/>
      <c r="AO100" s="2"/>
      <c r="AP100" s="2"/>
      <c r="AQ100" s="2"/>
      <c r="AR100" s="2"/>
      <c r="AS100" s="2"/>
      <c r="AT100" s="2"/>
    </row>
    <row r="101">
      <c r="A101" s="161"/>
      <c r="B101" s="161"/>
      <c r="C101" s="161"/>
      <c r="E101" s="341"/>
      <c r="F101" s="341"/>
      <c r="G101" s="385" t="s">
        <v>307</v>
      </c>
      <c r="H101" s="390">
        <f>P97 * (H100-1)</f>
        <v>26.25</v>
      </c>
      <c r="I101" s="298"/>
      <c r="J101" s="391"/>
      <c r="K101" s="391"/>
      <c r="L101" s="392"/>
      <c r="M101" s="392"/>
      <c r="N101" s="392"/>
      <c r="O101" s="391"/>
      <c r="P101" s="393"/>
      <c r="Q101" s="391"/>
      <c r="R101" s="2"/>
      <c r="S101" s="2"/>
      <c r="AG101" s="2"/>
      <c r="AH101" s="2"/>
      <c r="AI101" s="2"/>
      <c r="AJ101" s="2"/>
      <c r="AK101" s="2"/>
      <c r="AL101" s="2"/>
      <c r="AM101" s="2"/>
      <c r="AN101" s="2"/>
      <c r="AO101" s="2"/>
      <c r="AP101" s="2"/>
      <c r="AQ101" s="2"/>
      <c r="AR101" s="2"/>
      <c r="AS101" s="2"/>
      <c r="AT101" s="2"/>
    </row>
    <row r="102">
      <c r="A102" s="161"/>
      <c r="B102" s="161"/>
      <c r="C102" s="161"/>
      <c r="E102" s="341"/>
      <c r="F102" s="341"/>
      <c r="G102" s="394" t="s">
        <v>308</v>
      </c>
      <c r="H102" s="395">
        <f>H101*H100</f>
        <v>420</v>
      </c>
      <c r="I102" s="387"/>
      <c r="J102" s="379"/>
      <c r="K102" s="379"/>
      <c r="L102" s="388"/>
      <c r="M102" s="388"/>
      <c r="N102" s="388"/>
      <c r="O102" s="387"/>
      <c r="P102" s="389"/>
      <c r="Q102" s="387"/>
      <c r="R102" s="2"/>
      <c r="S102" s="2"/>
      <c r="AG102" s="2"/>
      <c r="AH102" s="2"/>
      <c r="AI102" s="2"/>
      <c r="AJ102" s="2"/>
      <c r="AK102" s="2"/>
      <c r="AL102" s="2"/>
      <c r="AM102" s="2"/>
      <c r="AN102" s="2"/>
      <c r="AO102" s="2"/>
      <c r="AP102" s="2"/>
      <c r="AQ102" s="2"/>
      <c r="AR102" s="2"/>
      <c r="AS102" s="2"/>
      <c r="AT102" s="2"/>
    </row>
    <row r="103">
      <c r="A103" s="161"/>
      <c r="B103" s="161"/>
      <c r="C103" s="161"/>
      <c r="E103" s="341"/>
      <c r="F103" s="341"/>
      <c r="G103" s="396" t="s">
        <v>309</v>
      </c>
      <c r="H103" s="397" t="str">
        <f>IFS(H100=8,12,
H100=4,4,
H100=2,1,
H100=1,0,
TRUE,NA())</f>
        <v>#N/A</v>
      </c>
      <c r="I103" s="391"/>
      <c r="J103" s="391"/>
      <c r="K103" s="391"/>
      <c r="L103" s="392"/>
      <c r="M103" s="392"/>
      <c r="N103" s="392"/>
      <c r="O103" s="391"/>
      <c r="P103" s="393"/>
      <c r="Q103" s="391"/>
      <c r="R103" s="2"/>
      <c r="S103" s="2"/>
      <c r="AG103" s="2"/>
      <c r="AH103" s="2"/>
      <c r="AI103" s="2"/>
      <c r="AJ103" s="2"/>
      <c r="AK103" s="2"/>
      <c r="AL103" s="2"/>
      <c r="AM103" s="2"/>
      <c r="AN103" s="2"/>
      <c r="AO103" s="2"/>
      <c r="AP103" s="2"/>
      <c r="AQ103" s="2"/>
      <c r="AR103" s="2"/>
      <c r="AS103" s="2"/>
      <c r="AT103" s="2"/>
    </row>
    <row r="104">
      <c r="A104" s="161"/>
      <c r="B104" s="161"/>
      <c r="C104" s="161"/>
      <c r="E104" s="341"/>
      <c r="F104" s="341"/>
      <c r="G104" s="9" t="s">
        <v>310</v>
      </c>
      <c r="H104" s="398">
        <v>1.0</v>
      </c>
      <c r="I104" s="399"/>
      <c r="J104" s="399"/>
      <c r="K104" s="399"/>
      <c r="L104" s="400"/>
      <c r="M104" s="400"/>
      <c r="N104" s="400"/>
      <c r="O104" s="399"/>
      <c r="P104" s="401"/>
      <c r="Q104" s="399"/>
      <c r="R104" s="2"/>
      <c r="S104" s="2"/>
      <c r="AG104" s="2"/>
      <c r="AH104" s="2"/>
      <c r="AI104" s="2"/>
      <c r="AJ104" s="2"/>
      <c r="AK104" s="2"/>
      <c r="AL104" s="2"/>
      <c r="AM104" s="2"/>
      <c r="AN104" s="2"/>
      <c r="AO104" s="2"/>
      <c r="AP104" s="2"/>
      <c r="AQ104" s="2"/>
      <c r="AR104" s="2"/>
      <c r="AS104" s="2"/>
      <c r="AT104" s="2"/>
    </row>
    <row r="105">
      <c r="A105" s="161"/>
      <c r="B105" s="161"/>
      <c r="C105" s="161"/>
      <c r="E105" s="341"/>
      <c r="F105" s="341"/>
      <c r="G105" s="402" t="s">
        <v>311</v>
      </c>
      <c r="H105" s="403" t="str">
        <f>ALL_GATHER_CHIP2CHIP_TIME_MS2(H102 * H104, H103)</f>
        <v>#N/A</v>
      </c>
      <c r="I105" s="404"/>
      <c r="J105" s="404"/>
      <c r="K105" s="404"/>
      <c r="L105" s="405"/>
      <c r="M105" s="405"/>
      <c r="N105" s="405"/>
      <c r="O105" s="404"/>
      <c r="P105" s="406"/>
      <c r="Q105" s="404"/>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4"/>
      <c r="H106" s="407"/>
      <c r="I106" s="399"/>
      <c r="J106" s="399"/>
      <c r="K106" s="399"/>
      <c r="L106" s="400"/>
      <c r="M106" s="400"/>
      <c r="N106" s="400"/>
      <c r="O106" s="399"/>
      <c r="P106" s="401"/>
      <c r="Q106" s="399"/>
      <c r="R106" s="2"/>
      <c r="S106" s="2"/>
      <c r="AG106" s="2"/>
      <c r="AH106" s="2"/>
      <c r="AI106" s="2"/>
      <c r="AJ106" s="2"/>
      <c r="AK106" s="2"/>
      <c r="AL106" s="2"/>
      <c r="AM106" s="2"/>
      <c r="AN106" s="2"/>
      <c r="AO106" s="2"/>
      <c r="AP106" s="2"/>
      <c r="AQ106" s="2"/>
      <c r="AR106" s="2"/>
      <c r="AS106" s="2"/>
      <c r="AT106" s="2"/>
    </row>
    <row r="107">
      <c r="A107" s="161"/>
      <c r="B107" s="161"/>
      <c r="C107" s="161"/>
      <c r="E107" s="341"/>
      <c r="F107" s="341"/>
      <c r="G107" s="380" t="s">
        <v>312</v>
      </c>
      <c r="H107" s="381"/>
      <c r="I107" s="382"/>
      <c r="J107" s="382"/>
      <c r="K107" s="382"/>
      <c r="L107" s="383"/>
      <c r="M107" s="383"/>
      <c r="N107" s="383"/>
      <c r="O107" s="382"/>
      <c r="P107" s="384"/>
      <c r="Q107" s="382"/>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8" t="s">
        <v>313</v>
      </c>
      <c r="H108" s="409" t="s">
        <v>306</v>
      </c>
      <c r="I108" s="379"/>
      <c r="J108" s="410" t="str">
        <f>SHARDING(K96)*SHARDING(L96)*SHARDING(M96)/HW_SPEC("# of TensorCore per Chip")</f>
        <v>#N/A</v>
      </c>
      <c r="K108" s="399"/>
      <c r="L108" s="400"/>
      <c r="M108" s="400"/>
      <c r="N108" s="400"/>
      <c r="O108" s="399"/>
      <c r="P108" s="401"/>
      <c r="Q108" s="399"/>
      <c r="R108" s="2"/>
      <c r="S108" s="2"/>
      <c r="AG108" s="2"/>
      <c r="AH108" s="2"/>
      <c r="AI108" s="2"/>
      <c r="AJ108" s="2"/>
      <c r="AK108" s="2"/>
      <c r="AL108" s="2"/>
      <c r="AM108" s="2"/>
      <c r="AN108" s="2"/>
      <c r="AO108" s="2"/>
      <c r="AP108" s="2"/>
      <c r="AQ108" s="2"/>
      <c r="AR108" s="2"/>
      <c r="AS108" s="2"/>
      <c r="AT108" s="2"/>
    </row>
    <row r="109">
      <c r="A109" s="161"/>
      <c r="B109" s="161"/>
      <c r="C109" s="161"/>
      <c r="E109" s="341"/>
      <c r="F109" s="341"/>
      <c r="G109" s="341"/>
      <c r="H109" s="385" t="s">
        <v>307</v>
      </c>
      <c r="I109" s="11"/>
      <c r="J109" s="411" t="str">
        <f>P97 * HW_SPEC("# of TensorCore per Chip") * (J108-1)</f>
        <v>#N/A</v>
      </c>
      <c r="K109" s="412"/>
      <c r="L109" s="413"/>
      <c r="M109" s="413"/>
      <c r="N109" s="413"/>
      <c r="O109" s="412"/>
      <c r="P109" s="414"/>
      <c r="Q109" s="412"/>
      <c r="R109" s="2"/>
      <c r="S109" s="2"/>
      <c r="AG109" s="2"/>
      <c r="AH109" s="2"/>
      <c r="AI109" s="2"/>
      <c r="AJ109" s="2"/>
      <c r="AK109" s="2"/>
      <c r="AL109" s="2"/>
      <c r="AM109" s="2"/>
      <c r="AN109" s="2"/>
      <c r="AO109" s="2"/>
      <c r="AP109" s="2"/>
      <c r="AQ109" s="2"/>
      <c r="AR109" s="2"/>
      <c r="AS109" s="2"/>
      <c r="AT109" s="2"/>
    </row>
    <row r="110">
      <c r="A110" s="161"/>
      <c r="B110" s="161"/>
      <c r="C110" s="161"/>
      <c r="E110" s="341"/>
      <c r="F110" s="341"/>
      <c r="G110" s="341"/>
      <c r="H110" s="394" t="s">
        <v>308</v>
      </c>
      <c r="I110" s="11"/>
      <c r="J110" s="411" t="str">
        <f>J109*J108</f>
        <v>#N/A</v>
      </c>
      <c r="K110" s="412"/>
      <c r="L110" s="413"/>
      <c r="M110" s="413"/>
      <c r="N110" s="413"/>
      <c r="O110" s="412"/>
      <c r="P110" s="414"/>
      <c r="Q110" s="412"/>
      <c r="R110" s="2"/>
      <c r="S110" s="2"/>
      <c r="AG110" s="2"/>
      <c r="AH110" s="2"/>
      <c r="AI110" s="2"/>
      <c r="AJ110" s="2"/>
      <c r="AK110" s="2"/>
      <c r="AL110" s="2"/>
      <c r="AM110" s="2"/>
      <c r="AN110" s="2"/>
      <c r="AO110" s="2"/>
      <c r="AP110" s="2"/>
      <c r="AQ110" s="2"/>
      <c r="AR110" s="2"/>
      <c r="AS110" s="2"/>
      <c r="AT110" s="2"/>
    </row>
    <row r="111">
      <c r="A111" s="161"/>
      <c r="B111" s="161"/>
      <c r="C111" s="161"/>
      <c r="E111" s="341"/>
      <c r="F111" s="341"/>
      <c r="G111" s="341"/>
      <c r="H111" s="396" t="s">
        <v>309</v>
      </c>
      <c r="I111" s="11"/>
      <c r="J111" s="415" t="str">
        <f>IFS(J108=8,12,
J108=4,4,
J108=2,1,
J108=1,0,
TRUE,NA())</f>
        <v>#N/A</v>
      </c>
      <c r="K111" s="412"/>
      <c r="L111" s="413"/>
      <c r="M111" s="413"/>
      <c r="N111" s="413"/>
      <c r="O111" s="412"/>
      <c r="P111" s="414"/>
      <c r="Q111" s="412"/>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9" t="s">
        <v>310</v>
      </c>
      <c r="I112" s="11"/>
      <c r="J112" s="416">
        <v>2.0</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52"/>
      <c r="H113" s="385" t="s">
        <v>311</v>
      </c>
      <c r="I113" s="11"/>
      <c r="J113" s="417" t="str">
        <f>ALL_GATHER_CHIP2CHIP_TIME_MS2(J110 * J112, J111)</f>
        <v>#N/A</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408" t="s">
        <v>314</v>
      </c>
      <c r="H114" s="396" t="s">
        <v>306</v>
      </c>
      <c r="I114" s="418"/>
      <c r="J114" s="419" t="str">
        <f>HW_SPEC("# of TensorCore per Chip")</f>
        <v>#N/A</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6" t="s">
        <v>307</v>
      </c>
      <c r="I115" s="418"/>
      <c r="J115" s="411" t="str">
        <f>P81 / J114 * (J114-1)</f>
        <v>#N/A</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308</v>
      </c>
      <c r="I116" s="418"/>
      <c r="J116" s="411" t="str">
        <f>J115*J114</f>
        <v>#N/A</v>
      </c>
      <c r="K116" s="412"/>
      <c r="L116" s="413"/>
      <c r="M116" s="413"/>
      <c r="N116" s="413"/>
      <c r="O116" s="412"/>
      <c r="P116" s="414"/>
      <c r="Q116" s="412"/>
      <c r="R116" s="420"/>
      <c r="S116" s="420"/>
      <c r="AG116" s="2"/>
      <c r="AH116" s="2"/>
      <c r="AI116" s="2"/>
      <c r="AJ116" s="2"/>
      <c r="AK116" s="2"/>
      <c r="AL116" s="2"/>
      <c r="AM116" s="2"/>
      <c r="AN116" s="2"/>
      <c r="AO116" s="2"/>
      <c r="AP116" s="2"/>
      <c r="AQ116" s="2"/>
      <c r="AR116" s="2"/>
      <c r="AS116" s="2"/>
      <c r="AT116" s="2"/>
    </row>
    <row r="117">
      <c r="A117" s="161"/>
      <c r="B117" s="161"/>
      <c r="C117" s="161"/>
      <c r="E117" s="341"/>
      <c r="F117" s="341"/>
      <c r="G117" s="341"/>
      <c r="H117" s="396" t="s">
        <v>311</v>
      </c>
      <c r="I117" s="418"/>
      <c r="J117" s="421" t="str">
        <f>ALL_GATHER_CORE2CORE_TIME_MS(J116)</f>
        <v>#N/A</v>
      </c>
      <c r="K117" s="412"/>
      <c r="L117" s="413"/>
      <c r="M117" s="413"/>
      <c r="N117" s="413"/>
      <c r="O117" s="412"/>
      <c r="P117" s="414"/>
      <c r="Q117" s="412"/>
      <c r="R117" s="420"/>
      <c r="S117" s="420"/>
      <c r="AG117" s="2"/>
      <c r="AH117" s="2"/>
      <c r="AI117" s="2"/>
      <c r="AJ117" s="2"/>
      <c r="AK117" s="2"/>
      <c r="AL117" s="2"/>
      <c r="AM117" s="2"/>
      <c r="AN117" s="2"/>
      <c r="AO117" s="2"/>
      <c r="AP117" s="2"/>
      <c r="AQ117" s="2"/>
      <c r="AR117" s="2"/>
      <c r="AS117" s="2"/>
      <c r="AT117" s="2"/>
    </row>
    <row r="118">
      <c r="A118" s="161"/>
      <c r="B118" s="161"/>
      <c r="C118" s="161"/>
      <c r="E118" s="341"/>
      <c r="F118" s="341"/>
      <c r="G118" s="352"/>
      <c r="H118" s="394" t="s">
        <v>315</v>
      </c>
      <c r="I118" s="11"/>
      <c r="J118" s="421" t="str">
        <f>J117/J108</f>
        <v>#N/A</v>
      </c>
      <c r="K118" s="412"/>
      <c r="L118" s="413"/>
      <c r="M118" s="413"/>
      <c r="N118" s="413"/>
      <c r="O118" s="412"/>
      <c r="P118" s="414"/>
      <c r="Q118" s="412"/>
      <c r="R118" s="420"/>
      <c r="S118" s="420"/>
      <c r="AG118" s="2"/>
      <c r="AH118" s="2"/>
      <c r="AI118" s="2"/>
      <c r="AJ118" s="2"/>
      <c r="AK118" s="2"/>
      <c r="AL118" s="2"/>
      <c r="AM118" s="2"/>
      <c r="AN118" s="2"/>
      <c r="AO118" s="2"/>
      <c r="AP118" s="2"/>
      <c r="AQ118" s="2"/>
      <c r="AR118" s="2"/>
      <c r="AS118" s="2"/>
      <c r="AT118" s="2"/>
    </row>
    <row r="119">
      <c r="A119" s="161"/>
      <c r="B119" s="161"/>
      <c r="C119" s="161"/>
      <c r="E119" s="341"/>
      <c r="F119" s="341"/>
      <c r="G119" s="402" t="s">
        <v>316</v>
      </c>
      <c r="H119" s="422" t="str">
        <f>J113+J118</f>
        <v>#N/A</v>
      </c>
      <c r="I119" s="11"/>
      <c r="J119" s="417"/>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94"/>
      <c r="H120" s="422"/>
      <c r="I120" s="11"/>
      <c r="J120" s="417"/>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443" t="s">
        <v>322</v>
      </c>
      <c r="H121" s="444" t="s">
        <v>323</v>
      </c>
      <c r="I121" s="445"/>
      <c r="J121" s="445"/>
      <c r="K121" s="382"/>
      <c r="L121" s="383"/>
      <c r="M121" s="383"/>
      <c r="N121" s="383"/>
      <c r="O121" s="382"/>
      <c r="P121" s="384"/>
      <c r="Q121" s="38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446" t="s">
        <v>324</v>
      </c>
      <c r="H122" s="447">
        <f>IFS(H121=G99,H105,
H121=G107,H119 ,
TRUE,0)</f>
        <v>0</v>
      </c>
      <c r="I122" s="448"/>
      <c r="J122" s="448"/>
      <c r="K122" s="448"/>
      <c r="L122" s="449"/>
      <c r="M122" s="449"/>
      <c r="N122" s="449"/>
      <c r="O122" s="450"/>
      <c r="P122" s="451"/>
      <c r="Q122" s="450"/>
      <c r="AG122" s="2"/>
      <c r="AH122" s="2"/>
      <c r="AI122" s="2"/>
      <c r="AJ122" s="2"/>
      <c r="AK122" s="2"/>
      <c r="AL122" s="2"/>
      <c r="AM122" s="2"/>
      <c r="AN122" s="2"/>
      <c r="AO122" s="2"/>
      <c r="AP122" s="2"/>
      <c r="AQ122" s="2"/>
      <c r="AR122" s="2"/>
      <c r="AS122" s="2"/>
      <c r="AT122" s="2"/>
    </row>
    <row r="123">
      <c r="A123" s="161"/>
      <c r="B123" s="161"/>
      <c r="C123" s="161"/>
      <c r="E123" s="341"/>
      <c r="F123" s="341"/>
      <c r="G123" s="452" t="s">
        <v>325</v>
      </c>
      <c r="H123" s="453" t="str">
        <f>IFS(PARAMS("topo")="2x2x2", (2+2+2)/2,
PARAMS("topo")="2x2", (2+2)/2,
TRUE, NA())</f>
        <v>#N/A</v>
      </c>
      <c r="I123" s="454"/>
      <c r="J123" s="454"/>
      <c r="K123" s="454"/>
      <c r="L123" s="455"/>
      <c r="M123" s="455"/>
      <c r="N123" s="455"/>
      <c r="O123" s="456"/>
      <c r="P123" s="457"/>
      <c r="Q123" s="456"/>
      <c r="AG123" s="2"/>
      <c r="AH123" s="2"/>
      <c r="AI123" s="2"/>
      <c r="AJ123" s="2"/>
      <c r="AK123" s="2"/>
      <c r="AL123" s="2"/>
      <c r="AM123" s="2"/>
      <c r="AN123" s="2"/>
      <c r="AO123" s="2"/>
      <c r="AP123" s="2"/>
      <c r="AQ123" s="2"/>
      <c r="AR123" s="2"/>
      <c r="AS123" s="2"/>
      <c r="AT123" s="2"/>
    </row>
    <row r="124">
      <c r="A124" s="161"/>
      <c r="B124" s="161"/>
      <c r="C124" s="161"/>
      <c r="E124" s="341"/>
      <c r="F124" s="352"/>
      <c r="G124" s="446" t="s">
        <v>326</v>
      </c>
      <c r="H124" s="447">
        <f>IF(H121="No Collectives", 0, H123 * HW_SPEC("Chip-to-Chip ICI Latency (ms)"))</f>
        <v>0</v>
      </c>
      <c r="I124" s="448"/>
      <c r="J124" s="448"/>
      <c r="K124" s="448"/>
      <c r="L124" s="449"/>
      <c r="M124" s="449"/>
      <c r="N124" s="449"/>
      <c r="O124" s="450"/>
      <c r="P124" s="451"/>
      <c r="Q124" s="450"/>
      <c r="AG124" s="2"/>
      <c r="AH124" s="2"/>
      <c r="AI124" s="2"/>
      <c r="AJ124" s="2"/>
      <c r="AK124" s="2"/>
      <c r="AL124" s="2"/>
      <c r="AM124" s="2"/>
      <c r="AN124" s="2"/>
      <c r="AO124" s="2"/>
      <c r="AP124" s="2"/>
      <c r="AQ124" s="2"/>
      <c r="AR124" s="2"/>
      <c r="AS124" s="2"/>
      <c r="AT124" s="2"/>
    </row>
    <row r="125">
      <c r="A125" s="161"/>
      <c r="B125" s="161"/>
      <c r="C125" s="161"/>
      <c r="E125" s="341"/>
      <c r="F125" s="458" t="s">
        <v>327</v>
      </c>
      <c r="G125" s="459" t="s">
        <v>328</v>
      </c>
      <c r="H125" s="455" t="str">
        <f>VLOOKUP(O82&amp;","&amp;O86,$T$3:$W$12,4, FALSE)</f>
        <v>bf16</v>
      </c>
      <c r="I125" s="460"/>
      <c r="J125" s="454"/>
      <c r="K125" s="454"/>
      <c r="L125" s="455"/>
      <c r="M125" s="455"/>
      <c r="N125" s="455"/>
      <c r="O125" s="454"/>
      <c r="P125" s="457"/>
      <c r="Q125" s="11"/>
      <c r="AG125" s="2"/>
      <c r="AH125" s="2"/>
      <c r="AI125" s="2"/>
      <c r="AJ125" s="2"/>
      <c r="AK125" s="2"/>
      <c r="AL125" s="2"/>
      <c r="AM125" s="2"/>
      <c r="AN125" s="2"/>
      <c r="AO125" s="2"/>
      <c r="AP125" s="2"/>
      <c r="AQ125" s="2"/>
      <c r="AR125" s="2"/>
      <c r="AS125" s="2"/>
      <c r="AT125" s="2"/>
    </row>
    <row r="126">
      <c r="A126" s="161"/>
      <c r="B126" s="161"/>
      <c r="C126" s="161"/>
      <c r="E126" s="341"/>
      <c r="F126" s="341"/>
      <c r="G126" s="459" t="s">
        <v>329</v>
      </c>
      <c r="H126" s="461" t="str">
        <f>CALCULATE_FLOPS(J85:M85,J89:M89,L89,1,H125)</f>
        <v>#N/A</v>
      </c>
      <c r="I126" s="460"/>
      <c r="J126" s="454"/>
      <c r="K126" s="454"/>
      <c r="L126" s="455"/>
      <c r="M126" s="455"/>
      <c r="N126" s="455"/>
      <c r="O126" s="454"/>
      <c r="P126" s="457"/>
      <c r="Q126" s="11"/>
      <c r="AG126" s="2"/>
      <c r="AH126" s="2"/>
      <c r="AI126" s="2"/>
      <c r="AJ126" s="2"/>
      <c r="AK126" s="2"/>
      <c r="AL126" s="2"/>
      <c r="AM126" s="2"/>
      <c r="AN126" s="2"/>
      <c r="AO126" s="2"/>
      <c r="AP126" s="2"/>
      <c r="AQ126" s="2"/>
      <c r="AR126" s="2"/>
      <c r="AS126" s="2"/>
      <c r="AT126" s="2"/>
    </row>
    <row r="127">
      <c r="A127" s="161"/>
      <c r="B127" s="161"/>
      <c r="C127" s="161"/>
      <c r="E127" s="341"/>
      <c r="F127" s="352"/>
      <c r="G127" s="462" t="s">
        <v>330</v>
      </c>
      <c r="H127" s="463" t="str">
        <f>COMPUTE_TIME_MS(H126, H125)</f>
        <v>#N/A</v>
      </c>
      <c r="I127" s="464"/>
      <c r="J127" s="465"/>
      <c r="K127" s="465"/>
      <c r="L127" s="466"/>
      <c r="M127" s="466"/>
      <c r="N127" s="466"/>
      <c r="O127" s="465"/>
      <c r="P127" s="467"/>
      <c r="Q127" s="11"/>
      <c r="AG127" s="2"/>
      <c r="AH127" s="2"/>
      <c r="AI127" s="2"/>
      <c r="AJ127" s="2"/>
      <c r="AK127" s="2"/>
      <c r="AL127" s="2"/>
      <c r="AM127" s="2"/>
      <c r="AN127" s="2"/>
      <c r="AO127" s="2"/>
      <c r="AP127" s="2"/>
      <c r="AQ127" s="2"/>
      <c r="AR127" s="2"/>
      <c r="AS127" s="2"/>
      <c r="AT127" s="2"/>
    </row>
    <row r="128">
      <c r="A128" s="161"/>
      <c r="B128" s="161"/>
      <c r="C128" s="161"/>
      <c r="E128" s="341"/>
      <c r="F128" s="458" t="s">
        <v>331</v>
      </c>
      <c r="G128" s="455" t="s">
        <v>332</v>
      </c>
      <c r="H128" s="468">
        <f>IF(Q82,0,P85)+IF(Q86,0,P89)+IF(Q90,0,P93)</f>
        <v>23.125</v>
      </c>
      <c r="I128" s="454"/>
      <c r="J128" s="454"/>
      <c r="K128" s="454"/>
      <c r="L128" s="455"/>
      <c r="M128" s="455"/>
      <c r="N128" s="455"/>
      <c r="O128" s="454"/>
      <c r="P128" s="457"/>
      <c r="Q128" s="11"/>
      <c r="AG128" s="2"/>
      <c r="AH128" s="2"/>
      <c r="AI128" s="2"/>
      <c r="AJ128" s="2"/>
      <c r="AK128" s="2"/>
      <c r="AL128" s="2"/>
      <c r="AM128" s="2"/>
      <c r="AN128" s="2"/>
      <c r="AO128" s="2"/>
      <c r="AP128" s="2"/>
      <c r="AQ128" s="2"/>
      <c r="AR128" s="2"/>
      <c r="AS128" s="2"/>
      <c r="AT128" s="2"/>
    </row>
    <row r="129">
      <c r="A129" s="161"/>
      <c r="B129" s="161"/>
      <c r="C129" s="161"/>
      <c r="E129" s="352"/>
      <c r="F129" s="352"/>
      <c r="G129" s="469" t="s">
        <v>333</v>
      </c>
      <c r="H129" s="470" t="str">
        <f>HBM_TIME_MS(H128)</f>
        <v>#N/A</v>
      </c>
      <c r="I129" s="465"/>
      <c r="J129" s="465"/>
      <c r="K129" s="465"/>
      <c r="L129" s="466"/>
      <c r="M129" s="466"/>
      <c r="N129" s="466"/>
      <c r="O129" s="465"/>
      <c r="P129" s="467"/>
      <c r="Q129" s="11"/>
      <c r="AH129" s="471"/>
      <c r="AI129" s="471"/>
      <c r="AJ129" s="471"/>
      <c r="AK129" s="2"/>
      <c r="AL129" s="2"/>
      <c r="AM129" s="2"/>
      <c r="AN129" s="2"/>
      <c r="AO129" s="2"/>
      <c r="AP129" s="2"/>
      <c r="AQ129" s="2"/>
      <c r="AR129" s="2"/>
      <c r="AS129" s="2"/>
      <c r="AT129" s="2"/>
    </row>
    <row r="130">
      <c r="E130" s="333" t="s">
        <v>334</v>
      </c>
      <c r="F130" s="357" t="s">
        <v>292</v>
      </c>
      <c r="G130" s="335"/>
      <c r="H130" s="364" t="s">
        <v>281</v>
      </c>
      <c r="I130" s="364" t="s">
        <v>282</v>
      </c>
      <c r="J130" s="364"/>
      <c r="K130" s="273" t="s">
        <v>104</v>
      </c>
      <c r="L130" s="273" t="s">
        <v>102</v>
      </c>
      <c r="M130" s="472" t="s">
        <v>195</v>
      </c>
      <c r="N130" s="364" t="s">
        <v>283</v>
      </c>
      <c r="O130" s="365" t="str">
        <f>EXTRACT_ACTIVATION_DTYPE(PARAMS("attn_proj_dtype"))</f>
        <v>bf16</v>
      </c>
      <c r="P130" s="366"/>
      <c r="Q130" s="365" t="b">
        <v>0</v>
      </c>
      <c r="R130" s="2"/>
      <c r="S130" s="2"/>
      <c r="AH130" s="471"/>
      <c r="AI130" s="471"/>
      <c r="AJ130" s="471"/>
      <c r="AK130" s="2"/>
      <c r="AL130" s="2"/>
      <c r="AM130" s="2"/>
      <c r="AN130" s="2"/>
      <c r="AO130" s="2"/>
      <c r="AP130" s="2"/>
      <c r="AQ130" s="2"/>
      <c r="AR130" s="2"/>
      <c r="AS130" s="2"/>
      <c r="AT130" s="2"/>
    </row>
    <row r="131">
      <c r="E131" s="341"/>
      <c r="F131" s="342"/>
      <c r="G131" s="343"/>
      <c r="H131" s="273" t="s">
        <v>285</v>
      </c>
      <c r="I131" s="364" t="s">
        <v>282</v>
      </c>
      <c r="J131" s="363"/>
      <c r="K131" s="363">
        <f t="shared" ref="K131:M131" si="19">PARAMS(K130)</f>
        <v>2048</v>
      </c>
      <c r="L131" s="364">
        <f t="shared" si="19"/>
        <v>1</v>
      </c>
      <c r="M131" s="364">
        <f t="shared" si="19"/>
        <v>1536</v>
      </c>
      <c r="N131" s="364" t="s">
        <v>283</v>
      </c>
      <c r="O131" s="341"/>
      <c r="P131" s="366">
        <f>SIZEOF_IN_MIB(J131:M131, $O130)</f>
        <v>6</v>
      </c>
      <c r="Q131" s="341"/>
      <c r="R131" s="2"/>
      <c r="S131" s="2"/>
      <c r="AH131" s="471"/>
      <c r="AI131" s="471"/>
      <c r="AJ131" s="471"/>
      <c r="AK131" s="2"/>
      <c r="AL131" s="2"/>
      <c r="AM131" s="2"/>
      <c r="AN131" s="2"/>
      <c r="AO131" s="2"/>
      <c r="AP131" s="2"/>
      <c r="AQ131" s="2"/>
      <c r="AR131" s="2"/>
      <c r="AS131" s="2"/>
      <c r="AT131" s="2"/>
    </row>
    <row r="132">
      <c r="E132" s="341"/>
      <c r="F132" s="342"/>
      <c r="G132" s="343"/>
      <c r="H132" s="363" t="s">
        <v>287</v>
      </c>
      <c r="I132" s="363" t="s">
        <v>282</v>
      </c>
      <c r="J132" s="364"/>
      <c r="K132" s="273" t="s">
        <v>196</v>
      </c>
      <c r="L132" s="273"/>
      <c r="M132" s="363"/>
      <c r="N132" s="363" t="s">
        <v>283</v>
      </c>
      <c r="O132" s="341"/>
      <c r="P132" s="366"/>
      <c r="Q132" s="341"/>
      <c r="R132" s="2"/>
      <c r="S132" s="2"/>
      <c r="AH132" s="471"/>
      <c r="AI132" s="471"/>
      <c r="AJ132" s="471"/>
      <c r="AK132" s="2"/>
      <c r="AL132" s="2"/>
      <c r="AM132" s="2"/>
      <c r="AN132" s="2"/>
      <c r="AO132" s="2"/>
      <c r="AP132" s="2"/>
      <c r="AQ132" s="2"/>
      <c r="AR132" s="2"/>
      <c r="AS132" s="2"/>
      <c r="AT132" s="2"/>
    </row>
    <row r="133">
      <c r="E133" s="341"/>
      <c r="F133" s="353"/>
      <c r="G133" s="354"/>
      <c r="H133" s="273" t="s">
        <v>289</v>
      </c>
      <c r="I133" s="363" t="s">
        <v>282</v>
      </c>
      <c r="J133" s="364"/>
      <c r="K133" s="363">
        <f t="shared" ref="K133:M133" si="20">K131/SHARDING(K132)</f>
        <v>128</v>
      </c>
      <c r="L133" s="363">
        <f t="shared" si="20"/>
        <v>1</v>
      </c>
      <c r="M133" s="363">
        <f t="shared" si="20"/>
        <v>1536</v>
      </c>
      <c r="N133" s="363" t="s">
        <v>283</v>
      </c>
      <c r="O133" s="352"/>
      <c r="P133" s="366">
        <f>SIZEOF_IN_MIB(J133:M133, $O130)</f>
        <v>0.375</v>
      </c>
      <c r="Q133" s="352"/>
      <c r="R133" s="2"/>
      <c r="S133" s="2"/>
      <c r="AK133" s="2"/>
      <c r="AL133" s="2"/>
      <c r="AM133" s="2"/>
      <c r="AN133" s="2"/>
      <c r="AO133" s="2"/>
      <c r="AP133" s="2"/>
      <c r="AQ133" s="2"/>
      <c r="AR133" s="2"/>
      <c r="AS133" s="2"/>
      <c r="AT133" s="2"/>
    </row>
    <row r="134">
      <c r="E134" s="341"/>
      <c r="F134" s="334" t="s">
        <v>296</v>
      </c>
      <c r="G134" s="335"/>
      <c r="H134" s="363" t="s">
        <v>281</v>
      </c>
      <c r="I134" s="363" t="s">
        <v>282</v>
      </c>
      <c r="J134" s="364"/>
      <c r="K134" s="472" t="s">
        <v>195</v>
      </c>
      <c r="L134" s="273" t="s">
        <v>207</v>
      </c>
      <c r="M134" s="273" t="s">
        <v>209</v>
      </c>
      <c r="N134" s="363" t="s">
        <v>283</v>
      </c>
      <c r="O134" s="365" t="str">
        <f>EXTRACT_WEIGHT_DTYPE(PARAMS("attn_proj_dtype"))</f>
        <v>bf16</v>
      </c>
      <c r="P134" s="366"/>
      <c r="Q134" s="365" t="b">
        <v>0</v>
      </c>
      <c r="R134" s="2"/>
      <c r="S134" s="2"/>
      <c r="AK134" s="2"/>
      <c r="AL134" s="2"/>
      <c r="AM134" s="2"/>
      <c r="AN134" s="2"/>
      <c r="AO134" s="2"/>
      <c r="AP134" s="2"/>
      <c r="AQ134" s="2"/>
      <c r="AR134" s="2"/>
      <c r="AS134" s="2"/>
      <c r="AT134" s="2"/>
    </row>
    <row r="135">
      <c r="E135" s="341"/>
      <c r="F135" s="342"/>
      <c r="G135" s="343"/>
      <c r="H135" s="273" t="s">
        <v>285</v>
      </c>
      <c r="I135" s="363" t="s">
        <v>282</v>
      </c>
      <c r="J135" s="364"/>
      <c r="K135" s="363">
        <f t="shared" ref="K135:M135" si="21">PARAMS(K134)</f>
        <v>1536</v>
      </c>
      <c r="L135" s="363">
        <f t="shared" si="21"/>
        <v>128</v>
      </c>
      <c r="M135" s="363">
        <f t="shared" si="21"/>
        <v>192</v>
      </c>
      <c r="N135" s="363" t="s">
        <v>283</v>
      </c>
      <c r="O135" s="341"/>
      <c r="P135" s="366">
        <f>SIZEOF_IN_MIB(J135:M135, $O134)</f>
        <v>72</v>
      </c>
      <c r="Q135" s="341"/>
      <c r="R135" s="2"/>
      <c r="S135" s="2"/>
      <c r="AK135" s="2"/>
      <c r="AL135" s="2"/>
      <c r="AM135" s="2"/>
      <c r="AN135" s="2"/>
      <c r="AO135" s="2"/>
      <c r="AP135" s="2"/>
      <c r="AQ135" s="2"/>
      <c r="AR135" s="2"/>
      <c r="AS135" s="2"/>
      <c r="AT135" s="2"/>
    </row>
    <row r="136">
      <c r="E136" s="341"/>
      <c r="F136" s="342"/>
      <c r="G136" s="343"/>
      <c r="H136" s="363" t="s">
        <v>287</v>
      </c>
      <c r="I136" s="363" t="s">
        <v>282</v>
      </c>
      <c r="J136" s="364"/>
      <c r="K136" s="364"/>
      <c r="L136" s="363"/>
      <c r="M136" s="363"/>
      <c r="N136" s="363" t="s">
        <v>283</v>
      </c>
      <c r="O136" s="341"/>
      <c r="P136" s="366"/>
      <c r="Q136" s="341"/>
      <c r="R136" s="2"/>
      <c r="S136" s="2"/>
      <c r="AK136" s="2"/>
      <c r="AL136" s="2"/>
      <c r="AM136" s="2"/>
      <c r="AN136" s="2"/>
      <c r="AO136" s="2"/>
      <c r="AP136" s="2"/>
      <c r="AQ136" s="2"/>
      <c r="AR136" s="2"/>
      <c r="AS136" s="2"/>
      <c r="AT136" s="2"/>
    </row>
    <row r="137">
      <c r="E137" s="341"/>
      <c r="F137" s="353"/>
      <c r="G137" s="354"/>
      <c r="H137" s="349" t="s">
        <v>289</v>
      </c>
      <c r="I137" s="349" t="s">
        <v>282</v>
      </c>
      <c r="J137" s="336"/>
      <c r="K137" s="349">
        <f t="shared" ref="K137:M137" si="22">K135/SHARDING(K136)</f>
        <v>1536</v>
      </c>
      <c r="L137" s="349">
        <f t="shared" si="22"/>
        <v>128</v>
      </c>
      <c r="M137" s="349">
        <f t="shared" si="22"/>
        <v>192</v>
      </c>
      <c r="N137" s="349" t="s">
        <v>283</v>
      </c>
      <c r="O137" s="316"/>
      <c r="P137" s="351">
        <f>SIZEOF_IN_MIB(J137:M137, $O134)</f>
        <v>72</v>
      </c>
      <c r="Q137" s="316"/>
      <c r="R137" s="2"/>
      <c r="S137" s="2"/>
      <c r="AK137" s="2"/>
      <c r="AL137" s="2"/>
      <c r="AM137" s="2"/>
      <c r="AN137" s="2"/>
      <c r="AO137" s="2"/>
      <c r="AP137" s="2"/>
      <c r="AQ137" s="2"/>
      <c r="AR137" s="2"/>
      <c r="AS137" s="2"/>
      <c r="AT137" s="2"/>
    </row>
    <row r="138">
      <c r="E138" s="341"/>
      <c r="F138" s="334" t="s">
        <v>56</v>
      </c>
      <c r="G138" s="335"/>
      <c r="H138" s="346" t="s">
        <v>281</v>
      </c>
      <c r="I138" s="346" t="s">
        <v>282</v>
      </c>
      <c r="J138" s="344" t="s">
        <v>104</v>
      </c>
      <c r="K138" s="344" t="s">
        <v>102</v>
      </c>
      <c r="L138" s="344" t="s">
        <v>207</v>
      </c>
      <c r="M138" s="344" t="s">
        <v>209</v>
      </c>
      <c r="N138" s="346" t="s">
        <v>283</v>
      </c>
      <c r="O138" s="473" t="s">
        <v>133</v>
      </c>
      <c r="P138" s="348"/>
      <c r="Q138" s="473" t="b">
        <v>0</v>
      </c>
      <c r="R138" s="2"/>
      <c r="S138" s="2"/>
      <c r="AK138" s="2"/>
      <c r="AL138" s="2"/>
      <c r="AM138" s="2"/>
      <c r="AN138" s="2"/>
      <c r="AO138" s="2"/>
      <c r="AP138" s="2"/>
      <c r="AQ138" s="2"/>
      <c r="AR138" s="2"/>
      <c r="AS138" s="2"/>
      <c r="AT138" s="2"/>
    </row>
    <row r="139">
      <c r="E139" s="341"/>
      <c r="F139" s="342"/>
      <c r="G139" s="343"/>
      <c r="H139" s="337" t="s">
        <v>285</v>
      </c>
      <c r="I139" s="349" t="s">
        <v>282</v>
      </c>
      <c r="J139" s="349">
        <f t="shared" ref="J139:M139" si="23">PARAMS(J138)</f>
        <v>2048</v>
      </c>
      <c r="K139" s="349">
        <f t="shared" si="23"/>
        <v>1</v>
      </c>
      <c r="L139" s="349">
        <f t="shared" si="23"/>
        <v>128</v>
      </c>
      <c r="M139" s="349">
        <f t="shared" si="23"/>
        <v>192</v>
      </c>
      <c r="N139" s="349" t="s">
        <v>283</v>
      </c>
      <c r="O139" s="350"/>
      <c r="P139" s="351">
        <f>SIZEOF_IN_MIB(J139:M139, $O138)</f>
        <v>96</v>
      </c>
      <c r="Q139" s="350"/>
      <c r="R139" s="2"/>
      <c r="S139" s="2"/>
      <c r="AK139" s="2"/>
      <c r="AL139" s="2"/>
      <c r="AM139" s="2"/>
      <c r="AN139" s="2"/>
      <c r="AO139" s="2"/>
      <c r="AP139" s="2"/>
      <c r="AQ139" s="2"/>
      <c r="AR139" s="2"/>
      <c r="AS139" s="2"/>
      <c r="AT139" s="2"/>
    </row>
    <row r="140">
      <c r="E140" s="341"/>
      <c r="F140" s="342"/>
      <c r="G140" s="343"/>
      <c r="H140" s="346" t="s">
        <v>287</v>
      </c>
      <c r="I140" s="346" t="s">
        <v>282</v>
      </c>
      <c r="J140" s="344" t="s">
        <v>196</v>
      </c>
      <c r="K140" s="344"/>
      <c r="L140" s="344"/>
      <c r="M140" s="346"/>
      <c r="N140" s="346" t="s">
        <v>283</v>
      </c>
      <c r="O140" s="347"/>
      <c r="P140" s="348"/>
      <c r="Q140" s="347"/>
      <c r="R140" s="2"/>
      <c r="S140" s="2"/>
      <c r="AK140" s="2"/>
      <c r="AL140" s="2"/>
      <c r="AM140" s="2"/>
      <c r="AN140" s="2"/>
      <c r="AO140" s="2"/>
      <c r="AP140" s="2"/>
      <c r="AQ140" s="2"/>
      <c r="AR140" s="2"/>
      <c r="AS140" s="2"/>
      <c r="AT140" s="2"/>
    </row>
    <row r="141">
      <c r="E141" s="341"/>
      <c r="F141" s="353"/>
      <c r="G141" s="354"/>
      <c r="H141" s="349" t="s">
        <v>289</v>
      </c>
      <c r="I141" s="349" t="s">
        <v>282</v>
      </c>
      <c r="J141" s="349">
        <f t="shared" ref="J141:M141" si="24">J139/SHARDING(J140)</f>
        <v>128</v>
      </c>
      <c r="K141" s="349">
        <f t="shared" si="24"/>
        <v>1</v>
      </c>
      <c r="L141" s="349">
        <f t="shared" si="24"/>
        <v>128</v>
      </c>
      <c r="M141" s="349">
        <f t="shared" si="24"/>
        <v>192</v>
      </c>
      <c r="N141" s="349" t="s">
        <v>283</v>
      </c>
      <c r="O141" s="316"/>
      <c r="P141" s="351">
        <f>SIZEOF_IN_MIB(J141:M141, $O138)</f>
        <v>6</v>
      </c>
      <c r="Q141" s="316"/>
      <c r="R141" s="2"/>
      <c r="S141" s="2"/>
      <c r="AK141" s="2"/>
      <c r="AL141" s="2"/>
      <c r="AM141" s="2"/>
      <c r="AN141" s="2"/>
      <c r="AO141" s="2"/>
      <c r="AP141" s="2"/>
      <c r="AQ141" s="2"/>
      <c r="AR141" s="2"/>
      <c r="AS141" s="2"/>
      <c r="AT141" s="2"/>
    </row>
    <row r="142">
      <c r="E142" s="341"/>
      <c r="F142" s="474" t="s">
        <v>335</v>
      </c>
      <c r="G142" s="459" t="s">
        <v>109</v>
      </c>
      <c r="H142" s="497"/>
      <c r="I142" s="498"/>
      <c r="J142" s="345"/>
      <c r="K142" s="345"/>
      <c r="L142" s="346"/>
      <c r="M142" s="346"/>
      <c r="N142" s="346"/>
      <c r="O142" s="345"/>
      <c r="P142" s="348"/>
      <c r="Q142" s="379"/>
      <c r="R142" s="2"/>
      <c r="S142" s="2"/>
      <c r="AK142" s="2"/>
      <c r="AL142" s="2"/>
      <c r="AM142" s="2"/>
      <c r="AN142" s="2"/>
      <c r="AO142" s="2"/>
      <c r="AP142" s="2"/>
      <c r="AQ142" s="2"/>
      <c r="AR142" s="2"/>
      <c r="AS142" s="2"/>
      <c r="AT142" s="2"/>
    </row>
    <row r="143">
      <c r="E143" s="341"/>
      <c r="F143" s="352"/>
      <c r="G143" s="459"/>
      <c r="H143" s="349"/>
      <c r="I143" s="492"/>
      <c r="J143" s="336"/>
      <c r="K143" s="336"/>
      <c r="L143" s="349"/>
      <c r="M143" s="349"/>
      <c r="N143" s="349"/>
      <c r="O143" s="336"/>
      <c r="P143" s="351"/>
      <c r="Q143" s="298"/>
      <c r="R143" s="2"/>
      <c r="S143" s="2"/>
      <c r="AK143" s="2"/>
      <c r="AL143" s="2"/>
      <c r="AM143" s="2"/>
      <c r="AN143" s="2"/>
      <c r="AO143" s="2"/>
      <c r="AP143" s="2"/>
      <c r="AQ143" s="2"/>
      <c r="AR143" s="2"/>
      <c r="AS143" s="2"/>
      <c r="AT143" s="2"/>
    </row>
    <row r="144">
      <c r="E144" s="341"/>
      <c r="F144" s="458" t="s">
        <v>327</v>
      </c>
      <c r="G144" s="459" t="s">
        <v>328</v>
      </c>
      <c r="H144" s="346" t="str">
        <f>VLOOKUP(O130&amp;","&amp;O134,$T$3:$W$12,4, FALSE)</f>
        <v>bf16</v>
      </c>
      <c r="I144" s="493"/>
      <c r="J144" s="345"/>
      <c r="K144" s="345"/>
      <c r="L144" s="346"/>
      <c r="M144" s="346"/>
      <c r="N144" s="346"/>
      <c r="O144" s="345"/>
      <c r="P144" s="348"/>
      <c r="Q144" s="379"/>
      <c r="R144" s="2"/>
      <c r="S144" s="2"/>
      <c r="AK144" s="2"/>
      <c r="AL144" s="2"/>
      <c r="AM144" s="2"/>
      <c r="AN144" s="2"/>
      <c r="AO144" s="2"/>
      <c r="AP144" s="2"/>
      <c r="AQ144" s="2"/>
      <c r="AR144" s="2"/>
      <c r="AS144" s="2"/>
      <c r="AT144" s="2"/>
    </row>
    <row r="145">
      <c r="E145" s="341"/>
      <c r="F145" s="341"/>
      <c r="G145" s="455" t="s">
        <v>341</v>
      </c>
      <c r="H145" s="494" t="str">
        <f>CALCULATE_FLOPS(K133:M133,K137:M137,K137,1,H144)</f>
        <v>#N/A</v>
      </c>
      <c r="I145" s="492"/>
      <c r="J145" s="336"/>
      <c r="K145" s="336"/>
      <c r="L145" s="349"/>
      <c r="M145" s="349"/>
      <c r="N145" s="349"/>
      <c r="O145" s="336"/>
      <c r="P145" s="351"/>
      <c r="Q145" s="298"/>
      <c r="R145" s="2"/>
      <c r="S145" s="2"/>
      <c r="AK145" s="2"/>
      <c r="AL145" s="2"/>
      <c r="AM145" s="2"/>
      <c r="AN145" s="2"/>
      <c r="AO145" s="2"/>
      <c r="AP145" s="2"/>
      <c r="AQ145" s="2"/>
      <c r="AR145" s="2"/>
      <c r="AS145" s="2"/>
      <c r="AT145" s="2"/>
    </row>
    <row r="146">
      <c r="A146" s="207"/>
      <c r="B146" s="2"/>
      <c r="C146" s="2"/>
      <c r="D146" s="2"/>
      <c r="E146" s="341"/>
      <c r="F146" s="352"/>
      <c r="G146" s="462" t="s">
        <v>330</v>
      </c>
      <c r="H146" s="495" t="str">
        <f>COMPUTE_TIME_MS(H145, H144)</f>
        <v>#N/A</v>
      </c>
      <c r="I146" s="464"/>
      <c r="J146" s="465"/>
      <c r="K146" s="465"/>
      <c r="L146" s="466"/>
      <c r="M146" s="466"/>
      <c r="N146" s="466"/>
      <c r="O146" s="465"/>
      <c r="P146" s="467"/>
      <c r="Q146" s="379"/>
      <c r="R146" s="2"/>
      <c r="S146" s="2"/>
      <c r="AK146" s="2"/>
      <c r="AL146" s="2"/>
      <c r="AM146" s="2"/>
      <c r="AN146" s="2"/>
      <c r="AO146" s="2"/>
      <c r="AP146" s="2"/>
      <c r="AQ146" s="2"/>
      <c r="AR146" s="2"/>
      <c r="AS146" s="2"/>
      <c r="AT146" s="2"/>
    </row>
    <row r="147">
      <c r="A147" s="207"/>
      <c r="B147" s="2"/>
      <c r="C147" s="2"/>
      <c r="D147" s="2"/>
      <c r="E147" s="341"/>
      <c r="F147" s="458" t="s">
        <v>331</v>
      </c>
      <c r="G147" s="455" t="s">
        <v>332</v>
      </c>
      <c r="H147" s="377">
        <f>IF(Q130,0,P133)+IF(Q134,0,P137)+IF(Q138,0,P141)</f>
        <v>78.375</v>
      </c>
      <c r="I147" s="336"/>
      <c r="J147" s="336"/>
      <c r="K147" s="336"/>
      <c r="L147" s="349"/>
      <c r="M147" s="349"/>
      <c r="N147" s="349"/>
      <c r="O147" s="336"/>
      <c r="P147" s="351"/>
      <c r="Q147" s="298"/>
      <c r="R147" s="2"/>
      <c r="S147" s="2"/>
      <c r="AK147" s="2"/>
      <c r="AL147" s="2"/>
      <c r="AM147" s="2"/>
      <c r="AN147" s="2"/>
      <c r="AO147" s="2"/>
      <c r="AP147" s="2"/>
      <c r="AQ147" s="2"/>
      <c r="AR147" s="2"/>
      <c r="AS147" s="2"/>
      <c r="AT147" s="2"/>
    </row>
    <row r="148">
      <c r="A148" s="2"/>
      <c r="B148" s="2"/>
      <c r="C148" s="2"/>
      <c r="D148" s="2"/>
      <c r="E148" s="352"/>
      <c r="F148" s="352"/>
      <c r="G148" s="469" t="s">
        <v>333</v>
      </c>
      <c r="H148" s="496" t="str">
        <f>HBM_TIME_MS(H147)</f>
        <v>#N/A</v>
      </c>
      <c r="I148" s="465"/>
      <c r="J148" s="465"/>
      <c r="K148" s="465"/>
      <c r="L148" s="466"/>
      <c r="M148" s="466"/>
      <c r="N148" s="466"/>
      <c r="O148" s="465"/>
      <c r="P148" s="467"/>
      <c r="Q148" s="379"/>
      <c r="R148" s="2"/>
      <c r="S148" s="2"/>
      <c r="AK148" s="2"/>
      <c r="AL148" s="2"/>
      <c r="AM148" s="2"/>
      <c r="AN148" s="2"/>
      <c r="AO148" s="2"/>
      <c r="AP148" s="2"/>
      <c r="AQ148" s="2"/>
      <c r="AR148" s="2"/>
      <c r="AS148" s="2"/>
      <c r="AT148" s="2"/>
    </row>
    <row r="149">
      <c r="A149" s="161"/>
      <c r="B149" s="161"/>
      <c r="C149" s="161"/>
      <c r="D149" s="161"/>
      <c r="E149" s="333" t="s">
        <v>342</v>
      </c>
      <c r="F149" s="357" t="s">
        <v>292</v>
      </c>
      <c r="G149" s="335"/>
      <c r="H149" s="364" t="s">
        <v>281</v>
      </c>
      <c r="I149" s="364" t="s">
        <v>282</v>
      </c>
      <c r="J149" s="273" t="s">
        <v>104</v>
      </c>
      <c r="K149" s="273" t="s">
        <v>102</v>
      </c>
      <c r="L149" s="273" t="s">
        <v>207</v>
      </c>
      <c r="M149" s="472" t="s">
        <v>201</v>
      </c>
      <c r="N149" s="364" t="s">
        <v>283</v>
      </c>
      <c r="O149" s="365" t="str">
        <f>EXTRACT_ACTIVATION_DTYPE(PARAMS("attn_proj_dtype"))</f>
        <v>bf16</v>
      </c>
      <c r="P149" s="366"/>
      <c r="Q149" s="365" t="b">
        <v>0</v>
      </c>
      <c r="R149" s="2"/>
      <c r="S149" s="2"/>
      <c r="AK149" s="2"/>
      <c r="AL149" s="2"/>
      <c r="AM149" s="2"/>
      <c r="AN149" s="2"/>
      <c r="AO149" s="2"/>
      <c r="AP149" s="2"/>
      <c r="AQ149" s="2"/>
      <c r="AR149" s="2"/>
      <c r="AS149" s="2"/>
      <c r="AT149" s="2"/>
    </row>
    <row r="150">
      <c r="A150" s="161"/>
      <c r="B150" s="161"/>
      <c r="C150" s="161"/>
      <c r="D150" s="161"/>
      <c r="E150" s="341"/>
      <c r="F150" s="342"/>
      <c r="G150" s="343"/>
      <c r="H150" s="273" t="s">
        <v>285</v>
      </c>
      <c r="I150" s="364" t="s">
        <v>282</v>
      </c>
      <c r="J150" s="363">
        <f t="shared" ref="J150:M150" si="25">PARAMS(J149)</f>
        <v>2048</v>
      </c>
      <c r="K150" s="364">
        <f t="shared" si="25"/>
        <v>1</v>
      </c>
      <c r="L150" s="364">
        <f t="shared" si="25"/>
        <v>128</v>
      </c>
      <c r="M150" s="364">
        <f t="shared" si="25"/>
        <v>128</v>
      </c>
      <c r="N150" s="364" t="s">
        <v>283</v>
      </c>
      <c r="O150" s="341"/>
      <c r="P150" s="366">
        <f>SIZEOF_IN_MIB(J150:M150, $O149)</f>
        <v>64</v>
      </c>
      <c r="Q150" s="341"/>
      <c r="R150" s="2"/>
      <c r="S150" s="2"/>
      <c r="AK150" s="2"/>
      <c r="AL150" s="2"/>
      <c r="AM150" s="2"/>
      <c r="AN150" s="2"/>
      <c r="AO150" s="2"/>
      <c r="AP150" s="2"/>
      <c r="AQ150" s="2"/>
      <c r="AR150" s="2"/>
      <c r="AS150" s="2"/>
      <c r="AT150" s="2"/>
    </row>
    <row r="151">
      <c r="A151" s="161"/>
      <c r="B151" s="161"/>
      <c r="C151" s="161"/>
      <c r="D151" s="161"/>
      <c r="E151" s="341"/>
      <c r="F151" s="342"/>
      <c r="G151" s="343"/>
      <c r="H151" s="363" t="s">
        <v>287</v>
      </c>
      <c r="I151" s="363" t="s">
        <v>282</v>
      </c>
      <c r="J151" s="273" t="s">
        <v>196</v>
      </c>
      <c r="K151" s="273"/>
      <c r="L151" s="273"/>
      <c r="M151" s="363"/>
      <c r="N151" s="363" t="s">
        <v>283</v>
      </c>
      <c r="O151" s="341"/>
      <c r="P151" s="366"/>
      <c r="Q151" s="341"/>
      <c r="R151" s="2"/>
      <c r="S151" s="2"/>
      <c r="AG151" s="2"/>
      <c r="AH151" s="2"/>
      <c r="AI151" s="2"/>
      <c r="AJ151" s="2"/>
      <c r="AK151" s="2"/>
      <c r="AL151" s="2"/>
      <c r="AM151" s="2"/>
      <c r="AN151" s="2"/>
      <c r="AO151" s="2"/>
      <c r="AP151" s="2"/>
      <c r="AQ151" s="2"/>
      <c r="AR151" s="2"/>
      <c r="AS151" s="2"/>
      <c r="AT151" s="2"/>
    </row>
    <row r="152">
      <c r="A152" s="161"/>
      <c r="B152" s="161"/>
      <c r="C152" s="161"/>
      <c r="D152" s="161"/>
      <c r="E152" s="341"/>
      <c r="F152" s="353"/>
      <c r="G152" s="354"/>
      <c r="H152" s="273" t="s">
        <v>289</v>
      </c>
      <c r="I152" s="363" t="s">
        <v>282</v>
      </c>
      <c r="J152" s="363">
        <f t="shared" ref="J152:M152" si="26">J150/SHARDING(J151)</f>
        <v>128</v>
      </c>
      <c r="K152" s="363">
        <f t="shared" si="26"/>
        <v>1</v>
      </c>
      <c r="L152" s="363">
        <f t="shared" si="26"/>
        <v>128</v>
      </c>
      <c r="M152" s="363">
        <f t="shared" si="26"/>
        <v>128</v>
      </c>
      <c r="N152" s="363" t="s">
        <v>283</v>
      </c>
      <c r="O152" s="352"/>
      <c r="P152" s="366">
        <f>SIZEOF_IN_MIB(J152:M152, $O149)</f>
        <v>4</v>
      </c>
      <c r="Q152" s="352"/>
      <c r="R152" s="2"/>
      <c r="S152" s="2"/>
      <c r="AG152" s="2"/>
      <c r="AH152" s="2"/>
      <c r="AI152" s="2"/>
      <c r="AJ152" s="2"/>
      <c r="AK152" s="2"/>
      <c r="AL152" s="2"/>
      <c r="AM152" s="2"/>
      <c r="AN152" s="2"/>
      <c r="AO152" s="2"/>
      <c r="AP152" s="2"/>
      <c r="AQ152" s="2"/>
      <c r="AR152" s="2"/>
      <c r="AS152" s="2"/>
      <c r="AT152" s="2"/>
    </row>
    <row r="153">
      <c r="A153" s="161"/>
      <c r="B153" s="161"/>
      <c r="C153" s="161"/>
      <c r="D153" s="161"/>
      <c r="E153" s="341"/>
      <c r="F153" s="334" t="s">
        <v>296</v>
      </c>
      <c r="G153" s="335"/>
      <c r="H153" s="363" t="s">
        <v>281</v>
      </c>
      <c r="I153" s="363" t="s">
        <v>282</v>
      </c>
      <c r="J153" s="364"/>
      <c r="K153" s="273" t="s">
        <v>207</v>
      </c>
      <c r="L153" s="472" t="s">
        <v>201</v>
      </c>
      <c r="M153" s="273" t="s">
        <v>198</v>
      </c>
      <c r="N153" s="363" t="s">
        <v>283</v>
      </c>
      <c r="O153" s="365" t="str">
        <f>EXTRACT_WEIGHT_DTYPE(PARAMS("attn_proj_dtype"))</f>
        <v>bf16</v>
      </c>
      <c r="P153" s="366"/>
      <c r="Q153" s="365" t="b">
        <v>0</v>
      </c>
      <c r="R153" s="2"/>
      <c r="S153" s="2"/>
      <c r="AG153" s="2"/>
      <c r="AH153" s="2"/>
      <c r="AI153" s="2"/>
      <c r="AJ153" s="2"/>
      <c r="AK153" s="2"/>
      <c r="AL153" s="2"/>
      <c r="AM153" s="2"/>
      <c r="AN153" s="2"/>
      <c r="AO153" s="2"/>
      <c r="AP153" s="2"/>
      <c r="AQ153" s="2"/>
      <c r="AR153" s="2"/>
      <c r="AS153" s="2"/>
      <c r="AT153" s="2"/>
    </row>
    <row r="154">
      <c r="A154" s="161"/>
      <c r="B154" s="161"/>
      <c r="C154" s="161"/>
      <c r="D154" s="161"/>
      <c r="E154" s="341"/>
      <c r="F154" s="342"/>
      <c r="G154" s="343"/>
      <c r="H154" s="273" t="s">
        <v>285</v>
      </c>
      <c r="I154" s="363" t="s">
        <v>282</v>
      </c>
      <c r="J154" s="364"/>
      <c r="K154" s="363">
        <f t="shared" ref="K154:M154" si="27">PARAMS(K153)</f>
        <v>128</v>
      </c>
      <c r="L154" s="363">
        <f t="shared" si="27"/>
        <v>128</v>
      </c>
      <c r="M154" s="363">
        <f t="shared" si="27"/>
        <v>512</v>
      </c>
      <c r="N154" s="363" t="s">
        <v>283</v>
      </c>
      <c r="O154" s="341"/>
      <c r="P154" s="366">
        <f>SIZEOF_IN_MIB(J154:M154, $O153)</f>
        <v>16</v>
      </c>
      <c r="Q154" s="341"/>
      <c r="R154" s="2"/>
      <c r="S154" s="2"/>
      <c r="AG154" s="2"/>
      <c r="AH154" s="2"/>
      <c r="AI154" s="2"/>
      <c r="AJ154" s="2"/>
      <c r="AK154" s="2"/>
      <c r="AL154" s="2"/>
      <c r="AM154" s="2"/>
      <c r="AN154" s="2"/>
      <c r="AO154" s="2"/>
      <c r="AP154" s="2"/>
      <c r="AQ154" s="2"/>
      <c r="AR154" s="2"/>
      <c r="AS154" s="2"/>
      <c r="AT154" s="2"/>
    </row>
    <row r="155">
      <c r="A155" s="161"/>
      <c r="B155" s="161"/>
      <c r="C155" s="161"/>
      <c r="D155" s="161"/>
      <c r="E155" s="341"/>
      <c r="F155" s="342"/>
      <c r="G155" s="343"/>
      <c r="H155" s="363" t="s">
        <v>287</v>
      </c>
      <c r="I155" s="363" t="s">
        <v>282</v>
      </c>
      <c r="J155" s="364"/>
      <c r="K155" s="364"/>
      <c r="L155" s="363"/>
      <c r="M155" s="363"/>
      <c r="N155" s="363" t="s">
        <v>283</v>
      </c>
      <c r="O155" s="341"/>
      <c r="P155" s="366"/>
      <c r="Q155" s="341"/>
      <c r="R155" s="2"/>
      <c r="S155" s="2"/>
      <c r="AG155" s="2"/>
      <c r="AH155" s="2"/>
      <c r="AI155" s="2"/>
      <c r="AJ155" s="2"/>
      <c r="AK155" s="2"/>
      <c r="AL155" s="2"/>
      <c r="AM155" s="2"/>
      <c r="AN155" s="2"/>
      <c r="AO155" s="2"/>
      <c r="AP155" s="2"/>
      <c r="AQ155" s="2"/>
      <c r="AR155" s="2"/>
      <c r="AS155" s="2"/>
      <c r="AT155" s="2"/>
    </row>
    <row r="156">
      <c r="A156" s="161"/>
      <c r="B156" s="161"/>
      <c r="C156" s="161"/>
      <c r="D156" s="161"/>
      <c r="E156" s="341"/>
      <c r="F156" s="353"/>
      <c r="G156" s="354"/>
      <c r="H156" s="349" t="s">
        <v>289</v>
      </c>
      <c r="I156" s="349" t="s">
        <v>282</v>
      </c>
      <c r="J156" s="336"/>
      <c r="K156" s="349">
        <f t="shared" ref="K156:M156" si="28">K154/SHARDING(K155)</f>
        <v>128</v>
      </c>
      <c r="L156" s="349">
        <f t="shared" si="28"/>
        <v>128</v>
      </c>
      <c r="M156" s="349">
        <f t="shared" si="28"/>
        <v>512</v>
      </c>
      <c r="N156" s="349" t="s">
        <v>283</v>
      </c>
      <c r="O156" s="316"/>
      <c r="P156" s="351">
        <f>SIZEOF_IN_MIB(J156:M156, $O153)</f>
        <v>16</v>
      </c>
      <c r="Q156" s="316"/>
      <c r="R156" s="2"/>
      <c r="S156" s="2"/>
      <c r="T156" s="284"/>
      <c r="U156" s="284"/>
      <c r="V156" s="284"/>
      <c r="W156" s="284"/>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c r="A157" s="161"/>
      <c r="B157" s="161"/>
      <c r="C157" s="161"/>
      <c r="D157" s="161"/>
      <c r="E157" s="341"/>
      <c r="F157" s="334" t="s">
        <v>56</v>
      </c>
      <c r="G157" s="335"/>
      <c r="H157" s="346" t="s">
        <v>281</v>
      </c>
      <c r="I157" s="346" t="s">
        <v>282</v>
      </c>
      <c r="J157" s="344" t="s">
        <v>104</v>
      </c>
      <c r="K157" s="344" t="s">
        <v>102</v>
      </c>
      <c r="L157" s="344" t="s">
        <v>207</v>
      </c>
      <c r="M157" s="344" t="s">
        <v>198</v>
      </c>
      <c r="N157" s="346" t="s">
        <v>283</v>
      </c>
      <c r="O157" s="473" t="s">
        <v>133</v>
      </c>
      <c r="P157" s="348"/>
      <c r="Q157" s="473" t="b">
        <v>0</v>
      </c>
      <c r="R157" s="2"/>
      <c r="S157" s="2"/>
      <c r="T157" s="284"/>
      <c r="U157" s="284"/>
      <c r="V157" s="284"/>
      <c r="W157" s="284"/>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c r="A158" s="161"/>
      <c r="B158" s="161"/>
      <c r="C158" s="161"/>
      <c r="D158" s="161"/>
      <c r="E158" s="341"/>
      <c r="F158" s="342"/>
      <c r="G158" s="343"/>
      <c r="H158" s="337" t="s">
        <v>285</v>
      </c>
      <c r="I158" s="349" t="s">
        <v>282</v>
      </c>
      <c r="J158" s="349">
        <f t="shared" ref="J158:M158" si="29">PARAMS(J157)</f>
        <v>2048</v>
      </c>
      <c r="K158" s="349">
        <f t="shared" si="29"/>
        <v>1</v>
      </c>
      <c r="L158" s="349">
        <f t="shared" si="29"/>
        <v>128</v>
      </c>
      <c r="M158" s="349">
        <f t="shared" si="29"/>
        <v>512</v>
      </c>
      <c r="N158" s="349" t="s">
        <v>283</v>
      </c>
      <c r="O158" s="350"/>
      <c r="P158" s="351">
        <f>SIZEOF_IN_MIB(J158:M158, $O157)</f>
        <v>256</v>
      </c>
      <c r="Q158" s="350"/>
      <c r="R158" s="2"/>
      <c r="S158" s="2"/>
      <c r="T158" s="284"/>
      <c r="U158" s="284"/>
      <c r="V158" s="284"/>
      <c r="W158" s="284"/>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c r="A159" s="161"/>
      <c r="B159" s="161"/>
      <c r="C159" s="161"/>
      <c r="D159" s="161"/>
      <c r="E159" s="341"/>
      <c r="F159" s="342"/>
      <c r="G159" s="343"/>
      <c r="H159" s="346" t="s">
        <v>287</v>
      </c>
      <c r="I159" s="346" t="s">
        <v>282</v>
      </c>
      <c r="J159" s="344" t="s">
        <v>196</v>
      </c>
      <c r="K159" s="344"/>
      <c r="L159" s="344"/>
      <c r="M159" s="346"/>
      <c r="N159" s="346" t="s">
        <v>283</v>
      </c>
      <c r="O159" s="347"/>
      <c r="P159" s="348"/>
      <c r="Q159" s="347"/>
      <c r="R159" s="2"/>
      <c r="S159" s="2"/>
      <c r="T159" s="284"/>
      <c r="U159" s="284"/>
      <c r="V159" s="284"/>
      <c r="W159" s="284"/>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61"/>
      <c r="B160" s="161"/>
      <c r="C160" s="161"/>
      <c r="D160" s="161"/>
      <c r="E160" s="341"/>
      <c r="F160" s="353"/>
      <c r="G160" s="354"/>
      <c r="H160" s="349" t="s">
        <v>289</v>
      </c>
      <c r="I160" s="349" t="s">
        <v>282</v>
      </c>
      <c r="J160" s="349">
        <f t="shared" ref="J160:M160" si="30">J158/SHARDING(J159)</f>
        <v>128</v>
      </c>
      <c r="K160" s="349">
        <f t="shared" si="30"/>
        <v>1</v>
      </c>
      <c r="L160" s="349">
        <f t="shared" si="30"/>
        <v>128</v>
      </c>
      <c r="M160" s="349">
        <f t="shared" si="30"/>
        <v>512</v>
      </c>
      <c r="N160" s="349" t="s">
        <v>283</v>
      </c>
      <c r="O160" s="316"/>
      <c r="P160" s="351">
        <f>SIZEOF_IN_MIB(J160:M160, $O157)</f>
        <v>16</v>
      </c>
      <c r="Q160" s="316"/>
      <c r="R160" s="2"/>
      <c r="S160" s="2"/>
      <c r="T160" s="284"/>
      <c r="U160" s="284"/>
      <c r="V160" s="284"/>
      <c r="W160" s="284"/>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61"/>
      <c r="B161" s="161"/>
      <c r="C161" s="161"/>
      <c r="D161" s="161"/>
      <c r="E161" s="341"/>
      <c r="F161" s="474" t="s">
        <v>335</v>
      </c>
      <c r="G161" s="459" t="s">
        <v>109</v>
      </c>
      <c r="H161" s="497"/>
      <c r="I161" s="498"/>
      <c r="J161" s="345"/>
      <c r="K161" s="345"/>
      <c r="L161" s="346"/>
      <c r="M161" s="346"/>
      <c r="N161" s="346"/>
      <c r="O161" s="345"/>
      <c r="P161" s="348"/>
      <c r="Q161" s="379"/>
      <c r="T161" s="4"/>
      <c r="U161" s="4"/>
      <c r="V161" s="4"/>
      <c r="W161" s="4"/>
    </row>
    <row r="162">
      <c r="A162" s="161"/>
      <c r="B162" s="2"/>
      <c r="C162" s="2"/>
      <c r="D162" s="2"/>
      <c r="E162" s="341"/>
      <c r="F162" s="352"/>
      <c r="G162" s="459"/>
      <c r="H162" s="349"/>
      <c r="I162" s="492"/>
      <c r="J162" s="336"/>
      <c r="K162" s="336"/>
      <c r="L162" s="349"/>
      <c r="M162" s="349"/>
      <c r="N162" s="349"/>
      <c r="O162" s="336"/>
      <c r="P162" s="351"/>
      <c r="Q162" s="298"/>
      <c r="T162" s="4"/>
      <c r="U162" s="4"/>
      <c r="V162" s="4"/>
      <c r="W162" s="4"/>
    </row>
    <row r="163">
      <c r="A163" s="2"/>
      <c r="B163" s="2"/>
      <c r="C163" s="2"/>
      <c r="D163" s="2"/>
      <c r="E163" s="341"/>
      <c r="F163" s="458" t="s">
        <v>327</v>
      </c>
      <c r="G163" s="459" t="s">
        <v>328</v>
      </c>
      <c r="H163" s="346" t="str">
        <f>VLOOKUP(O149&amp;","&amp;O153,$T$3:$W$12,4, FALSE)</f>
        <v>bf16</v>
      </c>
      <c r="I163" s="493"/>
      <c r="J163" s="345"/>
      <c r="K163" s="345"/>
      <c r="L163" s="346"/>
      <c r="M163" s="346"/>
      <c r="N163" s="346"/>
      <c r="O163" s="345"/>
      <c r="P163" s="348"/>
      <c r="Q163" s="379"/>
      <c r="T163" s="4"/>
      <c r="U163" s="4"/>
      <c r="V163" s="4"/>
      <c r="W163" s="4"/>
    </row>
    <row r="164">
      <c r="A164" s="161"/>
      <c r="B164" s="161"/>
      <c r="C164" s="161"/>
      <c r="D164" s="161"/>
      <c r="E164" s="341"/>
      <c r="F164" s="341"/>
      <c r="G164" s="455" t="s">
        <v>341</v>
      </c>
      <c r="H164" s="494" t="str">
        <f>CALCULATE_FLOPS(J152:M152,J156:M156,L156,K156,H163)</f>
        <v>#N/A</v>
      </c>
      <c r="I164" s="492"/>
      <c r="J164" s="336"/>
      <c r="K164" s="336"/>
      <c r="L164" s="349"/>
      <c r="M164" s="349"/>
      <c r="N164" s="349"/>
      <c r="O164" s="336"/>
      <c r="P164" s="351"/>
      <c r="Q164" s="298"/>
      <c r="T164" s="4"/>
      <c r="U164" s="4"/>
      <c r="V164" s="4"/>
      <c r="W164" s="4"/>
    </row>
    <row r="165">
      <c r="A165" s="161"/>
      <c r="B165" s="161"/>
      <c r="C165" s="161"/>
      <c r="D165" s="161"/>
      <c r="E165" s="341"/>
      <c r="F165" s="352"/>
      <c r="G165" s="462" t="s">
        <v>330</v>
      </c>
      <c r="H165" s="463" t="str">
        <f>COMPUTE_TIME_MS(H164, H163)</f>
        <v>#N/A</v>
      </c>
      <c r="I165" s="464"/>
      <c r="J165" s="465"/>
      <c r="K165" s="465"/>
      <c r="L165" s="466"/>
      <c r="M165" s="466"/>
      <c r="N165" s="466"/>
      <c r="O165" s="465"/>
      <c r="P165" s="467"/>
      <c r="Q165" s="379"/>
      <c r="T165" s="4"/>
      <c r="U165" s="4"/>
      <c r="V165" s="4"/>
      <c r="W165" s="4"/>
    </row>
    <row r="166">
      <c r="A166" s="161"/>
      <c r="B166" s="161"/>
      <c r="C166" s="161"/>
      <c r="D166" s="161"/>
      <c r="E166" s="341"/>
      <c r="F166" s="458" t="s">
        <v>331</v>
      </c>
      <c r="G166" s="455" t="s">
        <v>332</v>
      </c>
      <c r="H166" s="377">
        <f>IF(Q149,0,P152)+IF(Q153,0,P156)+IF(Q157,0,P160)</f>
        <v>36</v>
      </c>
      <c r="I166" s="336"/>
      <c r="J166" s="336"/>
      <c r="K166" s="336"/>
      <c r="L166" s="349"/>
      <c r="M166" s="349"/>
      <c r="N166" s="349"/>
      <c r="O166" s="336"/>
      <c r="P166" s="351"/>
      <c r="Q166" s="298"/>
      <c r="R166" s="2"/>
      <c r="S166" s="2"/>
      <c r="T166" s="284"/>
      <c r="U166" s="284"/>
      <c r="V166" s="284"/>
      <c r="W166" s="284"/>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c r="A167" s="161"/>
      <c r="B167" s="161"/>
      <c r="C167" s="161"/>
      <c r="D167" s="161"/>
      <c r="E167" s="352"/>
      <c r="F167" s="352"/>
      <c r="G167" s="469" t="s">
        <v>333</v>
      </c>
      <c r="H167" s="496" t="str">
        <f>HBM_TIME_MS(H166)</f>
        <v>#N/A</v>
      </c>
      <c r="I167" s="465"/>
      <c r="J167" s="465"/>
      <c r="K167" s="465"/>
      <c r="L167" s="466"/>
      <c r="M167" s="466"/>
      <c r="N167" s="466"/>
      <c r="O167" s="465"/>
      <c r="P167" s="467"/>
      <c r="Q167" s="379"/>
      <c r="R167" s="2"/>
      <c r="S167" s="2"/>
      <c r="T167" s="284"/>
      <c r="U167" s="284"/>
      <c r="V167" s="284"/>
      <c r="W167" s="284"/>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c r="A168" s="161"/>
      <c r="B168" s="161"/>
      <c r="C168" s="161"/>
      <c r="D168" s="161"/>
      <c r="E168" s="333" t="s">
        <v>343</v>
      </c>
      <c r="F168" s="357" t="s">
        <v>292</v>
      </c>
      <c r="G168" s="335"/>
      <c r="H168" s="336" t="s">
        <v>281</v>
      </c>
      <c r="I168" s="336" t="s">
        <v>282</v>
      </c>
      <c r="J168" s="337"/>
      <c r="K168" s="337" t="s">
        <v>104</v>
      </c>
      <c r="L168" s="337" t="s">
        <v>102</v>
      </c>
      <c r="M168" s="499" t="s">
        <v>178</v>
      </c>
      <c r="N168" s="336" t="s">
        <v>283</v>
      </c>
      <c r="O168" s="338" t="str">
        <f>EXTRACT_ACTIVATION_DTYPE(PARAMS("attn_proj_dtype"))</f>
        <v>bf16</v>
      </c>
      <c r="P168" s="351"/>
      <c r="Q168" s="338" t="b">
        <v>0</v>
      </c>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161"/>
      <c r="B169" s="161"/>
      <c r="C169" s="161"/>
      <c r="D169" s="161"/>
      <c r="E169" s="341"/>
      <c r="F169" s="342"/>
      <c r="G169" s="343"/>
      <c r="H169" s="273" t="s">
        <v>285</v>
      </c>
      <c r="I169" s="364" t="s">
        <v>282</v>
      </c>
      <c r="J169" s="363"/>
      <c r="K169" s="363">
        <f t="shared" ref="K169:M169" si="31">PARAMS(K168)</f>
        <v>2048</v>
      </c>
      <c r="L169" s="364">
        <f t="shared" si="31"/>
        <v>1</v>
      </c>
      <c r="M169" s="364">
        <f t="shared" si="31"/>
        <v>7168</v>
      </c>
      <c r="N169" s="364" t="s">
        <v>283</v>
      </c>
      <c r="O169" s="341"/>
      <c r="P169" s="366">
        <f>SIZEOF_IN_MIB(J169:M169, $O168)</f>
        <v>28</v>
      </c>
      <c r="Q169" s="341"/>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41"/>
      <c r="F170" s="342"/>
      <c r="G170" s="343"/>
      <c r="H170" s="363" t="s">
        <v>287</v>
      </c>
      <c r="I170" s="363" t="s">
        <v>282</v>
      </c>
      <c r="J170" s="364"/>
      <c r="K170" s="273" t="s">
        <v>196</v>
      </c>
      <c r="L170" s="273"/>
      <c r="M170" s="363"/>
      <c r="N170" s="363" t="s">
        <v>283</v>
      </c>
      <c r="O170" s="341"/>
      <c r="P170" s="366"/>
      <c r="Q170" s="341"/>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41"/>
      <c r="F171" s="353"/>
      <c r="G171" s="354"/>
      <c r="H171" s="273" t="s">
        <v>289</v>
      </c>
      <c r="I171" s="363" t="s">
        <v>282</v>
      </c>
      <c r="J171" s="364"/>
      <c r="K171" s="363">
        <f t="shared" ref="K171:M171" si="32">K169/SHARDING(K170)</f>
        <v>128</v>
      </c>
      <c r="L171" s="363">
        <f t="shared" si="32"/>
        <v>1</v>
      </c>
      <c r="M171" s="363">
        <f t="shared" si="32"/>
        <v>7168</v>
      </c>
      <c r="N171" s="363" t="s">
        <v>283</v>
      </c>
      <c r="O171" s="352"/>
      <c r="P171" s="366">
        <f>SIZEOF_IN_MIB(J171:M171, $O168)</f>
        <v>1.75</v>
      </c>
      <c r="Q171" s="35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34" t="s">
        <v>296</v>
      </c>
      <c r="G172" s="335"/>
      <c r="H172" s="363" t="s">
        <v>281</v>
      </c>
      <c r="I172" s="363" t="s">
        <v>282</v>
      </c>
      <c r="J172" s="364"/>
      <c r="K172" s="273"/>
      <c r="L172" s="472" t="s">
        <v>178</v>
      </c>
      <c r="M172" s="273" t="s">
        <v>210</v>
      </c>
      <c r="N172" s="363" t="s">
        <v>283</v>
      </c>
      <c r="O172" s="365" t="str">
        <f>EXTRACT_WEIGHT_DTYPE(PARAMS("attn_proj_dtype"))</f>
        <v>bf16</v>
      </c>
      <c r="P172" s="366"/>
      <c r="Q172" s="365" t="b">
        <v>0</v>
      </c>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342"/>
      <c r="G173" s="343"/>
      <c r="H173" s="273" t="s">
        <v>285</v>
      </c>
      <c r="I173" s="363" t="s">
        <v>282</v>
      </c>
      <c r="J173" s="364"/>
      <c r="K173" s="363"/>
      <c r="L173" s="363">
        <f t="shared" ref="L173:M173" si="33">PARAMS(L172)</f>
        <v>7168</v>
      </c>
      <c r="M173" s="363">
        <f t="shared" si="33"/>
        <v>576</v>
      </c>
      <c r="N173" s="363" t="s">
        <v>283</v>
      </c>
      <c r="O173" s="341"/>
      <c r="P173" s="366">
        <f>SIZEOF_IN_MIB(J173:M173, $O172)</f>
        <v>7.875</v>
      </c>
      <c r="Q173" s="341"/>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61"/>
      <c r="B174" s="161"/>
      <c r="C174" s="161"/>
      <c r="D174" s="161"/>
      <c r="E174" s="341"/>
      <c r="F174" s="342"/>
      <c r="G174" s="343"/>
      <c r="H174" s="363" t="s">
        <v>287</v>
      </c>
      <c r="I174" s="363" t="s">
        <v>282</v>
      </c>
      <c r="J174" s="364"/>
      <c r="K174" s="364"/>
      <c r="L174" s="363"/>
      <c r="M174" s="363"/>
      <c r="N174" s="363" t="s">
        <v>283</v>
      </c>
      <c r="O174" s="341"/>
      <c r="P174" s="366"/>
      <c r="Q174" s="341"/>
    </row>
    <row r="175">
      <c r="A175" s="161"/>
      <c r="B175" s="161"/>
      <c r="C175" s="161"/>
      <c r="D175" s="161"/>
      <c r="E175" s="341"/>
      <c r="F175" s="353"/>
      <c r="G175" s="354"/>
      <c r="H175" s="349" t="s">
        <v>289</v>
      </c>
      <c r="I175" s="349" t="s">
        <v>282</v>
      </c>
      <c r="J175" s="336"/>
      <c r="K175" s="349"/>
      <c r="L175" s="349">
        <f t="shared" ref="L175:M175" si="34">L173/SHARDING(L174)</f>
        <v>7168</v>
      </c>
      <c r="M175" s="349">
        <f t="shared" si="34"/>
        <v>576</v>
      </c>
      <c r="N175" s="349" t="s">
        <v>283</v>
      </c>
      <c r="O175" s="316"/>
      <c r="P175" s="351">
        <f>SIZEOF_IN_MIB(J175:M175, $O172)</f>
        <v>7.875</v>
      </c>
      <c r="Q175" s="316"/>
    </row>
    <row r="176">
      <c r="A176" s="161"/>
      <c r="B176" s="161"/>
      <c r="C176" s="161"/>
      <c r="D176" s="161"/>
      <c r="E176" s="341"/>
      <c r="F176" s="334" t="s">
        <v>56</v>
      </c>
      <c r="G176" s="335"/>
      <c r="H176" s="346" t="s">
        <v>281</v>
      </c>
      <c r="I176" s="346" t="s">
        <v>282</v>
      </c>
      <c r="J176" s="345"/>
      <c r="K176" s="344" t="s">
        <v>104</v>
      </c>
      <c r="L176" s="344" t="s">
        <v>102</v>
      </c>
      <c r="M176" s="344" t="s">
        <v>210</v>
      </c>
      <c r="N176" s="346" t="s">
        <v>283</v>
      </c>
      <c r="O176" s="473" t="s">
        <v>133</v>
      </c>
      <c r="P176" s="348"/>
      <c r="Q176" s="473" t="b">
        <v>0</v>
      </c>
    </row>
    <row r="177">
      <c r="A177" s="161"/>
      <c r="B177" s="2"/>
      <c r="C177" s="2"/>
      <c r="D177" s="2"/>
      <c r="E177" s="341"/>
      <c r="F177" s="342"/>
      <c r="G177" s="343"/>
      <c r="H177" s="337" t="s">
        <v>285</v>
      </c>
      <c r="I177" s="349" t="s">
        <v>282</v>
      </c>
      <c r="J177" s="336"/>
      <c r="K177" s="349">
        <f t="shared" ref="K177:M177" si="35">PARAMS(K176)</f>
        <v>2048</v>
      </c>
      <c r="L177" s="349">
        <f t="shared" si="35"/>
        <v>1</v>
      </c>
      <c r="M177" s="349">
        <f t="shared" si="35"/>
        <v>576</v>
      </c>
      <c r="N177" s="349" t="s">
        <v>283</v>
      </c>
      <c r="O177" s="350"/>
      <c r="P177" s="351">
        <f>SIZEOF_IN_MIB(K177:M177, $O176)</f>
        <v>2.25</v>
      </c>
      <c r="Q177" s="350"/>
    </row>
    <row r="178">
      <c r="A178" s="2"/>
      <c r="B178" s="2"/>
      <c r="C178" s="2"/>
      <c r="D178" s="2"/>
      <c r="E178" s="341"/>
      <c r="F178" s="342"/>
      <c r="G178" s="343"/>
      <c r="H178" s="346" t="s">
        <v>287</v>
      </c>
      <c r="I178" s="346" t="s">
        <v>282</v>
      </c>
      <c r="J178" s="345"/>
      <c r="K178" s="344" t="s">
        <v>196</v>
      </c>
      <c r="L178" s="344"/>
      <c r="M178" s="346"/>
      <c r="N178" s="346" t="s">
        <v>283</v>
      </c>
      <c r="O178" s="347"/>
      <c r="P178" s="348"/>
      <c r="Q178" s="347"/>
    </row>
    <row r="179">
      <c r="A179" s="161"/>
      <c r="B179" s="161"/>
      <c r="C179" s="161"/>
      <c r="D179" s="161"/>
      <c r="E179" s="341"/>
      <c r="F179" s="353"/>
      <c r="G179" s="354"/>
      <c r="H179" s="349" t="s">
        <v>289</v>
      </c>
      <c r="I179" s="349" t="s">
        <v>282</v>
      </c>
      <c r="J179" s="349"/>
      <c r="K179" s="349">
        <f t="shared" ref="K179:M179" si="36">K177/SHARDING(K178)</f>
        <v>128</v>
      </c>
      <c r="L179" s="349">
        <f t="shared" si="36"/>
        <v>1</v>
      </c>
      <c r="M179" s="349">
        <f t="shared" si="36"/>
        <v>576</v>
      </c>
      <c r="N179" s="349" t="s">
        <v>283</v>
      </c>
      <c r="O179" s="316"/>
      <c r="P179" s="351">
        <f>SIZEOF_IN_MIB(K179:M179, $O176)</f>
        <v>0.140625</v>
      </c>
      <c r="Q179" s="316"/>
    </row>
    <row r="180">
      <c r="A180" s="161"/>
      <c r="B180" s="161"/>
      <c r="C180" s="161"/>
      <c r="D180" s="161"/>
      <c r="E180" s="341"/>
      <c r="F180" s="474" t="s">
        <v>335</v>
      </c>
      <c r="G180" s="459" t="s">
        <v>109</v>
      </c>
      <c r="H180" s="497"/>
      <c r="I180" s="498"/>
      <c r="J180" s="345"/>
      <c r="K180" s="345"/>
      <c r="L180" s="346"/>
      <c r="M180" s="346"/>
      <c r="N180" s="346"/>
      <c r="O180" s="345"/>
      <c r="P180" s="348"/>
      <c r="Q180" s="379"/>
    </row>
    <row r="181">
      <c r="A181" s="161"/>
      <c r="B181" s="161"/>
      <c r="C181" s="161"/>
      <c r="D181" s="161"/>
      <c r="E181" s="341"/>
      <c r="F181" s="352"/>
      <c r="G181" s="459"/>
      <c r="H181" s="349"/>
      <c r="I181" s="492"/>
      <c r="J181" s="336"/>
      <c r="K181" s="336"/>
      <c r="L181" s="349"/>
      <c r="M181" s="349"/>
      <c r="N181" s="349"/>
      <c r="O181" s="336"/>
      <c r="P181" s="351"/>
      <c r="Q181" s="298"/>
    </row>
    <row r="182">
      <c r="A182" s="161"/>
      <c r="B182" s="161"/>
      <c r="C182" s="161"/>
      <c r="D182" s="161"/>
      <c r="E182" s="341"/>
      <c r="F182" s="458" t="s">
        <v>327</v>
      </c>
      <c r="G182" s="459" t="s">
        <v>328</v>
      </c>
      <c r="H182" s="346" t="str">
        <f>VLOOKUP(O168&amp;","&amp;O172,$T$3:$W$12,4, FALSE)</f>
        <v>bf16</v>
      </c>
      <c r="I182" s="493"/>
      <c r="J182" s="345"/>
      <c r="K182" s="345"/>
      <c r="L182" s="346"/>
      <c r="M182" s="346"/>
      <c r="N182" s="346"/>
      <c r="O182" s="345"/>
      <c r="P182" s="348"/>
      <c r="Q182" s="379"/>
    </row>
    <row r="183">
      <c r="A183" s="161"/>
      <c r="B183" s="161"/>
      <c r="C183" s="161"/>
      <c r="D183" s="161"/>
      <c r="E183" s="341"/>
      <c r="F183" s="341"/>
      <c r="G183" s="455" t="s">
        <v>341</v>
      </c>
      <c r="H183" s="494" t="str">
        <f>CALCULATE_FLOPS(J171:M171,J175:M175,L175,1,H182)</f>
        <v>#N/A</v>
      </c>
      <c r="I183" s="492"/>
      <c r="J183" s="336"/>
      <c r="K183" s="336"/>
      <c r="L183" s="349"/>
      <c r="M183" s="349"/>
      <c r="N183" s="349"/>
      <c r="O183" s="336"/>
      <c r="P183" s="351"/>
      <c r="Q183" s="298"/>
    </row>
    <row r="184">
      <c r="A184" s="161"/>
      <c r="B184" s="161"/>
      <c r="C184" s="161"/>
      <c r="D184" s="161"/>
      <c r="E184" s="341"/>
      <c r="F184" s="352"/>
      <c r="G184" s="462" t="s">
        <v>330</v>
      </c>
      <c r="H184" s="495" t="str">
        <f>COMPUTE_TIME_MS(H183, H182)</f>
        <v>#N/A</v>
      </c>
      <c r="I184" s="464"/>
      <c r="J184" s="465"/>
      <c r="K184" s="465"/>
      <c r="L184" s="466"/>
      <c r="M184" s="466"/>
      <c r="N184" s="466"/>
      <c r="O184" s="465"/>
      <c r="P184" s="467"/>
      <c r="Q184" s="379"/>
    </row>
    <row r="185">
      <c r="A185" s="161"/>
      <c r="B185" s="161"/>
      <c r="C185" s="161"/>
      <c r="D185" s="161"/>
      <c r="E185" s="341"/>
      <c r="F185" s="458" t="s">
        <v>331</v>
      </c>
      <c r="G185" s="455" t="s">
        <v>332</v>
      </c>
      <c r="H185" s="377">
        <f>IF(Q168,0,P171)+IF(Q172,0,P175)+IF(Q176,0,P179)</f>
        <v>9.765625</v>
      </c>
      <c r="I185" s="336"/>
      <c r="J185" s="336"/>
      <c r="K185" s="336"/>
      <c r="L185" s="349"/>
      <c r="M185" s="349"/>
      <c r="N185" s="349"/>
      <c r="O185" s="336"/>
      <c r="P185" s="351"/>
      <c r="Q185" s="298"/>
    </row>
    <row r="186">
      <c r="A186" s="161"/>
      <c r="B186" s="161"/>
      <c r="C186" s="161"/>
      <c r="D186" s="161"/>
      <c r="E186" s="352"/>
      <c r="F186" s="352"/>
      <c r="G186" s="469" t="s">
        <v>333</v>
      </c>
      <c r="H186" s="500" t="str">
        <f>HBM_TIME_MS(H185)</f>
        <v>#N/A</v>
      </c>
      <c r="I186" s="465"/>
      <c r="J186" s="465"/>
      <c r="K186" s="465"/>
      <c r="L186" s="466"/>
      <c r="M186" s="466"/>
      <c r="N186" s="466"/>
      <c r="O186" s="465"/>
      <c r="P186" s="467"/>
      <c r="Q186" s="379"/>
    </row>
    <row r="187">
      <c r="A187" s="161"/>
      <c r="B187" s="161"/>
      <c r="C187" s="161"/>
      <c r="D187" s="161"/>
      <c r="E187" s="501" t="s">
        <v>344</v>
      </c>
      <c r="F187" s="474" t="s">
        <v>345</v>
      </c>
      <c r="G187" s="502" t="s">
        <v>301</v>
      </c>
      <c r="H187" s="503" t="s">
        <v>281</v>
      </c>
      <c r="I187" s="336" t="s">
        <v>282</v>
      </c>
      <c r="J187" s="504" t="str">
        <f t="array" ref="J187:M190">J176:M179</f>
        <v/>
      </c>
      <c r="K187" s="337" t="s">
        <v>104</v>
      </c>
      <c r="L187" s="337" t="s">
        <v>102</v>
      </c>
      <c r="M187" s="337" t="s">
        <v>210</v>
      </c>
      <c r="N187" s="349" t="s">
        <v>283</v>
      </c>
      <c r="O187" s="338" t="s">
        <v>125</v>
      </c>
      <c r="P187" s="505"/>
      <c r="Q187" s="506"/>
    </row>
    <row r="188">
      <c r="A188" s="161"/>
      <c r="B188" s="161"/>
      <c r="C188" s="161"/>
      <c r="D188" s="161"/>
      <c r="E188" s="341"/>
      <c r="F188" s="341"/>
      <c r="G188" s="341"/>
      <c r="H188" s="507" t="s">
        <v>285</v>
      </c>
      <c r="I188" s="345" t="s">
        <v>282</v>
      </c>
      <c r="J188" s="508"/>
      <c r="K188" s="345">
        <v>2048.0</v>
      </c>
      <c r="L188" s="346">
        <v>1.0</v>
      </c>
      <c r="M188" s="346">
        <v>576.0</v>
      </c>
      <c r="N188" s="346" t="s">
        <v>283</v>
      </c>
      <c r="O188" s="347"/>
      <c r="P188" s="509">
        <f>SIZEOF_IN_MIB(J188:M188, O187)</f>
        <v>1.125</v>
      </c>
      <c r="Q188" s="347"/>
    </row>
    <row r="189">
      <c r="A189" s="161"/>
      <c r="B189" s="161"/>
      <c r="C189" s="161"/>
      <c r="D189" s="161"/>
      <c r="E189" s="341"/>
      <c r="F189" s="341"/>
      <c r="G189" s="341"/>
      <c r="H189" s="503" t="s">
        <v>302</v>
      </c>
      <c r="I189" s="336" t="s">
        <v>282</v>
      </c>
      <c r="J189" s="504"/>
      <c r="K189" s="504" t="s">
        <v>196</v>
      </c>
      <c r="L189" s="349"/>
      <c r="M189" s="510"/>
      <c r="N189" s="349" t="s">
        <v>283</v>
      </c>
      <c r="O189" s="350"/>
      <c r="P189" s="511"/>
      <c r="Q189" s="350"/>
    </row>
    <row r="190">
      <c r="A190" s="161"/>
      <c r="B190" s="161"/>
      <c r="C190" s="161"/>
      <c r="D190" s="161"/>
      <c r="E190" s="341"/>
      <c r="F190" s="341"/>
      <c r="G190" s="341"/>
      <c r="H190" s="507" t="s">
        <v>303</v>
      </c>
      <c r="I190" s="345" t="s">
        <v>282</v>
      </c>
      <c r="J190" s="508"/>
      <c r="K190" s="346">
        <v>128.0</v>
      </c>
      <c r="L190" s="346">
        <v>1.0</v>
      </c>
      <c r="M190" s="346">
        <v>576.0</v>
      </c>
      <c r="N190" s="346" t="s">
        <v>283</v>
      </c>
      <c r="O190" s="347"/>
      <c r="P190" s="509">
        <f>SIZEOF_IN_MIB(J190:M190, O187)</f>
        <v>0.0703125</v>
      </c>
      <c r="Q190" s="347"/>
    </row>
    <row r="191">
      <c r="A191" s="161"/>
      <c r="B191" s="161"/>
      <c r="C191" s="161"/>
      <c r="D191" s="161"/>
      <c r="E191" s="341"/>
      <c r="F191" s="341"/>
      <c r="G191" s="341"/>
      <c r="H191" s="503" t="s">
        <v>304</v>
      </c>
      <c r="I191" s="336" t="s">
        <v>282</v>
      </c>
      <c r="J191" s="504"/>
      <c r="K191" s="504"/>
      <c r="L191" s="510"/>
      <c r="M191" s="510"/>
      <c r="N191" s="349" t="s">
        <v>283</v>
      </c>
      <c r="O191" s="350"/>
      <c r="P191" s="505"/>
      <c r="Q191" s="350"/>
    </row>
    <row r="192">
      <c r="A192" s="161"/>
      <c r="B192" s="161"/>
      <c r="C192" s="161"/>
      <c r="D192" s="161"/>
      <c r="E192" s="341"/>
      <c r="F192" s="341"/>
      <c r="G192" s="352"/>
      <c r="H192" s="507" t="s">
        <v>303</v>
      </c>
      <c r="I192" s="345" t="s">
        <v>282</v>
      </c>
      <c r="J192" s="508"/>
      <c r="K192" s="346">
        <f t="shared" ref="K192:M192" si="37">K188/SHARDING(K191)</f>
        <v>2048</v>
      </c>
      <c r="L192" s="346">
        <f t="shared" si="37"/>
        <v>1</v>
      </c>
      <c r="M192" s="346">
        <f t="shared" si="37"/>
        <v>576</v>
      </c>
      <c r="N192" s="346" t="s">
        <v>283</v>
      </c>
      <c r="O192" s="355"/>
      <c r="P192" s="509">
        <f>SIZEOF_IN_MIB(J192:M192, O187)</f>
        <v>1.125</v>
      </c>
      <c r="Q192" s="355"/>
    </row>
    <row r="193">
      <c r="A193" s="161"/>
      <c r="B193" s="161"/>
      <c r="C193" s="161"/>
      <c r="D193" s="161"/>
      <c r="E193" s="341"/>
      <c r="F193" s="341"/>
      <c r="G193" s="512" t="s">
        <v>305</v>
      </c>
      <c r="H193" s="513"/>
      <c r="I193" s="445"/>
      <c r="J193" s="445"/>
      <c r="K193" s="445"/>
      <c r="L193" s="514"/>
      <c r="M193" s="514"/>
      <c r="N193" s="514"/>
      <c r="O193" s="445"/>
      <c r="P193" s="515"/>
      <c r="Q193" s="445"/>
    </row>
    <row r="194">
      <c r="A194" s="161"/>
      <c r="B194" s="161"/>
      <c r="C194" s="161"/>
      <c r="D194" s="161"/>
      <c r="E194" s="341"/>
      <c r="F194" s="341"/>
      <c r="G194" s="516" t="s">
        <v>306</v>
      </c>
      <c r="H194" s="517">
        <f>SHARDING(K189)*SHARDING(L189)*SHARDING(M189)</f>
        <v>16</v>
      </c>
      <c r="I194" s="508"/>
      <c r="J194" s="508"/>
      <c r="K194" s="508"/>
      <c r="L194" s="518"/>
      <c r="M194" s="518"/>
      <c r="N194" s="518"/>
      <c r="O194" s="508"/>
      <c r="P194" s="519"/>
      <c r="Q194" s="508"/>
    </row>
    <row r="195">
      <c r="A195" s="161"/>
      <c r="B195" s="161"/>
      <c r="C195" s="161"/>
      <c r="D195" s="161"/>
      <c r="E195" s="341"/>
      <c r="F195" s="341"/>
      <c r="G195" s="516" t="s">
        <v>307</v>
      </c>
      <c r="H195" s="520">
        <f>P190 * (H194-1)</f>
        <v>1.0546875</v>
      </c>
      <c r="I195" s="504"/>
      <c r="J195" s="504"/>
      <c r="K195" s="504"/>
      <c r="L195" s="510"/>
      <c r="M195" s="510"/>
      <c r="N195" s="510"/>
      <c r="O195" s="504"/>
      <c r="P195" s="511"/>
      <c r="Q195" s="504"/>
    </row>
    <row r="196">
      <c r="A196" s="161"/>
      <c r="B196" s="161"/>
      <c r="C196" s="161"/>
      <c r="D196" s="161"/>
      <c r="E196" s="341"/>
      <c r="F196" s="341"/>
      <c r="G196" s="516" t="s">
        <v>308</v>
      </c>
      <c r="H196" s="521">
        <f>H195*H194</f>
        <v>16.875</v>
      </c>
      <c r="I196" s="508"/>
      <c r="J196" s="508"/>
      <c r="K196" s="508"/>
      <c r="L196" s="518"/>
      <c r="M196" s="518"/>
      <c r="N196" s="518"/>
      <c r="O196" s="508"/>
      <c r="P196" s="519"/>
      <c r="Q196" s="508"/>
    </row>
    <row r="197">
      <c r="A197" s="161"/>
      <c r="B197" s="161"/>
      <c r="C197" s="161"/>
      <c r="D197" s="161"/>
      <c r="E197" s="341"/>
      <c r="F197" s="341"/>
      <c r="G197" s="516" t="s">
        <v>309</v>
      </c>
      <c r="H197" s="503" t="str">
        <f>IFS(H194=8,12,
H194=4,4,
H194=2,1,
H194=1,0,
TRUE,NA())</f>
        <v>#N/A</v>
      </c>
      <c r="I197" s="504"/>
      <c r="J197" s="504"/>
      <c r="K197" s="504"/>
      <c r="L197" s="510"/>
      <c r="M197" s="510"/>
      <c r="N197" s="510"/>
      <c r="O197" s="504"/>
      <c r="P197" s="511"/>
      <c r="Q197" s="504"/>
    </row>
    <row r="198">
      <c r="A198" s="161"/>
      <c r="B198" s="161"/>
      <c r="C198" s="161"/>
      <c r="D198" s="161"/>
      <c r="E198" s="341"/>
      <c r="F198" s="341"/>
      <c r="G198" s="522" t="s">
        <v>310</v>
      </c>
      <c r="H198" s="523">
        <v>1.0</v>
      </c>
      <c r="I198" s="508"/>
      <c r="J198" s="508"/>
      <c r="K198" s="508"/>
      <c r="L198" s="518"/>
      <c r="M198" s="518"/>
      <c r="N198" s="518"/>
      <c r="O198" s="508"/>
      <c r="P198" s="519"/>
      <c r="Q198" s="508"/>
    </row>
    <row r="199">
      <c r="A199" s="161"/>
      <c r="B199" s="161"/>
      <c r="C199" s="161"/>
      <c r="D199" s="161"/>
      <c r="E199" s="341"/>
      <c r="F199" s="341"/>
      <c r="G199" s="524" t="s">
        <v>311</v>
      </c>
      <c r="H199" s="525" t="str">
        <f>ALL_GATHER_CHIP2CHIP_TIME_MS2(H196 * H198, H197)</f>
        <v>#N/A</v>
      </c>
      <c r="I199" s="504"/>
      <c r="J199" s="504"/>
      <c r="K199" s="504"/>
      <c r="L199" s="510"/>
      <c r="M199" s="510"/>
      <c r="N199" s="510"/>
      <c r="O199" s="504"/>
      <c r="P199" s="511"/>
      <c r="Q199" s="504"/>
    </row>
    <row r="200">
      <c r="A200" s="161"/>
      <c r="B200" s="161"/>
      <c r="C200" s="161"/>
      <c r="D200" s="161"/>
      <c r="E200" s="341"/>
      <c r="F200" s="341"/>
      <c r="G200" s="522"/>
      <c r="H200" s="526"/>
      <c r="I200" s="508"/>
      <c r="J200" s="508"/>
      <c r="K200" s="508"/>
      <c r="L200" s="518"/>
      <c r="M200" s="518"/>
      <c r="N200" s="518"/>
      <c r="O200" s="508"/>
      <c r="P200" s="519"/>
      <c r="Q200" s="508"/>
    </row>
    <row r="201">
      <c r="A201" s="161"/>
      <c r="B201" s="161"/>
      <c r="C201" s="161"/>
      <c r="D201" s="161"/>
      <c r="E201" s="341"/>
      <c r="F201" s="341"/>
      <c r="G201" s="512" t="s">
        <v>312</v>
      </c>
      <c r="H201" s="513"/>
      <c r="I201" s="445"/>
      <c r="J201" s="445"/>
      <c r="K201" s="445"/>
      <c r="L201" s="514"/>
      <c r="M201" s="514"/>
      <c r="N201" s="514"/>
      <c r="O201" s="445"/>
      <c r="P201" s="515"/>
      <c r="Q201" s="445"/>
    </row>
    <row r="202">
      <c r="A202" s="161"/>
      <c r="B202" s="161"/>
      <c r="C202" s="161"/>
      <c r="D202" s="161"/>
      <c r="E202" s="341"/>
      <c r="F202" s="341"/>
      <c r="G202" s="527" t="s">
        <v>313</v>
      </c>
      <c r="H202" s="528" t="s">
        <v>306</v>
      </c>
      <c r="I202" s="508"/>
      <c r="J202" s="529" t="str">
        <f>SHARDING(K189)*SHARDING(L189)*SHARDING(M189)/HW_SPEC("# of TensorCore per Chip")</f>
        <v>#N/A</v>
      </c>
      <c r="K202" s="508"/>
      <c r="L202" s="518"/>
      <c r="M202" s="518"/>
      <c r="N202" s="518"/>
      <c r="O202" s="508"/>
      <c r="P202" s="519"/>
      <c r="Q202" s="508"/>
    </row>
    <row r="203">
      <c r="A203" s="161"/>
      <c r="B203" s="161"/>
      <c r="C203" s="161"/>
      <c r="D203" s="161"/>
      <c r="E203" s="341"/>
      <c r="F203" s="341"/>
      <c r="G203" s="341"/>
      <c r="H203" s="530" t="s">
        <v>307</v>
      </c>
      <c r="I203" s="504"/>
      <c r="J203" s="520" t="str">
        <f>P190 * HW_SPEC("# of TensorCore per Chip") * (J202-1)</f>
        <v>#N/A</v>
      </c>
      <c r="K203" s="504"/>
      <c r="L203" s="510"/>
      <c r="M203" s="510"/>
      <c r="N203" s="510"/>
      <c r="O203" s="504"/>
      <c r="P203" s="511"/>
      <c r="Q203" s="504"/>
    </row>
    <row r="204">
      <c r="A204" s="161"/>
      <c r="B204" s="161"/>
      <c r="C204" s="161"/>
      <c r="D204" s="161"/>
      <c r="E204" s="341"/>
      <c r="F204" s="341"/>
      <c r="G204" s="341"/>
      <c r="H204" s="528" t="s">
        <v>308</v>
      </c>
      <c r="I204" s="508"/>
      <c r="J204" s="521" t="str">
        <f>J203*J202</f>
        <v>#N/A</v>
      </c>
      <c r="K204" s="508"/>
      <c r="L204" s="518"/>
      <c r="M204" s="518"/>
      <c r="N204" s="518"/>
      <c r="O204" s="508"/>
      <c r="P204" s="519"/>
      <c r="Q204" s="508"/>
    </row>
    <row r="205">
      <c r="A205" s="161"/>
      <c r="B205" s="161"/>
      <c r="C205" s="161"/>
      <c r="D205" s="161"/>
      <c r="E205" s="341"/>
      <c r="F205" s="341"/>
      <c r="G205" s="341"/>
      <c r="H205" s="530" t="s">
        <v>309</v>
      </c>
      <c r="I205" s="504"/>
      <c r="J205" s="531" t="str">
        <f>IFS(J202=8,12,
J202=4,4,
J202=2,1,
J202=1,0,
TRUE,NA())</f>
        <v>#N/A</v>
      </c>
      <c r="K205" s="504"/>
      <c r="L205" s="510"/>
      <c r="M205" s="510"/>
      <c r="N205" s="510"/>
      <c r="O205" s="504"/>
      <c r="P205" s="511"/>
      <c r="Q205" s="504"/>
    </row>
    <row r="206">
      <c r="A206" s="161"/>
      <c r="B206" s="161"/>
      <c r="C206" s="161"/>
      <c r="D206" s="161"/>
      <c r="E206" s="341"/>
      <c r="F206" s="341"/>
      <c r="G206" s="341"/>
      <c r="H206" s="526" t="s">
        <v>310</v>
      </c>
      <c r="I206" s="508"/>
      <c r="J206" s="345">
        <v>2.0</v>
      </c>
      <c r="K206" s="508"/>
      <c r="L206" s="518"/>
      <c r="M206" s="518"/>
      <c r="N206" s="518"/>
      <c r="O206" s="508"/>
      <c r="P206" s="519"/>
      <c r="Q206" s="508"/>
    </row>
    <row r="207">
      <c r="A207" s="161"/>
      <c r="B207" s="161"/>
      <c r="C207" s="161"/>
      <c r="D207" s="161"/>
      <c r="E207" s="341"/>
      <c r="F207" s="341"/>
      <c r="G207" s="352"/>
      <c r="H207" s="530" t="s">
        <v>311</v>
      </c>
      <c r="I207" s="504"/>
      <c r="J207" s="532" t="str">
        <f>ALL_GATHER_CHIP2CHIP_TIME_MS2(J204 * J206, J205)</f>
        <v>#N/A</v>
      </c>
      <c r="K207" s="504"/>
      <c r="L207" s="510"/>
      <c r="M207" s="510"/>
      <c r="N207" s="510"/>
      <c r="O207" s="504"/>
      <c r="P207" s="511"/>
      <c r="Q207" s="504"/>
    </row>
    <row r="208">
      <c r="A208" s="161"/>
      <c r="B208" s="161"/>
      <c r="C208" s="161"/>
      <c r="D208" s="161"/>
      <c r="E208" s="341"/>
      <c r="F208" s="341"/>
      <c r="G208" s="527" t="s">
        <v>314</v>
      </c>
      <c r="H208" s="528" t="s">
        <v>306</v>
      </c>
      <c r="I208" s="508"/>
      <c r="J208" s="533" t="str">
        <f>HW_SPEC("# of TensorCore per Chip")</f>
        <v>#N/A</v>
      </c>
      <c r="K208" s="508"/>
      <c r="L208" s="518"/>
      <c r="M208" s="518"/>
      <c r="N208" s="518"/>
      <c r="O208" s="508"/>
      <c r="P208" s="519"/>
      <c r="Q208" s="508"/>
    </row>
    <row r="209">
      <c r="A209" s="161"/>
      <c r="B209" s="161"/>
      <c r="C209" s="161"/>
      <c r="D209" s="161"/>
      <c r="E209" s="341"/>
      <c r="F209" s="341"/>
      <c r="G209" s="341"/>
      <c r="H209" s="530" t="s">
        <v>307</v>
      </c>
      <c r="I209" s="504"/>
      <c r="J209" s="520" t="str">
        <f>P190*J202 * (J208-1)</f>
        <v>#N/A</v>
      </c>
      <c r="K209" s="504"/>
      <c r="L209" s="510"/>
      <c r="M209" s="510"/>
      <c r="N209" s="510"/>
      <c r="O209" s="504"/>
      <c r="P209" s="511"/>
      <c r="Q209" s="504"/>
    </row>
    <row r="210">
      <c r="A210" s="161"/>
      <c r="B210" s="161"/>
      <c r="C210" s="161"/>
      <c r="D210" s="161"/>
      <c r="E210" s="341"/>
      <c r="F210" s="341"/>
      <c r="G210" s="341"/>
      <c r="H210" s="528" t="s">
        <v>308</v>
      </c>
      <c r="I210" s="508"/>
      <c r="J210" s="521" t="str">
        <f>J209*J208</f>
        <v>#N/A</v>
      </c>
      <c r="K210" s="508"/>
      <c r="L210" s="518"/>
      <c r="M210" s="518"/>
      <c r="N210" s="518"/>
      <c r="O210" s="508"/>
      <c r="P210" s="519"/>
      <c r="Q210" s="508"/>
    </row>
    <row r="211">
      <c r="A211" s="161"/>
      <c r="B211" s="161"/>
      <c r="C211" s="161"/>
      <c r="D211" s="161"/>
      <c r="E211" s="341"/>
      <c r="F211" s="341"/>
      <c r="G211" s="341"/>
      <c r="H211" s="530" t="s">
        <v>311</v>
      </c>
      <c r="I211" s="504"/>
      <c r="J211" s="534" t="str">
        <f>ALL_GATHER_CORE2CORE_TIME_MS(J210)</f>
        <v>#N/A</v>
      </c>
      <c r="K211" s="504"/>
      <c r="L211" s="510"/>
      <c r="M211" s="510"/>
      <c r="N211" s="510"/>
      <c r="O211" s="504"/>
      <c r="P211" s="511"/>
      <c r="Q211" s="504"/>
    </row>
    <row r="212">
      <c r="A212" s="161"/>
      <c r="B212" s="161"/>
      <c r="C212" s="161"/>
      <c r="D212" s="161"/>
      <c r="E212" s="341"/>
      <c r="F212" s="341"/>
      <c r="G212" s="352"/>
      <c r="H212" s="535" t="s">
        <v>346</v>
      </c>
      <c r="I212" s="508"/>
      <c r="J212" s="536" t="str">
        <f>J211/J202</f>
        <v>#N/A</v>
      </c>
      <c r="K212" s="508"/>
      <c r="L212" s="518"/>
      <c r="M212" s="518"/>
      <c r="N212" s="518"/>
      <c r="O212" s="508"/>
      <c r="P212" s="519"/>
      <c r="Q212" s="508"/>
    </row>
    <row r="213">
      <c r="A213" s="161"/>
      <c r="B213" s="161"/>
      <c r="C213" s="161"/>
      <c r="D213" s="161"/>
      <c r="E213" s="341"/>
      <c r="F213" s="341"/>
      <c r="G213" s="524" t="s">
        <v>316</v>
      </c>
      <c r="H213" s="537" t="str">
        <f>J207+J212</f>
        <v>#N/A</v>
      </c>
      <c r="I213" s="504"/>
      <c r="J213" s="538"/>
      <c r="K213" s="504"/>
      <c r="L213" s="510"/>
      <c r="M213" s="510"/>
      <c r="N213" s="510"/>
      <c r="O213" s="504"/>
      <c r="P213" s="511"/>
      <c r="Q213" s="504"/>
    </row>
    <row r="214">
      <c r="A214" s="161"/>
      <c r="B214" s="161"/>
      <c r="C214" s="161"/>
      <c r="D214" s="161"/>
      <c r="E214" s="341"/>
      <c r="F214" s="341"/>
      <c r="G214" s="522"/>
      <c r="H214" s="539"/>
      <c r="I214" s="508"/>
      <c r="J214" s="540"/>
      <c r="K214" s="508"/>
      <c r="L214" s="518"/>
      <c r="M214" s="518"/>
      <c r="N214" s="518"/>
      <c r="O214" s="508"/>
      <c r="P214" s="519"/>
      <c r="Q214" s="508"/>
    </row>
    <row r="215">
      <c r="A215" s="161"/>
      <c r="B215" s="161"/>
      <c r="C215" s="161"/>
      <c r="D215" s="161"/>
      <c r="E215" s="341"/>
      <c r="F215" s="341"/>
      <c r="G215" s="541" t="s">
        <v>322</v>
      </c>
      <c r="H215" s="444" t="s">
        <v>323</v>
      </c>
      <c r="I215" s="445"/>
      <c r="J215" s="445"/>
      <c r="K215" s="445"/>
      <c r="L215" s="514"/>
      <c r="M215" s="514"/>
      <c r="N215" s="514"/>
      <c r="O215" s="445"/>
      <c r="P215" s="515"/>
      <c r="Q215" s="445"/>
    </row>
    <row r="216">
      <c r="A216" s="161"/>
      <c r="B216" s="161"/>
      <c r="C216" s="161"/>
      <c r="D216" s="161"/>
      <c r="E216" s="341"/>
      <c r="F216" s="341"/>
      <c r="G216" s="541" t="s">
        <v>340</v>
      </c>
      <c r="H216" s="542">
        <f>IFS(H215=G193,H199,
H215=G201,H213 ,
TRUE,0)</f>
        <v>0</v>
      </c>
      <c r="I216" s="445"/>
      <c r="J216" s="445"/>
      <c r="K216" s="445"/>
      <c r="L216" s="514"/>
      <c r="M216" s="514"/>
      <c r="N216" s="514"/>
      <c r="O216" s="445"/>
      <c r="P216" s="543"/>
      <c r="Q216" s="445"/>
    </row>
    <row r="217">
      <c r="A217" s="161"/>
      <c r="B217" s="161"/>
      <c r="C217" s="161"/>
      <c r="D217" s="161"/>
      <c r="E217" s="333" t="s">
        <v>347</v>
      </c>
      <c r="F217" s="357" t="s">
        <v>292</v>
      </c>
      <c r="G217" s="335"/>
      <c r="H217" s="364" t="s">
        <v>281</v>
      </c>
      <c r="I217" s="364" t="s">
        <v>282</v>
      </c>
      <c r="J217" s="273" t="s">
        <v>104</v>
      </c>
      <c r="K217" s="273" t="s">
        <v>102</v>
      </c>
      <c r="L217" s="273" t="s">
        <v>207</v>
      </c>
      <c r="M217" s="472" t="s">
        <v>198</v>
      </c>
      <c r="N217" s="364" t="s">
        <v>283</v>
      </c>
      <c r="O217" s="365" t="str">
        <f>PARAMS("attn_kv_k_dtype")</f>
        <v>bf16</v>
      </c>
      <c r="P217" s="366"/>
      <c r="Q217" s="365" t="b">
        <v>0</v>
      </c>
    </row>
    <row r="218">
      <c r="A218" s="161"/>
      <c r="B218" s="161"/>
      <c r="C218" s="161"/>
      <c r="D218" s="161"/>
      <c r="E218" s="341"/>
      <c r="F218" s="342"/>
      <c r="G218" s="343"/>
      <c r="H218" s="273" t="s">
        <v>285</v>
      </c>
      <c r="I218" s="364" t="s">
        <v>282</v>
      </c>
      <c r="J218" s="363">
        <f t="shared" ref="J218:M218" si="38">PARAMS(J217)</f>
        <v>2048</v>
      </c>
      <c r="K218" s="364">
        <f t="shared" si="38"/>
        <v>1</v>
      </c>
      <c r="L218" s="364">
        <f t="shared" si="38"/>
        <v>128</v>
      </c>
      <c r="M218" s="364">
        <f t="shared" si="38"/>
        <v>512</v>
      </c>
      <c r="N218" s="364" t="s">
        <v>283</v>
      </c>
      <c r="O218" s="341"/>
      <c r="P218" s="366">
        <f>SIZEOF_IN_MIB(J218:M218, $O217)</f>
        <v>256</v>
      </c>
      <c r="Q218" s="341"/>
    </row>
    <row r="219">
      <c r="A219" s="161"/>
      <c r="B219" s="161"/>
      <c r="C219" s="161"/>
      <c r="D219" s="161"/>
      <c r="E219" s="341"/>
      <c r="F219" s="342"/>
      <c r="G219" s="343"/>
      <c r="H219" s="363" t="s">
        <v>287</v>
      </c>
      <c r="I219" s="363" t="s">
        <v>282</v>
      </c>
      <c r="J219" s="273" t="s">
        <v>196</v>
      </c>
      <c r="K219" s="273"/>
      <c r="L219" s="273"/>
      <c r="M219" s="363"/>
      <c r="N219" s="363" t="s">
        <v>283</v>
      </c>
      <c r="O219" s="341"/>
      <c r="P219" s="366"/>
      <c r="Q219" s="341"/>
    </row>
    <row r="220">
      <c r="A220" s="161"/>
      <c r="B220" s="161"/>
      <c r="C220" s="161"/>
      <c r="D220" s="161"/>
      <c r="E220" s="341"/>
      <c r="F220" s="353"/>
      <c r="G220" s="354"/>
      <c r="H220" s="273" t="s">
        <v>289</v>
      </c>
      <c r="I220" s="363" t="s">
        <v>282</v>
      </c>
      <c r="J220" s="363">
        <f t="shared" ref="J220:M220" si="39">J218/SHARDING(J219)</f>
        <v>128</v>
      </c>
      <c r="K220" s="363">
        <f t="shared" si="39"/>
        <v>1</v>
      </c>
      <c r="L220" s="363">
        <f t="shared" si="39"/>
        <v>128</v>
      </c>
      <c r="M220" s="363">
        <f t="shared" si="39"/>
        <v>512</v>
      </c>
      <c r="N220" s="363" t="s">
        <v>283</v>
      </c>
      <c r="O220" s="352"/>
      <c r="P220" s="366">
        <f>SIZEOF_IN_MIB(J220:M220, $O217)</f>
        <v>16</v>
      </c>
      <c r="Q220" s="352"/>
    </row>
    <row r="221">
      <c r="A221" s="161"/>
      <c r="B221" s="161"/>
      <c r="C221" s="161"/>
      <c r="D221" s="161"/>
      <c r="E221" s="341"/>
      <c r="F221" s="334" t="s">
        <v>296</v>
      </c>
      <c r="G221" s="335"/>
      <c r="H221" s="363" t="s">
        <v>281</v>
      </c>
      <c r="I221" s="363" t="s">
        <v>282</v>
      </c>
      <c r="J221" s="364"/>
      <c r="K221" s="273" t="s">
        <v>104</v>
      </c>
      <c r="L221" s="273" t="s">
        <v>106</v>
      </c>
      <c r="M221" s="472" t="s">
        <v>198</v>
      </c>
      <c r="N221" s="363" t="s">
        <v>283</v>
      </c>
      <c r="O221" s="365" t="str">
        <f>PARAMS("kv_dtype")</f>
        <v>fp8</v>
      </c>
      <c r="P221" s="366"/>
      <c r="Q221" s="365" t="b">
        <v>0</v>
      </c>
    </row>
    <row r="222">
      <c r="E222" s="341"/>
      <c r="F222" s="342"/>
      <c r="G222" s="343"/>
      <c r="H222" s="273" t="s">
        <v>285</v>
      </c>
      <c r="I222" s="363" t="s">
        <v>282</v>
      </c>
      <c r="J222" s="364"/>
      <c r="K222" s="363">
        <f t="shared" ref="K222:M222" si="40">PARAMS(K221)</f>
        <v>2048</v>
      </c>
      <c r="L222" s="363">
        <f t="shared" si="40"/>
        <v>5120</v>
      </c>
      <c r="M222" s="363">
        <f t="shared" si="40"/>
        <v>512</v>
      </c>
      <c r="N222" s="363" t="s">
        <v>283</v>
      </c>
      <c r="O222" s="341"/>
      <c r="P222" s="366">
        <f>SIZEOF_IN_MIB(J222:M222, $O221)</f>
        <v>5120</v>
      </c>
      <c r="Q222" s="341"/>
    </row>
    <row r="223">
      <c r="E223" s="341"/>
      <c r="F223" s="342"/>
      <c r="G223" s="343"/>
      <c r="H223" s="363" t="s">
        <v>287</v>
      </c>
      <c r="I223" s="363" t="s">
        <v>282</v>
      </c>
      <c r="J223" s="364"/>
      <c r="K223" s="273" t="s">
        <v>196</v>
      </c>
      <c r="L223" s="363"/>
      <c r="M223" s="363"/>
      <c r="N223" s="363" t="s">
        <v>283</v>
      </c>
      <c r="O223" s="341"/>
      <c r="P223" s="366"/>
      <c r="Q223" s="341"/>
    </row>
    <row r="224">
      <c r="E224" s="341"/>
      <c r="F224" s="353"/>
      <c r="G224" s="354"/>
      <c r="H224" s="349" t="s">
        <v>289</v>
      </c>
      <c r="I224" s="349" t="s">
        <v>282</v>
      </c>
      <c r="J224" s="336"/>
      <c r="K224" s="349">
        <f t="shared" ref="K224:M224" si="41">K222/SHARDING(K223)</f>
        <v>128</v>
      </c>
      <c r="L224" s="349">
        <f t="shared" si="41"/>
        <v>5120</v>
      </c>
      <c r="M224" s="349">
        <f t="shared" si="41"/>
        <v>512</v>
      </c>
      <c r="N224" s="349" t="s">
        <v>283</v>
      </c>
      <c r="O224" s="316"/>
      <c r="P224" s="351">
        <f>SIZEOF_IN_MIB(J224:M224, $O221)</f>
        <v>320</v>
      </c>
      <c r="Q224" s="316"/>
    </row>
    <row r="225">
      <c r="E225" s="341"/>
      <c r="F225" s="334" t="s">
        <v>56</v>
      </c>
      <c r="G225" s="335"/>
      <c r="H225" s="346" t="s">
        <v>281</v>
      </c>
      <c r="I225" s="346" t="s">
        <v>282</v>
      </c>
      <c r="J225" s="344" t="s">
        <v>104</v>
      </c>
      <c r="K225" s="344" t="s">
        <v>102</v>
      </c>
      <c r="L225" s="344" t="s">
        <v>106</v>
      </c>
      <c r="M225" s="344" t="s">
        <v>207</v>
      </c>
      <c r="N225" s="346" t="s">
        <v>283</v>
      </c>
      <c r="O225" s="473" t="s">
        <v>133</v>
      </c>
      <c r="P225" s="348"/>
      <c r="Q225" s="473" t="b">
        <v>1</v>
      </c>
    </row>
    <row r="226">
      <c r="E226" s="341"/>
      <c r="F226" s="342"/>
      <c r="G226" s="343"/>
      <c r="H226" s="337" t="s">
        <v>285</v>
      </c>
      <c r="I226" s="349" t="s">
        <v>282</v>
      </c>
      <c r="J226" s="349">
        <f t="shared" ref="J226:M226" si="42">PARAMS(J225)</f>
        <v>2048</v>
      </c>
      <c r="K226" s="349">
        <f t="shared" si="42"/>
        <v>1</v>
      </c>
      <c r="L226" s="349">
        <f t="shared" si="42"/>
        <v>5120</v>
      </c>
      <c r="M226" s="349">
        <f t="shared" si="42"/>
        <v>128</v>
      </c>
      <c r="N226" s="349" t="s">
        <v>283</v>
      </c>
      <c r="O226" s="350"/>
      <c r="P226" s="351">
        <f>SIZEOF_IN_MIB(J226:M226, $O225)</f>
        <v>2560</v>
      </c>
      <c r="Q226" s="350"/>
    </row>
    <row r="227">
      <c r="E227" s="341"/>
      <c r="F227" s="342"/>
      <c r="G227" s="343"/>
      <c r="H227" s="346" t="s">
        <v>287</v>
      </c>
      <c r="I227" s="346" t="s">
        <v>282</v>
      </c>
      <c r="J227" s="344" t="s">
        <v>196</v>
      </c>
      <c r="K227" s="344"/>
      <c r="L227" s="344"/>
      <c r="M227" s="346"/>
      <c r="N227" s="346" t="s">
        <v>283</v>
      </c>
      <c r="O227" s="347"/>
      <c r="P227" s="348"/>
      <c r="Q227" s="347"/>
    </row>
    <row r="228">
      <c r="E228" s="341"/>
      <c r="F228" s="353"/>
      <c r="G228" s="354"/>
      <c r="H228" s="349" t="s">
        <v>289</v>
      </c>
      <c r="I228" s="349" t="s">
        <v>282</v>
      </c>
      <c r="J228" s="349">
        <f t="shared" ref="J228:M228" si="43">J226/SHARDING(J227)</f>
        <v>128</v>
      </c>
      <c r="K228" s="349">
        <f t="shared" si="43"/>
        <v>1</v>
      </c>
      <c r="L228" s="349">
        <f t="shared" si="43"/>
        <v>5120</v>
      </c>
      <c r="M228" s="349">
        <f t="shared" si="43"/>
        <v>128</v>
      </c>
      <c r="N228" s="349" t="s">
        <v>283</v>
      </c>
      <c r="O228" s="316"/>
      <c r="P228" s="351">
        <f>SIZEOF_IN_MIB(J228:M228, $O225)</f>
        <v>160</v>
      </c>
      <c r="Q228" s="316"/>
    </row>
    <row r="229">
      <c r="E229" s="341"/>
      <c r="F229" s="474" t="s">
        <v>335</v>
      </c>
      <c r="G229" s="459" t="s">
        <v>109</v>
      </c>
      <c r="H229" s="544" t="s">
        <v>348</v>
      </c>
      <c r="I229" s="345"/>
      <c r="J229" s="345"/>
      <c r="K229" s="345"/>
      <c r="L229" s="346"/>
      <c r="M229" s="346"/>
      <c r="N229" s="346"/>
      <c r="O229" s="545"/>
      <c r="P229" s="348"/>
      <c r="Q229" s="545"/>
    </row>
    <row r="230">
      <c r="E230" s="341"/>
      <c r="F230" s="352"/>
      <c r="G230" s="459"/>
      <c r="H230" s="349"/>
      <c r="I230" s="492"/>
      <c r="J230" s="336"/>
      <c r="K230" s="336"/>
      <c r="L230" s="349"/>
      <c r="M230" s="349"/>
      <c r="N230" s="349"/>
      <c r="O230" s="336"/>
      <c r="P230" s="351"/>
      <c r="Q230" s="298"/>
    </row>
    <row r="231">
      <c r="E231" s="341"/>
      <c r="F231" s="458" t="s">
        <v>327</v>
      </c>
      <c r="G231" s="459" t="s">
        <v>328</v>
      </c>
      <c r="H231" s="346" t="str">
        <f>VLOOKUP(O217&amp;","&amp;O221,$T$3:$W$12,4, FALSE)</f>
        <v>bf16</v>
      </c>
      <c r="I231" s="493"/>
      <c r="J231" s="345"/>
      <c r="K231" s="345"/>
      <c r="L231" s="346"/>
      <c r="M231" s="346"/>
      <c r="N231" s="346"/>
      <c r="O231" s="345"/>
      <c r="P231" s="348"/>
      <c r="Q231" s="379"/>
    </row>
    <row r="232">
      <c r="E232" s="341"/>
      <c r="F232" s="341"/>
      <c r="G232" s="455" t="s">
        <v>341</v>
      </c>
      <c r="H232" s="494" t="str">
        <f>CALCULATE_FLOPS(J220:M220,J224:M224,M224,K224,H231)</f>
        <v>#N/A</v>
      </c>
      <c r="I232" s="492"/>
      <c r="J232" s="336"/>
      <c r="K232" s="336"/>
      <c r="L232" s="349"/>
      <c r="M232" s="349"/>
      <c r="N232" s="349"/>
      <c r="O232" s="336"/>
      <c r="P232" s="351"/>
      <c r="Q232" s="298"/>
    </row>
    <row r="233">
      <c r="E233" s="341"/>
      <c r="F233" s="352"/>
      <c r="G233" s="462" t="s">
        <v>330</v>
      </c>
      <c r="H233" s="463" t="str">
        <f>COMPUTE_TIME_MS(H232, H231)</f>
        <v>#N/A</v>
      </c>
      <c r="I233" s="464"/>
      <c r="J233" s="465"/>
      <c r="K233" s="465"/>
      <c r="L233" s="466"/>
      <c r="M233" s="466"/>
      <c r="N233" s="466"/>
      <c r="O233" s="465"/>
      <c r="P233" s="467"/>
      <c r="Q233" s="379"/>
    </row>
    <row r="234">
      <c r="E234" s="341"/>
      <c r="F234" s="458" t="s">
        <v>331</v>
      </c>
      <c r="G234" s="455" t="s">
        <v>332</v>
      </c>
      <c r="H234" s="377">
        <f>IF(Q217,0,P220)+IF(Q221,0,P224)+IF(Q225,0,P228)</f>
        <v>336</v>
      </c>
      <c r="I234" s="336"/>
      <c r="J234" s="336"/>
      <c r="K234" s="336"/>
      <c r="L234" s="349"/>
      <c r="M234" s="349"/>
      <c r="N234" s="349"/>
      <c r="O234" s="336"/>
      <c r="P234" s="351"/>
      <c r="Q234" s="298"/>
    </row>
    <row r="235">
      <c r="E235" s="352"/>
      <c r="F235" s="352"/>
      <c r="G235" s="469" t="s">
        <v>333</v>
      </c>
      <c r="H235" s="500" t="str">
        <f>HBM_TIME_MS(H234)</f>
        <v>#N/A</v>
      </c>
      <c r="I235" s="465"/>
      <c r="J235" s="465"/>
      <c r="K235" s="465"/>
      <c r="L235" s="466"/>
      <c r="M235" s="466"/>
      <c r="N235" s="466"/>
      <c r="O235" s="465"/>
      <c r="P235" s="467"/>
      <c r="Q235" s="379"/>
    </row>
    <row r="236">
      <c r="E236" s="333" t="s">
        <v>349</v>
      </c>
      <c r="F236" s="357" t="s">
        <v>292</v>
      </c>
      <c r="G236" s="335"/>
      <c r="H236" s="364" t="s">
        <v>281</v>
      </c>
      <c r="I236" s="364" t="s">
        <v>282</v>
      </c>
      <c r="J236" s="273" t="s">
        <v>104</v>
      </c>
      <c r="K236" s="273" t="s">
        <v>102</v>
      </c>
      <c r="L236" s="273" t="s">
        <v>207</v>
      </c>
      <c r="M236" s="472" t="s">
        <v>204</v>
      </c>
      <c r="N236" s="364" t="s">
        <v>283</v>
      </c>
      <c r="O236" s="365" t="str">
        <f>PARAMS("attn_kv_k_dtype")</f>
        <v>bf16</v>
      </c>
      <c r="P236" s="366"/>
      <c r="Q236" s="365" t="b">
        <v>0</v>
      </c>
    </row>
    <row r="237">
      <c r="E237" s="341"/>
      <c r="F237" s="342"/>
      <c r="G237" s="343"/>
      <c r="H237" s="273" t="s">
        <v>285</v>
      </c>
      <c r="I237" s="364" t="s">
        <v>282</v>
      </c>
      <c r="J237" s="363">
        <f t="shared" ref="J237:M237" si="44">PARAMS(J236)</f>
        <v>2048</v>
      </c>
      <c r="K237" s="364">
        <f t="shared" si="44"/>
        <v>1</v>
      </c>
      <c r="L237" s="364">
        <f t="shared" si="44"/>
        <v>128</v>
      </c>
      <c r="M237" s="364">
        <f t="shared" si="44"/>
        <v>64</v>
      </c>
      <c r="N237" s="364" t="s">
        <v>283</v>
      </c>
      <c r="O237" s="341"/>
      <c r="P237" s="366">
        <f>SIZEOF_IN_MIB(J237:M237, $O236)</f>
        <v>32</v>
      </c>
      <c r="Q237" s="341"/>
    </row>
    <row r="238">
      <c r="E238" s="341"/>
      <c r="F238" s="342"/>
      <c r="G238" s="343"/>
      <c r="H238" s="363" t="s">
        <v>287</v>
      </c>
      <c r="I238" s="363" t="s">
        <v>282</v>
      </c>
      <c r="J238" s="273" t="s">
        <v>196</v>
      </c>
      <c r="K238" s="273"/>
      <c r="L238" s="273"/>
      <c r="M238" s="363"/>
      <c r="N238" s="363" t="s">
        <v>283</v>
      </c>
      <c r="O238" s="341"/>
      <c r="P238" s="366"/>
      <c r="Q238" s="341"/>
    </row>
    <row r="239">
      <c r="E239" s="341"/>
      <c r="F239" s="353"/>
      <c r="G239" s="354"/>
      <c r="H239" s="273" t="s">
        <v>289</v>
      </c>
      <c r="I239" s="363" t="s">
        <v>282</v>
      </c>
      <c r="J239" s="363">
        <f t="shared" ref="J239:M239" si="45">J237/SHARDING(J238)</f>
        <v>128</v>
      </c>
      <c r="K239" s="363">
        <f t="shared" si="45"/>
        <v>1</v>
      </c>
      <c r="L239" s="363">
        <f t="shared" si="45"/>
        <v>128</v>
      </c>
      <c r="M239" s="363">
        <f t="shared" si="45"/>
        <v>64</v>
      </c>
      <c r="N239" s="363" t="s">
        <v>283</v>
      </c>
      <c r="O239" s="352"/>
      <c r="P239" s="366">
        <f>SIZEOF_IN_MIB(J239:M239, $O236)</f>
        <v>2</v>
      </c>
      <c r="Q239" s="352"/>
    </row>
    <row r="240">
      <c r="E240" s="341"/>
      <c r="F240" s="334" t="s">
        <v>296</v>
      </c>
      <c r="G240" s="335"/>
      <c r="H240" s="363" t="s">
        <v>281</v>
      </c>
      <c r="I240" s="363" t="s">
        <v>282</v>
      </c>
      <c r="J240" s="364"/>
      <c r="K240" s="273" t="s">
        <v>104</v>
      </c>
      <c r="L240" s="273" t="s">
        <v>106</v>
      </c>
      <c r="M240" s="472" t="s">
        <v>204</v>
      </c>
      <c r="N240" s="363" t="s">
        <v>283</v>
      </c>
      <c r="O240" s="365" t="str">
        <f>PARAMS("kv_dtype")</f>
        <v>fp8</v>
      </c>
      <c r="P240" s="366"/>
      <c r="Q240" s="365" t="b">
        <v>0</v>
      </c>
    </row>
    <row r="241">
      <c r="E241" s="341"/>
      <c r="F241" s="342"/>
      <c r="G241" s="343"/>
      <c r="H241" s="273" t="s">
        <v>285</v>
      </c>
      <c r="I241" s="363" t="s">
        <v>282</v>
      </c>
      <c r="J241" s="364"/>
      <c r="K241" s="363">
        <f t="shared" ref="K241:M241" si="46">PARAMS(K240)</f>
        <v>2048</v>
      </c>
      <c r="L241" s="363">
        <f t="shared" si="46"/>
        <v>5120</v>
      </c>
      <c r="M241" s="363">
        <f t="shared" si="46"/>
        <v>64</v>
      </c>
      <c r="N241" s="363" t="s">
        <v>283</v>
      </c>
      <c r="O241" s="341"/>
      <c r="P241" s="366">
        <f>SIZEOF_IN_MIB(J241:M241, $O240)</f>
        <v>640</v>
      </c>
      <c r="Q241" s="341"/>
    </row>
    <row r="242">
      <c r="E242" s="341"/>
      <c r="F242" s="342"/>
      <c r="G242" s="343"/>
      <c r="H242" s="363" t="s">
        <v>287</v>
      </c>
      <c r="I242" s="363" t="s">
        <v>282</v>
      </c>
      <c r="J242" s="364"/>
      <c r="K242" s="273" t="s">
        <v>196</v>
      </c>
      <c r="L242" s="363"/>
      <c r="M242" s="363"/>
      <c r="N242" s="363" t="s">
        <v>283</v>
      </c>
      <c r="O242" s="341"/>
      <c r="P242" s="366"/>
      <c r="Q242" s="341"/>
    </row>
    <row r="243">
      <c r="E243" s="341"/>
      <c r="F243" s="353"/>
      <c r="G243" s="354"/>
      <c r="H243" s="349" t="s">
        <v>289</v>
      </c>
      <c r="I243" s="349" t="s">
        <v>282</v>
      </c>
      <c r="J243" s="336"/>
      <c r="K243" s="349">
        <f t="shared" ref="K243:M243" si="47">K241/SHARDING(K242)</f>
        <v>128</v>
      </c>
      <c r="L243" s="349">
        <f t="shared" si="47"/>
        <v>5120</v>
      </c>
      <c r="M243" s="349">
        <f t="shared" si="47"/>
        <v>64</v>
      </c>
      <c r="N243" s="349" t="s">
        <v>283</v>
      </c>
      <c r="O243" s="316"/>
      <c r="P243" s="351">
        <f>SIZEOF_IN_MIB(J243:M243, $O240)</f>
        <v>40</v>
      </c>
      <c r="Q243" s="316"/>
    </row>
    <row r="244">
      <c r="E244" s="341"/>
      <c r="F244" s="334" t="s">
        <v>56</v>
      </c>
      <c r="G244" s="335"/>
      <c r="H244" s="346" t="s">
        <v>281</v>
      </c>
      <c r="I244" s="346" t="s">
        <v>282</v>
      </c>
      <c r="J244" s="344" t="s">
        <v>104</v>
      </c>
      <c r="K244" s="344" t="s">
        <v>102</v>
      </c>
      <c r="L244" s="344" t="s">
        <v>106</v>
      </c>
      <c r="M244" s="344" t="s">
        <v>207</v>
      </c>
      <c r="N244" s="346" t="s">
        <v>283</v>
      </c>
      <c r="O244" s="546" t="s">
        <v>133</v>
      </c>
      <c r="P244" s="348"/>
      <c r="Q244" s="473" t="b">
        <v>1</v>
      </c>
    </row>
    <row r="245">
      <c r="E245" s="341"/>
      <c r="F245" s="342"/>
      <c r="G245" s="343"/>
      <c r="H245" s="337" t="s">
        <v>285</v>
      </c>
      <c r="I245" s="349" t="s">
        <v>282</v>
      </c>
      <c r="J245" s="349">
        <f t="shared" ref="J245:M245" si="48">PARAMS(J244)</f>
        <v>2048</v>
      </c>
      <c r="K245" s="349">
        <f t="shared" si="48"/>
        <v>1</v>
      </c>
      <c r="L245" s="349">
        <f t="shared" si="48"/>
        <v>5120</v>
      </c>
      <c r="M245" s="349">
        <f t="shared" si="48"/>
        <v>128</v>
      </c>
      <c r="N245" s="349" t="s">
        <v>283</v>
      </c>
      <c r="O245" s="350"/>
      <c r="P245" s="351">
        <f>SIZEOF_IN_MIB(J245:M245, $O244)</f>
        <v>2560</v>
      </c>
      <c r="Q245" s="350"/>
    </row>
    <row r="246">
      <c r="E246" s="341"/>
      <c r="F246" s="342"/>
      <c r="G246" s="343"/>
      <c r="H246" s="346" t="s">
        <v>287</v>
      </c>
      <c r="I246" s="346" t="s">
        <v>282</v>
      </c>
      <c r="J246" s="344" t="s">
        <v>196</v>
      </c>
      <c r="K246" s="344"/>
      <c r="L246" s="344"/>
      <c r="M246" s="346"/>
      <c r="N246" s="346" t="s">
        <v>283</v>
      </c>
      <c r="O246" s="347"/>
      <c r="P246" s="348"/>
      <c r="Q246" s="347"/>
    </row>
    <row r="247">
      <c r="E247" s="341"/>
      <c r="F247" s="353"/>
      <c r="G247" s="354"/>
      <c r="H247" s="349" t="s">
        <v>289</v>
      </c>
      <c r="I247" s="349" t="s">
        <v>282</v>
      </c>
      <c r="J247" s="349">
        <f t="shared" ref="J247:M247" si="49">J245/SHARDING(J246)</f>
        <v>128</v>
      </c>
      <c r="K247" s="349">
        <f t="shared" si="49"/>
        <v>1</v>
      </c>
      <c r="L247" s="349">
        <f t="shared" si="49"/>
        <v>5120</v>
      </c>
      <c r="M247" s="349">
        <f t="shared" si="49"/>
        <v>128</v>
      </c>
      <c r="N247" s="349" t="s">
        <v>283</v>
      </c>
      <c r="O247" s="316"/>
      <c r="P247" s="351">
        <f>SIZEOF_IN_MIB(J247:M247, $O244)</f>
        <v>160</v>
      </c>
      <c r="Q247" s="316"/>
    </row>
    <row r="248">
      <c r="E248" s="341"/>
      <c r="F248" s="474" t="s">
        <v>335</v>
      </c>
      <c r="G248" s="459" t="s">
        <v>109</v>
      </c>
      <c r="H248" s="497"/>
      <c r="I248" s="498"/>
      <c r="J248" s="345"/>
      <c r="K248" s="345"/>
      <c r="L248" s="346"/>
      <c r="M248" s="346"/>
      <c r="N248" s="346"/>
      <c r="O248" s="345"/>
      <c r="P248" s="348"/>
      <c r="Q248" s="379"/>
    </row>
    <row r="249">
      <c r="E249" s="341"/>
      <c r="F249" s="352"/>
      <c r="G249" s="459"/>
      <c r="H249" s="349"/>
      <c r="I249" s="492"/>
      <c r="J249" s="336"/>
      <c r="K249" s="336"/>
      <c r="L249" s="349"/>
      <c r="M249" s="349"/>
      <c r="N249" s="349"/>
      <c r="O249" s="336"/>
      <c r="P249" s="351"/>
      <c r="Q249" s="298"/>
    </row>
    <row r="250">
      <c r="E250" s="341"/>
      <c r="F250" s="458" t="s">
        <v>327</v>
      </c>
      <c r="G250" s="459" t="s">
        <v>328</v>
      </c>
      <c r="H250" s="346" t="str">
        <f>VLOOKUP(O236&amp;","&amp;O240,$T$3:$W$12,4, FALSE)</f>
        <v>bf16</v>
      </c>
      <c r="I250" s="493"/>
      <c r="J250" s="345"/>
      <c r="K250" s="345"/>
      <c r="L250" s="346"/>
      <c r="M250" s="346"/>
      <c r="N250" s="346"/>
      <c r="O250" s="345"/>
      <c r="P250" s="348"/>
      <c r="Q250" s="379"/>
    </row>
    <row r="251">
      <c r="E251" s="341"/>
      <c r="F251" s="341"/>
      <c r="G251" s="455" t="s">
        <v>341</v>
      </c>
      <c r="H251" s="494" t="str">
        <f>CALCULATE_FLOPS(J239:M239,J243:M243,M243,K243,H250)</f>
        <v>#N/A</v>
      </c>
      <c r="I251" s="492"/>
      <c r="J251" s="336"/>
      <c r="K251" s="336"/>
      <c r="L251" s="349"/>
      <c r="M251" s="349"/>
      <c r="N251" s="349"/>
      <c r="O251" s="336"/>
      <c r="P251" s="351"/>
      <c r="Q251" s="298"/>
    </row>
    <row r="252">
      <c r="E252" s="341"/>
      <c r="F252" s="352"/>
      <c r="G252" s="462" t="s">
        <v>330</v>
      </c>
      <c r="H252" s="495" t="str">
        <f>COMPUTE_TIME_MS(H251, H250)</f>
        <v>#N/A</v>
      </c>
      <c r="I252" s="464"/>
      <c r="J252" s="465"/>
      <c r="K252" s="465"/>
      <c r="L252" s="466"/>
      <c r="M252" s="466"/>
      <c r="N252" s="466"/>
      <c r="O252" s="465"/>
      <c r="P252" s="467"/>
      <c r="Q252" s="379"/>
    </row>
    <row r="253">
      <c r="E253" s="341"/>
      <c r="F253" s="458" t="s">
        <v>331</v>
      </c>
      <c r="G253" s="455" t="s">
        <v>332</v>
      </c>
      <c r="H253" s="377">
        <f>IF(Q236,0,P239)+IF(Q240,0,P243)+IF(Q244,0,P247)</f>
        <v>42</v>
      </c>
      <c r="I253" s="336"/>
      <c r="J253" s="336"/>
      <c r="K253" s="336"/>
      <c r="L253" s="349"/>
      <c r="M253" s="349"/>
      <c r="N253" s="349"/>
      <c r="O253" s="336"/>
      <c r="P253" s="351"/>
      <c r="Q253" s="298"/>
    </row>
    <row r="254">
      <c r="E254" s="352"/>
      <c r="F254" s="352"/>
      <c r="G254" s="469" t="s">
        <v>333</v>
      </c>
      <c r="H254" s="500" t="str">
        <f>HBM_TIME_MS(H253)</f>
        <v>#N/A</v>
      </c>
      <c r="I254" s="465"/>
      <c r="J254" s="465"/>
      <c r="K254" s="465"/>
      <c r="L254" s="466"/>
      <c r="M254" s="466"/>
      <c r="N254" s="466"/>
      <c r="O254" s="465"/>
      <c r="P254" s="467"/>
      <c r="Q254" s="379"/>
    </row>
    <row r="255">
      <c r="E255" s="333" t="s">
        <v>350</v>
      </c>
      <c r="F255" s="357" t="s">
        <v>292</v>
      </c>
      <c r="G255" s="335"/>
      <c r="H255" s="364" t="s">
        <v>281</v>
      </c>
      <c r="I255" s="364" t="s">
        <v>282</v>
      </c>
      <c r="J255" s="273" t="s">
        <v>104</v>
      </c>
      <c r="K255" s="273" t="s">
        <v>102</v>
      </c>
      <c r="L255" s="472" t="s">
        <v>106</v>
      </c>
      <c r="M255" s="273" t="s">
        <v>207</v>
      </c>
      <c r="N255" s="364" t="s">
        <v>283</v>
      </c>
      <c r="O255" s="365" t="str">
        <f>PARAMS("attn_av_a_dtype")</f>
        <v>bf16</v>
      </c>
      <c r="P255" s="366"/>
      <c r="Q255" s="365" t="b">
        <v>1</v>
      </c>
    </row>
    <row r="256">
      <c r="E256" s="341"/>
      <c r="F256" s="342"/>
      <c r="G256" s="343"/>
      <c r="H256" s="273" t="s">
        <v>285</v>
      </c>
      <c r="I256" s="364" t="s">
        <v>282</v>
      </c>
      <c r="J256" s="363">
        <f t="shared" ref="J256:M256" si="50">PARAMS(J255)</f>
        <v>2048</v>
      </c>
      <c r="K256" s="364">
        <f t="shared" si="50"/>
        <v>1</v>
      </c>
      <c r="L256" s="364">
        <f t="shared" si="50"/>
        <v>5120</v>
      </c>
      <c r="M256" s="364">
        <f t="shared" si="50"/>
        <v>128</v>
      </c>
      <c r="N256" s="364" t="s">
        <v>283</v>
      </c>
      <c r="O256" s="341"/>
      <c r="P256" s="366">
        <f>SIZEOF_IN_MIB(J256:M256, $O255)</f>
        <v>2560</v>
      </c>
      <c r="Q256" s="341"/>
    </row>
    <row r="257">
      <c r="E257" s="341"/>
      <c r="F257" s="342"/>
      <c r="G257" s="343"/>
      <c r="H257" s="363" t="s">
        <v>287</v>
      </c>
      <c r="I257" s="363" t="s">
        <v>282</v>
      </c>
      <c r="J257" s="273" t="s">
        <v>196</v>
      </c>
      <c r="K257" s="273"/>
      <c r="L257" s="273"/>
      <c r="M257" s="363"/>
      <c r="N257" s="363" t="s">
        <v>283</v>
      </c>
      <c r="O257" s="341"/>
      <c r="P257" s="366"/>
      <c r="Q257" s="341"/>
    </row>
    <row r="258">
      <c r="E258" s="341"/>
      <c r="F258" s="353"/>
      <c r="G258" s="354"/>
      <c r="H258" s="273" t="s">
        <v>289</v>
      </c>
      <c r="I258" s="363" t="s">
        <v>282</v>
      </c>
      <c r="J258" s="363">
        <f t="shared" ref="J258:M258" si="51">J256/SHARDING(J257)</f>
        <v>128</v>
      </c>
      <c r="K258" s="363">
        <f t="shared" si="51"/>
        <v>1</v>
      </c>
      <c r="L258" s="363">
        <f t="shared" si="51"/>
        <v>5120</v>
      </c>
      <c r="M258" s="363">
        <f t="shared" si="51"/>
        <v>128</v>
      </c>
      <c r="N258" s="363" t="s">
        <v>283</v>
      </c>
      <c r="O258" s="352"/>
      <c r="P258" s="366">
        <f>SIZEOF_IN_MIB(J258:M258, $O255)</f>
        <v>160</v>
      </c>
      <c r="Q258" s="352"/>
    </row>
    <row r="259">
      <c r="E259" s="341"/>
      <c r="F259" s="334" t="s">
        <v>296</v>
      </c>
      <c r="G259" s="335"/>
      <c r="H259" s="363" t="s">
        <v>281</v>
      </c>
      <c r="I259" s="363" t="s">
        <v>282</v>
      </c>
      <c r="J259" s="273" t="s">
        <v>104</v>
      </c>
      <c r="K259" s="273"/>
      <c r="L259" s="472" t="s">
        <v>106</v>
      </c>
      <c r="M259" s="273" t="s">
        <v>198</v>
      </c>
      <c r="N259" s="363" t="s">
        <v>283</v>
      </c>
      <c r="O259" s="365" t="str">
        <f>PARAMS("kv_dtype")</f>
        <v>fp8</v>
      </c>
      <c r="P259" s="366"/>
      <c r="Q259" s="365" t="b">
        <v>1</v>
      </c>
    </row>
    <row r="260">
      <c r="E260" s="341"/>
      <c r="F260" s="342"/>
      <c r="G260" s="343"/>
      <c r="H260" s="273" t="s">
        <v>285</v>
      </c>
      <c r="I260" s="363" t="s">
        <v>282</v>
      </c>
      <c r="J260" s="363">
        <f>PARAMS(J259)</f>
        <v>2048</v>
      </c>
      <c r="K260" s="363"/>
      <c r="L260" s="363">
        <f t="shared" ref="L260:M260" si="52">PARAMS(L259)</f>
        <v>5120</v>
      </c>
      <c r="M260" s="363">
        <f t="shared" si="52"/>
        <v>512</v>
      </c>
      <c r="N260" s="363" t="s">
        <v>283</v>
      </c>
      <c r="O260" s="341"/>
      <c r="P260" s="366">
        <f>SIZEOF_IN_MIB(J260:M260, $O259)</f>
        <v>5120</v>
      </c>
      <c r="Q260" s="341"/>
    </row>
    <row r="261">
      <c r="E261" s="341"/>
      <c r="F261" s="342"/>
      <c r="G261" s="343"/>
      <c r="H261" s="363" t="s">
        <v>287</v>
      </c>
      <c r="I261" s="363" t="s">
        <v>282</v>
      </c>
      <c r="J261" s="273" t="s">
        <v>196</v>
      </c>
      <c r="K261" s="364"/>
      <c r="L261" s="363"/>
      <c r="M261" s="363"/>
      <c r="N261" s="363" t="s">
        <v>283</v>
      </c>
      <c r="O261" s="341"/>
      <c r="P261" s="366"/>
      <c r="Q261" s="341"/>
    </row>
    <row r="262">
      <c r="E262" s="341"/>
      <c r="F262" s="353"/>
      <c r="G262" s="354"/>
      <c r="H262" s="349" t="s">
        <v>289</v>
      </c>
      <c r="I262" s="349" t="s">
        <v>282</v>
      </c>
      <c r="J262" s="349">
        <f>J260/SHARDING(J261)</f>
        <v>128</v>
      </c>
      <c r="K262" s="349"/>
      <c r="L262" s="349">
        <f t="shared" ref="L262:M262" si="53">L260/SHARDING(L261)</f>
        <v>5120</v>
      </c>
      <c r="M262" s="349">
        <f t="shared" si="53"/>
        <v>512</v>
      </c>
      <c r="N262" s="349" t="s">
        <v>283</v>
      </c>
      <c r="O262" s="316"/>
      <c r="P262" s="351">
        <f>SIZEOF_IN_MIB(J262:M262, $O259)</f>
        <v>320</v>
      </c>
      <c r="Q262" s="316"/>
    </row>
    <row r="263">
      <c r="E263" s="341"/>
      <c r="F263" s="334" t="s">
        <v>56</v>
      </c>
      <c r="G263" s="335"/>
      <c r="H263" s="346" t="s">
        <v>281</v>
      </c>
      <c r="I263" s="346" t="s">
        <v>282</v>
      </c>
      <c r="J263" s="344" t="s">
        <v>104</v>
      </c>
      <c r="K263" s="344" t="s">
        <v>102</v>
      </c>
      <c r="L263" s="344" t="s">
        <v>207</v>
      </c>
      <c r="M263" s="344" t="s">
        <v>198</v>
      </c>
      <c r="N263" s="346" t="s">
        <v>283</v>
      </c>
      <c r="O263" s="546" t="s">
        <v>133</v>
      </c>
      <c r="P263" s="348"/>
      <c r="Q263" s="473" t="b">
        <v>0</v>
      </c>
    </row>
    <row r="264">
      <c r="E264" s="341"/>
      <c r="F264" s="342"/>
      <c r="G264" s="343"/>
      <c r="H264" s="337" t="s">
        <v>285</v>
      </c>
      <c r="I264" s="349" t="s">
        <v>282</v>
      </c>
      <c r="J264" s="349">
        <f t="shared" ref="J264:M264" si="54">PARAMS(J263)</f>
        <v>2048</v>
      </c>
      <c r="K264" s="349">
        <f t="shared" si="54"/>
        <v>1</v>
      </c>
      <c r="L264" s="349">
        <f t="shared" si="54"/>
        <v>128</v>
      </c>
      <c r="M264" s="349">
        <f t="shared" si="54"/>
        <v>512</v>
      </c>
      <c r="N264" s="349" t="s">
        <v>283</v>
      </c>
      <c r="O264" s="350"/>
      <c r="P264" s="351">
        <f>SIZEOF_IN_MIB(J264:M264, $O263)</f>
        <v>256</v>
      </c>
      <c r="Q264" s="350"/>
    </row>
    <row r="265">
      <c r="E265" s="341"/>
      <c r="F265" s="342"/>
      <c r="G265" s="343"/>
      <c r="H265" s="346" t="s">
        <v>287</v>
      </c>
      <c r="I265" s="346" t="s">
        <v>282</v>
      </c>
      <c r="J265" s="344" t="s">
        <v>196</v>
      </c>
      <c r="K265" s="344"/>
      <c r="L265" s="344"/>
      <c r="M265" s="346"/>
      <c r="N265" s="346" t="s">
        <v>283</v>
      </c>
      <c r="O265" s="347"/>
      <c r="P265" s="348"/>
      <c r="Q265" s="347"/>
    </row>
    <row r="266">
      <c r="E266" s="341"/>
      <c r="F266" s="353"/>
      <c r="G266" s="354"/>
      <c r="H266" s="349" t="s">
        <v>289</v>
      </c>
      <c r="I266" s="349" t="s">
        <v>282</v>
      </c>
      <c r="J266" s="349">
        <f t="shared" ref="J266:M266" si="55">J264/SHARDING(J265)</f>
        <v>128</v>
      </c>
      <c r="K266" s="349">
        <f t="shared" si="55"/>
        <v>1</v>
      </c>
      <c r="L266" s="349">
        <f t="shared" si="55"/>
        <v>128</v>
      </c>
      <c r="M266" s="349">
        <f t="shared" si="55"/>
        <v>512</v>
      </c>
      <c r="N266" s="349" t="s">
        <v>283</v>
      </c>
      <c r="O266" s="316"/>
      <c r="P266" s="351">
        <f>SIZEOF_IN_MIB(J266:M266, $O263)</f>
        <v>16</v>
      </c>
      <c r="Q266" s="316"/>
    </row>
    <row r="267">
      <c r="E267" s="341"/>
      <c r="F267" s="474" t="s">
        <v>335</v>
      </c>
      <c r="G267" s="459" t="s">
        <v>109</v>
      </c>
      <c r="H267" s="497"/>
      <c r="I267" s="498"/>
      <c r="J267" s="345"/>
      <c r="K267" s="345"/>
      <c r="L267" s="346"/>
      <c r="M267" s="346"/>
      <c r="N267" s="346"/>
      <c r="O267" s="345"/>
      <c r="P267" s="348"/>
      <c r="Q267" s="379"/>
    </row>
    <row r="268">
      <c r="E268" s="341"/>
      <c r="F268" s="352"/>
      <c r="G268" s="459"/>
      <c r="H268" s="349"/>
      <c r="I268" s="492"/>
      <c r="J268" s="336"/>
      <c r="K268" s="336"/>
      <c r="L268" s="349"/>
      <c r="M268" s="349"/>
      <c r="N268" s="349"/>
      <c r="O268" s="336"/>
      <c r="P268" s="351"/>
      <c r="Q268" s="298"/>
    </row>
    <row r="269">
      <c r="E269" s="341"/>
      <c r="F269" s="458" t="s">
        <v>327</v>
      </c>
      <c r="G269" s="459" t="s">
        <v>328</v>
      </c>
      <c r="H269" s="346" t="str">
        <f>VLOOKUP(O255&amp;","&amp;O259,$T$3:$W$12,4, FALSE)</f>
        <v>bf16</v>
      </c>
      <c r="I269" s="493"/>
      <c r="J269" s="345"/>
      <c r="K269" s="345"/>
      <c r="L269" s="346"/>
      <c r="M269" s="346"/>
      <c r="N269" s="346"/>
      <c r="O269" s="345"/>
      <c r="P269" s="348"/>
      <c r="Q269" s="379"/>
    </row>
    <row r="270">
      <c r="E270" s="341"/>
      <c r="F270" s="341"/>
      <c r="G270" s="455" t="s">
        <v>341</v>
      </c>
      <c r="H270" s="494" t="str">
        <f>CALCULATE_FLOPS(J258:M258,J262:M262,L262,J262,H269)</f>
        <v>#N/A</v>
      </c>
      <c r="I270" s="492"/>
      <c r="J270" s="336"/>
      <c r="K270" s="336"/>
      <c r="L270" s="349"/>
      <c r="M270" s="349"/>
      <c r="N270" s="349"/>
      <c r="O270" s="336"/>
      <c r="P270" s="351"/>
      <c r="Q270" s="298"/>
    </row>
    <row r="271">
      <c r="E271" s="341"/>
      <c r="F271" s="352"/>
      <c r="G271" s="462" t="s">
        <v>330</v>
      </c>
      <c r="H271" s="495" t="str">
        <f>COMPUTE_TIME_MS(H270, H269)</f>
        <v>#N/A</v>
      </c>
      <c r="I271" s="464"/>
      <c r="J271" s="465"/>
      <c r="K271" s="465"/>
      <c r="L271" s="466"/>
      <c r="M271" s="466"/>
      <c r="N271" s="466"/>
      <c r="O271" s="465"/>
      <c r="P271" s="467"/>
      <c r="Q271" s="379"/>
    </row>
    <row r="272">
      <c r="E272" s="341"/>
      <c r="F272" s="458" t="s">
        <v>331</v>
      </c>
      <c r="G272" s="455" t="s">
        <v>332</v>
      </c>
      <c r="H272" s="377">
        <f>IF(Q255,0,P258)+IF(Q259,0,P262)+IF(Q263,0,P266)</f>
        <v>16</v>
      </c>
      <c r="I272" s="336"/>
      <c r="J272" s="336"/>
      <c r="K272" s="336"/>
      <c r="L272" s="349"/>
      <c r="M272" s="349"/>
      <c r="N272" s="349"/>
      <c r="O272" s="336"/>
      <c r="P272" s="351"/>
      <c r="Q272" s="298"/>
    </row>
    <row r="273">
      <c r="E273" s="352"/>
      <c r="F273" s="352"/>
      <c r="G273" s="469" t="s">
        <v>333</v>
      </c>
      <c r="H273" s="547" t="str">
        <f>HBM_TIME_MS(H272)</f>
        <v>#N/A</v>
      </c>
      <c r="I273" s="465"/>
      <c r="J273" s="465"/>
      <c r="K273" s="465"/>
      <c r="L273" s="466"/>
      <c r="M273" s="466"/>
      <c r="N273" s="466"/>
      <c r="O273" s="465"/>
      <c r="P273" s="467"/>
      <c r="Q273" s="379"/>
    </row>
    <row r="274">
      <c r="E274" s="333" t="s">
        <v>351</v>
      </c>
      <c r="F274" s="357" t="s">
        <v>292</v>
      </c>
      <c r="G274" s="335"/>
      <c r="H274" s="336" t="s">
        <v>281</v>
      </c>
      <c r="I274" s="336" t="s">
        <v>282</v>
      </c>
      <c r="J274" s="337" t="s">
        <v>104</v>
      </c>
      <c r="K274" s="337" t="s">
        <v>102</v>
      </c>
      <c r="L274" s="337" t="s">
        <v>207</v>
      </c>
      <c r="M274" s="499" t="s">
        <v>198</v>
      </c>
      <c r="N274" s="336" t="s">
        <v>283</v>
      </c>
      <c r="O274" s="338" t="str">
        <f>EXTRACT_ACTIVATION_DTYPE(PARAMS("attn_proj_dtype"))</f>
        <v>bf16</v>
      </c>
      <c r="P274" s="351"/>
      <c r="Q274" s="338" t="b">
        <v>0</v>
      </c>
    </row>
    <row r="275">
      <c r="E275" s="341"/>
      <c r="F275" s="342"/>
      <c r="G275" s="343"/>
      <c r="H275" s="344" t="s">
        <v>285</v>
      </c>
      <c r="I275" s="345" t="s">
        <v>282</v>
      </c>
      <c r="J275" s="346">
        <f t="shared" ref="J275:M275" si="56">PARAMS(J274)</f>
        <v>2048</v>
      </c>
      <c r="K275" s="345">
        <f t="shared" si="56"/>
        <v>1</v>
      </c>
      <c r="L275" s="345">
        <f t="shared" si="56"/>
        <v>128</v>
      </c>
      <c r="M275" s="345">
        <f t="shared" si="56"/>
        <v>512</v>
      </c>
      <c r="N275" s="345" t="s">
        <v>283</v>
      </c>
      <c r="O275" s="347"/>
      <c r="P275" s="348">
        <f>SIZEOF_IN_MIB(J275:M275, $O274)</f>
        <v>256</v>
      </c>
      <c r="Q275" s="347"/>
    </row>
    <row r="276">
      <c r="E276" s="341"/>
      <c r="F276" s="342"/>
      <c r="G276" s="343"/>
      <c r="H276" s="349" t="s">
        <v>287</v>
      </c>
      <c r="I276" s="349" t="s">
        <v>282</v>
      </c>
      <c r="J276" s="337" t="s">
        <v>196</v>
      </c>
      <c r="K276" s="337"/>
      <c r="L276" s="337"/>
      <c r="M276" s="349"/>
      <c r="N276" s="349" t="s">
        <v>283</v>
      </c>
      <c r="O276" s="350"/>
      <c r="P276" s="351"/>
      <c r="Q276" s="350"/>
    </row>
    <row r="277">
      <c r="E277" s="341"/>
      <c r="F277" s="353"/>
      <c r="G277" s="354"/>
      <c r="H277" s="344" t="s">
        <v>289</v>
      </c>
      <c r="I277" s="346" t="s">
        <v>282</v>
      </c>
      <c r="J277" s="346">
        <f t="shared" ref="J277:M277" si="57">J275/SHARDING(J276)</f>
        <v>128</v>
      </c>
      <c r="K277" s="346">
        <f t="shared" si="57"/>
        <v>1</v>
      </c>
      <c r="L277" s="346">
        <f t="shared" si="57"/>
        <v>128</v>
      </c>
      <c r="M277" s="346">
        <f t="shared" si="57"/>
        <v>512</v>
      </c>
      <c r="N277" s="346" t="s">
        <v>283</v>
      </c>
      <c r="O277" s="355"/>
      <c r="P277" s="348">
        <f>SIZEOF_IN_MIB(J277:M277, $O274)</f>
        <v>16</v>
      </c>
      <c r="Q277" s="355"/>
    </row>
    <row r="278">
      <c r="E278" s="341"/>
      <c r="F278" s="334" t="s">
        <v>296</v>
      </c>
      <c r="G278" s="335"/>
      <c r="H278" s="349" t="s">
        <v>281</v>
      </c>
      <c r="I278" s="349" t="s">
        <v>282</v>
      </c>
      <c r="J278" s="336"/>
      <c r="K278" s="337" t="s">
        <v>207</v>
      </c>
      <c r="L278" s="337" t="s">
        <v>201</v>
      </c>
      <c r="M278" s="499" t="s">
        <v>198</v>
      </c>
      <c r="N278" s="349" t="s">
        <v>283</v>
      </c>
      <c r="O278" s="338" t="str">
        <f>EXTRACT_WEIGHT_DTYPE(PARAMS("attn_proj_dtype"))</f>
        <v>bf16</v>
      </c>
      <c r="P278" s="351"/>
      <c r="Q278" s="338" t="b">
        <v>0</v>
      </c>
    </row>
    <row r="279">
      <c r="E279" s="341"/>
      <c r="F279" s="342"/>
      <c r="G279" s="343"/>
      <c r="H279" s="344" t="s">
        <v>285</v>
      </c>
      <c r="I279" s="346" t="s">
        <v>282</v>
      </c>
      <c r="J279" s="345"/>
      <c r="K279" s="346">
        <f t="shared" ref="K279:M279" si="58">PARAMS(K278)</f>
        <v>128</v>
      </c>
      <c r="L279" s="346">
        <f t="shared" si="58"/>
        <v>128</v>
      </c>
      <c r="M279" s="346">
        <f t="shared" si="58"/>
        <v>512</v>
      </c>
      <c r="N279" s="346" t="s">
        <v>283</v>
      </c>
      <c r="O279" s="347"/>
      <c r="P279" s="348">
        <f>SIZEOF_IN_MIB(J279:M279, $O278)</f>
        <v>16</v>
      </c>
      <c r="Q279" s="347"/>
    </row>
    <row r="280">
      <c r="E280" s="341"/>
      <c r="F280" s="342"/>
      <c r="G280" s="343"/>
      <c r="H280" s="349" t="s">
        <v>287</v>
      </c>
      <c r="I280" s="349" t="s">
        <v>282</v>
      </c>
      <c r="J280" s="336"/>
      <c r="K280" s="336"/>
      <c r="L280" s="349"/>
      <c r="M280" s="349"/>
      <c r="N280" s="349" t="s">
        <v>283</v>
      </c>
      <c r="O280" s="350"/>
      <c r="P280" s="351"/>
      <c r="Q280" s="350"/>
    </row>
    <row r="281">
      <c r="E281" s="341"/>
      <c r="F281" s="353"/>
      <c r="G281" s="354"/>
      <c r="H281" s="346" t="s">
        <v>289</v>
      </c>
      <c r="I281" s="346" t="s">
        <v>282</v>
      </c>
      <c r="J281" s="345"/>
      <c r="K281" s="346">
        <f t="shared" ref="K281:M281" si="59">K279/SHARDING(K280)</f>
        <v>128</v>
      </c>
      <c r="L281" s="346">
        <f t="shared" si="59"/>
        <v>128</v>
      </c>
      <c r="M281" s="346">
        <f t="shared" si="59"/>
        <v>512</v>
      </c>
      <c r="N281" s="346" t="s">
        <v>283</v>
      </c>
      <c r="O281" s="355"/>
      <c r="P281" s="348">
        <f>SIZEOF_IN_MIB(J281:M281, $O278)</f>
        <v>16</v>
      </c>
      <c r="Q281" s="355"/>
    </row>
    <row r="282">
      <c r="E282" s="341"/>
      <c r="F282" s="334" t="s">
        <v>56</v>
      </c>
      <c r="G282" s="335"/>
      <c r="H282" s="349" t="s">
        <v>281</v>
      </c>
      <c r="I282" s="349" t="s">
        <v>282</v>
      </c>
      <c r="J282" s="337" t="s">
        <v>104</v>
      </c>
      <c r="K282" s="337" t="s">
        <v>102</v>
      </c>
      <c r="L282" s="337" t="s">
        <v>207</v>
      </c>
      <c r="M282" s="337" t="s">
        <v>201</v>
      </c>
      <c r="N282" s="349" t="s">
        <v>283</v>
      </c>
      <c r="O282" s="338" t="s">
        <v>133</v>
      </c>
      <c r="P282" s="351"/>
      <c r="Q282" s="338" t="b">
        <v>0</v>
      </c>
    </row>
    <row r="283">
      <c r="E283" s="341"/>
      <c r="F283" s="342"/>
      <c r="G283" s="343"/>
      <c r="H283" s="344" t="s">
        <v>285</v>
      </c>
      <c r="I283" s="346" t="s">
        <v>282</v>
      </c>
      <c r="J283" s="346">
        <f t="shared" ref="J283:M283" si="60">PARAMS(J282)</f>
        <v>2048</v>
      </c>
      <c r="K283" s="346">
        <f t="shared" si="60"/>
        <v>1</v>
      </c>
      <c r="L283" s="346">
        <f t="shared" si="60"/>
        <v>128</v>
      </c>
      <c r="M283" s="346">
        <f t="shared" si="60"/>
        <v>128</v>
      </c>
      <c r="N283" s="346" t="s">
        <v>283</v>
      </c>
      <c r="O283" s="347"/>
      <c r="P283" s="348">
        <f>SIZEOF_IN_MIB(J283:M283, $O282)</f>
        <v>64</v>
      </c>
      <c r="Q283" s="347"/>
    </row>
    <row r="284">
      <c r="E284" s="341"/>
      <c r="F284" s="342"/>
      <c r="G284" s="343"/>
      <c r="H284" s="349" t="s">
        <v>287</v>
      </c>
      <c r="I284" s="349" t="s">
        <v>282</v>
      </c>
      <c r="J284" s="337" t="s">
        <v>196</v>
      </c>
      <c r="K284" s="337"/>
      <c r="L284" s="337"/>
      <c r="M284" s="349"/>
      <c r="N284" s="349" t="s">
        <v>283</v>
      </c>
      <c r="O284" s="350"/>
      <c r="P284" s="351"/>
      <c r="Q284" s="350"/>
    </row>
    <row r="285">
      <c r="E285" s="341"/>
      <c r="F285" s="353"/>
      <c r="G285" s="354"/>
      <c r="H285" s="346" t="s">
        <v>289</v>
      </c>
      <c r="I285" s="346" t="s">
        <v>282</v>
      </c>
      <c r="J285" s="346">
        <f t="shared" ref="J285:M285" si="61">J283/SHARDING(J284)</f>
        <v>128</v>
      </c>
      <c r="K285" s="346">
        <f t="shared" si="61"/>
        <v>1</v>
      </c>
      <c r="L285" s="346">
        <f t="shared" si="61"/>
        <v>128</v>
      </c>
      <c r="M285" s="346">
        <f t="shared" si="61"/>
        <v>128</v>
      </c>
      <c r="N285" s="346" t="s">
        <v>283</v>
      </c>
      <c r="O285" s="355"/>
      <c r="P285" s="348">
        <f>SIZEOF_IN_MIB(J285:M285, $O282)</f>
        <v>4</v>
      </c>
      <c r="Q285" s="355"/>
    </row>
    <row r="286">
      <c r="E286" s="341"/>
      <c r="F286" s="474" t="s">
        <v>335</v>
      </c>
      <c r="G286" s="459" t="s">
        <v>109</v>
      </c>
      <c r="H286" s="548"/>
      <c r="I286" s="549"/>
      <c r="J286" s="336"/>
      <c r="K286" s="336"/>
      <c r="L286" s="349"/>
      <c r="M286" s="349"/>
      <c r="N286" s="349"/>
      <c r="O286" s="336"/>
      <c r="P286" s="351"/>
      <c r="Q286" s="298"/>
    </row>
    <row r="287">
      <c r="E287" s="341"/>
      <c r="F287" s="352"/>
      <c r="G287" s="459"/>
      <c r="H287" s="346"/>
      <c r="I287" s="493"/>
      <c r="J287" s="345"/>
      <c r="K287" s="345"/>
      <c r="L287" s="346"/>
      <c r="M287" s="346"/>
      <c r="N287" s="346"/>
      <c r="O287" s="345"/>
      <c r="P287" s="348"/>
      <c r="Q287" s="379"/>
    </row>
    <row r="288">
      <c r="E288" s="341"/>
      <c r="F288" s="458" t="s">
        <v>327</v>
      </c>
      <c r="G288" s="459" t="s">
        <v>328</v>
      </c>
      <c r="H288" s="349" t="str">
        <f>VLOOKUP(O274&amp;","&amp;O278,$T$3:$W$12,4, FALSE)</f>
        <v>bf16</v>
      </c>
      <c r="I288" s="492"/>
      <c r="J288" s="336"/>
      <c r="K288" s="336"/>
      <c r="L288" s="349"/>
      <c r="M288" s="349"/>
      <c r="N288" s="349"/>
      <c r="O288" s="336"/>
      <c r="P288" s="351"/>
      <c r="Q288" s="298"/>
    </row>
    <row r="289">
      <c r="E289" s="341"/>
      <c r="F289" s="341"/>
      <c r="G289" s="455" t="s">
        <v>341</v>
      </c>
      <c r="H289" s="550" t="str">
        <f>CALCULATE_FLOPS(J277:M277,J281:M281,M281,K281,H288)</f>
        <v>#N/A</v>
      </c>
      <c r="I289" s="493"/>
      <c r="J289" s="345"/>
      <c r="K289" s="345"/>
      <c r="L289" s="346"/>
      <c r="M289" s="346"/>
      <c r="N289" s="346"/>
      <c r="O289" s="345"/>
      <c r="P289" s="348"/>
      <c r="Q289" s="379"/>
    </row>
    <row r="290">
      <c r="E290" s="341"/>
      <c r="F290" s="352"/>
      <c r="G290" s="462" t="s">
        <v>330</v>
      </c>
      <c r="H290" s="495" t="str">
        <f>COMPUTE_TIME_MS(H289, H288)</f>
        <v>#N/A</v>
      </c>
      <c r="I290" s="464"/>
      <c r="J290" s="465"/>
      <c r="K290" s="465"/>
      <c r="L290" s="466"/>
      <c r="M290" s="466"/>
      <c r="N290" s="466"/>
      <c r="O290" s="465"/>
      <c r="P290" s="467"/>
      <c r="Q290" s="298"/>
    </row>
    <row r="291">
      <c r="E291" s="341"/>
      <c r="F291" s="458" t="s">
        <v>331</v>
      </c>
      <c r="G291" s="455" t="s">
        <v>332</v>
      </c>
      <c r="H291" s="509">
        <f>IF(Q274,0,P277)+IF(Q278,0,P281)+IF(Q282,0,P285)</f>
        <v>36</v>
      </c>
      <c r="I291" s="345"/>
      <c r="J291" s="345"/>
      <c r="K291" s="345"/>
      <c r="L291" s="346"/>
      <c r="M291" s="346"/>
      <c r="N291" s="346"/>
      <c r="O291" s="345"/>
      <c r="P291" s="348"/>
      <c r="Q291" s="379"/>
    </row>
    <row r="292">
      <c r="E292" s="352"/>
      <c r="F292" s="352"/>
      <c r="G292" s="469" t="s">
        <v>333</v>
      </c>
      <c r="H292" s="500" t="str">
        <f>HBM_TIME_MS(H291)</f>
        <v>#N/A</v>
      </c>
      <c r="I292" s="465"/>
      <c r="J292" s="465"/>
      <c r="K292" s="465"/>
      <c r="L292" s="466"/>
      <c r="M292" s="466"/>
      <c r="N292" s="466"/>
      <c r="O292" s="465"/>
      <c r="P292" s="467"/>
      <c r="Q292" s="298"/>
    </row>
    <row r="293">
      <c r="E293" s="333" t="s">
        <v>355</v>
      </c>
      <c r="F293" s="357" t="s">
        <v>292</v>
      </c>
      <c r="G293" s="335"/>
      <c r="H293" s="345" t="s">
        <v>281</v>
      </c>
      <c r="I293" s="345" t="s">
        <v>282</v>
      </c>
      <c r="J293" s="344" t="s">
        <v>104</v>
      </c>
      <c r="K293" s="344" t="s">
        <v>102</v>
      </c>
      <c r="L293" s="556" t="s">
        <v>207</v>
      </c>
      <c r="M293" s="556" t="s">
        <v>201</v>
      </c>
      <c r="N293" s="345" t="s">
        <v>283</v>
      </c>
      <c r="O293" s="473" t="str">
        <f>EXTRACT_ACTIVATION_DTYPE(PARAMS("attn_proj_dtype"))</f>
        <v>bf16</v>
      </c>
      <c r="P293" s="348"/>
      <c r="Q293" s="473" t="b">
        <v>0</v>
      </c>
    </row>
    <row r="294">
      <c r="E294" s="341"/>
      <c r="F294" s="342"/>
      <c r="G294" s="343"/>
      <c r="H294" s="337" t="s">
        <v>285</v>
      </c>
      <c r="I294" s="336" t="s">
        <v>282</v>
      </c>
      <c r="J294" s="349">
        <f t="shared" ref="J294:M294" si="62">PARAMS(J293)</f>
        <v>2048</v>
      </c>
      <c r="K294" s="336">
        <f t="shared" si="62"/>
        <v>1</v>
      </c>
      <c r="L294" s="336">
        <f t="shared" si="62"/>
        <v>128</v>
      </c>
      <c r="M294" s="336">
        <f t="shared" si="62"/>
        <v>128</v>
      </c>
      <c r="N294" s="336" t="s">
        <v>283</v>
      </c>
      <c r="O294" s="350"/>
      <c r="P294" s="351">
        <f>SIZEOF_IN_MIB(J294:M294, $O293)</f>
        <v>64</v>
      </c>
      <c r="Q294" s="350"/>
    </row>
    <row r="295">
      <c r="E295" s="341"/>
      <c r="F295" s="342"/>
      <c r="G295" s="343"/>
      <c r="H295" s="346" t="s">
        <v>287</v>
      </c>
      <c r="I295" s="346" t="s">
        <v>282</v>
      </c>
      <c r="J295" s="344" t="s">
        <v>196</v>
      </c>
      <c r="K295" s="344"/>
      <c r="L295" s="344"/>
      <c r="M295" s="346"/>
      <c r="N295" s="346" t="s">
        <v>283</v>
      </c>
      <c r="O295" s="347"/>
      <c r="P295" s="348"/>
      <c r="Q295" s="347"/>
    </row>
    <row r="296">
      <c r="E296" s="341"/>
      <c r="F296" s="353"/>
      <c r="G296" s="354"/>
      <c r="H296" s="337" t="s">
        <v>289</v>
      </c>
      <c r="I296" s="349" t="s">
        <v>282</v>
      </c>
      <c r="J296" s="349">
        <f t="shared" ref="J296:M296" si="63">J294/SHARDING(J295)</f>
        <v>128</v>
      </c>
      <c r="K296" s="349">
        <f t="shared" si="63"/>
        <v>1</v>
      </c>
      <c r="L296" s="349">
        <f t="shared" si="63"/>
        <v>128</v>
      </c>
      <c r="M296" s="349">
        <f t="shared" si="63"/>
        <v>128</v>
      </c>
      <c r="N296" s="349" t="s">
        <v>283</v>
      </c>
      <c r="O296" s="316"/>
      <c r="P296" s="351">
        <f>SIZEOF_IN_MIB(J296:M296, $O293)</f>
        <v>4</v>
      </c>
      <c r="Q296" s="316"/>
    </row>
    <row r="297">
      <c r="E297" s="341"/>
      <c r="F297" s="334" t="s">
        <v>296</v>
      </c>
      <c r="G297" s="335"/>
      <c r="H297" s="346" t="s">
        <v>281</v>
      </c>
      <c r="I297" s="346" t="s">
        <v>282</v>
      </c>
      <c r="J297" s="345"/>
      <c r="K297" s="556" t="s">
        <v>207</v>
      </c>
      <c r="L297" s="556" t="s">
        <v>201</v>
      </c>
      <c r="M297" s="344" t="s">
        <v>178</v>
      </c>
      <c r="N297" s="346" t="s">
        <v>283</v>
      </c>
      <c r="O297" s="473" t="str">
        <f>EXTRACT_WEIGHT_DTYPE(PARAMS("attn_proj_dtype"))</f>
        <v>bf16</v>
      </c>
      <c r="P297" s="348"/>
      <c r="Q297" s="473" t="b">
        <v>0</v>
      </c>
    </row>
    <row r="298">
      <c r="E298" s="341"/>
      <c r="F298" s="342"/>
      <c r="G298" s="343"/>
      <c r="H298" s="337" t="s">
        <v>285</v>
      </c>
      <c r="I298" s="349" t="s">
        <v>282</v>
      </c>
      <c r="J298" s="336"/>
      <c r="K298" s="349">
        <f t="shared" ref="K298:M298" si="64">PARAMS(K297)</f>
        <v>128</v>
      </c>
      <c r="L298" s="349">
        <f t="shared" si="64"/>
        <v>128</v>
      </c>
      <c r="M298" s="349">
        <f t="shared" si="64"/>
        <v>7168</v>
      </c>
      <c r="N298" s="349" t="s">
        <v>283</v>
      </c>
      <c r="O298" s="350"/>
      <c r="P298" s="351">
        <f>SIZEOF_IN_MIB(J298:M298, $O297)</f>
        <v>224</v>
      </c>
      <c r="Q298" s="350"/>
    </row>
    <row r="299">
      <c r="E299" s="341"/>
      <c r="F299" s="342"/>
      <c r="G299" s="343"/>
      <c r="H299" s="346" t="s">
        <v>287</v>
      </c>
      <c r="I299" s="346" t="s">
        <v>282</v>
      </c>
      <c r="J299" s="345"/>
      <c r="K299" s="345"/>
      <c r="L299" s="346"/>
      <c r="M299" s="346"/>
      <c r="N299" s="346" t="s">
        <v>283</v>
      </c>
      <c r="O299" s="347"/>
      <c r="P299" s="348"/>
      <c r="Q299" s="347"/>
    </row>
    <row r="300">
      <c r="E300" s="341"/>
      <c r="F300" s="353"/>
      <c r="G300" s="354"/>
      <c r="H300" s="349" t="s">
        <v>289</v>
      </c>
      <c r="I300" s="349" t="s">
        <v>282</v>
      </c>
      <c r="J300" s="336"/>
      <c r="K300" s="349">
        <f t="shared" ref="K300:M300" si="65">K298/SHARDING(K299)</f>
        <v>128</v>
      </c>
      <c r="L300" s="349">
        <f t="shared" si="65"/>
        <v>128</v>
      </c>
      <c r="M300" s="349">
        <f t="shared" si="65"/>
        <v>7168</v>
      </c>
      <c r="N300" s="349" t="s">
        <v>283</v>
      </c>
      <c r="O300" s="316"/>
      <c r="P300" s="351">
        <f>SIZEOF_IN_MIB(J300:M300, $O297)</f>
        <v>224</v>
      </c>
      <c r="Q300" s="316"/>
    </row>
    <row r="301">
      <c r="E301" s="341"/>
      <c r="F301" s="334" t="s">
        <v>56</v>
      </c>
      <c r="G301" s="335"/>
      <c r="H301" s="346" t="s">
        <v>281</v>
      </c>
      <c r="I301" s="346" t="s">
        <v>282</v>
      </c>
      <c r="J301" s="345"/>
      <c r="K301" s="344" t="s">
        <v>104</v>
      </c>
      <c r="L301" s="344" t="s">
        <v>102</v>
      </c>
      <c r="M301" s="344" t="s">
        <v>178</v>
      </c>
      <c r="N301" s="346" t="s">
        <v>283</v>
      </c>
      <c r="O301" s="473" t="s">
        <v>133</v>
      </c>
      <c r="P301" s="348"/>
      <c r="Q301" s="473" t="b">
        <v>0</v>
      </c>
    </row>
    <row r="302">
      <c r="E302" s="341"/>
      <c r="F302" s="342"/>
      <c r="G302" s="343"/>
      <c r="H302" s="337" t="s">
        <v>285</v>
      </c>
      <c r="I302" s="349" t="s">
        <v>282</v>
      </c>
      <c r="J302" s="336"/>
      <c r="K302" s="349">
        <f t="shared" ref="K302:M302" si="66">PARAMS(K301)</f>
        <v>2048</v>
      </c>
      <c r="L302" s="349">
        <f t="shared" si="66"/>
        <v>1</v>
      </c>
      <c r="M302" s="349">
        <f t="shared" si="66"/>
        <v>7168</v>
      </c>
      <c r="N302" s="349" t="s">
        <v>283</v>
      </c>
      <c r="O302" s="350"/>
      <c r="P302" s="351">
        <f>SIZEOF_IN_MIB(K302:M302, $O301)</f>
        <v>28</v>
      </c>
      <c r="Q302" s="350"/>
    </row>
    <row r="303">
      <c r="E303" s="341"/>
      <c r="F303" s="342"/>
      <c r="G303" s="343"/>
      <c r="H303" s="346" t="s">
        <v>287</v>
      </c>
      <c r="I303" s="346" t="s">
        <v>282</v>
      </c>
      <c r="J303" s="345"/>
      <c r="K303" s="344" t="s">
        <v>196</v>
      </c>
      <c r="L303" s="344"/>
      <c r="M303" s="346"/>
      <c r="N303" s="346" t="s">
        <v>283</v>
      </c>
      <c r="O303" s="347"/>
      <c r="P303" s="348"/>
      <c r="Q303" s="347"/>
    </row>
    <row r="304">
      <c r="E304" s="341"/>
      <c r="F304" s="353"/>
      <c r="G304" s="354"/>
      <c r="H304" s="349" t="s">
        <v>289</v>
      </c>
      <c r="I304" s="349" t="s">
        <v>282</v>
      </c>
      <c r="J304" s="349"/>
      <c r="K304" s="349">
        <f t="shared" ref="K304:M304" si="67">K302/SHARDING(K303)</f>
        <v>128</v>
      </c>
      <c r="L304" s="349">
        <f t="shared" si="67"/>
        <v>1</v>
      </c>
      <c r="M304" s="349">
        <f t="shared" si="67"/>
        <v>7168</v>
      </c>
      <c r="N304" s="349" t="s">
        <v>283</v>
      </c>
      <c r="O304" s="316"/>
      <c r="P304" s="351">
        <f>SIZEOF_IN_MIB(K304:M304, $O301)</f>
        <v>1.75</v>
      </c>
      <c r="Q304" s="316"/>
    </row>
    <row r="305">
      <c r="E305" s="341"/>
      <c r="F305" s="474" t="s">
        <v>335</v>
      </c>
      <c r="G305" s="459" t="s">
        <v>109</v>
      </c>
      <c r="H305" s="497"/>
      <c r="I305" s="498"/>
      <c r="J305" s="345"/>
      <c r="K305" s="345"/>
      <c r="L305" s="346"/>
      <c r="M305" s="346"/>
      <c r="N305" s="346"/>
      <c r="O305" s="345"/>
      <c r="P305" s="348"/>
      <c r="Q305" s="379"/>
    </row>
    <row r="306">
      <c r="E306" s="341"/>
      <c r="F306" s="352"/>
      <c r="G306" s="459"/>
      <c r="H306" s="349"/>
      <c r="I306" s="492"/>
      <c r="J306" s="336"/>
      <c r="K306" s="336"/>
      <c r="L306" s="349"/>
      <c r="M306" s="349"/>
      <c r="N306" s="349"/>
      <c r="O306" s="336"/>
      <c r="P306" s="339"/>
      <c r="Q306" s="298"/>
    </row>
    <row r="307">
      <c r="E307" s="341"/>
      <c r="F307" s="458" t="s">
        <v>327</v>
      </c>
      <c r="G307" s="459" t="s">
        <v>328</v>
      </c>
      <c r="H307" s="346" t="str">
        <f>VLOOKUP(O293&amp;","&amp;O297,$T$3:$W$12,4, FALSE)</f>
        <v>bf16</v>
      </c>
      <c r="I307" s="493"/>
      <c r="J307" s="345"/>
      <c r="K307" s="345"/>
      <c r="L307" s="346"/>
      <c r="M307" s="346"/>
      <c r="N307" s="346"/>
      <c r="O307" s="345"/>
      <c r="P307" s="578"/>
      <c r="Q307" s="379"/>
    </row>
    <row r="308">
      <c r="E308" s="341"/>
      <c r="F308" s="341"/>
      <c r="G308" s="455" t="s">
        <v>341</v>
      </c>
      <c r="H308" s="494" t="str">
        <f>CALCULATE_FLOPS(J296:M296,J300:M300,K300:L300,1,H307)</f>
        <v>#N/A</v>
      </c>
      <c r="I308" s="883" t="s">
        <v>359</v>
      </c>
      <c r="J308" s="336"/>
      <c r="K308" s="336"/>
      <c r="L308" s="349"/>
      <c r="M308" s="349"/>
      <c r="N308" s="349"/>
      <c r="O308" s="336"/>
      <c r="P308" s="339"/>
      <c r="Q308" s="298"/>
    </row>
    <row r="309">
      <c r="E309" s="341"/>
      <c r="F309" s="352"/>
      <c r="G309" s="462" t="s">
        <v>330</v>
      </c>
      <c r="H309" s="585" t="str">
        <f>COMPUTE_TIME_MS(H308, H307)</f>
        <v>#N/A</v>
      </c>
      <c r="I309" s="464"/>
      <c r="J309" s="465"/>
      <c r="K309" s="465"/>
      <c r="L309" s="466"/>
      <c r="M309" s="466"/>
      <c r="N309" s="466"/>
      <c r="O309" s="465"/>
      <c r="P309" s="586"/>
      <c r="Q309" s="379"/>
    </row>
    <row r="310">
      <c r="E310" s="341"/>
      <c r="F310" s="458" t="s">
        <v>331</v>
      </c>
      <c r="G310" s="455" t="s">
        <v>332</v>
      </c>
      <c r="H310" s="377">
        <f>IF(Q293,0,P296)+IF(Q297,0,P300)+IF(Q301,0,P304)</f>
        <v>229.75</v>
      </c>
      <c r="I310" s="336"/>
      <c r="J310" s="336"/>
      <c r="K310" s="336"/>
      <c r="L310" s="349"/>
      <c r="M310" s="349"/>
      <c r="N310" s="349"/>
      <c r="O310" s="336"/>
      <c r="P310" s="339"/>
      <c r="Q310" s="298"/>
    </row>
    <row r="311">
      <c r="E311" s="352"/>
      <c r="F311" s="352"/>
      <c r="G311" s="469" t="s">
        <v>333</v>
      </c>
      <c r="H311" s="547" t="str">
        <f>HBM_TIME_MS(H310)</f>
        <v>#N/A</v>
      </c>
      <c r="I311" s="465"/>
      <c r="J311" s="465"/>
      <c r="K311" s="465"/>
      <c r="L311" s="466"/>
      <c r="M311" s="466"/>
      <c r="N311" s="466"/>
      <c r="O311" s="465"/>
      <c r="P311" s="586"/>
      <c r="Q311" s="11"/>
    </row>
    <row r="315">
      <c r="E315" s="281" t="s">
        <v>360</v>
      </c>
    </row>
    <row r="316">
      <c r="E316" s="324" t="s">
        <v>272</v>
      </c>
      <c r="F316" s="587" t="s">
        <v>273</v>
      </c>
      <c r="G316" s="326"/>
      <c r="H316" s="588"/>
      <c r="I316" s="325" t="s">
        <v>274</v>
      </c>
      <c r="J316" s="589"/>
      <c r="K316" s="589"/>
      <c r="L316" s="589"/>
      <c r="M316" s="589"/>
      <c r="N316" s="588"/>
      <c r="O316" s="328" t="s">
        <v>275</v>
      </c>
      <c r="P316" s="328" t="s">
        <v>361</v>
      </c>
      <c r="Q316" s="330" t="s">
        <v>277</v>
      </c>
    </row>
    <row r="317">
      <c r="E317" s="333" t="s">
        <v>362</v>
      </c>
      <c r="F317" s="590" t="s">
        <v>335</v>
      </c>
      <c r="G317" s="591" t="s">
        <v>363</v>
      </c>
      <c r="H317" s="592" t="s">
        <v>364</v>
      </c>
      <c r="I317" s="448"/>
      <c r="J317" s="448"/>
      <c r="K317" s="553"/>
      <c r="L317" s="553"/>
      <c r="M317" s="593"/>
      <c r="N317" s="448"/>
      <c r="O317" s="553"/>
      <c r="P317" s="448"/>
      <c r="Q317" s="553"/>
    </row>
    <row r="318">
      <c r="E318" s="341"/>
      <c r="F318" s="341"/>
      <c r="G318" s="371" t="s">
        <v>301</v>
      </c>
      <c r="H318" s="531" t="s">
        <v>281</v>
      </c>
      <c r="I318" s="336" t="s">
        <v>282</v>
      </c>
      <c r="J318" s="336"/>
      <c r="K318" s="337" t="s">
        <v>104</v>
      </c>
      <c r="L318" s="337" t="s">
        <v>212</v>
      </c>
      <c r="M318" s="358" t="s">
        <v>178</v>
      </c>
      <c r="N318" s="336" t="s">
        <v>283</v>
      </c>
      <c r="O318" s="338" t="str">
        <f>PARAMS("expert_dispatch_dtype")</f>
        <v>fp8</v>
      </c>
      <c r="P318" s="336"/>
      <c r="Q318" s="338"/>
    </row>
    <row r="319">
      <c r="E319" s="341"/>
      <c r="F319" s="341"/>
      <c r="G319" s="341"/>
      <c r="H319" s="378" t="s">
        <v>285</v>
      </c>
      <c r="I319" s="345" t="s">
        <v>282</v>
      </c>
      <c r="J319" s="346"/>
      <c r="K319" s="345">
        <f t="shared" ref="K319:M319" si="68">PARAMS(K318)</f>
        <v>2048</v>
      </c>
      <c r="L319" s="345">
        <f t="shared" si="68"/>
        <v>8</v>
      </c>
      <c r="M319" s="345">
        <f t="shared" si="68"/>
        <v>7168</v>
      </c>
      <c r="N319" s="345" t="s">
        <v>283</v>
      </c>
      <c r="O319" s="347"/>
      <c r="P319" s="509">
        <f>SIZEOF_IN_MIB(J319:M319, O318)</f>
        <v>112</v>
      </c>
      <c r="Q319" s="347"/>
    </row>
    <row r="320">
      <c r="E320" s="341"/>
      <c r="F320" s="341"/>
      <c r="G320" s="341"/>
      <c r="H320" s="376" t="s">
        <v>302</v>
      </c>
      <c r="I320" s="349" t="s">
        <v>282</v>
      </c>
      <c r="J320" s="336"/>
      <c r="K320" s="337" t="s">
        <v>196</v>
      </c>
      <c r="L320" s="337"/>
      <c r="M320" s="337"/>
      <c r="N320" s="349" t="s">
        <v>283</v>
      </c>
      <c r="O320" s="350"/>
      <c r="P320" s="377"/>
      <c r="Q320" s="350"/>
    </row>
    <row r="321">
      <c r="E321" s="341"/>
      <c r="F321" s="341"/>
      <c r="G321" s="341"/>
      <c r="H321" s="378" t="s">
        <v>303</v>
      </c>
      <c r="I321" s="346" t="s">
        <v>282</v>
      </c>
      <c r="J321" s="345"/>
      <c r="K321" s="346">
        <f t="shared" ref="K321:M321" si="69">K319/SHARDING(K320)</f>
        <v>128</v>
      </c>
      <c r="L321" s="346">
        <f t="shared" si="69"/>
        <v>8</v>
      </c>
      <c r="M321" s="346">
        <f t="shared" si="69"/>
        <v>7168</v>
      </c>
      <c r="N321" s="344" t="s">
        <v>283</v>
      </c>
      <c r="O321" s="347"/>
      <c r="P321" s="509"/>
      <c r="Q321" s="347"/>
    </row>
    <row r="322">
      <c r="E322" s="341"/>
      <c r="F322" s="341"/>
      <c r="G322" s="352"/>
      <c r="H322" s="376" t="s">
        <v>304</v>
      </c>
      <c r="I322" s="349" t="s">
        <v>282</v>
      </c>
      <c r="J322" s="336"/>
      <c r="K322" s="337" t="s">
        <v>196</v>
      </c>
      <c r="L322" s="337"/>
      <c r="M322" s="337"/>
      <c r="N322" s="349" t="s">
        <v>283</v>
      </c>
      <c r="O322" s="316"/>
      <c r="P322" s="377">
        <f>SIZEOF_IN_MIB(J321:M321, O318)</f>
        <v>7</v>
      </c>
      <c r="Q322" s="316"/>
    </row>
    <row r="323">
      <c r="E323" s="341"/>
      <c r="F323" s="341"/>
      <c r="G323" s="594" t="s">
        <v>608</v>
      </c>
      <c r="H323" s="715">
        <f>P319</f>
        <v>112</v>
      </c>
      <c r="I323" s="379"/>
      <c r="J323" s="379"/>
      <c r="K323" s="379"/>
      <c r="L323" s="379"/>
      <c r="M323" s="379"/>
      <c r="N323" s="379"/>
      <c r="O323" s="379"/>
      <c r="P323" s="596"/>
      <c r="Q323" s="379"/>
    </row>
    <row r="324">
      <c r="E324" s="341"/>
      <c r="F324" s="341"/>
      <c r="G324" s="599" t="s">
        <v>609</v>
      </c>
      <c r="H324" s="885" t="str">
        <f>ALL2ALL_CHIP2CHIP_TIME_MS(H323)</f>
        <v>#N/A</v>
      </c>
      <c r="I324" s="298"/>
      <c r="J324" s="298"/>
      <c r="K324" s="298"/>
      <c r="L324" s="298"/>
      <c r="M324" s="298"/>
      <c r="N324" s="298"/>
      <c r="O324" s="298"/>
      <c r="P324" s="598"/>
      <c r="Q324" s="298"/>
    </row>
    <row r="325">
      <c r="E325" s="341"/>
      <c r="F325" s="341"/>
      <c r="G325" s="601"/>
      <c r="H325" s="517"/>
      <c r="I325" s="346"/>
      <c r="J325" s="345"/>
      <c r="K325" s="344"/>
      <c r="L325" s="556"/>
      <c r="M325" s="344"/>
      <c r="N325" s="346"/>
      <c r="O325" s="344"/>
      <c r="P325" s="509"/>
      <c r="Q325" s="344"/>
    </row>
    <row r="326">
      <c r="E326" s="341"/>
      <c r="F326" s="341"/>
      <c r="G326" s="591" t="s">
        <v>368</v>
      </c>
      <c r="H326" s="603" t="s">
        <v>671</v>
      </c>
      <c r="I326" s="449"/>
      <c r="J326" s="448"/>
      <c r="K326" s="553"/>
      <c r="L326" s="446"/>
      <c r="M326" s="553"/>
      <c r="N326" s="449"/>
      <c r="O326" s="553"/>
      <c r="P326" s="604"/>
      <c r="Q326" s="553"/>
    </row>
    <row r="327">
      <c r="E327" s="341"/>
      <c r="F327" s="341"/>
      <c r="G327" s="371" t="s">
        <v>301</v>
      </c>
      <c r="H327" s="517" t="s">
        <v>281</v>
      </c>
      <c r="I327" s="346" t="s">
        <v>282</v>
      </c>
      <c r="J327" s="345"/>
      <c r="K327" s="344" t="s">
        <v>104</v>
      </c>
      <c r="L327" s="556" t="s">
        <v>102</v>
      </c>
      <c r="M327" s="344" t="s">
        <v>178</v>
      </c>
      <c r="N327" s="346" t="s">
        <v>283</v>
      </c>
      <c r="O327" s="473" t="str">
        <f>PARAMS("expert_dispatch_dtype")</f>
        <v>fp8</v>
      </c>
      <c r="P327" s="509"/>
      <c r="Q327" s="473"/>
    </row>
    <row r="328">
      <c r="E328" s="341"/>
      <c r="F328" s="341"/>
      <c r="G328" s="341"/>
      <c r="H328" s="376" t="s">
        <v>285</v>
      </c>
      <c r="I328" s="349" t="s">
        <v>282</v>
      </c>
      <c r="J328" s="336"/>
      <c r="K328" s="349">
        <f t="shared" ref="K328:M328" si="70">PARAMS(K327)</f>
        <v>2048</v>
      </c>
      <c r="L328" s="349">
        <f t="shared" si="70"/>
        <v>1</v>
      </c>
      <c r="M328" s="349">
        <f t="shared" si="70"/>
        <v>7168</v>
      </c>
      <c r="N328" s="349" t="s">
        <v>283</v>
      </c>
      <c r="O328" s="350"/>
      <c r="P328" s="377">
        <f>SIZEOF_IN_MIB(J328:M328, O327)</f>
        <v>14</v>
      </c>
      <c r="Q328" s="350"/>
    </row>
    <row r="329">
      <c r="E329" s="341"/>
      <c r="F329" s="341"/>
      <c r="G329" s="341"/>
      <c r="H329" s="378" t="s">
        <v>302</v>
      </c>
      <c r="I329" s="346" t="s">
        <v>282</v>
      </c>
      <c r="J329" s="345"/>
      <c r="K329" s="344" t="s">
        <v>196</v>
      </c>
      <c r="L329" s="344"/>
      <c r="M329" s="344"/>
      <c r="N329" s="346" t="s">
        <v>283</v>
      </c>
      <c r="O329" s="347"/>
      <c r="P329" s="509"/>
      <c r="Q329" s="347"/>
    </row>
    <row r="330">
      <c r="E330" s="341"/>
      <c r="F330" s="341"/>
      <c r="G330" s="341"/>
      <c r="H330" s="602" t="s">
        <v>289</v>
      </c>
      <c r="I330" s="349" t="s">
        <v>282</v>
      </c>
      <c r="J330" s="336"/>
      <c r="K330" s="349">
        <f t="shared" ref="K330:M330" si="71">K328/SHARDING(K329)</f>
        <v>128</v>
      </c>
      <c r="L330" s="349">
        <f t="shared" si="71"/>
        <v>1</v>
      </c>
      <c r="M330" s="349">
        <f t="shared" si="71"/>
        <v>7168</v>
      </c>
      <c r="N330" s="349" t="s">
        <v>283</v>
      </c>
      <c r="O330" s="350"/>
      <c r="P330" s="377">
        <f>SIZEOF_IN_MIB(J330:M330, O327)</f>
        <v>0.875</v>
      </c>
      <c r="Q330" s="316"/>
    </row>
    <row r="331">
      <c r="E331" s="341"/>
      <c r="F331" s="341"/>
      <c r="G331" s="352"/>
      <c r="H331" s="610" t="s">
        <v>304</v>
      </c>
      <c r="I331" s="346" t="s">
        <v>282</v>
      </c>
      <c r="J331" s="379"/>
      <c r="K331" s="379"/>
      <c r="L331" s="379"/>
      <c r="M331" s="344"/>
      <c r="N331" s="346" t="s">
        <v>283</v>
      </c>
      <c r="O331" s="355"/>
      <c r="P331" s="596"/>
      <c r="Q331" s="379"/>
    </row>
    <row r="332">
      <c r="E332" s="341"/>
      <c r="F332" s="341"/>
      <c r="G332" s="385" t="s">
        <v>306</v>
      </c>
      <c r="H332" s="886">
        <f>SHARDING(K329)*SHARDING(L329)</f>
        <v>16</v>
      </c>
      <c r="I332" s="298"/>
      <c r="J332" s="298"/>
      <c r="K332" s="298"/>
      <c r="L332" s="298"/>
      <c r="M332" s="298"/>
      <c r="N332" s="298"/>
      <c r="O332" s="298"/>
      <c r="P332" s="598"/>
      <c r="Q332" s="298"/>
    </row>
    <row r="333">
      <c r="E333" s="341"/>
      <c r="F333" s="341"/>
      <c r="G333" s="385" t="s">
        <v>307</v>
      </c>
      <c r="H333" s="395">
        <f>P330 * (H332-1)</f>
        <v>13.125</v>
      </c>
      <c r="I333" s="379"/>
      <c r="J333" s="379"/>
      <c r="K333" s="379"/>
      <c r="L333" s="379"/>
      <c r="M333" s="379"/>
      <c r="N333" s="379"/>
      <c r="O333" s="379"/>
      <c r="P333" s="596"/>
      <c r="Q333" s="379"/>
    </row>
    <row r="334">
      <c r="E334" s="341"/>
      <c r="F334" s="341"/>
      <c r="G334" s="394" t="s">
        <v>308</v>
      </c>
      <c r="H334" s="390">
        <f>H333*H332</f>
        <v>210</v>
      </c>
      <c r="I334" s="349"/>
      <c r="J334" s="336"/>
      <c r="K334" s="336"/>
      <c r="L334" s="337"/>
      <c r="M334" s="349"/>
      <c r="N334" s="349"/>
      <c r="O334" s="337"/>
      <c r="P334" s="377"/>
      <c r="Q334" s="337"/>
    </row>
    <row r="335">
      <c r="E335" s="341"/>
      <c r="F335" s="341"/>
      <c r="G335" s="396" t="s">
        <v>309</v>
      </c>
      <c r="H335" s="887" t="str">
        <f>IFS(H332=8,12,
H332=4,4,
H332=2,1,
H332=1,0,
TRUE,NA())</f>
        <v>#N/A</v>
      </c>
      <c r="I335" s="346"/>
      <c r="J335" s="345"/>
      <c r="K335" s="345"/>
      <c r="L335" s="344"/>
      <c r="M335" s="346"/>
      <c r="N335" s="346"/>
      <c r="O335" s="344"/>
      <c r="P335" s="509"/>
      <c r="Q335" s="344"/>
    </row>
    <row r="336">
      <c r="E336" s="341"/>
      <c r="F336" s="341"/>
      <c r="G336" s="9" t="s">
        <v>310</v>
      </c>
      <c r="H336" s="293">
        <v>1.0</v>
      </c>
      <c r="I336" s="349"/>
      <c r="J336" s="336"/>
      <c r="K336" s="336"/>
      <c r="L336" s="337"/>
      <c r="M336" s="349"/>
      <c r="N336" s="349"/>
      <c r="O336" s="337"/>
      <c r="P336" s="377"/>
      <c r="Q336" s="337"/>
    </row>
    <row r="337">
      <c r="E337" s="341"/>
      <c r="F337" s="341"/>
      <c r="G337" s="402" t="s">
        <v>311</v>
      </c>
      <c r="H337" s="608" t="str">
        <f>ALL_GATHER_CHIP2CHIP_TIME_MS2(H334 * H336, H335)</f>
        <v>#N/A</v>
      </c>
      <c r="I337" s="346"/>
      <c r="J337" s="345"/>
      <c r="K337" s="345"/>
      <c r="L337" s="344"/>
      <c r="M337" s="346"/>
      <c r="N337" s="346"/>
      <c r="O337" s="344"/>
      <c r="P337" s="509"/>
      <c r="Q337" s="344"/>
    </row>
    <row r="338">
      <c r="E338" s="341"/>
      <c r="F338" s="341"/>
      <c r="G338" s="601"/>
      <c r="H338" s="602"/>
      <c r="I338" s="349"/>
      <c r="J338" s="336"/>
      <c r="K338" s="337"/>
      <c r="L338" s="499"/>
      <c r="M338" s="337"/>
      <c r="N338" s="349"/>
      <c r="O338" s="337"/>
      <c r="P338" s="377"/>
      <c r="Q338" s="337"/>
    </row>
    <row r="339">
      <c r="E339" s="341"/>
      <c r="F339" s="341"/>
      <c r="G339" s="591" t="s">
        <v>117</v>
      </c>
      <c r="H339" s="592" t="s">
        <v>371</v>
      </c>
      <c r="I339" s="449"/>
      <c r="J339" s="448"/>
      <c r="K339" s="553"/>
      <c r="L339" s="446"/>
      <c r="M339" s="553"/>
      <c r="N339" s="449"/>
      <c r="O339" s="553"/>
      <c r="P339" s="604"/>
      <c r="Q339" s="553"/>
    </row>
    <row r="340">
      <c r="E340" s="341"/>
      <c r="F340" s="341"/>
      <c r="G340" s="609" t="s">
        <v>301</v>
      </c>
      <c r="H340" s="602" t="s">
        <v>281</v>
      </c>
      <c r="I340" s="349" t="s">
        <v>282</v>
      </c>
      <c r="J340" s="336"/>
      <c r="K340" s="337" t="s">
        <v>104</v>
      </c>
      <c r="L340" s="499" t="s">
        <v>102</v>
      </c>
      <c r="M340" s="337" t="s">
        <v>178</v>
      </c>
      <c r="N340" s="349" t="s">
        <v>283</v>
      </c>
      <c r="O340" s="338" t="str">
        <f>PARAMS("expert_dispatch_dtype")</f>
        <v>fp8</v>
      </c>
      <c r="P340" s="377"/>
      <c r="Q340" s="337"/>
    </row>
    <row r="341">
      <c r="E341" s="341"/>
      <c r="F341" s="341"/>
      <c r="G341" s="341"/>
      <c r="H341" s="378" t="s">
        <v>285</v>
      </c>
      <c r="I341" s="346" t="s">
        <v>282</v>
      </c>
      <c r="J341" s="345"/>
      <c r="K341" s="346">
        <f t="shared" ref="K341:M341" si="72">PARAMS(K340)</f>
        <v>2048</v>
      </c>
      <c r="L341" s="346">
        <f t="shared" si="72"/>
        <v>1</v>
      </c>
      <c r="M341" s="346">
        <f t="shared" si="72"/>
        <v>7168</v>
      </c>
      <c r="N341" s="346" t="s">
        <v>283</v>
      </c>
      <c r="O341" s="347"/>
      <c r="P341" s="509">
        <f>SIZEOF_IN_MIB(J341:M341, O340)</f>
        <v>14</v>
      </c>
      <c r="Q341" s="344"/>
    </row>
    <row r="342">
      <c r="E342" s="341"/>
      <c r="F342" s="341"/>
      <c r="G342" s="341"/>
      <c r="H342" s="376" t="s">
        <v>302</v>
      </c>
      <c r="I342" s="349" t="s">
        <v>282</v>
      </c>
      <c r="J342" s="336"/>
      <c r="K342" s="337" t="s">
        <v>196</v>
      </c>
      <c r="L342" s="337"/>
      <c r="M342" s="337"/>
      <c r="N342" s="349" t="s">
        <v>283</v>
      </c>
      <c r="O342" s="350"/>
      <c r="P342" s="377"/>
      <c r="Q342" s="337"/>
    </row>
    <row r="343">
      <c r="E343" s="341"/>
      <c r="F343" s="341"/>
      <c r="G343" s="341"/>
      <c r="H343" s="378" t="s">
        <v>303</v>
      </c>
      <c r="I343" s="346" t="s">
        <v>282</v>
      </c>
      <c r="J343" s="345"/>
      <c r="K343" s="346">
        <f t="shared" ref="K343:M343" si="73">K341/SHARDING(K342)</f>
        <v>128</v>
      </c>
      <c r="L343" s="346">
        <f t="shared" si="73"/>
        <v>1</v>
      </c>
      <c r="M343" s="346">
        <f t="shared" si="73"/>
        <v>7168</v>
      </c>
      <c r="N343" s="346" t="s">
        <v>283</v>
      </c>
      <c r="O343" s="347"/>
      <c r="P343" s="509">
        <f>SIZEOF_IN_MIB(J343:M343, O340)</f>
        <v>0.875</v>
      </c>
      <c r="Q343" s="344"/>
    </row>
    <row r="344">
      <c r="E344" s="341"/>
      <c r="F344" s="341"/>
      <c r="G344" s="352"/>
      <c r="H344" s="605" t="s">
        <v>304</v>
      </c>
      <c r="I344" s="349" t="s">
        <v>282</v>
      </c>
      <c r="J344" s="298"/>
      <c r="K344" s="298"/>
      <c r="L344" s="298"/>
      <c r="M344" s="337"/>
      <c r="N344" s="349" t="s">
        <v>283</v>
      </c>
      <c r="O344" s="316"/>
      <c r="P344" s="298"/>
      <c r="Q344" s="337"/>
    </row>
    <row r="345">
      <c r="E345" s="341"/>
      <c r="F345" s="341"/>
      <c r="G345" s="458" t="s">
        <v>372</v>
      </c>
      <c r="H345" s="610" t="s">
        <v>306</v>
      </c>
      <c r="I345" s="379"/>
      <c r="J345" s="410" t="str">
        <f>SHARDING(K342) * SHARDING(L342) / HW_SPEC("# of TensorCore per Chip")</f>
        <v>#N/A</v>
      </c>
      <c r="K345" s="345"/>
      <c r="L345" s="344"/>
      <c r="M345" s="346"/>
      <c r="N345" s="346"/>
      <c r="O345" s="344"/>
      <c r="P345" s="509"/>
      <c r="Q345" s="344"/>
    </row>
    <row r="346">
      <c r="E346" s="341"/>
      <c r="F346" s="341"/>
      <c r="G346" s="341"/>
      <c r="H346" s="605" t="s">
        <v>307</v>
      </c>
      <c r="I346" s="298"/>
      <c r="J346" s="390" t="str">
        <f>P343 * HW_SPEC("# of TensorCore per Chip") * (J345-1)</f>
        <v>#N/A</v>
      </c>
      <c r="K346" s="336"/>
      <c r="L346" s="337"/>
      <c r="M346" s="349"/>
      <c r="N346" s="349"/>
      <c r="O346" s="337"/>
      <c r="P346" s="377"/>
      <c r="Q346" s="337"/>
    </row>
    <row r="347">
      <c r="E347" s="341"/>
      <c r="F347" s="341"/>
      <c r="G347" s="341"/>
      <c r="H347" s="410" t="s">
        <v>308</v>
      </c>
      <c r="I347" s="379"/>
      <c r="J347" s="395" t="str">
        <f>J346*J345</f>
        <v>#N/A</v>
      </c>
      <c r="K347" s="345"/>
      <c r="L347" s="344"/>
      <c r="M347" s="346"/>
      <c r="N347" s="346"/>
      <c r="O347" s="344"/>
      <c r="P347" s="509"/>
      <c r="Q347" s="344"/>
    </row>
    <row r="348">
      <c r="E348" s="341"/>
      <c r="F348" s="341"/>
      <c r="G348" s="341"/>
      <c r="H348" s="478" t="s">
        <v>309</v>
      </c>
      <c r="I348" s="298"/>
      <c r="J348" s="397" t="str">
        <f>IFS(J345=8,12,
J345=4,4,
J345=2,1,
J345=1,0,
TRUE,NA())</f>
        <v>#N/A</v>
      </c>
      <c r="K348" s="336"/>
      <c r="L348" s="337"/>
      <c r="M348" s="349"/>
      <c r="N348" s="349"/>
      <c r="O348" s="337"/>
      <c r="P348" s="377"/>
      <c r="Q348" s="337"/>
    </row>
    <row r="349">
      <c r="E349" s="341"/>
      <c r="F349" s="341"/>
      <c r="G349" s="341"/>
      <c r="H349" s="606" t="s">
        <v>310</v>
      </c>
      <c r="I349" s="379"/>
      <c r="J349" s="611" t="s">
        <v>611</v>
      </c>
      <c r="K349" s="345"/>
      <c r="L349" s="344"/>
      <c r="M349" s="346"/>
      <c r="N349" s="346"/>
      <c r="O349" s="344"/>
      <c r="P349" s="509"/>
      <c r="Q349" s="344"/>
    </row>
    <row r="350">
      <c r="E350" s="341"/>
      <c r="F350" s="341"/>
      <c r="G350" s="352"/>
      <c r="H350" s="612" t="s">
        <v>311</v>
      </c>
      <c r="I350" s="613"/>
      <c r="J350" s="403" t="str">
        <f>ALL_GATHER_CHIP2CHIP_TIME_MS2(J347 * J349, J348)</f>
        <v>#N/A</v>
      </c>
      <c r="K350" s="336"/>
      <c r="L350" s="337"/>
      <c r="M350" s="349"/>
      <c r="N350" s="349"/>
      <c r="O350" s="337"/>
      <c r="P350" s="377"/>
      <c r="Q350" s="337"/>
    </row>
    <row r="351">
      <c r="E351" s="341"/>
      <c r="F351" s="341"/>
      <c r="G351" s="458" t="s">
        <v>373</v>
      </c>
      <c r="H351" s="410" t="s">
        <v>306</v>
      </c>
      <c r="I351" s="387"/>
      <c r="J351" s="483" t="str">
        <f>HW_SPEC("# of TensorCore per Chip")</f>
        <v>#N/A</v>
      </c>
      <c r="K351" s="345"/>
      <c r="L351" s="344"/>
      <c r="M351" s="346"/>
      <c r="N351" s="346"/>
      <c r="O351" s="344"/>
      <c r="P351" s="509"/>
      <c r="Q351" s="344"/>
    </row>
    <row r="352">
      <c r="E352" s="341"/>
      <c r="F352" s="341"/>
      <c r="G352" s="341"/>
      <c r="H352" s="478" t="s">
        <v>307</v>
      </c>
      <c r="I352" s="391"/>
      <c r="J352" s="390" t="str">
        <f> P341 / J351 * (J351-1)</f>
        <v>#N/A</v>
      </c>
      <c r="K352" s="336"/>
      <c r="L352" s="337"/>
      <c r="M352" s="349"/>
      <c r="N352" s="349"/>
      <c r="O352" s="337"/>
      <c r="P352" s="377"/>
      <c r="Q352" s="337"/>
    </row>
    <row r="353">
      <c r="E353" s="341"/>
      <c r="F353" s="341"/>
      <c r="G353" s="341"/>
      <c r="H353" s="410" t="s">
        <v>308</v>
      </c>
      <c r="I353" s="387"/>
      <c r="J353" s="395" t="str">
        <f>J352*J351</f>
        <v>#N/A</v>
      </c>
      <c r="K353" s="345"/>
      <c r="L353" s="344"/>
      <c r="M353" s="346"/>
      <c r="N353" s="346"/>
      <c r="O353" s="344"/>
      <c r="P353" s="509"/>
      <c r="Q353" s="344"/>
    </row>
    <row r="354">
      <c r="E354" s="341"/>
      <c r="F354" s="341"/>
      <c r="G354" s="341"/>
      <c r="H354" s="614" t="s">
        <v>311</v>
      </c>
      <c r="I354" s="615"/>
      <c r="J354" s="616" t="str">
        <f>ALL_GATHER_CORE2CORE_TIME_MS(J353)</f>
        <v>#N/A</v>
      </c>
      <c r="K354" s="336"/>
      <c r="L354" s="337"/>
      <c r="M354" s="349"/>
      <c r="N354" s="349"/>
      <c r="O354" s="337"/>
      <c r="P354" s="377"/>
      <c r="Q354" s="337"/>
    </row>
    <row r="355">
      <c r="E355" s="341"/>
      <c r="F355" s="341"/>
      <c r="G355" s="352"/>
      <c r="H355" s="617" t="s">
        <v>374</v>
      </c>
      <c r="I355" s="618"/>
      <c r="J355" s="619" t="str">
        <f>J354/J345</f>
        <v>#N/A</v>
      </c>
      <c r="K355" s="345"/>
      <c r="L355" s="344"/>
      <c r="M355" s="346"/>
      <c r="N355" s="346"/>
      <c r="O355" s="344"/>
      <c r="P355" s="509"/>
      <c r="Q355" s="344"/>
    </row>
    <row r="356">
      <c r="E356" s="341"/>
      <c r="F356" s="341"/>
      <c r="G356" s="402" t="s">
        <v>316</v>
      </c>
      <c r="H356" s="620" t="str">
        <f>J350+J355</f>
        <v>#N/A</v>
      </c>
      <c r="I356" s="298"/>
      <c r="J356" s="621"/>
      <c r="K356" s="336"/>
      <c r="L356" s="337"/>
      <c r="M356" s="349"/>
      <c r="N356" s="349"/>
      <c r="O356" s="337"/>
      <c r="P356" s="377"/>
      <c r="Q356" s="337"/>
    </row>
    <row r="357">
      <c r="E357" s="341"/>
      <c r="F357" s="341"/>
      <c r="G357" s="601"/>
      <c r="H357" s="622"/>
      <c r="I357" s="493"/>
      <c r="J357" s="345"/>
      <c r="K357" s="345"/>
      <c r="L357" s="346"/>
      <c r="M357" s="346"/>
      <c r="N357" s="346"/>
      <c r="O357" s="345"/>
      <c r="P357" s="509"/>
      <c r="Q357" s="379"/>
    </row>
    <row r="358">
      <c r="E358" s="341"/>
      <c r="F358" s="341"/>
      <c r="G358" s="623" t="s">
        <v>375</v>
      </c>
      <c r="H358" s="624" t="s">
        <v>117</v>
      </c>
      <c r="I358" s="581"/>
      <c r="J358" s="448"/>
      <c r="K358" s="448"/>
      <c r="L358" s="449"/>
      <c r="M358" s="449"/>
      <c r="N358" s="449"/>
      <c r="O358" s="448"/>
      <c r="P358" s="604"/>
      <c r="Q358" s="572"/>
    </row>
    <row r="359">
      <c r="E359" s="341"/>
      <c r="F359" s="341"/>
      <c r="G359" s="591" t="s">
        <v>340</v>
      </c>
      <c r="H359" s="625" t="str">
        <f>IFS(H358=G317,H324,H358=G326,H337,H358=G339,H356, TRUE,0)</f>
        <v>#N/A</v>
      </c>
      <c r="I359" s="581"/>
      <c r="J359" s="448"/>
      <c r="K359" s="448"/>
      <c r="L359" s="449"/>
      <c r="M359" s="449"/>
      <c r="N359" s="449"/>
      <c r="O359" s="448"/>
      <c r="P359" s="604"/>
      <c r="Q359" s="572"/>
    </row>
    <row r="360">
      <c r="E360" s="341"/>
      <c r="F360" s="341"/>
      <c r="G360" s="452" t="s">
        <v>325</v>
      </c>
      <c r="H360" s="626" t="str">
        <f>IFS(PARAMS("topo")="2x2x2", (2+2+2)/2,
PARAMS("topo")="2x2", (2+2)/2,
TRUE, NA())</f>
        <v>#N/A</v>
      </c>
      <c r="I360" s="460"/>
      <c r="J360" s="454"/>
      <c r="K360" s="454"/>
      <c r="L360" s="455"/>
      <c r="M360" s="455"/>
      <c r="N360" s="455"/>
      <c r="O360" s="454"/>
      <c r="P360" s="468"/>
      <c r="Q360" s="11"/>
    </row>
    <row r="361">
      <c r="E361" s="352"/>
      <c r="F361" s="352"/>
      <c r="G361" s="446" t="s">
        <v>326</v>
      </c>
      <c r="H361" s="447" t="str">
        <f>IF(H358="No Collectives", 0, H360 * HW_SPEC("Chip-to-Chip ICI Latency (ms)"))</f>
        <v>#N/A</v>
      </c>
      <c r="I361" s="581"/>
      <c r="J361" s="448"/>
      <c r="K361" s="448"/>
      <c r="L361" s="449"/>
      <c r="M361" s="449"/>
      <c r="N361" s="449"/>
      <c r="O361" s="448"/>
      <c r="P361" s="604"/>
      <c r="Q361" s="572"/>
    </row>
    <row r="362">
      <c r="E362" s="333" t="s">
        <v>377</v>
      </c>
      <c r="F362" s="627" t="s">
        <v>292</v>
      </c>
      <c r="G362" s="335"/>
      <c r="H362" s="372" t="s">
        <v>281</v>
      </c>
      <c r="I362" s="364" t="s">
        <v>282</v>
      </c>
      <c r="J362" s="364"/>
      <c r="K362" s="273" t="s">
        <v>104</v>
      </c>
      <c r="L362" s="273" t="s">
        <v>212</v>
      </c>
      <c r="M362" s="472" t="s">
        <v>178</v>
      </c>
      <c r="N362" s="364" t="s">
        <v>283</v>
      </c>
      <c r="O362" s="628" t="str">
        <f>EXTRACT_ACTIVATION_DTYPE(PARAMS("moe_dtype"))</f>
        <v>fp8</v>
      </c>
      <c r="P362" s="375"/>
      <c r="Q362" s="365" t="b">
        <v>0</v>
      </c>
    </row>
    <row r="363">
      <c r="E363" s="341"/>
      <c r="F363" s="342"/>
      <c r="G363" s="343"/>
      <c r="H363" s="374" t="s">
        <v>285</v>
      </c>
      <c r="I363" s="364" t="s">
        <v>282</v>
      </c>
      <c r="J363" s="363"/>
      <c r="K363" s="364">
        <f t="shared" ref="K363:M363" si="74">PARAMS(K362)</f>
        <v>2048</v>
      </c>
      <c r="L363" s="364">
        <f t="shared" si="74"/>
        <v>8</v>
      </c>
      <c r="M363" s="364">
        <f t="shared" si="74"/>
        <v>7168</v>
      </c>
      <c r="N363" s="364" t="s">
        <v>283</v>
      </c>
      <c r="O363" s="341"/>
      <c r="P363" s="375">
        <f>SIZEOF_IN_MIB(J363:M363, O362)</f>
        <v>112</v>
      </c>
      <c r="Q363" s="341"/>
    </row>
    <row r="364">
      <c r="E364" s="341"/>
      <c r="F364" s="342"/>
      <c r="G364" s="343"/>
      <c r="H364" s="629" t="s">
        <v>287</v>
      </c>
      <c r="I364" s="363" t="s">
        <v>282</v>
      </c>
      <c r="J364" s="364"/>
      <c r="K364" s="273" t="s">
        <v>196</v>
      </c>
      <c r="L364" s="273"/>
      <c r="M364" s="273"/>
      <c r="N364" s="363" t="s">
        <v>283</v>
      </c>
      <c r="O364" s="341"/>
      <c r="P364" s="375"/>
      <c r="Q364" s="341"/>
    </row>
    <row r="365">
      <c r="E365" s="341"/>
      <c r="F365" s="353"/>
      <c r="G365" s="354"/>
      <c r="H365" s="376" t="s">
        <v>289</v>
      </c>
      <c r="I365" s="349" t="s">
        <v>282</v>
      </c>
      <c r="J365" s="336"/>
      <c r="K365" s="349">
        <f t="shared" ref="K365:M365" si="75">K363/SHARDING(K364)</f>
        <v>128</v>
      </c>
      <c r="L365" s="349">
        <f t="shared" si="75"/>
        <v>8</v>
      </c>
      <c r="M365" s="349">
        <f t="shared" si="75"/>
        <v>7168</v>
      </c>
      <c r="N365" s="349" t="s">
        <v>283</v>
      </c>
      <c r="O365" s="316"/>
      <c r="P365" s="377">
        <f>SIZEOF_IN_MIB(J365:M365, O362)</f>
        <v>7</v>
      </c>
      <c r="Q365" s="316"/>
    </row>
    <row r="366">
      <c r="E366" s="341"/>
      <c r="F366" s="630" t="s">
        <v>296</v>
      </c>
      <c r="G366" s="335"/>
      <c r="H366" s="517" t="s">
        <v>281</v>
      </c>
      <c r="I366" s="346" t="s">
        <v>282</v>
      </c>
      <c r="J366" s="344">
        <v>2.0</v>
      </c>
      <c r="K366" s="344" t="s">
        <v>184</v>
      </c>
      <c r="L366" s="556" t="s">
        <v>178</v>
      </c>
      <c r="M366" s="344" t="s">
        <v>182</v>
      </c>
      <c r="N366" s="346" t="s">
        <v>283</v>
      </c>
      <c r="O366" s="631" t="str">
        <f>EXTRACT_WEIGHT_DTYPE(PARAMS("moe_dtype"))</f>
        <v>fp4</v>
      </c>
      <c r="P366" s="509"/>
      <c r="Q366" s="473" t="b">
        <v>0</v>
      </c>
    </row>
    <row r="367">
      <c r="E367" s="341"/>
      <c r="F367" s="342"/>
      <c r="G367" s="343"/>
      <c r="H367" s="376" t="s">
        <v>285</v>
      </c>
      <c r="I367" s="349" t="s">
        <v>282</v>
      </c>
      <c r="J367" s="349">
        <f t="shared" ref="J367:M367" si="76">PARAMS(J366)</f>
        <v>2</v>
      </c>
      <c r="K367" s="349">
        <f t="shared" si="76"/>
        <v>256</v>
      </c>
      <c r="L367" s="349">
        <f t="shared" si="76"/>
        <v>7168</v>
      </c>
      <c r="M367" s="349">
        <f t="shared" si="76"/>
        <v>2048</v>
      </c>
      <c r="N367" s="349" t="s">
        <v>283</v>
      </c>
      <c r="O367" s="350"/>
      <c r="P367" s="377">
        <f>SIZEOF_IN_MIB(J367:M367, O366)</f>
        <v>3584</v>
      </c>
      <c r="Q367" s="350"/>
    </row>
    <row r="368">
      <c r="E368" s="341"/>
      <c r="F368" s="342"/>
      <c r="G368" s="343"/>
      <c r="H368" s="517" t="s">
        <v>287</v>
      </c>
      <c r="I368" s="346"/>
      <c r="J368" s="345"/>
      <c r="K368" s="344" t="s">
        <v>196</v>
      </c>
      <c r="L368" s="344"/>
      <c r="M368" s="344"/>
      <c r="N368" s="346" t="s">
        <v>283</v>
      </c>
      <c r="O368" s="347"/>
      <c r="P368" s="509"/>
      <c r="Q368" s="347"/>
    </row>
    <row r="369">
      <c r="E369" s="341"/>
      <c r="F369" s="353"/>
      <c r="G369" s="354"/>
      <c r="H369" s="602" t="s">
        <v>289</v>
      </c>
      <c r="I369" s="349" t="s">
        <v>282</v>
      </c>
      <c r="J369" s="349">
        <f t="shared" ref="J369:M369" si="77">J367/SHARDING(J368)</f>
        <v>2</v>
      </c>
      <c r="K369" s="349">
        <f t="shared" si="77"/>
        <v>16</v>
      </c>
      <c r="L369" s="349">
        <f t="shared" si="77"/>
        <v>7168</v>
      </c>
      <c r="M369" s="349">
        <f t="shared" si="77"/>
        <v>2048</v>
      </c>
      <c r="N369" s="349" t="s">
        <v>283</v>
      </c>
      <c r="O369" s="316"/>
      <c r="P369" s="377">
        <f>SIZEOF_IN_MIB(J369:M369, O366)</f>
        <v>224</v>
      </c>
      <c r="Q369" s="316"/>
    </row>
    <row r="370">
      <c r="E370" s="341"/>
      <c r="F370" s="630" t="s">
        <v>56</v>
      </c>
      <c r="G370" s="335"/>
      <c r="H370" s="517" t="s">
        <v>281</v>
      </c>
      <c r="I370" s="346" t="s">
        <v>282</v>
      </c>
      <c r="J370" s="344">
        <v>2.0</v>
      </c>
      <c r="K370" s="344" t="s">
        <v>104</v>
      </c>
      <c r="L370" s="344" t="s">
        <v>212</v>
      </c>
      <c r="M370" s="344" t="s">
        <v>182</v>
      </c>
      <c r="N370" s="346" t="s">
        <v>283</v>
      </c>
      <c r="O370" s="546" t="s">
        <v>133</v>
      </c>
      <c r="P370" s="509"/>
      <c r="Q370" s="473" t="b">
        <v>0</v>
      </c>
    </row>
    <row r="371">
      <c r="E371" s="341"/>
      <c r="F371" s="342"/>
      <c r="G371" s="343"/>
      <c r="H371" s="376" t="s">
        <v>285</v>
      </c>
      <c r="I371" s="349" t="s">
        <v>282</v>
      </c>
      <c r="J371" s="349">
        <f t="shared" ref="J371:M371" si="78">PARAMS(J370)</f>
        <v>2</v>
      </c>
      <c r="K371" s="349">
        <f t="shared" si="78"/>
        <v>2048</v>
      </c>
      <c r="L371" s="349">
        <f t="shared" si="78"/>
        <v>8</v>
      </c>
      <c r="M371" s="349">
        <f t="shared" si="78"/>
        <v>2048</v>
      </c>
      <c r="N371" s="349" t="s">
        <v>283</v>
      </c>
      <c r="O371" s="350"/>
      <c r="P371" s="377">
        <f>SIZEOF_IN_MIB(J371:M371, O370)</f>
        <v>128</v>
      </c>
      <c r="Q371" s="350"/>
    </row>
    <row r="372">
      <c r="E372" s="341"/>
      <c r="F372" s="342"/>
      <c r="G372" s="343"/>
      <c r="H372" s="517" t="s">
        <v>287</v>
      </c>
      <c r="I372" s="346" t="s">
        <v>282</v>
      </c>
      <c r="J372" s="345"/>
      <c r="K372" s="344" t="s">
        <v>196</v>
      </c>
      <c r="L372" s="344"/>
      <c r="M372" s="344"/>
      <c r="N372" s="346" t="s">
        <v>283</v>
      </c>
      <c r="O372" s="347"/>
      <c r="P372" s="509"/>
      <c r="Q372" s="347"/>
    </row>
    <row r="373">
      <c r="E373" s="341"/>
      <c r="F373" s="353"/>
      <c r="G373" s="354"/>
      <c r="H373" s="602" t="s">
        <v>289</v>
      </c>
      <c r="I373" s="349" t="s">
        <v>282</v>
      </c>
      <c r="J373" s="349">
        <f t="shared" ref="J373:M373" si="79">J371/SHARDING(J372)</f>
        <v>2</v>
      </c>
      <c r="K373" s="349">
        <f t="shared" si="79"/>
        <v>128</v>
      </c>
      <c r="L373" s="349">
        <f t="shared" si="79"/>
        <v>8</v>
      </c>
      <c r="M373" s="349">
        <f t="shared" si="79"/>
        <v>2048</v>
      </c>
      <c r="N373" s="349" t="s">
        <v>283</v>
      </c>
      <c r="O373" s="316"/>
      <c r="P373" s="377">
        <f>SIZEOF_IN_MIB(J373:M373, O370)</f>
        <v>8</v>
      </c>
      <c r="Q373" s="316"/>
    </row>
    <row r="374">
      <c r="E374" s="341"/>
      <c r="F374" s="370" t="s">
        <v>378</v>
      </c>
      <c r="G374" s="601" t="s">
        <v>672</v>
      </c>
      <c r="H374" s="498" t="str">
        <f>L368</f>
        <v/>
      </c>
      <c r="I374" s="632" t="s">
        <v>673</v>
      </c>
      <c r="J374" s="345"/>
      <c r="K374" s="345"/>
      <c r="L374" s="346"/>
      <c r="M374" s="346"/>
      <c r="N374" s="346"/>
      <c r="O374" s="345"/>
      <c r="P374" s="509"/>
      <c r="Q374" s="379"/>
    </row>
    <row r="375">
      <c r="E375" s="341"/>
      <c r="F375" s="341"/>
      <c r="G375" s="591" t="s">
        <v>381</v>
      </c>
      <c r="H375" s="633" t="s">
        <v>382</v>
      </c>
      <c r="I375" s="633"/>
      <c r="J375" s="448"/>
      <c r="K375" s="448"/>
      <c r="L375" s="449"/>
      <c r="M375" s="449"/>
      <c r="N375" s="449"/>
      <c r="O375" s="448"/>
      <c r="P375" s="604"/>
      <c r="Q375" s="572"/>
    </row>
    <row r="376">
      <c r="E376" s="341"/>
      <c r="F376" s="341"/>
      <c r="G376" s="594" t="s">
        <v>306</v>
      </c>
      <c r="H376" s="634">
        <f>SHARDING(H374)</f>
        <v>1</v>
      </c>
      <c r="I376" s="498"/>
      <c r="J376" s="345"/>
      <c r="K376" s="345"/>
      <c r="L376" s="346"/>
      <c r="M376" s="346"/>
      <c r="N376" s="346"/>
      <c r="O376" s="345"/>
      <c r="P376" s="509"/>
      <c r="Q376" s="379"/>
    </row>
    <row r="377">
      <c r="E377" s="341"/>
      <c r="F377" s="341"/>
      <c r="G377" s="594" t="s">
        <v>383</v>
      </c>
      <c r="H377" s="635">
        <f>P373/H376*(H376-1)</f>
        <v>0</v>
      </c>
      <c r="I377" s="549"/>
      <c r="J377" s="336"/>
      <c r="K377" s="336"/>
      <c r="L377" s="349"/>
      <c r="M377" s="349"/>
      <c r="N377" s="349"/>
      <c r="O377" s="336"/>
      <c r="P377" s="377"/>
      <c r="Q377" s="298"/>
    </row>
    <row r="378">
      <c r="E378" s="341"/>
      <c r="F378" s="341"/>
      <c r="G378" s="594" t="s">
        <v>384</v>
      </c>
      <c r="H378" s="636">
        <f>H377*H376</f>
        <v>0</v>
      </c>
      <c r="I378" s="498"/>
      <c r="J378" s="345"/>
      <c r="K378" s="345"/>
      <c r="L378" s="346"/>
      <c r="M378" s="346"/>
      <c r="N378" s="346"/>
      <c r="O378" s="345"/>
      <c r="P378" s="509"/>
      <c r="Q378" s="379"/>
    </row>
    <row r="379">
      <c r="E379" s="341"/>
      <c r="F379" s="341"/>
      <c r="G379" s="637" t="s">
        <v>385</v>
      </c>
      <c r="H379" s="638" t="s">
        <v>309</v>
      </c>
      <c r="I379" s="549"/>
      <c r="J379" s="639">
        <f>IFS(H376=8,12,
H376=4,4,
H376=2,1,
H376=1,0,
TRUE,NA())</f>
        <v>0</v>
      </c>
      <c r="K379" s="336"/>
      <c r="L379" s="349"/>
      <c r="M379" s="349"/>
      <c r="N379" s="349"/>
      <c r="O379" s="336"/>
      <c r="P379" s="377"/>
      <c r="Q379" s="298"/>
    </row>
    <row r="380">
      <c r="E380" s="341"/>
      <c r="F380" s="341"/>
      <c r="G380" s="341"/>
      <c r="H380" s="640" t="s">
        <v>386</v>
      </c>
      <c r="I380" s="379"/>
      <c r="J380" s="641" t="str">
        <f>HW_SPEC("# of TensorCore per Chip")</f>
        <v>#N/A</v>
      </c>
      <c r="K380" s="345"/>
      <c r="L380" s="346"/>
      <c r="M380" s="346"/>
      <c r="N380" s="346"/>
      <c r="O380" s="345"/>
      <c r="P380" s="509"/>
      <c r="Q380" s="379"/>
    </row>
    <row r="381">
      <c r="E381" s="341"/>
      <c r="F381" s="341"/>
      <c r="G381" s="352"/>
      <c r="H381" s="642" t="s">
        <v>311</v>
      </c>
      <c r="I381" s="549"/>
      <c r="J381" s="643" t="str">
        <f>REDUCE_SCATTER_CHIP2CHIP_TIME_MS2(H378*J380,J379)</f>
        <v>#N/A</v>
      </c>
      <c r="K381" s="336"/>
      <c r="L381" s="349"/>
      <c r="M381" s="349"/>
      <c r="N381" s="349"/>
      <c r="O381" s="336"/>
      <c r="P381" s="377"/>
      <c r="Q381" s="298"/>
    </row>
    <row r="382">
      <c r="E382" s="341"/>
      <c r="F382" s="341"/>
      <c r="G382" s="644" t="s">
        <v>387</v>
      </c>
      <c r="H382" s="645" t="s">
        <v>311</v>
      </c>
      <c r="I382" s="379"/>
      <c r="J382" s="646">
        <f>REDUCE_SCATTER_CORE2CORE_TIME_MS(H378)</f>
        <v>0</v>
      </c>
      <c r="K382" s="345"/>
      <c r="L382" s="346"/>
      <c r="M382" s="346"/>
      <c r="N382" s="346"/>
      <c r="O382" s="345"/>
      <c r="P382" s="509"/>
      <c r="Q382" s="379"/>
    </row>
    <row r="383">
      <c r="E383" s="341"/>
      <c r="F383" s="341"/>
      <c r="G383" s="11"/>
      <c r="H383" s="298"/>
      <c r="I383" s="549"/>
      <c r="J383" s="336"/>
      <c r="K383" s="336"/>
      <c r="L383" s="349"/>
      <c r="M383" s="349"/>
      <c r="N383" s="349"/>
      <c r="O383" s="336"/>
      <c r="P383" s="377"/>
      <c r="Q383" s="298"/>
    </row>
    <row r="384">
      <c r="E384" s="341"/>
      <c r="F384" s="341"/>
      <c r="G384" s="591" t="s">
        <v>388</v>
      </c>
      <c r="H384" s="647" t="s">
        <v>389</v>
      </c>
      <c r="I384" s="648"/>
      <c r="J384" s="448"/>
      <c r="K384" s="448"/>
      <c r="L384" s="449"/>
      <c r="M384" s="449"/>
      <c r="N384" s="449"/>
      <c r="O384" s="448"/>
      <c r="P384" s="604"/>
      <c r="Q384" s="572"/>
    </row>
    <row r="385">
      <c r="E385" s="341"/>
      <c r="F385" s="341"/>
      <c r="G385" s="601" t="s">
        <v>390</v>
      </c>
      <c r="H385" s="649">
        <f>P373/2</f>
        <v>4</v>
      </c>
      <c r="I385" s="650"/>
      <c r="J385" s="454"/>
      <c r="K385" s="454"/>
      <c r="L385" s="455"/>
      <c r="M385" s="455"/>
      <c r="N385" s="455"/>
      <c r="O385" s="454"/>
      <c r="P385" s="468"/>
      <c r="Q385" s="11"/>
    </row>
    <row r="386">
      <c r="E386" s="341"/>
      <c r="F386" s="341"/>
      <c r="G386" s="11"/>
      <c r="H386" s="11"/>
      <c r="I386" s="650"/>
      <c r="J386" s="454"/>
      <c r="K386" s="454"/>
      <c r="L386" s="455"/>
      <c r="M386" s="455"/>
      <c r="N386" s="455"/>
      <c r="O386" s="454"/>
      <c r="P386" s="468"/>
      <c r="Q386" s="11"/>
    </row>
    <row r="387">
      <c r="E387" s="341"/>
      <c r="F387" s="341"/>
      <c r="G387" s="591" t="s">
        <v>263</v>
      </c>
      <c r="H387" s="647" t="s">
        <v>391</v>
      </c>
      <c r="I387" s="648"/>
      <c r="J387" s="448"/>
      <c r="K387" s="448"/>
      <c r="L387" s="449"/>
      <c r="M387" s="449"/>
      <c r="N387" s="449"/>
      <c r="O387" s="448"/>
      <c r="P387" s="604"/>
      <c r="Q387" s="572"/>
    </row>
    <row r="388">
      <c r="E388" s="341"/>
      <c r="F388" s="341"/>
      <c r="G388" s="594" t="s">
        <v>306</v>
      </c>
      <c r="H388" s="651">
        <f>H376</f>
        <v>1</v>
      </c>
      <c r="I388" s="650"/>
      <c r="J388" s="454"/>
      <c r="K388" s="454"/>
      <c r="L388" s="455"/>
      <c r="M388" s="455"/>
      <c r="N388" s="455"/>
      <c r="O388" s="454"/>
      <c r="P388" s="468"/>
      <c r="Q388" s="11"/>
    </row>
    <row r="389">
      <c r="E389" s="341"/>
      <c r="F389" s="341"/>
      <c r="G389" s="594" t="s">
        <v>392</v>
      </c>
      <c r="H389" s="652">
        <f>H385/H388 * (H388-1)</f>
        <v>0</v>
      </c>
      <c r="I389" s="650"/>
      <c r="J389" s="454"/>
      <c r="K389" s="454"/>
      <c r="L389" s="455"/>
      <c r="M389" s="455"/>
      <c r="N389" s="455"/>
      <c r="O389" s="454"/>
      <c r="P389" s="468"/>
      <c r="Q389" s="11"/>
    </row>
    <row r="390">
      <c r="E390" s="341"/>
      <c r="F390" s="341"/>
      <c r="G390" s="594" t="s">
        <v>308</v>
      </c>
      <c r="H390" s="652">
        <f>H389*H388</f>
        <v>0</v>
      </c>
      <c r="I390" s="650"/>
      <c r="J390" s="454"/>
      <c r="K390" s="454"/>
      <c r="L390" s="455"/>
      <c r="M390" s="455"/>
      <c r="N390" s="455"/>
      <c r="O390" s="454"/>
      <c r="P390" s="468"/>
      <c r="Q390" s="11"/>
    </row>
    <row r="391">
      <c r="E391" s="341"/>
      <c r="F391" s="341"/>
      <c r="G391" s="653" t="s">
        <v>385</v>
      </c>
      <c r="H391" s="385" t="s">
        <v>309</v>
      </c>
      <c r="I391" s="11"/>
      <c r="J391" s="654" t="str">
        <f>IFS(H388=8,12,
H388=4,4,
H388=2,1,
TRUE,NA())</f>
        <v>#N/A</v>
      </c>
      <c r="K391" s="454"/>
      <c r="L391" s="455"/>
      <c r="M391" s="455"/>
      <c r="N391" s="455"/>
      <c r="O391" s="454"/>
      <c r="P391" s="468"/>
      <c r="Q391" s="11"/>
      <c r="S391" s="655"/>
    </row>
    <row r="392">
      <c r="E392" s="341"/>
      <c r="F392" s="341"/>
      <c r="G392" s="341"/>
      <c r="H392" s="385" t="s">
        <v>386</v>
      </c>
      <c r="I392" s="11"/>
      <c r="J392" s="656" t="str">
        <f>HW_SPEC("# of TensorCore per Chip")</f>
        <v>#N/A</v>
      </c>
      <c r="K392" s="454"/>
      <c r="L392" s="455"/>
      <c r="M392" s="455"/>
      <c r="N392" s="455"/>
      <c r="O392" s="454"/>
      <c r="P392" s="468"/>
      <c r="Q392" s="11"/>
    </row>
    <row r="393">
      <c r="E393" s="341"/>
      <c r="F393" s="341"/>
      <c r="G393" s="352"/>
      <c r="H393" s="402" t="s">
        <v>311</v>
      </c>
      <c r="I393" s="650"/>
      <c r="J393" s="657" t="str">
        <f>REDUCE_SCATTER_CHIP2CHIP_TIME_MS2(H390*J392,J391)</f>
        <v>#N/A</v>
      </c>
      <c r="K393" s="454"/>
      <c r="L393" s="455"/>
      <c r="M393" s="455"/>
      <c r="N393" s="455"/>
      <c r="O393" s="454"/>
      <c r="P393" s="468"/>
      <c r="Q393" s="11"/>
    </row>
    <row r="394">
      <c r="E394" s="341"/>
      <c r="F394" s="341"/>
      <c r="G394" s="658" t="s">
        <v>387</v>
      </c>
      <c r="H394" s="402" t="s">
        <v>311</v>
      </c>
      <c r="I394" s="650"/>
      <c r="J394" s="657">
        <f>REDUCE_SCATTER_CORE2CORE_TIME_MS(H390)</f>
        <v>0</v>
      </c>
      <c r="K394" s="454"/>
      <c r="L394" s="455"/>
      <c r="M394" s="455"/>
      <c r="N394" s="455"/>
      <c r="O394" s="454"/>
      <c r="P394" s="468"/>
      <c r="Q394" s="11"/>
    </row>
    <row r="395">
      <c r="E395" s="341"/>
      <c r="F395" s="341"/>
      <c r="G395" s="594"/>
      <c r="H395" s="659"/>
      <c r="I395" s="650"/>
      <c r="J395" s="454"/>
      <c r="K395" s="454"/>
      <c r="L395" s="455"/>
      <c r="M395" s="455"/>
      <c r="N395" s="455"/>
      <c r="O395" s="454"/>
      <c r="P395" s="468"/>
      <c r="Q395" s="11"/>
    </row>
    <row r="396">
      <c r="E396" s="341"/>
      <c r="F396" s="341"/>
      <c r="G396" s="591" t="s">
        <v>393</v>
      </c>
      <c r="H396" s="660" t="s">
        <v>394</v>
      </c>
      <c r="I396" s="648"/>
      <c r="J396" s="448"/>
      <c r="K396" s="448"/>
      <c r="L396" s="449"/>
      <c r="M396" s="449"/>
      <c r="N396" s="449"/>
      <c r="O396" s="448"/>
      <c r="P396" s="604"/>
      <c r="Q396" s="572"/>
    </row>
    <row r="397">
      <c r="E397" s="341"/>
      <c r="F397" s="341"/>
      <c r="G397" s="661" t="s">
        <v>395</v>
      </c>
      <c r="H397" s="662">
        <f>IFS(H396=G379,J381,
H396=G382,J382 ,
TRUE,0)</f>
        <v>0</v>
      </c>
      <c r="I397" s="650"/>
      <c r="J397" s="454"/>
      <c r="K397" s="454"/>
      <c r="L397" s="455"/>
      <c r="M397" s="455"/>
      <c r="N397" s="455"/>
      <c r="O397" s="454"/>
      <c r="P397" s="468"/>
      <c r="Q397" s="11"/>
    </row>
    <row r="398">
      <c r="E398" s="341"/>
      <c r="F398" s="341"/>
      <c r="G398" s="661" t="s">
        <v>396</v>
      </c>
      <c r="H398" s="662">
        <f>IFS(H396=G391,J393,
H396=G394,J394 ,
TRUE,0)</f>
        <v>0</v>
      </c>
      <c r="I398" s="650"/>
      <c r="J398" s="454"/>
      <c r="K398" s="454"/>
      <c r="L398" s="455"/>
      <c r="M398" s="455"/>
      <c r="N398" s="455"/>
      <c r="O398" s="454"/>
      <c r="P398" s="468"/>
      <c r="Q398" s="11"/>
    </row>
    <row r="399">
      <c r="E399" s="341"/>
      <c r="F399" s="352"/>
      <c r="G399" s="591" t="s">
        <v>340</v>
      </c>
      <c r="H399" s="625">
        <f>SUM(H397:H398)</f>
        <v>0</v>
      </c>
      <c r="I399" s="581"/>
      <c r="J399" s="448"/>
      <c r="K399" s="448"/>
      <c r="L399" s="449"/>
      <c r="M399" s="449"/>
      <c r="N399" s="449"/>
      <c r="O399" s="448"/>
      <c r="P399" s="604"/>
      <c r="Q399" s="572"/>
    </row>
    <row r="400">
      <c r="E400" s="341"/>
      <c r="F400" s="609" t="s">
        <v>327</v>
      </c>
      <c r="G400" s="601" t="s">
        <v>328</v>
      </c>
      <c r="H400" s="663" t="str">
        <f>VLOOKUP(O362&amp;","&amp;O366,$T$3:$W$12,4, FALSE)</f>
        <v>fp8</v>
      </c>
      <c r="I400" s="460"/>
      <c r="J400" s="454"/>
      <c r="K400" s="454"/>
      <c r="L400" s="455"/>
      <c r="M400" s="455"/>
      <c r="N400" s="455"/>
      <c r="O400" s="454"/>
      <c r="P400" s="468"/>
      <c r="Q400" s="11"/>
    </row>
    <row r="401">
      <c r="E401" s="341"/>
      <c r="F401" s="341"/>
      <c r="G401" s="601" t="s">
        <v>403</v>
      </c>
      <c r="H401" s="667" t="str">
        <f>CALCULATE_FLOPS(J365:M365,J369:M369,L369,K369,H400)</f>
        <v>#N/A</v>
      </c>
      <c r="I401" s="460"/>
      <c r="J401" s="454"/>
      <c r="K401" s="454"/>
      <c r="L401" s="455"/>
      <c r="M401" s="455"/>
      <c r="N401" s="455"/>
      <c r="O401" s="454"/>
      <c r="P401" s="468"/>
      <c r="Q401" s="11"/>
    </row>
    <row r="402">
      <c r="E402" s="341"/>
      <c r="F402" s="352"/>
      <c r="G402" s="669" t="s">
        <v>330</v>
      </c>
      <c r="H402" s="670" t="str">
        <f>COMPUTE_TIME_MS(H401, H400)</f>
        <v>#N/A</v>
      </c>
      <c r="I402" s="464"/>
      <c r="J402" s="465"/>
      <c r="K402" s="465"/>
      <c r="L402" s="466"/>
      <c r="M402" s="466"/>
      <c r="N402" s="466"/>
      <c r="O402" s="465"/>
      <c r="P402" s="671"/>
      <c r="Q402" s="11"/>
    </row>
    <row r="403">
      <c r="E403" s="341"/>
      <c r="F403" s="609" t="s">
        <v>331</v>
      </c>
      <c r="G403" s="663" t="s">
        <v>332</v>
      </c>
      <c r="H403" s="672">
        <f>IF(Q362,0,P365)+IF(Q366,0,P369)+IF(Q370,0,P373 / 2)</f>
        <v>235</v>
      </c>
      <c r="I403" s="454"/>
      <c r="J403" s="454"/>
      <c r="K403" s="454"/>
      <c r="L403" s="455"/>
      <c r="M403" s="455"/>
      <c r="N403" s="455"/>
      <c r="O403" s="454"/>
      <c r="P403" s="468"/>
      <c r="Q403" s="11"/>
    </row>
    <row r="404">
      <c r="E404" s="352"/>
      <c r="F404" s="352"/>
      <c r="G404" s="673" t="s">
        <v>333</v>
      </c>
      <c r="H404" s="670" t="str">
        <f>HBM_TIME_MS(H403)</f>
        <v>#N/A</v>
      </c>
      <c r="I404" s="465"/>
      <c r="J404" s="465"/>
      <c r="K404" s="465"/>
      <c r="L404" s="466"/>
      <c r="M404" s="466"/>
      <c r="N404" s="466"/>
      <c r="O404" s="465"/>
      <c r="P404" s="671"/>
      <c r="Q404" s="11"/>
    </row>
    <row r="405">
      <c r="E405" s="333" t="s">
        <v>404</v>
      </c>
      <c r="F405" s="627" t="s">
        <v>292</v>
      </c>
      <c r="G405" s="335"/>
      <c r="H405" s="372" t="s">
        <v>281</v>
      </c>
      <c r="I405" s="364" t="s">
        <v>282</v>
      </c>
      <c r="J405" s="273"/>
      <c r="K405" s="273" t="s">
        <v>104</v>
      </c>
      <c r="L405" s="273" t="s">
        <v>212</v>
      </c>
      <c r="M405" s="472" t="s">
        <v>182</v>
      </c>
      <c r="N405" s="364" t="s">
        <v>283</v>
      </c>
      <c r="O405" s="628" t="str">
        <f>EXTRACT_ACTIVATION_DTYPE(PARAMS("moe_dtype"))</f>
        <v>fp8</v>
      </c>
      <c r="P405" s="375"/>
      <c r="Q405" s="365" t="b">
        <v>0</v>
      </c>
    </row>
    <row r="406">
      <c r="E406" s="341"/>
      <c r="F406" s="342"/>
      <c r="G406" s="343"/>
      <c r="H406" s="374" t="s">
        <v>285</v>
      </c>
      <c r="I406" s="364" t="s">
        <v>282</v>
      </c>
      <c r="J406" s="363"/>
      <c r="K406" s="364">
        <f t="shared" ref="K406:M406" si="80">PARAMS(K405)</f>
        <v>2048</v>
      </c>
      <c r="L406" s="364">
        <f t="shared" si="80"/>
        <v>8</v>
      </c>
      <c r="M406" s="364">
        <f t="shared" si="80"/>
        <v>2048</v>
      </c>
      <c r="N406" s="364" t="s">
        <v>283</v>
      </c>
      <c r="O406" s="341"/>
      <c r="P406" s="375">
        <f>SIZEOF_IN_MIB(J406:M406, O405)</f>
        <v>32</v>
      </c>
      <c r="Q406" s="341"/>
    </row>
    <row r="407">
      <c r="E407" s="341"/>
      <c r="F407" s="342"/>
      <c r="G407" s="343"/>
      <c r="H407" s="629" t="s">
        <v>287</v>
      </c>
      <c r="I407" s="363" t="s">
        <v>282</v>
      </c>
      <c r="J407" s="364"/>
      <c r="K407" s="273" t="s">
        <v>196</v>
      </c>
      <c r="L407" s="273"/>
      <c r="M407" s="273"/>
      <c r="N407" s="363" t="s">
        <v>283</v>
      </c>
      <c r="O407" s="341"/>
      <c r="P407" s="375"/>
      <c r="Q407" s="341"/>
    </row>
    <row r="408">
      <c r="E408" s="341"/>
      <c r="F408" s="353"/>
      <c r="G408" s="354"/>
      <c r="H408" s="374" t="s">
        <v>289</v>
      </c>
      <c r="I408" s="363" t="s">
        <v>282</v>
      </c>
      <c r="J408" s="364"/>
      <c r="K408" s="363">
        <f t="shared" ref="K408:M408" si="81">K406/SHARDING(K407)</f>
        <v>128</v>
      </c>
      <c r="L408" s="363">
        <f t="shared" si="81"/>
        <v>8</v>
      </c>
      <c r="M408" s="363">
        <f t="shared" si="81"/>
        <v>2048</v>
      </c>
      <c r="N408" s="363" t="s">
        <v>283</v>
      </c>
      <c r="O408" s="316"/>
      <c r="P408" s="375">
        <f>SIZEOF_IN_MIB(J408:M408, O405)</f>
        <v>2</v>
      </c>
      <c r="Q408" s="352"/>
    </row>
    <row r="409">
      <c r="E409" s="341"/>
      <c r="F409" s="630" t="s">
        <v>296</v>
      </c>
      <c r="G409" s="335"/>
      <c r="H409" s="629" t="s">
        <v>281</v>
      </c>
      <c r="I409" s="363" t="s">
        <v>282</v>
      </c>
      <c r="J409" s="364"/>
      <c r="K409" s="273" t="s">
        <v>184</v>
      </c>
      <c r="L409" s="472" t="s">
        <v>182</v>
      </c>
      <c r="M409" s="273" t="s">
        <v>178</v>
      </c>
      <c r="N409" s="363" t="s">
        <v>283</v>
      </c>
      <c r="O409" s="631" t="str">
        <f>EXTRACT_WEIGHT_DTYPE(PARAMS("moe_dtype"))</f>
        <v>fp4</v>
      </c>
      <c r="P409" s="375"/>
      <c r="Q409" s="365" t="b">
        <v>0</v>
      </c>
    </row>
    <row r="410">
      <c r="E410" s="341"/>
      <c r="F410" s="342"/>
      <c r="G410" s="343"/>
      <c r="H410" s="374" t="s">
        <v>285</v>
      </c>
      <c r="I410" s="363" t="s">
        <v>282</v>
      </c>
      <c r="J410" s="364"/>
      <c r="K410" s="363">
        <f t="shared" ref="K410:M410" si="82">PARAMS(K409)</f>
        <v>256</v>
      </c>
      <c r="L410" s="363">
        <f t="shared" si="82"/>
        <v>2048</v>
      </c>
      <c r="M410" s="363">
        <f t="shared" si="82"/>
        <v>7168</v>
      </c>
      <c r="N410" s="363" t="s">
        <v>283</v>
      </c>
      <c r="O410" s="350"/>
      <c r="P410" s="375">
        <f>SIZEOF_IN_MIB(J410:M410, O409)</f>
        <v>1792</v>
      </c>
      <c r="Q410" s="341"/>
    </row>
    <row r="411">
      <c r="E411" s="341"/>
      <c r="F411" s="342"/>
      <c r="G411" s="343"/>
      <c r="H411" s="629" t="s">
        <v>287</v>
      </c>
      <c r="I411" s="363" t="s">
        <v>282</v>
      </c>
      <c r="J411" s="364"/>
      <c r="K411" s="273" t="s">
        <v>196</v>
      </c>
      <c r="L411" s="273"/>
      <c r="M411" s="273"/>
      <c r="N411" s="363" t="s">
        <v>283</v>
      </c>
      <c r="O411" s="347"/>
      <c r="P411" s="375"/>
      <c r="Q411" s="341"/>
    </row>
    <row r="412">
      <c r="E412" s="341"/>
      <c r="F412" s="353"/>
      <c r="G412" s="354"/>
      <c r="H412" s="629" t="s">
        <v>289</v>
      </c>
      <c r="I412" s="363" t="s">
        <v>282</v>
      </c>
      <c r="J412" s="364"/>
      <c r="K412" s="363">
        <f t="shared" ref="K412:M412" si="83">K410/SHARDING(K411)</f>
        <v>16</v>
      </c>
      <c r="L412" s="363">
        <f t="shared" si="83"/>
        <v>2048</v>
      </c>
      <c r="M412" s="363">
        <f t="shared" si="83"/>
        <v>7168</v>
      </c>
      <c r="N412" s="363" t="s">
        <v>283</v>
      </c>
      <c r="O412" s="316"/>
      <c r="P412" s="375">
        <f>SIZEOF_IN_MIB(J412:M412, O409)</f>
        <v>112</v>
      </c>
      <c r="Q412" s="352"/>
    </row>
    <row r="413">
      <c r="E413" s="341"/>
      <c r="F413" s="630" t="s">
        <v>56</v>
      </c>
      <c r="G413" s="335"/>
      <c r="H413" s="629" t="s">
        <v>281</v>
      </c>
      <c r="I413" s="363" t="s">
        <v>282</v>
      </c>
      <c r="J413" s="364"/>
      <c r="K413" s="273" t="s">
        <v>104</v>
      </c>
      <c r="L413" s="273" t="s">
        <v>212</v>
      </c>
      <c r="M413" s="273" t="s">
        <v>178</v>
      </c>
      <c r="N413" s="363" t="s">
        <v>283</v>
      </c>
      <c r="O413" s="674" t="s">
        <v>133</v>
      </c>
      <c r="P413" s="375"/>
      <c r="Q413" s="365" t="b">
        <v>0</v>
      </c>
    </row>
    <row r="414">
      <c r="E414" s="341"/>
      <c r="F414" s="342"/>
      <c r="G414" s="343"/>
      <c r="H414" s="374" t="s">
        <v>285</v>
      </c>
      <c r="I414" s="363" t="s">
        <v>282</v>
      </c>
      <c r="J414" s="364"/>
      <c r="K414" s="363">
        <f t="shared" ref="K414:M414" si="84">PARAMS(K413)</f>
        <v>2048</v>
      </c>
      <c r="L414" s="363">
        <f t="shared" si="84"/>
        <v>8</v>
      </c>
      <c r="M414" s="363">
        <f t="shared" si="84"/>
        <v>7168</v>
      </c>
      <c r="N414" s="363" t="s">
        <v>283</v>
      </c>
      <c r="O414" s="341"/>
      <c r="P414" s="375">
        <f>SIZEOF_IN_MIB(J414:M414, O413)</f>
        <v>224</v>
      </c>
      <c r="Q414" s="341"/>
    </row>
    <row r="415">
      <c r="E415" s="341"/>
      <c r="F415" s="342"/>
      <c r="G415" s="343"/>
      <c r="H415" s="629" t="s">
        <v>287</v>
      </c>
      <c r="I415" s="363" t="s">
        <v>282</v>
      </c>
      <c r="J415" s="364"/>
      <c r="K415" s="273" t="s">
        <v>196</v>
      </c>
      <c r="L415" s="273"/>
      <c r="M415" s="273"/>
      <c r="N415" s="363" t="s">
        <v>283</v>
      </c>
      <c r="O415" s="341"/>
      <c r="P415" s="375"/>
      <c r="Q415" s="341"/>
    </row>
    <row r="416">
      <c r="E416" s="341"/>
      <c r="F416" s="353"/>
      <c r="G416" s="354"/>
      <c r="H416" s="629" t="s">
        <v>289</v>
      </c>
      <c r="I416" s="363" t="s">
        <v>282</v>
      </c>
      <c r="J416" s="363"/>
      <c r="K416" s="363">
        <f t="shared" ref="K416:M416" si="85">K414/SHARDING(K415)</f>
        <v>128</v>
      </c>
      <c r="L416" s="363">
        <f t="shared" si="85"/>
        <v>8</v>
      </c>
      <c r="M416" s="363">
        <f t="shared" si="85"/>
        <v>7168</v>
      </c>
      <c r="N416" s="363" t="s">
        <v>283</v>
      </c>
      <c r="O416" s="352"/>
      <c r="P416" s="375">
        <f>SIZEOF_IN_MIB(J416:M416, O413)</f>
        <v>14</v>
      </c>
      <c r="Q416" s="352"/>
    </row>
    <row r="417">
      <c r="E417" s="341"/>
      <c r="F417" s="370" t="s">
        <v>378</v>
      </c>
      <c r="G417" s="675" t="s">
        <v>674</v>
      </c>
      <c r="H417" s="676" t="str">
        <f>L411</f>
        <v/>
      </c>
      <c r="I417" s="364"/>
      <c r="J417" s="11"/>
      <c r="K417" s="364"/>
      <c r="L417" s="363"/>
      <c r="M417" s="363"/>
      <c r="N417" s="363"/>
      <c r="O417" s="364"/>
      <c r="P417" s="375"/>
      <c r="Q417" s="677"/>
    </row>
    <row r="418">
      <c r="E418" s="341"/>
      <c r="F418" s="341"/>
      <c r="G418" s="678" t="s">
        <v>406</v>
      </c>
      <c r="H418" s="679" t="s">
        <v>675</v>
      </c>
      <c r="I418" s="448"/>
      <c r="J418" s="448"/>
      <c r="K418" s="448"/>
      <c r="L418" s="449"/>
      <c r="M418" s="449"/>
      <c r="N418" s="449"/>
      <c r="O418" s="448"/>
      <c r="P418" s="604"/>
      <c r="Q418" s="450"/>
    </row>
    <row r="419">
      <c r="E419" s="341"/>
      <c r="F419" s="341"/>
      <c r="G419" s="680" t="s">
        <v>306</v>
      </c>
      <c r="H419" s="374">
        <f>SHARDING(H417)</f>
        <v>1</v>
      </c>
      <c r="I419" s="364"/>
      <c r="J419" s="364"/>
      <c r="K419" s="364"/>
      <c r="L419" s="363"/>
      <c r="M419" s="363"/>
      <c r="N419" s="363"/>
      <c r="O419" s="364"/>
      <c r="P419" s="375"/>
      <c r="Q419" s="677"/>
    </row>
    <row r="420">
      <c r="E420" s="341"/>
      <c r="F420" s="341"/>
      <c r="G420" s="680" t="s">
        <v>392</v>
      </c>
      <c r="H420" s="681">
        <f>P416 / H419 * (H419-1)</f>
        <v>0</v>
      </c>
      <c r="I420" s="364"/>
      <c r="J420" s="364"/>
      <c r="K420" s="364"/>
      <c r="L420" s="363"/>
      <c r="M420" s="363"/>
      <c r="N420" s="363"/>
      <c r="O420" s="364"/>
      <c r="P420" s="375"/>
      <c r="Q420" s="677"/>
    </row>
    <row r="421">
      <c r="E421" s="341"/>
      <c r="F421" s="341"/>
      <c r="G421" s="680" t="s">
        <v>308</v>
      </c>
      <c r="H421" s="681">
        <f>H420*H419</f>
        <v>0</v>
      </c>
      <c r="I421" s="364"/>
      <c r="J421" s="364"/>
      <c r="K421" s="364"/>
      <c r="L421" s="363"/>
      <c r="M421" s="363"/>
      <c r="N421" s="363"/>
      <c r="O421" s="364"/>
      <c r="P421" s="375"/>
      <c r="Q421" s="677"/>
    </row>
    <row r="422">
      <c r="E422" s="341"/>
      <c r="F422" s="341"/>
      <c r="G422" s="385" t="s">
        <v>309</v>
      </c>
      <c r="H422" s="654" t="str">
        <f>IFS(H419=8,12,
H419=4,4,
H419=2,1,
TRUE,NA())</f>
        <v>#N/A</v>
      </c>
      <c r="I422" s="11"/>
      <c r="J422" s="364"/>
      <c r="K422" s="364"/>
      <c r="L422" s="363"/>
      <c r="M422" s="363"/>
      <c r="N422" s="363"/>
      <c r="O422" s="364"/>
      <c r="P422" s="375"/>
      <c r="Q422" s="677"/>
    </row>
    <row r="423">
      <c r="E423" s="341"/>
      <c r="F423" s="341"/>
      <c r="G423" s="682" t="s">
        <v>340</v>
      </c>
      <c r="H423" s="683">
        <f>ALL_REDUCE_CHIP2CHIP_TIME_MS(H421,H422)</f>
        <v>0</v>
      </c>
      <c r="I423" s="364"/>
      <c r="J423" s="364"/>
      <c r="K423" s="364"/>
      <c r="L423" s="363"/>
      <c r="M423" s="363"/>
      <c r="N423" s="363"/>
      <c r="O423" s="364"/>
      <c r="P423" s="375"/>
      <c r="Q423" s="677"/>
    </row>
    <row r="424">
      <c r="E424" s="341"/>
      <c r="F424" s="341"/>
      <c r="G424" s="682"/>
      <c r="H424" s="683"/>
      <c r="I424" s="364"/>
      <c r="J424" s="364"/>
      <c r="K424" s="364"/>
      <c r="L424" s="363"/>
      <c r="M424" s="363"/>
      <c r="N424" s="363"/>
      <c r="O424" s="364"/>
      <c r="P424" s="375"/>
      <c r="Q424" s="677"/>
    </row>
    <row r="425">
      <c r="E425" s="341"/>
      <c r="F425" s="341"/>
      <c r="G425" s="678" t="s">
        <v>408</v>
      </c>
      <c r="H425" s="684" t="s">
        <v>409</v>
      </c>
      <c r="I425" s="448"/>
      <c r="J425" s="448"/>
      <c r="K425" s="448"/>
      <c r="L425" s="449"/>
      <c r="M425" s="449"/>
      <c r="N425" s="449"/>
      <c r="O425" s="448"/>
      <c r="P425" s="604"/>
      <c r="Q425" s="450"/>
    </row>
    <row r="426">
      <c r="E426" s="341"/>
      <c r="F426" s="341"/>
      <c r="G426" s="8" t="s">
        <v>340</v>
      </c>
      <c r="H426" s="670">
        <f>0</f>
        <v>0</v>
      </c>
      <c r="I426" s="364"/>
      <c r="J426" s="364"/>
      <c r="K426" s="364"/>
      <c r="L426" s="363"/>
      <c r="M426" s="363"/>
      <c r="N426" s="363"/>
      <c r="O426" s="364"/>
      <c r="P426" s="375"/>
      <c r="Q426" s="677"/>
    </row>
    <row r="427">
      <c r="E427" s="341"/>
      <c r="F427" s="341"/>
      <c r="G427" s="8"/>
      <c r="H427" s="670"/>
      <c r="I427" s="364"/>
      <c r="J427" s="364"/>
      <c r="K427" s="364"/>
      <c r="L427" s="363"/>
      <c r="M427" s="363"/>
      <c r="N427" s="363"/>
      <c r="O427" s="364"/>
      <c r="P427" s="375"/>
      <c r="Q427" s="677"/>
    </row>
    <row r="428">
      <c r="E428" s="341"/>
      <c r="F428" s="341"/>
      <c r="G428" s="591" t="s">
        <v>393</v>
      </c>
      <c r="H428" s="685" t="s">
        <v>627</v>
      </c>
      <c r="I428" s="448"/>
      <c r="J428" s="448"/>
      <c r="K428" s="448"/>
      <c r="L428" s="449"/>
      <c r="M428" s="449"/>
      <c r="N428" s="449"/>
      <c r="O428" s="448"/>
      <c r="P428" s="604"/>
      <c r="Q428" s="450"/>
    </row>
    <row r="429">
      <c r="E429" s="341"/>
      <c r="F429" s="352"/>
      <c r="G429" s="669" t="s">
        <v>340</v>
      </c>
      <c r="H429" s="670">
        <f>IFS(H428=G418,H423,H428=G425,H426,TRUE,0)</f>
        <v>0</v>
      </c>
      <c r="I429" s="686"/>
      <c r="J429" s="364"/>
      <c r="K429" s="364"/>
      <c r="L429" s="363"/>
      <c r="M429" s="363"/>
      <c r="N429" s="363"/>
      <c r="O429" s="364"/>
      <c r="P429" s="375"/>
      <c r="Q429" s="677"/>
    </row>
    <row r="430">
      <c r="E430" s="341"/>
      <c r="F430" s="609" t="s">
        <v>327</v>
      </c>
      <c r="G430" s="601" t="s">
        <v>328</v>
      </c>
      <c r="H430" s="663" t="str">
        <f>VLOOKUP(O405&amp;","&amp;O409,$T$3:$W$12,4, FALSE)</f>
        <v>fp8</v>
      </c>
      <c r="I430" s="460"/>
      <c r="J430" s="454"/>
      <c r="K430" s="454"/>
      <c r="L430" s="455"/>
      <c r="M430" s="455"/>
      <c r="N430" s="455"/>
      <c r="O430" s="454"/>
      <c r="P430" s="468"/>
      <c r="Q430" s="11"/>
    </row>
    <row r="431">
      <c r="E431" s="341"/>
      <c r="F431" s="341"/>
      <c r="G431" s="663" t="s">
        <v>341</v>
      </c>
      <c r="H431" s="687" t="str">
        <f>CALCULATE_FLOPS(J408:M408,J412:M412,L412,K412,H430)</f>
        <v>#N/A</v>
      </c>
      <c r="I431" s="492"/>
      <c r="J431" s="336"/>
      <c r="K431" s="336"/>
      <c r="L431" s="349"/>
      <c r="M431" s="349"/>
      <c r="N431" s="349"/>
      <c r="O431" s="336"/>
      <c r="P431" s="377"/>
      <c r="Q431" s="298"/>
    </row>
    <row r="432">
      <c r="E432" s="341"/>
      <c r="F432" s="352"/>
      <c r="G432" s="669" t="s">
        <v>330</v>
      </c>
      <c r="H432" s="688" t="str">
        <f>COMPUTE_TIME_MS(H431, H430)</f>
        <v>#N/A</v>
      </c>
      <c r="I432" s="464"/>
      <c r="J432" s="465"/>
      <c r="K432" s="465"/>
      <c r="L432" s="466"/>
      <c r="M432" s="466"/>
      <c r="N432" s="466"/>
      <c r="O432" s="465"/>
      <c r="P432" s="671"/>
      <c r="Q432" s="379"/>
    </row>
    <row r="433">
      <c r="E433" s="341"/>
      <c r="F433" s="609" t="s">
        <v>331</v>
      </c>
      <c r="G433" s="663" t="s">
        <v>332</v>
      </c>
      <c r="H433" s="689">
        <f>IF(Q405,0,P408)+IF(Q409,0,P412)+IF(Q413,0,P416)</f>
        <v>128</v>
      </c>
      <c r="I433" s="336"/>
      <c r="J433" s="336"/>
      <c r="K433" s="336"/>
      <c r="L433" s="349"/>
      <c r="M433" s="349"/>
      <c r="N433" s="349"/>
      <c r="O433" s="336"/>
      <c r="P433" s="377"/>
      <c r="Q433" s="298"/>
    </row>
    <row r="434">
      <c r="E434" s="352"/>
      <c r="F434" s="352"/>
      <c r="G434" s="673" t="s">
        <v>333</v>
      </c>
      <c r="H434" s="690" t="str">
        <f>HBM_TIME_MS(H433)</f>
        <v>#N/A</v>
      </c>
      <c r="I434" s="465"/>
      <c r="J434" s="465"/>
      <c r="K434" s="465"/>
      <c r="L434" s="466"/>
      <c r="M434" s="466"/>
      <c r="N434" s="466"/>
      <c r="O434" s="465"/>
      <c r="P434" s="671"/>
      <c r="Q434" s="379"/>
    </row>
    <row r="435">
      <c r="E435" s="333" t="s">
        <v>411</v>
      </c>
      <c r="F435" s="691" t="s">
        <v>412</v>
      </c>
      <c r="G435" s="371" t="s">
        <v>301</v>
      </c>
      <c r="H435" s="531" t="s">
        <v>281</v>
      </c>
      <c r="I435" s="336" t="s">
        <v>282</v>
      </c>
      <c r="J435" s="337"/>
      <c r="K435" s="337" t="s">
        <v>104</v>
      </c>
      <c r="L435" s="337" t="s">
        <v>212</v>
      </c>
      <c r="M435" s="499" t="s">
        <v>178</v>
      </c>
      <c r="N435" s="336" t="s">
        <v>283</v>
      </c>
      <c r="O435" s="338" t="str">
        <f>PARAMS("expert_collect_dtype")</f>
        <v>bf16</v>
      </c>
      <c r="P435" s="377"/>
      <c r="Q435" s="337"/>
    </row>
    <row r="436">
      <c r="E436" s="341"/>
      <c r="F436" s="341"/>
      <c r="G436" s="341"/>
      <c r="H436" s="378" t="s">
        <v>285</v>
      </c>
      <c r="I436" s="345" t="s">
        <v>282</v>
      </c>
      <c r="J436" s="346"/>
      <c r="K436" s="345">
        <f t="shared" ref="K436:M436" si="86">PARAMS(K435)</f>
        <v>2048</v>
      </c>
      <c r="L436" s="345">
        <f t="shared" si="86"/>
        <v>8</v>
      </c>
      <c r="M436" s="345">
        <f t="shared" si="86"/>
        <v>7168</v>
      </c>
      <c r="N436" s="345" t="s">
        <v>283</v>
      </c>
      <c r="O436" s="347"/>
      <c r="P436" s="509">
        <f>SIZEOF_IN_MIB(J436:M436, O435)</f>
        <v>224</v>
      </c>
      <c r="Q436" s="344"/>
    </row>
    <row r="437">
      <c r="E437" s="341"/>
      <c r="F437" s="341"/>
      <c r="G437" s="341"/>
      <c r="H437" s="376" t="s">
        <v>287</v>
      </c>
      <c r="I437" s="349" t="s">
        <v>282</v>
      </c>
      <c r="J437" s="336"/>
      <c r="K437" s="337" t="s">
        <v>196</v>
      </c>
      <c r="L437" s="337"/>
      <c r="M437" s="337"/>
      <c r="N437" s="349" t="s">
        <v>283</v>
      </c>
      <c r="O437" s="350"/>
      <c r="P437" s="377"/>
      <c r="Q437" s="337"/>
    </row>
    <row r="438">
      <c r="E438" s="341"/>
      <c r="F438" s="341"/>
      <c r="G438" s="341"/>
      <c r="H438" s="378" t="s">
        <v>289</v>
      </c>
      <c r="I438" s="346" t="s">
        <v>282</v>
      </c>
      <c r="J438" s="345"/>
      <c r="K438" s="346">
        <f t="shared" ref="K438:M438" si="87">K436/SHARDING(K437)</f>
        <v>128</v>
      </c>
      <c r="L438" s="346">
        <f t="shared" si="87"/>
        <v>8</v>
      </c>
      <c r="M438" s="346">
        <f t="shared" si="87"/>
        <v>7168</v>
      </c>
      <c r="N438" s="346" t="s">
        <v>283</v>
      </c>
      <c r="O438" s="355"/>
      <c r="P438" s="509">
        <f>SIZEOF_IN_MIB(J438:M438, O435)</f>
        <v>14</v>
      </c>
      <c r="Q438" s="344"/>
    </row>
    <row r="439">
      <c r="E439" s="341"/>
      <c r="F439" s="341"/>
      <c r="G439" s="352"/>
      <c r="H439" s="376" t="s">
        <v>304</v>
      </c>
      <c r="I439" s="349"/>
      <c r="J439" s="336"/>
      <c r="K439" s="337" t="s">
        <v>196</v>
      </c>
      <c r="L439" s="349"/>
      <c r="M439" s="349"/>
      <c r="N439" s="349"/>
      <c r="O439" s="337"/>
      <c r="P439" s="377"/>
      <c r="Q439" s="337"/>
    </row>
    <row r="440">
      <c r="E440" s="341"/>
      <c r="F440" s="341"/>
      <c r="G440" s="594" t="s">
        <v>306</v>
      </c>
      <c r="H440" s="901" t="str">
        <f>SHARDING(K437)*SHARDING(L437)/HW_SPEC("# of TensorCore per Chip")</f>
        <v>#N/A</v>
      </c>
      <c r="I440" s="346"/>
      <c r="J440" s="345"/>
      <c r="K440" s="346"/>
      <c r="L440" s="346"/>
      <c r="M440" s="346"/>
      <c r="N440" s="346"/>
      <c r="O440" s="344"/>
      <c r="P440" s="509"/>
      <c r="Q440" s="344"/>
    </row>
    <row r="441">
      <c r="E441" s="341"/>
      <c r="F441" s="341"/>
      <c r="G441" s="594" t="s">
        <v>383</v>
      </c>
      <c r="H441" s="888" t="str">
        <f>P436 / H440 / H440  * (H440-1)</f>
        <v>#N/A</v>
      </c>
      <c r="I441" s="349"/>
      <c r="J441" s="336"/>
      <c r="K441" s="349"/>
      <c r="L441" s="349"/>
      <c r="M441" s="349"/>
      <c r="N441" s="349"/>
      <c r="O441" s="337"/>
      <c r="P441" s="377"/>
      <c r="Q441" s="337"/>
    </row>
    <row r="442">
      <c r="E442" s="341"/>
      <c r="F442" s="341"/>
      <c r="G442" s="594" t="s">
        <v>661</v>
      </c>
      <c r="H442" s="901" t="str">
        <f>IFS(H440=1,0,
H440=2, 1,
H440=4, 2,
H440=8, 3)</f>
        <v>#N/A</v>
      </c>
      <c r="I442" s="346"/>
      <c r="J442" s="345"/>
      <c r="K442" s="346"/>
      <c r="L442" s="346"/>
      <c r="M442" s="346"/>
      <c r="N442" s="346"/>
      <c r="O442" s="344"/>
      <c r="P442" s="509"/>
      <c r="Q442" s="344"/>
    </row>
    <row r="443">
      <c r="E443" s="341"/>
      <c r="F443" s="341"/>
      <c r="G443" s="594" t="s">
        <v>662</v>
      </c>
      <c r="H443" s="695" t="str">
        <f>IFS(H440=1,0,
H440=2, 0,
H440=4, 1,
H440=8, 3)</f>
        <v>#N/A</v>
      </c>
      <c r="I443" s="349"/>
      <c r="J443" s="336"/>
      <c r="K443" s="349"/>
      <c r="L443" s="349"/>
      <c r="M443" s="349"/>
      <c r="N443" s="349"/>
      <c r="O443" s="337"/>
      <c r="P443" s="377"/>
      <c r="Q443" s="337"/>
    </row>
    <row r="444">
      <c r="E444" s="341"/>
      <c r="F444" s="341"/>
      <c r="G444" s="594" t="s">
        <v>663</v>
      </c>
      <c r="H444" s="901" t="str">
        <f>IFS(H440=1,0,
H440=2, 0,
H440=4, 0,
H440=8, 1)</f>
        <v>#N/A</v>
      </c>
      <c r="I444" s="346"/>
      <c r="J444" s="345"/>
      <c r="K444" s="346"/>
      <c r="L444" s="346"/>
      <c r="M444" s="346"/>
      <c r="N444" s="346"/>
      <c r="O444" s="344"/>
      <c r="P444" s="509"/>
      <c r="Q444" s="344"/>
    </row>
    <row r="445">
      <c r="E445" s="341"/>
      <c r="F445" s="341"/>
      <c r="G445" s="594" t="s">
        <v>664</v>
      </c>
      <c r="H445" s="695" t="str">
        <f>IFS(H440=1,0,
H440=2, 1,
H440=4, 4,
H440=8, 12)</f>
        <v>#N/A</v>
      </c>
      <c r="I445" s="349"/>
      <c r="J445" s="336"/>
      <c r="K445" s="349"/>
      <c r="L445" s="349"/>
      <c r="M445" s="349"/>
      <c r="N445" s="349"/>
      <c r="O445" s="337"/>
      <c r="P445" s="377"/>
      <c r="Q445" s="337"/>
    </row>
    <row r="446">
      <c r="E446" s="341"/>
      <c r="F446" s="341"/>
      <c r="G446" s="594" t="s">
        <v>616</v>
      </c>
      <c r="H446" s="902" t="str">
        <f>H441*H440*(1*H442+2*H443+3*H444)/H445</f>
        <v>#N/A</v>
      </c>
      <c r="I446" s="346"/>
      <c r="J446" s="345"/>
      <c r="K446" s="346"/>
      <c r="L446" s="346"/>
      <c r="M446" s="346"/>
      <c r="N446" s="346"/>
      <c r="O446" s="344"/>
      <c r="P446" s="509"/>
      <c r="Q446" s="344"/>
    </row>
    <row r="447">
      <c r="E447" s="341"/>
      <c r="F447" s="352"/>
      <c r="G447" s="594" t="s">
        <v>665</v>
      </c>
      <c r="H447" s="643" t="str">
        <f>ALL2ALL_CHIP2CHIP_TIME_MS(H446)</f>
        <v>#N/A</v>
      </c>
      <c r="I447" s="349"/>
      <c r="J447" s="336"/>
      <c r="K447" s="349"/>
      <c r="L447" s="349"/>
      <c r="M447" s="349"/>
      <c r="N447" s="349"/>
      <c r="O447" s="337"/>
      <c r="P447" s="377"/>
      <c r="Q447" s="337"/>
    </row>
    <row r="448">
      <c r="E448" s="341"/>
      <c r="F448" s="702" t="s">
        <v>417</v>
      </c>
      <c r="G448" s="661" t="s">
        <v>169</v>
      </c>
      <c r="H448" s="711" t="s">
        <v>676</v>
      </c>
      <c r="I448" s="345"/>
      <c r="J448" s="344"/>
      <c r="K448" s="344"/>
      <c r="L448" s="344"/>
      <c r="M448" s="344"/>
      <c r="N448" s="346"/>
      <c r="O448" s="344"/>
      <c r="P448" s="509"/>
      <c r="Q448" s="344"/>
    </row>
    <row r="449">
      <c r="E449" s="341"/>
      <c r="F449" s="341"/>
      <c r="G449" s="371" t="s">
        <v>301</v>
      </c>
      <c r="H449" s="531" t="s">
        <v>281</v>
      </c>
      <c r="I449" s="336" t="s">
        <v>282</v>
      </c>
      <c r="J449" s="337"/>
      <c r="K449" s="337" t="s">
        <v>104</v>
      </c>
      <c r="L449" s="337" t="s">
        <v>102</v>
      </c>
      <c r="M449" s="337" t="s">
        <v>178</v>
      </c>
      <c r="N449" s="349"/>
      <c r="O449" s="338" t="str">
        <f>PARAMS("expert_collect_dtype")</f>
        <v>bf16</v>
      </c>
      <c r="P449" s="377"/>
      <c r="Q449" s="337"/>
    </row>
    <row r="450">
      <c r="E450" s="341"/>
      <c r="F450" s="341"/>
      <c r="G450" s="341"/>
      <c r="H450" s="378" t="s">
        <v>285</v>
      </c>
      <c r="I450" s="345" t="s">
        <v>282</v>
      </c>
      <c r="J450" s="346"/>
      <c r="K450" s="345">
        <f t="shared" ref="K450:M450" si="88">PARAMS(K449)</f>
        <v>2048</v>
      </c>
      <c r="L450" s="345">
        <f t="shared" si="88"/>
        <v>1</v>
      </c>
      <c r="M450" s="345">
        <f t="shared" si="88"/>
        <v>7168</v>
      </c>
      <c r="N450" s="346"/>
      <c r="O450" s="347"/>
      <c r="P450" s="509">
        <f>SIZEOF_IN_MIB(J450:M450, O449)</f>
        <v>28</v>
      </c>
      <c r="Q450" s="344"/>
    </row>
    <row r="451">
      <c r="E451" s="341"/>
      <c r="F451" s="341"/>
      <c r="G451" s="341"/>
      <c r="H451" s="602" t="s">
        <v>287</v>
      </c>
      <c r="I451" s="349" t="s">
        <v>282</v>
      </c>
      <c r="J451" s="336"/>
      <c r="K451" s="337"/>
      <c r="L451" s="337"/>
      <c r="M451" s="337" t="s">
        <v>97</v>
      </c>
      <c r="N451" s="349"/>
      <c r="O451" s="350"/>
      <c r="P451" s="377"/>
      <c r="Q451" s="337"/>
    </row>
    <row r="452">
      <c r="E452" s="341"/>
      <c r="F452" s="341"/>
      <c r="G452" s="341"/>
      <c r="H452" s="374" t="s">
        <v>289</v>
      </c>
      <c r="I452" s="363" t="s">
        <v>282</v>
      </c>
      <c r="J452" s="364"/>
      <c r="K452" s="363">
        <f t="shared" ref="K452:M452" si="89">K450/SHARDING(K451)</f>
        <v>2048</v>
      </c>
      <c r="L452" s="363">
        <f t="shared" si="89"/>
        <v>1</v>
      </c>
      <c r="M452" s="363">
        <f t="shared" si="89"/>
        <v>448</v>
      </c>
      <c r="N452" s="363"/>
      <c r="O452" s="352"/>
      <c r="P452" s="375">
        <f>SIZEOF_IN_MIB(J452:M452, O449)</f>
        <v>1.75</v>
      </c>
      <c r="Q452" s="273"/>
    </row>
    <row r="453">
      <c r="E453" s="341"/>
      <c r="F453" s="341"/>
      <c r="G453" s="352"/>
      <c r="H453" s="704" t="s">
        <v>419</v>
      </c>
      <c r="I453" s="705"/>
      <c r="J453" s="273" t="s">
        <v>196</v>
      </c>
      <c r="K453" s="363"/>
      <c r="L453" s="363"/>
      <c r="M453" s="363"/>
      <c r="N453" s="363"/>
      <c r="O453" s="273"/>
      <c r="P453" s="706"/>
      <c r="Q453" s="273"/>
    </row>
    <row r="454">
      <c r="E454" s="341"/>
      <c r="F454" s="341"/>
      <c r="G454" s="385" t="s">
        <v>306</v>
      </c>
      <c r="H454" s="707">
        <f>SHARDING(J453) * SHARDING(H417)</f>
        <v>16</v>
      </c>
      <c r="I454" s="363"/>
      <c r="J454" s="364"/>
      <c r="K454" s="363"/>
      <c r="L454" s="363"/>
      <c r="M454" s="363"/>
      <c r="N454" s="363"/>
      <c r="O454" s="273"/>
      <c r="P454" s="706"/>
      <c r="Q454" s="273"/>
    </row>
    <row r="455">
      <c r="E455" s="341"/>
      <c r="F455" s="341"/>
      <c r="G455" s="594" t="s">
        <v>383</v>
      </c>
      <c r="H455" s="652">
        <f>P452 / H454 * (H454-1)</f>
        <v>1.640625</v>
      </c>
      <c r="I455" s="363"/>
      <c r="J455" s="364"/>
      <c r="K455" s="363"/>
      <c r="L455" s="363"/>
      <c r="M455" s="363"/>
      <c r="N455" s="363"/>
      <c r="O455" s="273"/>
      <c r="P455" s="706"/>
      <c r="Q455" s="273"/>
    </row>
    <row r="456">
      <c r="E456" s="341"/>
      <c r="F456" s="341"/>
      <c r="G456" s="594" t="s">
        <v>384</v>
      </c>
      <c r="H456" s="708">
        <f>H455*H454</f>
        <v>26.25</v>
      </c>
      <c r="I456" s="601"/>
      <c r="J456" s="364"/>
      <c r="K456" s="363"/>
      <c r="L456" s="363"/>
      <c r="M456" s="363"/>
      <c r="N456" s="363"/>
      <c r="O456" s="273"/>
      <c r="P456" s="706"/>
      <c r="Q456" s="273"/>
    </row>
    <row r="457">
      <c r="E457" s="341"/>
      <c r="F457" s="341"/>
      <c r="G457" s="594" t="s">
        <v>420</v>
      </c>
      <c r="H457" s="709" t="str">
        <f>HW_SPEC("# of TensorCore per Chip")</f>
        <v>#N/A</v>
      </c>
      <c r="I457" s="703" t="s">
        <v>421</v>
      </c>
      <c r="J457" s="336"/>
      <c r="K457" s="349"/>
      <c r="L457" s="349"/>
      <c r="M457" s="349"/>
      <c r="N457" s="349"/>
      <c r="O457" s="337"/>
      <c r="P457" s="710"/>
      <c r="Q457" s="337"/>
    </row>
    <row r="458">
      <c r="E458" s="341"/>
      <c r="F458" s="341"/>
      <c r="G458" s="385" t="s">
        <v>309</v>
      </c>
      <c r="H458" s="410" t="str">
        <f>IFS(H454=8,12,
H454=4,4,
H454=2,1,
TRUE,NA())</f>
        <v>#N/A</v>
      </c>
      <c r="I458" s="711"/>
      <c r="J458" s="345"/>
      <c r="K458" s="346"/>
      <c r="L458" s="346"/>
      <c r="M458" s="346"/>
      <c r="N458" s="346"/>
      <c r="O458" s="344"/>
      <c r="P458" s="712"/>
      <c r="Q458" s="344"/>
    </row>
    <row r="459">
      <c r="E459" s="341"/>
      <c r="F459" s="352"/>
      <c r="G459" s="594" t="s">
        <v>423</v>
      </c>
      <c r="H459" s="643" t="str">
        <f>REDUCE_SCATTER_CHIP2CHIP_TIME_MS2(H456*H457,H458)</f>
        <v>#N/A</v>
      </c>
      <c r="I459" s="602"/>
      <c r="J459" s="336"/>
      <c r="K459" s="349"/>
      <c r="L459" s="349"/>
      <c r="M459" s="349"/>
      <c r="N459" s="349"/>
      <c r="O459" s="337"/>
      <c r="P459" s="710"/>
      <c r="Q459" s="337"/>
    </row>
    <row r="460">
      <c r="E460" s="341"/>
      <c r="F460" s="702" t="s">
        <v>119</v>
      </c>
      <c r="G460" s="713" t="s">
        <v>169</v>
      </c>
      <c r="H460" s="398" t="s">
        <v>677</v>
      </c>
      <c r="I460" s="344"/>
      <c r="J460" s="345"/>
      <c r="K460" s="344"/>
      <c r="L460" s="556"/>
      <c r="M460" s="344"/>
      <c r="N460" s="346"/>
      <c r="O460" s="344"/>
      <c r="P460" s="509"/>
      <c r="Q460" s="344"/>
    </row>
    <row r="461">
      <c r="E461" s="341"/>
      <c r="F461" s="341"/>
      <c r="G461" s="609" t="s">
        <v>301</v>
      </c>
      <c r="H461" s="602" t="s">
        <v>281</v>
      </c>
      <c r="I461" s="602"/>
      <c r="J461" s="336"/>
      <c r="K461" s="337" t="s">
        <v>104</v>
      </c>
      <c r="L461" s="499" t="s">
        <v>102</v>
      </c>
      <c r="M461" s="337" t="s">
        <v>178</v>
      </c>
      <c r="N461" s="349"/>
      <c r="O461" s="338" t="str">
        <f>PARAMS("expert_collect_dtype")</f>
        <v>bf16</v>
      </c>
      <c r="P461" s="377"/>
      <c r="Q461" s="337"/>
    </row>
    <row r="462">
      <c r="E462" s="341"/>
      <c r="F462" s="341"/>
      <c r="G462" s="341"/>
      <c r="H462" s="378" t="s">
        <v>285</v>
      </c>
      <c r="I462" s="378"/>
      <c r="J462" s="345"/>
      <c r="K462" s="346">
        <f t="shared" ref="K462:M462" si="90">PARAMS(K461)</f>
        <v>2048</v>
      </c>
      <c r="L462" s="346">
        <f t="shared" si="90"/>
        <v>1</v>
      </c>
      <c r="M462" s="346">
        <f t="shared" si="90"/>
        <v>7168</v>
      </c>
      <c r="N462" s="346"/>
      <c r="O462" s="347"/>
      <c r="P462" s="509">
        <f>SIZEOF_IN_MIB(J462:M462, O461)</f>
        <v>28</v>
      </c>
      <c r="Q462" s="344"/>
    </row>
    <row r="463">
      <c r="E463" s="341"/>
      <c r="F463" s="341"/>
      <c r="G463" s="341"/>
      <c r="H463" s="602" t="s">
        <v>287</v>
      </c>
      <c r="I463" s="602"/>
      <c r="J463" s="336"/>
      <c r="K463" s="337"/>
      <c r="L463" s="337"/>
      <c r="M463" s="337"/>
      <c r="N463" s="349"/>
      <c r="O463" s="350"/>
      <c r="P463" s="377"/>
      <c r="Q463" s="337"/>
    </row>
    <row r="464">
      <c r="E464" s="341"/>
      <c r="F464" s="341"/>
      <c r="G464" s="341"/>
      <c r="H464" s="517" t="s">
        <v>289</v>
      </c>
      <c r="I464" s="517"/>
      <c r="J464" s="345"/>
      <c r="K464" s="346">
        <f t="shared" ref="K464:M464" si="91">K462/SHARDING(K463)</f>
        <v>2048</v>
      </c>
      <c r="L464" s="346">
        <f t="shared" si="91"/>
        <v>1</v>
      </c>
      <c r="M464" s="346">
        <f t="shared" si="91"/>
        <v>7168</v>
      </c>
      <c r="N464" s="346"/>
      <c r="O464" s="355"/>
      <c r="P464" s="509">
        <f>SIZEOF_IN_MIB(J464:M464, O461)</f>
        <v>28</v>
      </c>
      <c r="Q464" s="344"/>
    </row>
    <row r="465">
      <c r="E465" s="341"/>
      <c r="F465" s="341"/>
      <c r="G465" s="352"/>
      <c r="H465" s="639" t="s">
        <v>419</v>
      </c>
      <c r="I465" s="376"/>
      <c r="J465" s="639" t="s">
        <v>196</v>
      </c>
      <c r="K465" s="336"/>
      <c r="L465" s="337"/>
      <c r="M465" s="349"/>
      <c r="N465" s="349"/>
      <c r="O465" s="337"/>
      <c r="P465" s="377"/>
      <c r="Q465" s="337"/>
    </row>
    <row r="466">
      <c r="E466" s="341"/>
      <c r="F466" s="341"/>
      <c r="G466" s="458" t="s">
        <v>425</v>
      </c>
      <c r="H466" s="606" t="s">
        <v>306</v>
      </c>
      <c r="I466" s="379"/>
      <c r="J466" s="595" t="str">
        <f>SHARDING(J465)*SHARDING(H417)/HW_SPEC("# of TensorCore per Chip")</f>
        <v>#N/A</v>
      </c>
      <c r="K466" s="345"/>
      <c r="L466" s="344"/>
      <c r="M466" s="346"/>
      <c r="N466" s="346"/>
      <c r="O466" s="344"/>
      <c r="P466" s="509"/>
      <c r="Q466" s="344"/>
    </row>
    <row r="467">
      <c r="E467" s="341"/>
      <c r="F467" s="341"/>
      <c r="G467" s="341"/>
      <c r="H467" s="639" t="s">
        <v>426</v>
      </c>
      <c r="I467" s="298"/>
      <c r="J467" s="716" t="str">
        <f>P464 / J466 * (J466-1)</f>
        <v>#N/A</v>
      </c>
      <c r="K467" s="336"/>
      <c r="L467" s="337"/>
      <c r="M467" s="349"/>
      <c r="N467" s="349"/>
      <c r="O467" s="337"/>
      <c r="P467" s="377"/>
      <c r="Q467" s="337"/>
    </row>
    <row r="468">
      <c r="E468" s="341"/>
      <c r="F468" s="341"/>
      <c r="G468" s="341"/>
      <c r="H468" s="634" t="s">
        <v>384</v>
      </c>
      <c r="I468" s="379"/>
      <c r="J468" s="715" t="str">
        <f>J467*J466</f>
        <v>#N/A</v>
      </c>
      <c r="K468" s="345"/>
      <c r="L468" s="344"/>
      <c r="M468" s="346"/>
      <c r="N468" s="346"/>
      <c r="O468" s="344"/>
      <c r="P468" s="509"/>
      <c r="Q468" s="344"/>
    </row>
    <row r="469">
      <c r="E469" s="341"/>
      <c r="F469" s="341"/>
      <c r="G469" s="341"/>
      <c r="H469" s="639" t="s">
        <v>309</v>
      </c>
      <c r="I469" s="298"/>
      <c r="J469" s="714" t="str">
        <f>IFS(J466=8,12,
J466=4,4,
J466=2,1,
TRUE,NA())</f>
        <v>#N/A</v>
      </c>
      <c r="K469" s="336"/>
      <c r="L469" s="337"/>
      <c r="M469" s="349"/>
      <c r="N469" s="349"/>
      <c r="O469" s="337"/>
      <c r="P469" s="377"/>
      <c r="Q469" s="337"/>
    </row>
    <row r="470">
      <c r="E470" s="341"/>
      <c r="F470" s="341"/>
      <c r="G470" s="352"/>
      <c r="H470" s="634" t="s">
        <v>311</v>
      </c>
      <c r="I470" s="379"/>
      <c r="J470" s="889" t="str">
        <f>IF(J468=0,0, REDUCE_SCATTER_CHIP2CHIP_TIME_MS2(J468,J469))</f>
        <v>#N/A</v>
      </c>
      <c r="K470" s="345"/>
      <c r="L470" s="344"/>
      <c r="M470" s="346"/>
      <c r="N470" s="346"/>
      <c r="O470" s="344"/>
      <c r="P470" s="509"/>
      <c r="Q470" s="344"/>
    </row>
    <row r="471">
      <c r="E471" s="341"/>
      <c r="F471" s="341"/>
      <c r="G471" s="609" t="s">
        <v>427</v>
      </c>
      <c r="H471" s="416" t="s">
        <v>306</v>
      </c>
      <c r="I471" s="601"/>
      <c r="J471" s="717" t="str">
        <f>HW_SPEC("# of TensorCore per Chip")</f>
        <v>#N/A</v>
      </c>
      <c r="K471" s="364"/>
      <c r="L471" s="273"/>
      <c r="M471" s="363"/>
      <c r="N471" s="363"/>
      <c r="O471" s="273"/>
      <c r="P471" s="375"/>
      <c r="Q471" s="273"/>
    </row>
    <row r="472">
      <c r="E472" s="341"/>
      <c r="F472" s="341"/>
      <c r="G472" s="341"/>
      <c r="H472" s="704" t="s">
        <v>416</v>
      </c>
      <c r="I472" s="11"/>
      <c r="J472" s="718" t="str">
        <f>P464 * (J471-1)/J471</f>
        <v>#N/A</v>
      </c>
      <c r="K472" s="364"/>
      <c r="L472" s="273"/>
      <c r="M472" s="363"/>
      <c r="N472" s="363"/>
      <c r="O472" s="273"/>
      <c r="P472" s="375"/>
      <c r="Q472" s="273"/>
    </row>
    <row r="473">
      <c r="E473" s="341"/>
      <c r="F473" s="341"/>
      <c r="G473" s="341"/>
      <c r="H473" s="704" t="s">
        <v>384</v>
      </c>
      <c r="I473" s="11"/>
      <c r="J473" s="718" t="str">
        <f>J472*J471</f>
        <v>#N/A</v>
      </c>
      <c r="K473" s="364"/>
      <c r="L473" s="273"/>
      <c r="M473" s="363"/>
      <c r="N473" s="363"/>
      <c r="O473" s="273"/>
      <c r="P473" s="375"/>
      <c r="Q473" s="273"/>
    </row>
    <row r="474">
      <c r="E474" s="341"/>
      <c r="F474" s="341"/>
      <c r="G474" s="341"/>
      <c r="H474" s="704" t="s">
        <v>311</v>
      </c>
      <c r="I474" s="11"/>
      <c r="J474" s="719" t="str">
        <f>REDUCE_SCATTER_CORE2CORE_TIME_MS(J473)</f>
        <v>#N/A</v>
      </c>
      <c r="K474" s="364"/>
      <c r="L474" s="273"/>
      <c r="M474" s="363"/>
      <c r="N474" s="363"/>
      <c r="O474" s="273"/>
      <c r="P474" s="375"/>
      <c r="Q474" s="273"/>
    </row>
    <row r="475">
      <c r="E475" s="341"/>
      <c r="F475" s="341"/>
      <c r="G475" s="352"/>
      <c r="H475" s="704" t="s">
        <v>428</v>
      </c>
      <c r="I475" s="11"/>
      <c r="J475" s="719" t="str">
        <f>J474/J466</f>
        <v>#N/A</v>
      </c>
      <c r="K475" s="364"/>
      <c r="L475" s="273"/>
      <c r="M475" s="363"/>
      <c r="N475" s="363"/>
      <c r="O475" s="273"/>
      <c r="P475" s="375"/>
      <c r="Q475" s="273"/>
    </row>
    <row r="476">
      <c r="E476" s="341"/>
      <c r="F476" s="352"/>
      <c r="G476" s="599" t="s">
        <v>429</v>
      </c>
      <c r="H476" s="11" t="str">
        <f>SUM(J470+J475)</f>
        <v>#N/A</v>
      </c>
      <c r="I476" s="719"/>
      <c r="J476" s="364"/>
      <c r="K476" s="364"/>
      <c r="L476" s="273"/>
      <c r="M476" s="363"/>
      <c r="N476" s="363"/>
      <c r="O476" s="273"/>
      <c r="P476" s="375"/>
      <c r="Q476" s="273"/>
    </row>
    <row r="477">
      <c r="E477" s="341"/>
      <c r="F477" s="370" t="s">
        <v>335</v>
      </c>
      <c r="G477" s="720" t="s">
        <v>322</v>
      </c>
      <c r="H477" s="721" t="s">
        <v>119</v>
      </c>
      <c r="I477" s="650"/>
      <c r="J477" s="454"/>
      <c r="K477" s="454"/>
      <c r="L477" s="455"/>
      <c r="M477" s="455"/>
      <c r="N477" s="455"/>
      <c r="O477" s="454"/>
      <c r="P477" s="722"/>
      <c r="Q477" s="11"/>
    </row>
    <row r="478">
      <c r="E478" s="341"/>
      <c r="F478" s="352"/>
      <c r="G478" s="591" t="s">
        <v>340</v>
      </c>
      <c r="H478" s="723" t="str">
        <f>IFS(H477=F435,H447,H477=F448,H459,F460=H477,H476, TRUE,0)</f>
        <v>#N/A</v>
      </c>
      <c r="I478" s="581"/>
      <c r="J478" s="448"/>
      <c r="K478" s="448"/>
      <c r="L478" s="449"/>
      <c r="M478" s="449"/>
      <c r="N478" s="449"/>
      <c r="O478" s="448"/>
      <c r="P478" s="724"/>
      <c r="Q478" s="450"/>
    </row>
    <row r="479">
      <c r="E479" s="341"/>
      <c r="F479" s="713"/>
      <c r="G479" s="452" t="s">
        <v>325</v>
      </c>
      <c r="H479" s="626" t="str">
        <f>IFS(PARAMS("topo")="2x2x2", (2+2+2)/2,
PARAMS("topo")="2x2", (2+2)/2,
TRUE, NA())</f>
        <v>#N/A</v>
      </c>
      <c r="I479" s="650"/>
      <c r="J479" s="454"/>
      <c r="K479" s="454"/>
      <c r="L479" s="455"/>
      <c r="M479" s="455"/>
      <c r="N479" s="455"/>
      <c r="O479" s="454"/>
      <c r="P479" s="722"/>
      <c r="Q479" s="11"/>
    </row>
    <row r="480">
      <c r="E480" s="341"/>
      <c r="F480" s="713"/>
      <c r="G480" s="446" t="s">
        <v>326</v>
      </c>
      <c r="H480" s="447" t="str">
        <f>IF(H477="No Collectives", 0, H479 * HW_SPEC("Chip-to-Chip ICI Latency (ms)"))</f>
        <v>#N/A</v>
      </c>
      <c r="I480" s="648"/>
      <c r="J480" s="448"/>
      <c r="K480" s="448"/>
      <c r="L480" s="449"/>
      <c r="M480" s="449"/>
      <c r="N480" s="449"/>
      <c r="O480" s="448"/>
      <c r="P480" s="724"/>
      <c r="Q480" s="572"/>
    </row>
    <row r="481">
      <c r="E481" s="341"/>
      <c r="F481" s="609" t="s">
        <v>327</v>
      </c>
      <c r="G481" s="601" t="s">
        <v>109</v>
      </c>
      <c r="H481" s="891"/>
      <c r="I481" s="650"/>
      <c r="J481" s="454"/>
      <c r="K481" s="454"/>
      <c r="L481" s="455"/>
      <c r="M481" s="455"/>
      <c r="N481" s="455"/>
      <c r="O481" s="454"/>
      <c r="P481" s="722"/>
      <c r="Q481" s="11"/>
    </row>
    <row r="482">
      <c r="E482" s="341"/>
      <c r="F482" s="341"/>
      <c r="G482" s="601"/>
      <c r="H482" s="663"/>
      <c r="I482" s="460"/>
      <c r="J482" s="454"/>
      <c r="K482" s="454"/>
      <c r="L482" s="455"/>
      <c r="M482" s="455"/>
      <c r="N482" s="455"/>
      <c r="O482" s="454"/>
      <c r="P482" s="722"/>
      <c r="Q482" s="11"/>
    </row>
    <row r="483">
      <c r="E483" s="341"/>
      <c r="F483" s="352"/>
      <c r="G483" s="601"/>
      <c r="H483" s="663"/>
      <c r="I483" s="460"/>
      <c r="J483" s="454"/>
      <c r="K483" s="454"/>
      <c r="L483" s="455"/>
      <c r="M483" s="455"/>
      <c r="N483" s="455"/>
      <c r="O483" s="454"/>
      <c r="P483" s="722"/>
      <c r="Q483" s="11"/>
    </row>
    <row r="484">
      <c r="E484" s="341"/>
      <c r="F484" s="609" t="s">
        <v>331</v>
      </c>
      <c r="G484" s="601" t="s">
        <v>109</v>
      </c>
      <c r="H484" s="663"/>
      <c r="I484" s="460"/>
      <c r="J484" s="454"/>
      <c r="K484" s="454"/>
      <c r="L484" s="455"/>
      <c r="M484" s="455"/>
      <c r="N484" s="455"/>
      <c r="O484" s="454"/>
      <c r="P484" s="722"/>
      <c r="Q484" s="11"/>
    </row>
    <row r="485">
      <c r="E485" s="352"/>
      <c r="F485" s="352"/>
      <c r="G485" s="601"/>
      <c r="H485" s="663"/>
      <c r="I485" s="460"/>
      <c r="J485" s="454"/>
      <c r="K485" s="454"/>
      <c r="L485" s="455"/>
      <c r="M485" s="455"/>
      <c r="N485" s="455"/>
      <c r="O485" s="454"/>
      <c r="P485" s="722"/>
      <c r="Q485" s="11"/>
    </row>
    <row r="486">
      <c r="E486" s="333" t="s">
        <v>430</v>
      </c>
      <c r="F486" s="725" t="s">
        <v>292</v>
      </c>
      <c r="G486" s="335"/>
      <c r="H486" s="531" t="s">
        <v>281</v>
      </c>
      <c r="I486" s="336" t="s">
        <v>282</v>
      </c>
      <c r="J486" s="337"/>
      <c r="K486" s="337" t="s">
        <v>104</v>
      </c>
      <c r="L486" s="337" t="s">
        <v>102</v>
      </c>
      <c r="M486" s="499" t="s">
        <v>178</v>
      </c>
      <c r="N486" s="336" t="s">
        <v>283</v>
      </c>
      <c r="O486" s="338" t="s">
        <v>125</v>
      </c>
      <c r="P486" s="377"/>
      <c r="Q486" s="338" t="b">
        <v>0</v>
      </c>
    </row>
    <row r="487">
      <c r="E487" s="341"/>
      <c r="F487" s="342"/>
      <c r="G487" s="343"/>
      <c r="H487" s="378" t="s">
        <v>285</v>
      </c>
      <c r="I487" s="345" t="s">
        <v>282</v>
      </c>
      <c r="J487" s="346"/>
      <c r="K487" s="345">
        <f t="shared" ref="K487:M487" si="92">PARAMS(K486)</f>
        <v>2048</v>
      </c>
      <c r="L487" s="345">
        <f t="shared" si="92"/>
        <v>1</v>
      </c>
      <c r="M487" s="345">
        <f t="shared" si="92"/>
        <v>7168</v>
      </c>
      <c r="N487" s="345" t="s">
        <v>283</v>
      </c>
      <c r="O487" s="347"/>
      <c r="P487" s="509">
        <f>SIZEOF_IN_MIB(J487:M487, O486)</f>
        <v>14</v>
      </c>
      <c r="Q487" s="347"/>
    </row>
    <row r="488">
      <c r="E488" s="341"/>
      <c r="F488" s="342"/>
      <c r="G488" s="343"/>
      <c r="H488" s="602" t="s">
        <v>287</v>
      </c>
      <c r="I488" s="349" t="s">
        <v>282</v>
      </c>
      <c r="J488" s="336"/>
      <c r="K488" s="337" t="s">
        <v>97</v>
      </c>
      <c r="L488" s="337"/>
      <c r="M488" s="337"/>
      <c r="N488" s="349" t="s">
        <v>283</v>
      </c>
      <c r="O488" s="350"/>
      <c r="P488" s="377"/>
      <c r="Q488" s="350"/>
    </row>
    <row r="489">
      <c r="E489" s="341"/>
      <c r="F489" s="353"/>
      <c r="G489" s="354"/>
      <c r="H489" s="378" t="s">
        <v>289</v>
      </c>
      <c r="I489" s="346" t="s">
        <v>282</v>
      </c>
      <c r="J489" s="345"/>
      <c r="K489" s="346">
        <f t="shared" ref="K489:M489" si="93">K487/SHARDING(K488)</f>
        <v>128</v>
      </c>
      <c r="L489" s="346">
        <f t="shared" si="93"/>
        <v>1</v>
      </c>
      <c r="M489" s="346">
        <f t="shared" si="93"/>
        <v>7168</v>
      </c>
      <c r="N489" s="346" t="s">
        <v>283</v>
      </c>
      <c r="O489" s="355"/>
      <c r="P489" s="509">
        <f>SIZEOF_IN_MIB(J489:M489, O486)</f>
        <v>0.875</v>
      </c>
      <c r="Q489" s="355"/>
    </row>
    <row r="490">
      <c r="E490" s="341"/>
      <c r="F490" s="726" t="s">
        <v>296</v>
      </c>
      <c r="G490" s="335"/>
      <c r="H490" s="602" t="s">
        <v>281</v>
      </c>
      <c r="I490" s="349" t="s">
        <v>282</v>
      </c>
      <c r="J490" s="336"/>
      <c r="K490" s="298"/>
      <c r="L490" s="337" t="s">
        <v>178</v>
      </c>
      <c r="M490" s="499" t="s">
        <v>182</v>
      </c>
      <c r="N490" s="349" t="s">
        <v>283</v>
      </c>
      <c r="O490" s="338" t="s">
        <v>180</v>
      </c>
      <c r="P490" s="377"/>
      <c r="Q490" s="338" t="b">
        <v>0</v>
      </c>
    </row>
    <row r="491">
      <c r="E491" s="341"/>
      <c r="F491" s="342"/>
      <c r="G491" s="343"/>
      <c r="H491" s="378" t="s">
        <v>285</v>
      </c>
      <c r="I491" s="346" t="s">
        <v>282</v>
      </c>
      <c r="J491" s="345"/>
      <c r="K491" s="398">
        <v>2.0</v>
      </c>
      <c r="L491" s="346">
        <f t="shared" ref="L491:M491" si="94">PARAMS(L490)</f>
        <v>7168</v>
      </c>
      <c r="M491" s="346">
        <f t="shared" si="94"/>
        <v>2048</v>
      </c>
      <c r="N491" s="346" t="s">
        <v>283</v>
      </c>
      <c r="O491" s="347"/>
      <c r="P491" s="509">
        <f>SIZEOF_IN_MIB(J491:M491, O490)</f>
        <v>14</v>
      </c>
      <c r="Q491" s="347"/>
    </row>
    <row r="492">
      <c r="E492" s="341"/>
      <c r="F492" s="342"/>
      <c r="G492" s="343"/>
      <c r="H492" s="602" t="s">
        <v>287</v>
      </c>
      <c r="I492" s="349" t="s">
        <v>282</v>
      </c>
      <c r="J492" s="336"/>
      <c r="K492" s="298"/>
      <c r="L492" s="337"/>
      <c r="M492" s="337"/>
      <c r="N492" s="349" t="s">
        <v>283</v>
      </c>
      <c r="O492" s="350"/>
      <c r="P492" s="377"/>
      <c r="Q492" s="350"/>
    </row>
    <row r="493">
      <c r="E493" s="341"/>
      <c r="F493" s="353"/>
      <c r="G493" s="354"/>
      <c r="H493" s="517" t="s">
        <v>289</v>
      </c>
      <c r="I493" s="346" t="s">
        <v>282</v>
      </c>
      <c r="J493" s="345"/>
      <c r="K493" s="398">
        <v>2.0</v>
      </c>
      <c r="L493" s="346">
        <f t="shared" ref="L493:M493" si="95">L491/SHARDING(L492)</f>
        <v>7168</v>
      </c>
      <c r="M493" s="346">
        <f t="shared" si="95"/>
        <v>2048</v>
      </c>
      <c r="N493" s="346" t="s">
        <v>283</v>
      </c>
      <c r="O493" s="355"/>
      <c r="P493" s="509">
        <f>SIZEOF_IN_MIB(J493:M493, O490)</f>
        <v>14</v>
      </c>
      <c r="Q493" s="355"/>
    </row>
    <row r="494">
      <c r="E494" s="341"/>
      <c r="F494" s="726" t="s">
        <v>56</v>
      </c>
      <c r="G494" s="335"/>
      <c r="H494" s="602" t="s">
        <v>281</v>
      </c>
      <c r="I494" s="349" t="s">
        <v>282</v>
      </c>
      <c r="J494" s="336"/>
      <c r="K494" s="337" t="s">
        <v>104</v>
      </c>
      <c r="L494" s="337" t="s">
        <v>102</v>
      </c>
      <c r="M494" s="337" t="s">
        <v>182</v>
      </c>
      <c r="N494" s="349" t="s">
        <v>283</v>
      </c>
      <c r="O494" s="727" t="s">
        <v>133</v>
      </c>
      <c r="P494" s="377"/>
      <c r="Q494" s="338" t="b">
        <v>0</v>
      </c>
    </row>
    <row r="495">
      <c r="E495" s="341"/>
      <c r="F495" s="342"/>
      <c r="G495" s="343"/>
      <c r="H495" s="378" t="s">
        <v>285</v>
      </c>
      <c r="I495" s="346" t="s">
        <v>282</v>
      </c>
      <c r="J495" s="344">
        <v>2.0</v>
      </c>
      <c r="K495" s="346">
        <f t="shared" ref="K495:M495" si="96">PARAMS(K494)</f>
        <v>2048</v>
      </c>
      <c r="L495" s="346">
        <f t="shared" si="96"/>
        <v>1</v>
      </c>
      <c r="M495" s="346">
        <f t="shared" si="96"/>
        <v>2048</v>
      </c>
      <c r="N495" s="346" t="s">
        <v>283</v>
      </c>
      <c r="O495" s="347"/>
      <c r="P495" s="509">
        <f>SIZEOF_IN_MIB(J495:M495, O494)</f>
        <v>16</v>
      </c>
      <c r="Q495" s="347"/>
    </row>
    <row r="496">
      <c r="E496" s="341"/>
      <c r="F496" s="342"/>
      <c r="G496" s="343"/>
      <c r="H496" s="602" t="s">
        <v>287</v>
      </c>
      <c r="I496" s="349" t="s">
        <v>282</v>
      </c>
      <c r="J496" s="336"/>
      <c r="K496" s="337" t="s">
        <v>97</v>
      </c>
      <c r="L496" s="337"/>
      <c r="M496" s="349"/>
      <c r="N496" s="349" t="s">
        <v>283</v>
      </c>
      <c r="O496" s="350"/>
      <c r="P496" s="377"/>
      <c r="Q496" s="350"/>
    </row>
    <row r="497">
      <c r="E497" s="341"/>
      <c r="F497" s="353"/>
      <c r="G497" s="354"/>
      <c r="H497" s="517" t="s">
        <v>289</v>
      </c>
      <c r="I497" s="346" t="s">
        <v>282</v>
      </c>
      <c r="J497" s="344">
        <v>2.0</v>
      </c>
      <c r="K497" s="346">
        <f t="shared" ref="K497:M497" si="97">K495/SHARDING(K496)</f>
        <v>128</v>
      </c>
      <c r="L497" s="346">
        <f t="shared" si="97"/>
        <v>1</v>
      </c>
      <c r="M497" s="346">
        <f t="shared" si="97"/>
        <v>2048</v>
      </c>
      <c r="N497" s="346" t="s">
        <v>283</v>
      </c>
      <c r="O497" s="355"/>
      <c r="P497" s="509">
        <f>SIZEOF_IN_MIB(J497:M497, O494)</f>
        <v>1</v>
      </c>
      <c r="Q497" s="355"/>
    </row>
    <row r="498">
      <c r="E498" s="341"/>
      <c r="F498" s="371" t="s">
        <v>335</v>
      </c>
      <c r="G498" s="601"/>
      <c r="H498" s="728"/>
      <c r="I498" s="336"/>
      <c r="J498" s="336"/>
      <c r="K498" s="336"/>
      <c r="L498" s="349"/>
      <c r="M498" s="349"/>
      <c r="N498" s="349"/>
      <c r="O498" s="336"/>
      <c r="P498" s="377"/>
      <c r="Q498" s="729"/>
    </row>
    <row r="499">
      <c r="E499" s="341"/>
      <c r="F499" s="352"/>
      <c r="G499" s="669" t="s">
        <v>340</v>
      </c>
      <c r="H499" s="730"/>
      <c r="I499" s="493"/>
      <c r="J499" s="345"/>
      <c r="K499" s="345"/>
      <c r="L499" s="346"/>
      <c r="M499" s="346"/>
      <c r="N499" s="346"/>
      <c r="O499" s="345"/>
      <c r="P499" s="509"/>
      <c r="Q499" s="545"/>
    </row>
    <row r="500">
      <c r="E500" s="341"/>
      <c r="F500" s="731" t="s">
        <v>327</v>
      </c>
      <c r="G500" s="601" t="s">
        <v>328</v>
      </c>
      <c r="H500" s="663" t="str">
        <f>VLOOKUP(O486&amp;","&amp;O490,$T$3:$W$12,4, FALSE)</f>
        <v>fp8</v>
      </c>
      <c r="I500" s="460"/>
      <c r="J500" s="454"/>
      <c r="K500" s="454"/>
      <c r="L500" s="455"/>
      <c r="M500" s="455"/>
      <c r="N500" s="455"/>
      <c r="O500" s="454"/>
      <c r="P500" s="468"/>
      <c r="Q500" s="11"/>
    </row>
    <row r="501">
      <c r="E501" s="341"/>
      <c r="F501" s="341"/>
      <c r="G501" s="663" t="s">
        <v>341</v>
      </c>
      <c r="H501" s="667" t="str">
        <f>CALCULATE_FLOPS(J489:M489,J493:M493,M493,L493,H500)</f>
        <v>#N/A</v>
      </c>
      <c r="I501" s="460"/>
      <c r="J501" s="454"/>
      <c r="K501" s="454"/>
      <c r="L501" s="455"/>
      <c r="M501" s="455"/>
      <c r="N501" s="455"/>
      <c r="O501" s="454"/>
      <c r="P501" s="468"/>
      <c r="Q501" s="11"/>
    </row>
    <row r="502">
      <c r="E502" s="341"/>
      <c r="F502" s="352"/>
      <c r="G502" s="669" t="s">
        <v>330</v>
      </c>
      <c r="H502" s="732" t="str">
        <f>COMPUTE_TIME_MS(H501, H500)</f>
        <v>#N/A</v>
      </c>
      <c r="I502" s="464"/>
      <c r="J502" s="465"/>
      <c r="K502" s="465"/>
      <c r="L502" s="466"/>
      <c r="M502" s="466"/>
      <c r="N502" s="466"/>
      <c r="O502" s="465"/>
      <c r="P502" s="671"/>
      <c r="Q502" s="11"/>
    </row>
    <row r="503">
      <c r="E503" s="341"/>
      <c r="F503" s="731" t="s">
        <v>331</v>
      </c>
      <c r="G503" s="663" t="s">
        <v>332</v>
      </c>
      <c r="H503" s="672">
        <f>IF(Q486,0,P489)+IF(Q490,0,P493)+IF(Q494,0,P497)</f>
        <v>15.875</v>
      </c>
      <c r="I503" s="454"/>
      <c r="J503" s="454"/>
      <c r="K503" s="454"/>
      <c r="L503" s="455"/>
      <c r="M503" s="455"/>
      <c r="N503" s="455"/>
      <c r="O503" s="454"/>
      <c r="P503" s="468"/>
      <c r="Q503" s="11"/>
    </row>
    <row r="504">
      <c r="E504" s="352"/>
      <c r="F504" s="352"/>
      <c r="G504" s="673" t="s">
        <v>333</v>
      </c>
      <c r="H504" s="733" t="str">
        <f>HBM_TIME_MS(H503)</f>
        <v>#N/A</v>
      </c>
      <c r="I504" s="465"/>
      <c r="J504" s="465"/>
      <c r="K504" s="465"/>
      <c r="L504" s="466"/>
      <c r="M504" s="466"/>
      <c r="N504" s="466"/>
      <c r="O504" s="465"/>
      <c r="P504" s="671"/>
      <c r="Q504" s="11"/>
    </row>
    <row r="505">
      <c r="E505" s="333" t="s">
        <v>431</v>
      </c>
      <c r="F505" s="725" t="s">
        <v>292</v>
      </c>
      <c r="G505" s="335"/>
      <c r="H505" s="531" t="s">
        <v>281</v>
      </c>
      <c r="I505" s="336" t="s">
        <v>282</v>
      </c>
      <c r="J505" s="405"/>
      <c r="K505" s="734" t="s">
        <v>104</v>
      </c>
      <c r="L505" s="734" t="s">
        <v>102</v>
      </c>
      <c r="M505" s="735" t="s">
        <v>182</v>
      </c>
      <c r="N505" s="336" t="s">
        <v>283</v>
      </c>
      <c r="O505" s="338" t="s">
        <v>125</v>
      </c>
      <c r="P505" s="377"/>
      <c r="Q505" s="338" t="b">
        <v>0</v>
      </c>
    </row>
    <row r="506">
      <c r="E506" s="341"/>
      <c r="F506" s="342"/>
      <c r="G506" s="343"/>
      <c r="H506" s="378" t="s">
        <v>285</v>
      </c>
      <c r="I506" s="345" t="s">
        <v>282</v>
      </c>
      <c r="J506" s="400"/>
      <c r="K506" s="739">
        <f t="shared" ref="K506:M506" si="98">PARAMS(K505)</f>
        <v>2048</v>
      </c>
      <c r="L506" s="737">
        <f t="shared" si="98"/>
        <v>1</v>
      </c>
      <c r="M506" s="737">
        <f t="shared" si="98"/>
        <v>2048</v>
      </c>
      <c r="N506" s="345" t="s">
        <v>283</v>
      </c>
      <c r="O506" s="347"/>
      <c r="P506" s="509">
        <f>SIZEOF_IN_MIB(J506:M506, O505)</f>
        <v>4</v>
      </c>
      <c r="Q506" s="347"/>
    </row>
    <row r="507">
      <c r="E507" s="341"/>
      <c r="F507" s="342"/>
      <c r="G507" s="343"/>
      <c r="H507" s="602" t="s">
        <v>287</v>
      </c>
      <c r="I507" s="349" t="s">
        <v>282</v>
      </c>
      <c r="J507" s="404"/>
      <c r="K507" s="734" t="s">
        <v>97</v>
      </c>
      <c r="L507" s="405"/>
      <c r="M507" s="405"/>
      <c r="N507" s="349" t="s">
        <v>283</v>
      </c>
      <c r="O507" s="350"/>
      <c r="P507" s="377"/>
      <c r="Q507" s="350"/>
    </row>
    <row r="508">
      <c r="E508" s="341"/>
      <c r="F508" s="353"/>
      <c r="G508" s="354"/>
      <c r="H508" s="378" t="s">
        <v>289</v>
      </c>
      <c r="I508" s="346" t="s">
        <v>282</v>
      </c>
      <c r="J508" s="399"/>
      <c r="K508" s="736">
        <f t="shared" ref="K508:M508" si="99">K506/SHARDING(K507)</f>
        <v>128</v>
      </c>
      <c r="L508" s="736">
        <f t="shared" si="99"/>
        <v>1</v>
      </c>
      <c r="M508" s="736">
        <f t="shared" si="99"/>
        <v>2048</v>
      </c>
      <c r="N508" s="346" t="s">
        <v>283</v>
      </c>
      <c r="O508" s="355"/>
      <c r="P508" s="509">
        <f>SIZEOF_IN_MIB(J508:M508, O505)</f>
        <v>0.25</v>
      </c>
      <c r="Q508" s="355"/>
    </row>
    <row r="509">
      <c r="E509" s="341"/>
      <c r="F509" s="726" t="s">
        <v>296</v>
      </c>
      <c r="G509" s="335"/>
      <c r="H509" s="602" t="s">
        <v>281</v>
      </c>
      <c r="I509" s="349" t="s">
        <v>282</v>
      </c>
      <c r="J509" s="404"/>
      <c r="K509" s="391"/>
      <c r="L509" s="734" t="s">
        <v>182</v>
      </c>
      <c r="M509" s="735" t="s">
        <v>178</v>
      </c>
      <c r="N509" s="349" t="s">
        <v>283</v>
      </c>
      <c r="O509" s="338" t="s">
        <v>180</v>
      </c>
      <c r="P509" s="377"/>
      <c r="Q509" s="338" t="b">
        <v>0</v>
      </c>
    </row>
    <row r="510">
      <c r="E510" s="341"/>
      <c r="F510" s="342"/>
      <c r="G510" s="343"/>
      <c r="H510" s="378" t="s">
        <v>285</v>
      </c>
      <c r="I510" s="346" t="s">
        <v>282</v>
      </c>
      <c r="J510" s="399"/>
      <c r="K510" s="388"/>
      <c r="L510" s="736">
        <f t="shared" ref="L510:M510" si="100">PARAMS(L509)</f>
        <v>2048</v>
      </c>
      <c r="M510" s="736">
        <f t="shared" si="100"/>
        <v>7168</v>
      </c>
      <c r="N510" s="346" t="s">
        <v>283</v>
      </c>
      <c r="O510" s="347"/>
      <c r="P510" s="509">
        <f>SIZEOF_IN_MIB(J510:M510, O509)</f>
        <v>7</v>
      </c>
      <c r="Q510" s="347"/>
    </row>
    <row r="511">
      <c r="E511" s="341"/>
      <c r="F511" s="342"/>
      <c r="G511" s="343"/>
      <c r="H511" s="602" t="s">
        <v>287</v>
      </c>
      <c r="I511" s="349" t="s">
        <v>282</v>
      </c>
      <c r="J511" s="404"/>
      <c r="K511" s="391"/>
      <c r="L511" s="405"/>
      <c r="M511" s="405"/>
      <c r="N511" s="349" t="s">
        <v>283</v>
      </c>
      <c r="O511" s="350"/>
      <c r="P511" s="377"/>
      <c r="Q511" s="350"/>
    </row>
    <row r="512">
      <c r="E512" s="341"/>
      <c r="F512" s="353"/>
      <c r="G512" s="354"/>
      <c r="H512" s="517" t="s">
        <v>289</v>
      </c>
      <c r="I512" s="346" t="s">
        <v>282</v>
      </c>
      <c r="J512" s="399"/>
      <c r="K512" s="388"/>
      <c r="L512" s="736">
        <f t="shared" ref="L512:M512" si="101">L510/SHARDING(L511)</f>
        <v>2048</v>
      </c>
      <c r="M512" s="736">
        <f t="shared" si="101"/>
        <v>7168</v>
      </c>
      <c r="N512" s="346" t="s">
        <v>283</v>
      </c>
      <c r="O512" s="355"/>
      <c r="P512" s="509">
        <f>SIZEOF_IN_MIB(J512:M512, O509)</f>
        <v>7</v>
      </c>
      <c r="Q512" s="355"/>
    </row>
    <row r="513">
      <c r="E513" s="341"/>
      <c r="F513" s="726" t="s">
        <v>56</v>
      </c>
      <c r="G513" s="335"/>
      <c r="H513" s="602" t="s">
        <v>281</v>
      </c>
      <c r="I513" s="349" t="s">
        <v>282</v>
      </c>
      <c r="J513" s="404"/>
      <c r="K513" s="734" t="s">
        <v>104</v>
      </c>
      <c r="L513" s="734" t="s">
        <v>102</v>
      </c>
      <c r="M513" s="734" t="s">
        <v>178</v>
      </c>
      <c r="N513" s="349" t="s">
        <v>283</v>
      </c>
      <c r="O513" s="727" t="s">
        <v>133</v>
      </c>
      <c r="P513" s="377"/>
      <c r="Q513" s="338" t="b">
        <v>0</v>
      </c>
    </row>
    <row r="514">
      <c r="E514" s="341"/>
      <c r="F514" s="342"/>
      <c r="G514" s="343"/>
      <c r="H514" s="378" t="s">
        <v>285</v>
      </c>
      <c r="I514" s="346" t="s">
        <v>282</v>
      </c>
      <c r="J514" s="400"/>
      <c r="K514" s="739">
        <f t="shared" ref="K514:M514" si="102">PARAMS(K513)</f>
        <v>2048</v>
      </c>
      <c r="L514" s="736">
        <f t="shared" si="102"/>
        <v>1</v>
      </c>
      <c r="M514" s="736">
        <f t="shared" si="102"/>
        <v>7168</v>
      </c>
      <c r="N514" s="346" t="s">
        <v>283</v>
      </c>
      <c r="O514" s="347"/>
      <c r="P514" s="509">
        <f>SIZEOF_IN_MIB(J514:M514, O513)</f>
        <v>28</v>
      </c>
      <c r="Q514" s="347"/>
    </row>
    <row r="515">
      <c r="E515" s="341"/>
      <c r="F515" s="342"/>
      <c r="G515" s="343"/>
      <c r="H515" s="602" t="s">
        <v>287</v>
      </c>
      <c r="I515" s="349" t="s">
        <v>282</v>
      </c>
      <c r="J515" s="404"/>
      <c r="K515" s="734" t="s">
        <v>97</v>
      </c>
      <c r="L515" s="405"/>
      <c r="M515" s="405"/>
      <c r="N515" s="349" t="s">
        <v>283</v>
      </c>
      <c r="O515" s="350"/>
      <c r="P515" s="377"/>
      <c r="Q515" s="350"/>
    </row>
    <row r="516">
      <c r="E516" s="341"/>
      <c r="F516" s="353"/>
      <c r="G516" s="354"/>
      <c r="H516" s="517" t="s">
        <v>289</v>
      </c>
      <c r="I516" s="346" t="s">
        <v>282</v>
      </c>
      <c r="J516" s="400"/>
      <c r="K516" s="736">
        <f t="shared" ref="K516:M516" si="103">K514/SHARDING(K515)</f>
        <v>128</v>
      </c>
      <c r="L516" s="736">
        <f t="shared" si="103"/>
        <v>1</v>
      </c>
      <c r="M516" s="736">
        <f t="shared" si="103"/>
        <v>7168</v>
      </c>
      <c r="N516" s="346" t="s">
        <v>283</v>
      </c>
      <c r="O516" s="355"/>
      <c r="P516" s="509">
        <f>SIZEOF_IN_MIB(J516:M516, O513)</f>
        <v>1.75</v>
      </c>
      <c r="Q516" s="355"/>
    </row>
    <row r="517">
      <c r="E517" s="341"/>
      <c r="F517" s="371" t="s">
        <v>335</v>
      </c>
      <c r="G517" s="601"/>
      <c r="H517" s="728"/>
      <c r="I517" s="336"/>
      <c r="J517" s="336"/>
      <c r="K517" s="336"/>
      <c r="L517" s="349"/>
      <c r="M517" s="349"/>
      <c r="N517" s="349"/>
      <c r="O517" s="336"/>
      <c r="P517" s="377"/>
      <c r="Q517" s="729"/>
    </row>
    <row r="518">
      <c r="E518" s="341"/>
      <c r="F518" s="352"/>
      <c r="G518" s="669" t="s">
        <v>340</v>
      </c>
      <c r="H518" s="730"/>
      <c r="I518" s="493"/>
      <c r="J518" s="345"/>
      <c r="K518" s="345"/>
      <c r="L518" s="346"/>
      <c r="M518" s="346"/>
      <c r="N518" s="346"/>
      <c r="O518" s="345"/>
      <c r="P518" s="509"/>
      <c r="Q518" s="545"/>
    </row>
    <row r="519">
      <c r="E519" s="341"/>
      <c r="F519" s="731" t="s">
        <v>327</v>
      </c>
      <c r="G519" s="601" t="s">
        <v>328</v>
      </c>
      <c r="H519" s="663" t="str">
        <f>VLOOKUP(O505&amp;","&amp;O509,$T$3:$W$12,4, FALSE)</f>
        <v>fp8</v>
      </c>
      <c r="I519" s="460"/>
      <c r="J519" s="454"/>
      <c r="K519" s="454"/>
      <c r="L519" s="455"/>
      <c r="M519" s="455"/>
      <c r="N519" s="455"/>
      <c r="O519" s="454"/>
      <c r="P519" s="468"/>
      <c r="Q519" s="11"/>
    </row>
    <row r="520">
      <c r="E520" s="341"/>
      <c r="F520" s="341"/>
      <c r="G520" s="663" t="s">
        <v>341</v>
      </c>
      <c r="H520" s="667" t="str">
        <f>CALCULATE_FLOPS(J508:M508,J512:M512,M512,L512,H519)</f>
        <v>#N/A</v>
      </c>
      <c r="I520" s="460"/>
      <c r="J520" s="454"/>
      <c r="K520" s="454"/>
      <c r="L520" s="455"/>
      <c r="M520" s="455"/>
      <c r="N520" s="455"/>
      <c r="O520" s="454"/>
      <c r="P520" s="468"/>
      <c r="Q520" s="11"/>
    </row>
    <row r="521">
      <c r="E521" s="341"/>
      <c r="F521" s="352"/>
      <c r="G521" s="669" t="s">
        <v>330</v>
      </c>
      <c r="H521" s="732" t="str">
        <f>COMPUTE_TIME_MS(H520, H519)</f>
        <v>#N/A</v>
      </c>
      <c r="I521" s="464"/>
      <c r="J521" s="465"/>
      <c r="K521" s="465"/>
      <c r="L521" s="466"/>
      <c r="M521" s="466"/>
      <c r="N521" s="466"/>
      <c r="O521" s="465"/>
      <c r="P521" s="671"/>
      <c r="Q521" s="11"/>
    </row>
    <row r="522">
      <c r="E522" s="341"/>
      <c r="F522" s="731" t="s">
        <v>331</v>
      </c>
      <c r="G522" s="663" t="s">
        <v>332</v>
      </c>
      <c r="H522" s="672">
        <f>IF(Q505,0,P508)+IF(Q509,0,P512)+IF(Q513,0,P516)</f>
        <v>9</v>
      </c>
      <c r="I522" s="454"/>
      <c r="J522" s="454"/>
      <c r="K522" s="454"/>
      <c r="L522" s="455"/>
      <c r="M522" s="455"/>
      <c r="N522" s="455"/>
      <c r="O522" s="454"/>
      <c r="P522" s="468"/>
      <c r="Q522" s="11"/>
    </row>
    <row r="523">
      <c r="E523" s="352"/>
      <c r="F523" s="352"/>
      <c r="G523" s="673" t="s">
        <v>333</v>
      </c>
      <c r="H523" s="733" t="str">
        <f>HBM_TIME_MS(H522)</f>
        <v>#N/A</v>
      </c>
      <c r="I523" s="465"/>
      <c r="J523" s="465"/>
      <c r="K523" s="465"/>
      <c r="L523" s="466"/>
      <c r="M523" s="466"/>
      <c r="N523" s="466"/>
      <c r="O523" s="465"/>
      <c r="P523" s="671"/>
      <c r="Q523" s="11"/>
    </row>
    <row r="524">
      <c r="P524" s="227"/>
    </row>
    <row r="525">
      <c r="P525" s="227"/>
    </row>
    <row r="526">
      <c r="P526" s="227"/>
    </row>
    <row r="527">
      <c r="P527" s="227"/>
    </row>
    <row r="528">
      <c r="P528" s="227"/>
    </row>
    <row r="529">
      <c r="P529" s="227"/>
    </row>
    <row r="530">
      <c r="P530" s="227"/>
    </row>
    <row r="531">
      <c r="P531" s="227"/>
    </row>
    <row r="532">
      <c r="P532" s="227"/>
    </row>
    <row r="533">
      <c r="P533" s="227"/>
    </row>
    <row r="534">
      <c r="P534" s="227"/>
    </row>
    <row r="535">
      <c r="P535" s="227"/>
    </row>
    <row r="536">
      <c r="P536" s="227"/>
    </row>
    <row r="537">
      <c r="P537" s="227"/>
    </row>
    <row r="538">
      <c r="P538" s="227"/>
    </row>
    <row r="539">
      <c r="P539" s="227"/>
    </row>
    <row r="540">
      <c r="P540" s="227"/>
    </row>
    <row r="541">
      <c r="P541" s="227"/>
    </row>
    <row r="542">
      <c r="P542" s="227"/>
    </row>
    <row r="543">
      <c r="P543" s="227"/>
    </row>
    <row r="544">
      <c r="P544" s="227"/>
    </row>
    <row r="545">
      <c r="P545" s="227"/>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7">
      <formula1>"GhostFish,GB200"</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null!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896" t="s">
        <v>168</v>
      </c>
      <c r="B1" s="209"/>
      <c r="C1" s="209"/>
      <c r="D1" s="210"/>
      <c r="E1" s="211" t="str">
        <f>G73</f>
        <v>#N/A</v>
      </c>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892"/>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893"/>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3">
        <v>2048.0</v>
      </c>
      <c r="D4" s="893"/>
      <c r="F4" s="230" t="s">
        <v>96</v>
      </c>
      <c r="G4" s="225">
        <v>8.0</v>
      </c>
      <c r="H4" s="226"/>
      <c r="P4" s="227"/>
      <c r="Q4" s="181" t="s">
        <v>125</v>
      </c>
      <c r="R4" s="181">
        <v>1.0</v>
      </c>
      <c r="T4" s="66" t="str">
        <f t="shared" si="1"/>
        <v>fp4,fp8</v>
      </c>
      <c r="U4" s="181" t="s">
        <v>180</v>
      </c>
      <c r="V4" s="181" t="s">
        <v>125</v>
      </c>
      <c r="W4" s="181" t="s">
        <v>125</v>
      </c>
    </row>
    <row r="5">
      <c r="A5" s="223" t="s">
        <v>183</v>
      </c>
      <c r="B5" s="223" t="s">
        <v>184</v>
      </c>
      <c r="C5" s="223">
        <v>256.0</v>
      </c>
      <c r="D5" s="893"/>
      <c r="F5" s="230" t="s">
        <v>97</v>
      </c>
      <c r="G5" s="225">
        <v>2.0</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893"/>
      <c r="F6" s="230" t="s">
        <v>98</v>
      </c>
      <c r="G6" s="225">
        <v>1.0</v>
      </c>
      <c r="H6" s="226"/>
      <c r="P6" s="227"/>
      <c r="T6" s="66" t="str">
        <f t="shared" si="1"/>
        <v>fp8,fp4</v>
      </c>
      <c r="U6" s="181" t="s">
        <v>125</v>
      </c>
      <c r="V6" s="181" t="s">
        <v>180</v>
      </c>
      <c r="W6" s="181" t="s">
        <v>125</v>
      </c>
    </row>
    <row r="7">
      <c r="A7" s="231" t="s">
        <v>188</v>
      </c>
      <c r="B7" s="231" t="s">
        <v>189</v>
      </c>
      <c r="C7" s="231">
        <v>3.0</v>
      </c>
      <c r="D7" s="893"/>
      <c r="F7" s="230" t="s">
        <v>99</v>
      </c>
      <c r="G7" s="225">
        <v>1.0</v>
      </c>
      <c r="H7" s="226" t="s">
        <v>190</v>
      </c>
      <c r="P7" s="227"/>
      <c r="T7" s="66" t="str">
        <f t="shared" si="1"/>
        <v>fp8,fp8</v>
      </c>
      <c r="U7" s="181" t="s">
        <v>125</v>
      </c>
      <c r="V7" s="181" t="s">
        <v>125</v>
      </c>
      <c r="W7" s="181" t="s">
        <v>125</v>
      </c>
      <c r="AR7" s="161"/>
      <c r="AS7" s="161"/>
      <c r="AT7" s="161"/>
    </row>
    <row r="8">
      <c r="A8" s="223" t="s">
        <v>191</v>
      </c>
      <c r="B8" s="223" t="s">
        <v>192</v>
      </c>
      <c r="C8" s="223">
        <v>8.0</v>
      </c>
      <c r="D8" s="893"/>
      <c r="F8" s="219" t="s">
        <v>193</v>
      </c>
      <c r="P8" s="227"/>
      <c r="U8" s="181"/>
      <c r="V8" s="181"/>
      <c r="W8" s="181"/>
      <c r="AB8" s="181"/>
      <c r="AC8" s="181"/>
      <c r="AD8" s="181"/>
      <c r="AE8" s="181"/>
    </row>
    <row r="9">
      <c r="A9" s="232" t="s">
        <v>194</v>
      </c>
      <c r="B9" s="233" t="s">
        <v>195</v>
      </c>
      <c r="C9" s="223">
        <v>1536.0</v>
      </c>
      <c r="D9" s="893"/>
      <c r="F9" s="234" t="s">
        <v>196</v>
      </c>
      <c r="G9" s="235">
        <f>G5*G4</f>
        <v>16</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893"/>
      <c r="F10" s="237" t="s">
        <v>199</v>
      </c>
      <c r="G10" s="238">
        <f>PRODUCT(G3:G6)</f>
        <v>16</v>
      </c>
      <c r="H10" s="239"/>
      <c r="P10" s="227"/>
      <c r="T10" s="66" t="str">
        <f t="shared" si="2"/>
        <v>bf16,fp4</v>
      </c>
      <c r="U10" s="181" t="s">
        <v>133</v>
      </c>
      <c r="V10" s="181" t="s">
        <v>180</v>
      </c>
      <c r="W10" s="181" t="s">
        <v>133</v>
      </c>
      <c r="AP10" s="218"/>
      <c r="AQ10" s="218"/>
      <c r="AT10" s="228"/>
    </row>
    <row r="11">
      <c r="A11" s="232" t="s">
        <v>200</v>
      </c>
      <c r="B11" s="233" t="s">
        <v>201</v>
      </c>
      <c r="C11" s="223">
        <v>128.0</v>
      </c>
      <c r="D11" s="893"/>
      <c r="F11" s="237" t="s">
        <v>202</v>
      </c>
      <c r="G11" s="238" t="str">
        <f>$G$10/$H$18</f>
        <v>#N/A</v>
      </c>
      <c r="H11" s="239"/>
      <c r="P11" s="227"/>
      <c r="T11" s="66" t="str">
        <f t="shared" si="2"/>
        <v>bf16,fp8</v>
      </c>
      <c r="U11" s="181" t="s">
        <v>133</v>
      </c>
      <c r="V11" s="181" t="s">
        <v>125</v>
      </c>
      <c r="W11" s="181" t="s">
        <v>133</v>
      </c>
      <c r="AP11" s="222"/>
    </row>
    <row r="12">
      <c r="A12" s="232" t="s">
        <v>203</v>
      </c>
      <c r="B12" s="233" t="s">
        <v>204</v>
      </c>
      <c r="C12" s="223">
        <v>64.0</v>
      </c>
      <c r="D12" s="893"/>
      <c r="L12" s="844" t="s">
        <v>584</v>
      </c>
      <c r="P12" s="227"/>
      <c r="T12" s="66" t="s">
        <v>205</v>
      </c>
      <c r="U12" s="181" t="s">
        <v>133</v>
      </c>
      <c r="V12" s="181" t="s">
        <v>133</v>
      </c>
      <c r="W12" s="181" t="s">
        <v>133</v>
      </c>
      <c r="AP12" s="218"/>
      <c r="AQ12" s="218"/>
      <c r="AT12" s="228"/>
    </row>
    <row r="13">
      <c r="A13" s="223" t="s">
        <v>206</v>
      </c>
      <c r="B13" s="233" t="s">
        <v>207</v>
      </c>
      <c r="C13" s="223">
        <v>128.0</v>
      </c>
      <c r="D13" s="893"/>
    </row>
    <row r="14">
      <c r="A14" s="241" t="s">
        <v>208</v>
      </c>
      <c r="B14" s="242"/>
      <c r="C14" s="242"/>
      <c r="AG14" s="207"/>
      <c r="AH14" s="207"/>
      <c r="AI14" s="161"/>
      <c r="AJ14" s="2"/>
      <c r="AK14" s="2"/>
      <c r="AL14" s="2"/>
      <c r="AM14" s="2"/>
      <c r="AN14" s="161"/>
      <c r="AO14" s="2"/>
      <c r="AP14" s="207"/>
      <c r="AQ14" s="2"/>
      <c r="AR14" s="2"/>
      <c r="AS14" s="161"/>
      <c r="AT14" s="161"/>
    </row>
    <row r="15">
      <c r="A15" s="244" t="s">
        <v>209</v>
      </c>
      <c r="B15" s="244" t="s">
        <v>209</v>
      </c>
      <c r="C15" s="245">
        <f>$C$11+$C$12</f>
        <v>192</v>
      </c>
      <c r="AG15" s="2"/>
      <c r="AH15" s="2"/>
      <c r="AI15" s="161"/>
      <c r="AJ15" s="2"/>
      <c r="AK15" s="2"/>
      <c r="AL15" s="2"/>
      <c r="AM15" s="2"/>
      <c r="AN15" s="161"/>
      <c r="AO15" s="2"/>
      <c r="AP15" s="247"/>
      <c r="AQ15" s="247"/>
      <c r="AR15" s="2"/>
      <c r="AS15" s="161"/>
      <c r="AT15" s="248"/>
    </row>
    <row r="16">
      <c r="A16" s="244" t="s">
        <v>210</v>
      </c>
      <c r="B16" s="244" t="s">
        <v>210</v>
      </c>
      <c r="C16" s="249">
        <f>$C$10+$C$12</f>
        <v>576</v>
      </c>
      <c r="D16" s="893"/>
      <c r="AG16" s="2"/>
      <c r="AH16" s="2"/>
      <c r="AI16" s="161"/>
      <c r="AJ16" s="2"/>
      <c r="AK16" s="2"/>
      <c r="AL16" s="2"/>
      <c r="AM16" s="2"/>
      <c r="AN16" s="161"/>
      <c r="AO16" s="2"/>
      <c r="AP16" s="247"/>
      <c r="AQ16" s="247"/>
      <c r="AR16" s="2"/>
      <c r="AS16" s="161"/>
      <c r="AT16" s="248"/>
    </row>
    <row r="17">
      <c r="A17" s="249" t="s">
        <v>211</v>
      </c>
      <c r="B17" s="249" t="s">
        <v>212</v>
      </c>
      <c r="C17" s="245">
        <f>C8*$C$25</f>
        <v>8</v>
      </c>
      <c r="F17" s="250" t="s">
        <v>213</v>
      </c>
      <c r="G17" s="251" t="s">
        <v>585</v>
      </c>
      <c r="H17" s="251" t="s">
        <v>586</v>
      </c>
      <c r="AG17" s="2"/>
      <c r="AH17" s="2"/>
      <c r="AI17" s="161"/>
      <c r="AJ17" s="2"/>
      <c r="AK17" s="2"/>
      <c r="AL17" s="2"/>
      <c r="AM17" s="2"/>
      <c r="AN17" s="161"/>
      <c r="AO17" s="2"/>
      <c r="AP17" s="247"/>
      <c r="AQ17" s="247"/>
      <c r="AR17" s="2"/>
      <c r="AS17" s="161"/>
      <c r="AT17" s="248"/>
    </row>
    <row r="18">
      <c r="A18" s="252" t="s">
        <v>173</v>
      </c>
      <c r="B18" s="252" t="s">
        <v>214</v>
      </c>
      <c r="C18" s="253">
        <f>$G$10</f>
        <v>16</v>
      </c>
      <c r="F18" s="185" t="str">
        <f t="array" ref="F18:F31">DB!A2:A15</f>
        <v># of TensorCore per Chip</v>
      </c>
      <c r="G18" s="847">
        <v>1.0</v>
      </c>
      <c r="H18" s="254" t="str">
        <f t="array" ref="H18:H31">xlookup($H$17,DB!1:1,DB!2:15) * G18:G31</f>
        <v>#N/A</v>
      </c>
      <c r="AG18" s="2"/>
      <c r="AH18" s="2"/>
      <c r="AI18" s="161"/>
      <c r="AJ18" s="2"/>
      <c r="AK18" s="2"/>
      <c r="AL18" s="2"/>
      <c r="AM18" s="2"/>
      <c r="AN18" s="161"/>
      <c r="AO18" s="2"/>
      <c r="AP18" s="247"/>
      <c r="AQ18" s="2"/>
      <c r="AR18" s="2"/>
      <c r="AS18" s="161"/>
      <c r="AT18" s="161"/>
    </row>
    <row r="19">
      <c r="A19" s="252" t="s">
        <v>215</v>
      </c>
      <c r="B19" s="252" t="s">
        <v>216</v>
      </c>
      <c r="C19" s="253" t="str">
        <f>$G$11</f>
        <v>#N/A</v>
      </c>
      <c r="F19" s="185" t="s">
        <v>217</v>
      </c>
      <c r="G19" s="847">
        <v>1.0</v>
      </c>
      <c r="H19" s="254" t="e">
        <v>#N/A</v>
      </c>
      <c r="AG19" s="2"/>
      <c r="AH19" s="2"/>
      <c r="AI19" s="161"/>
      <c r="AJ19" s="2"/>
      <c r="AK19" s="2"/>
      <c r="AL19" s="2"/>
      <c r="AM19" s="2"/>
      <c r="AN19" s="161"/>
      <c r="AO19" s="2"/>
      <c r="AP19" s="247"/>
      <c r="AQ19" s="2"/>
      <c r="AR19" s="2"/>
      <c r="AS19" s="161"/>
      <c r="AT19" s="161"/>
    </row>
    <row r="20">
      <c r="A20" s="256" t="s">
        <v>587</v>
      </c>
      <c r="B20" s="256" t="s">
        <v>219</v>
      </c>
      <c r="C20" s="257" t="str">
        <f>IFS(C19=8,"2x2x2",C19=4,"2x2",TRUE,NA)</f>
        <v>#N/A</v>
      </c>
      <c r="D20" s="247"/>
      <c r="F20" s="185" t="s">
        <v>220</v>
      </c>
      <c r="G20" s="847">
        <v>1.0</v>
      </c>
      <c r="H20" s="254" t="e">
        <v>#N/A</v>
      </c>
      <c r="AG20" s="2"/>
      <c r="AH20" s="2"/>
      <c r="AI20" s="161"/>
      <c r="AJ20" s="2"/>
      <c r="AK20" s="2"/>
      <c r="AL20" s="2"/>
      <c r="AM20" s="2"/>
      <c r="AN20" s="161"/>
      <c r="AO20" s="2"/>
      <c r="AP20" s="247"/>
      <c r="AQ20" s="2"/>
      <c r="AR20" s="2"/>
      <c r="AS20" s="161"/>
      <c r="AT20" s="161"/>
    </row>
    <row r="21">
      <c r="A21" s="260" t="s">
        <v>588</v>
      </c>
      <c r="B21" s="260" t="s">
        <v>222</v>
      </c>
      <c r="C21" s="849" t="str">
        <f>IFS(C20="2x2x2",12,C20="2x2",4,TRUE,NA())</f>
        <v>#N/A</v>
      </c>
      <c r="D21" s="80"/>
      <c r="F21" s="185" t="s">
        <v>223</v>
      </c>
      <c r="G21" s="847">
        <v>1.0</v>
      </c>
      <c r="H21" s="254" t="e">
        <v>#N/A</v>
      </c>
      <c r="AG21" s="2"/>
      <c r="AH21" s="2"/>
      <c r="AI21" s="161"/>
      <c r="AJ21" s="2"/>
      <c r="AK21" s="2"/>
      <c r="AL21" s="2"/>
      <c r="AM21" s="2"/>
      <c r="AN21" s="161"/>
      <c r="AO21" s="2"/>
      <c r="AP21" s="247"/>
      <c r="AQ21" s="2"/>
      <c r="AR21" s="2"/>
      <c r="AS21" s="161"/>
      <c r="AT21" s="161"/>
    </row>
    <row r="22">
      <c r="A22" s="253"/>
      <c r="B22" s="253"/>
      <c r="C22" s="253"/>
      <c r="F22" s="185" t="s">
        <v>224</v>
      </c>
      <c r="G22" s="847">
        <v>1.0</v>
      </c>
      <c r="H22" s="254" t="e">
        <v>#N/A</v>
      </c>
      <c r="AG22" s="2"/>
      <c r="AH22" s="2"/>
      <c r="AI22" s="161"/>
      <c r="AJ22" s="2"/>
      <c r="AK22" s="2"/>
      <c r="AL22" s="2"/>
      <c r="AM22" s="2"/>
      <c r="AN22" s="161"/>
      <c r="AO22" s="2"/>
      <c r="AP22" s="247"/>
      <c r="AQ22" s="247"/>
      <c r="AR22" s="2"/>
      <c r="AS22" s="161"/>
      <c r="AT22" s="248"/>
    </row>
    <row r="23">
      <c r="A23" s="262" t="s">
        <v>225</v>
      </c>
      <c r="B23" s="263"/>
      <c r="C23" s="264"/>
      <c r="D23" s="893"/>
      <c r="F23" s="185" t="s">
        <v>226</v>
      </c>
      <c r="G23" s="847">
        <v>0.987</v>
      </c>
      <c r="H23" s="266" t="e">
        <v>#N/A</v>
      </c>
      <c r="AG23" s="2"/>
      <c r="AH23" s="2"/>
      <c r="AI23" s="161"/>
      <c r="AJ23" s="2"/>
      <c r="AK23" s="2"/>
      <c r="AL23" s="2"/>
      <c r="AM23" s="2"/>
      <c r="AN23" s="161"/>
      <c r="AO23" s="2"/>
      <c r="AP23" s="247"/>
      <c r="AQ23" s="247"/>
      <c r="AR23" s="2"/>
      <c r="AS23" s="161"/>
      <c r="AT23" s="248"/>
    </row>
    <row r="24">
      <c r="A24" s="249" t="s">
        <v>227</v>
      </c>
      <c r="B24" s="249" t="s">
        <v>228</v>
      </c>
      <c r="C24" s="249" t="s">
        <v>18</v>
      </c>
      <c r="D24" s="893"/>
      <c r="F24" s="185" t="s">
        <v>229</v>
      </c>
      <c r="G24" s="847">
        <v>0.8</v>
      </c>
      <c r="H24" s="266" t="e">
        <v>#N/A</v>
      </c>
      <c r="AG24" s="2"/>
      <c r="AH24" s="2"/>
      <c r="AI24" s="161"/>
      <c r="AJ24" s="2"/>
      <c r="AK24" s="2"/>
      <c r="AL24" s="2"/>
      <c r="AM24" s="2"/>
      <c r="AN24" s="161"/>
      <c r="AO24" s="2"/>
      <c r="AP24" s="247"/>
      <c r="AQ24" s="247"/>
      <c r="AR24" s="2"/>
      <c r="AS24" s="161"/>
      <c r="AT24" s="248"/>
    </row>
    <row r="25">
      <c r="A25" s="267" t="s">
        <v>101</v>
      </c>
      <c r="B25" s="267" t="s">
        <v>102</v>
      </c>
      <c r="C25" s="267">
        <f>IF(C24="Decode", 1, 2048)</f>
        <v>1</v>
      </c>
      <c r="D25" s="893"/>
      <c r="F25" s="185" t="s">
        <v>230</v>
      </c>
      <c r="G25" s="847">
        <v>1.0</v>
      </c>
      <c r="H25" s="254" t="e">
        <v>#N/A</v>
      </c>
      <c r="AG25" s="2"/>
      <c r="AH25" s="2"/>
      <c r="AI25" s="161"/>
      <c r="AJ25" s="248"/>
      <c r="AK25" s="2"/>
      <c r="AL25" s="2"/>
      <c r="AM25" s="2"/>
    </row>
    <row r="26">
      <c r="A26" s="249" t="s">
        <v>103</v>
      </c>
      <c r="B26" s="249" t="s">
        <v>104</v>
      </c>
      <c r="C26" s="249">
        <v>2048.0</v>
      </c>
      <c r="D26" s="181"/>
      <c r="F26" s="185" t="s">
        <v>231</v>
      </c>
      <c r="G26" s="847">
        <v>1.0</v>
      </c>
      <c r="H26" s="254" t="e">
        <v>#N/A</v>
      </c>
      <c r="AG26" s="207"/>
      <c r="AH26" s="207"/>
      <c r="AI26" s="207"/>
      <c r="AK26" s="2"/>
      <c r="AL26" s="2"/>
      <c r="AM26" s="2"/>
      <c r="AN26" s="161"/>
      <c r="AO26" s="2"/>
      <c r="AP26" s="2"/>
      <c r="AQ26" s="2"/>
      <c r="AR26" s="2"/>
      <c r="AS26" s="161"/>
      <c r="AT26" s="161"/>
    </row>
    <row r="27">
      <c r="A27" s="249" t="s">
        <v>105</v>
      </c>
      <c r="B27" s="252" t="s">
        <v>106</v>
      </c>
      <c r="C27" s="252">
        <f>1024+4096</f>
        <v>5120</v>
      </c>
      <c r="D27" s="893"/>
      <c r="F27" s="185" t="s">
        <v>233</v>
      </c>
      <c r="G27" s="847">
        <v>1.0</v>
      </c>
      <c r="H27" s="254" t="e">
        <v>#N/A</v>
      </c>
      <c r="AG27" s="207"/>
      <c r="AH27" s="207"/>
      <c r="AI27" s="207"/>
      <c r="AK27" s="2"/>
      <c r="AL27" s="2"/>
      <c r="AM27" s="2"/>
      <c r="AN27" s="161"/>
      <c r="AO27" s="2"/>
      <c r="AP27" s="2"/>
      <c r="AQ27" s="2"/>
      <c r="AR27" s="2"/>
      <c r="AS27" s="161"/>
      <c r="AT27" s="161"/>
    </row>
    <row r="28">
      <c r="A28" s="249" t="s">
        <v>110</v>
      </c>
      <c r="B28" s="253"/>
      <c r="C28" s="252">
        <v>0.15</v>
      </c>
      <c r="D28" s="893"/>
      <c r="F28" s="185" t="s">
        <v>234</v>
      </c>
      <c r="G28" s="847">
        <v>0.987</v>
      </c>
      <c r="H28" s="271" t="e">
        <v>#N/A</v>
      </c>
      <c r="AG28" s="207"/>
      <c r="AH28" s="207"/>
      <c r="AI28" s="207"/>
      <c r="AL28" s="2"/>
      <c r="AM28" s="2"/>
      <c r="AN28" s="161"/>
      <c r="AO28" s="2"/>
      <c r="AP28" s="2"/>
      <c r="AQ28" s="2"/>
      <c r="AR28" s="2"/>
      <c r="AS28" s="161"/>
      <c r="AT28" s="161"/>
    </row>
    <row r="29">
      <c r="A29" s="249" t="s">
        <v>111</v>
      </c>
      <c r="B29" s="253"/>
      <c r="C29" s="252">
        <v>1.0</v>
      </c>
      <c r="D29" s="893"/>
      <c r="F29" s="185" t="s">
        <v>235</v>
      </c>
      <c r="G29" s="847">
        <v>0.375</v>
      </c>
      <c r="H29" s="254" t="e">
        <v>#N/A</v>
      </c>
      <c r="AB29" s="181"/>
      <c r="AC29" s="181"/>
      <c r="AD29" s="181"/>
      <c r="AE29" s="181"/>
      <c r="AM29" s="222"/>
      <c r="AN29" s="218"/>
      <c r="AO29" s="222"/>
      <c r="AP29" s="222"/>
      <c r="AQ29" s="272"/>
      <c r="AR29" s="222"/>
      <c r="AS29" s="66"/>
    </row>
    <row r="30">
      <c r="A30" s="249" t="s">
        <v>112</v>
      </c>
      <c r="B30" s="252" t="s">
        <v>113</v>
      </c>
      <c r="C30" s="273" t="b">
        <v>1</v>
      </c>
      <c r="D30" s="894"/>
      <c r="F30" s="11" t="s">
        <v>236</v>
      </c>
      <c r="G30" s="858">
        <v>0.8</v>
      </c>
      <c r="H30" s="275" t="e">
        <v>#N/A</v>
      </c>
      <c r="AB30" s="181"/>
      <c r="AC30" s="181"/>
      <c r="AD30" s="181"/>
      <c r="AE30" s="181"/>
      <c r="AM30" s="222"/>
      <c r="AN30" s="218"/>
      <c r="AO30" s="222"/>
      <c r="AP30" s="222"/>
      <c r="AQ30" s="272"/>
      <c r="AR30" s="222"/>
      <c r="AS30" s="66"/>
    </row>
    <row r="31">
      <c r="A31" s="11"/>
      <c r="B31" s="11"/>
      <c r="C31" s="11"/>
      <c r="F31" s="182" t="s">
        <v>237</v>
      </c>
      <c r="G31" s="185">
        <v>1.0</v>
      </c>
      <c r="H31" s="182" t="e">
        <v>#N/A</v>
      </c>
      <c r="AM31" s="222"/>
      <c r="AN31" s="218"/>
      <c r="AO31" s="218"/>
      <c r="AP31" s="218"/>
      <c r="AQ31" s="218"/>
      <c r="AR31" s="222"/>
      <c r="AT31" s="228"/>
    </row>
    <row r="32">
      <c r="A32" s="262" t="s">
        <v>238</v>
      </c>
      <c r="B32" s="263"/>
      <c r="C32" s="264"/>
      <c r="AM32" s="222"/>
      <c r="AN32" s="218"/>
      <c r="AO32" s="218"/>
      <c r="AP32" s="218"/>
      <c r="AQ32" s="218"/>
      <c r="AR32" s="222"/>
      <c r="AT32" s="228"/>
    </row>
    <row r="33">
      <c r="A33" s="249" t="s">
        <v>126</v>
      </c>
      <c r="B33" s="244" t="s">
        <v>127</v>
      </c>
      <c r="C33" s="277" t="s">
        <v>650</v>
      </c>
      <c r="D33" s="278"/>
      <c r="AM33" s="222"/>
      <c r="AN33" s="218"/>
      <c r="AO33" s="218"/>
      <c r="AP33" s="222"/>
      <c r="AQ33" s="222"/>
      <c r="AR33" s="222"/>
    </row>
    <row r="34">
      <c r="A34" s="249" t="s">
        <v>123</v>
      </c>
      <c r="B34" s="252" t="s">
        <v>124</v>
      </c>
      <c r="C34" s="273" t="s">
        <v>125</v>
      </c>
      <c r="D34" s="278"/>
      <c r="AM34" s="222"/>
      <c r="AN34" s="218"/>
      <c r="AO34" s="218"/>
      <c r="AP34" s="222"/>
      <c r="AQ34" s="222"/>
      <c r="AR34" s="222"/>
    </row>
    <row r="35">
      <c r="A35" s="249" t="s">
        <v>131</v>
      </c>
      <c r="B35" s="244" t="s">
        <v>132</v>
      </c>
      <c r="C35" s="273" t="s">
        <v>133</v>
      </c>
      <c r="D35" s="278"/>
      <c r="F35" s="861" t="s">
        <v>590</v>
      </c>
      <c r="G35" s="862"/>
      <c r="AM35" s="222"/>
      <c r="AN35" s="218"/>
      <c r="AO35" s="218"/>
      <c r="AP35" s="222"/>
      <c r="AQ35" s="222"/>
      <c r="AR35" s="222"/>
    </row>
    <row r="36">
      <c r="A36" s="249" t="s">
        <v>134</v>
      </c>
      <c r="B36" s="244" t="s">
        <v>135</v>
      </c>
      <c r="C36" s="273" t="s">
        <v>133</v>
      </c>
      <c r="D36" s="278"/>
      <c r="F36" s="436" t="s">
        <v>592</v>
      </c>
      <c r="G36" s="863" t="s">
        <v>125</v>
      </c>
      <c r="AM36" s="222"/>
      <c r="AN36" s="218"/>
      <c r="AO36" s="218"/>
      <c r="AP36" s="222"/>
      <c r="AQ36" s="222"/>
      <c r="AR36" s="222"/>
    </row>
    <row r="37">
      <c r="A37" s="9" t="s">
        <v>138</v>
      </c>
      <c r="B37" s="244" t="s">
        <v>139</v>
      </c>
      <c r="C37" s="277" t="s">
        <v>651</v>
      </c>
      <c r="D37" s="278"/>
      <c r="F37" s="864" t="s">
        <v>593</v>
      </c>
      <c r="G37" s="863" t="str">
        <f>C34</f>
        <v>fp8</v>
      </c>
      <c r="AM37" s="222"/>
      <c r="AN37" s="218"/>
      <c r="AO37" s="218"/>
      <c r="AP37" s="222"/>
      <c r="AQ37" s="222"/>
      <c r="AR37" s="222"/>
    </row>
    <row r="38">
      <c r="A38" s="249" t="s">
        <v>136</v>
      </c>
      <c r="B38" s="244" t="s">
        <v>137</v>
      </c>
      <c r="C38" s="273" t="s">
        <v>125</v>
      </c>
      <c r="D38" s="278"/>
      <c r="F38" s="865" t="s">
        <v>594</v>
      </c>
      <c r="G38" s="866" t="s">
        <v>595</v>
      </c>
      <c r="AM38" s="222"/>
      <c r="AN38" s="218"/>
      <c r="AO38" s="218"/>
      <c r="AP38" s="222"/>
      <c r="AQ38" s="222"/>
      <c r="AR38" s="222"/>
    </row>
    <row r="39">
      <c r="A39" s="249" t="s">
        <v>140</v>
      </c>
      <c r="B39" s="244" t="s">
        <v>141</v>
      </c>
      <c r="C39" s="273" t="s">
        <v>133</v>
      </c>
      <c r="D39" s="278"/>
      <c r="F39" s="897"/>
      <c r="G39" s="898"/>
      <c r="AM39" s="222"/>
      <c r="AN39" s="218"/>
      <c r="AO39" s="218"/>
      <c r="AP39" s="222"/>
      <c r="AQ39" s="222"/>
      <c r="AR39" s="222"/>
    </row>
    <row r="40">
      <c r="D40" s="278"/>
      <c r="F40" s="867" t="s">
        <v>596</v>
      </c>
      <c r="G40" s="868">
        <f>671*1000000000</f>
        <v>671000000000</v>
      </c>
      <c r="AM40" s="222"/>
      <c r="AN40" s="218"/>
      <c r="AO40" s="218"/>
      <c r="AP40" s="222"/>
      <c r="AQ40" s="222"/>
      <c r="AR40" s="222"/>
    </row>
    <row r="41">
      <c r="A41" s="181"/>
      <c r="B41" s="278"/>
      <c r="C41" s="278"/>
      <c r="D41" s="278"/>
      <c r="F41" s="436" t="s">
        <v>597</v>
      </c>
      <c r="G41" s="869">
        <f>SUM(PRODUCT(L87:M87), PRODUCT(K142:M142), PRODUCT(K166:M166), PRODUCT(L185:M185), PRODUCT(K291:M291), PRODUCT(K315:M315)) * PARAMS("L")</f>
        <v>11413422080</v>
      </c>
      <c r="AM41" s="222"/>
      <c r="AN41" s="218"/>
      <c r="AO41" s="218"/>
      <c r="AP41" s="222"/>
      <c r="AQ41" s="222"/>
      <c r="AR41" s="222"/>
    </row>
    <row r="42" ht="27.0" customHeight="1">
      <c r="A42" s="281" t="s">
        <v>241</v>
      </c>
      <c r="F42" s="867"/>
      <c r="G42" s="870"/>
      <c r="AG42" s="2"/>
      <c r="AH42" s="2"/>
      <c r="AI42" s="2"/>
      <c r="AJ42" s="2"/>
      <c r="AK42" s="2"/>
      <c r="AL42" s="2"/>
      <c r="AM42" s="247"/>
      <c r="AN42" s="247"/>
      <c r="AO42" s="279"/>
      <c r="AP42" s="222"/>
      <c r="AQ42" s="247"/>
      <c r="AR42" s="247"/>
      <c r="AT42" s="280"/>
    </row>
    <row r="43" ht="30.0" customHeight="1">
      <c r="A43" s="250" t="s">
        <v>242</v>
      </c>
      <c r="B43" s="250" t="str">
        <f> "Value (" &amp; H17 &amp; ")"</f>
        <v>Value (GhostFish)</v>
      </c>
      <c r="C43" s="282" t="s">
        <v>591</v>
      </c>
      <c r="F43" s="867" t="s">
        <v>598</v>
      </c>
      <c r="G43" s="870">
        <f>G40-G41</f>
        <v>659586577920</v>
      </c>
      <c r="P43" s="227"/>
      <c r="AG43" s="2"/>
      <c r="AH43" s="2"/>
      <c r="AI43" s="2"/>
      <c r="AJ43" s="2"/>
      <c r="AK43" s="2"/>
      <c r="AL43" s="2"/>
      <c r="AM43" s="247"/>
      <c r="AN43" s="247"/>
      <c r="AO43" s="279"/>
      <c r="AP43" s="222"/>
      <c r="AQ43" s="247"/>
      <c r="AR43" s="247"/>
      <c r="AT43" s="280"/>
    </row>
    <row r="44" ht="15.0" customHeight="1">
      <c r="A44" s="185" t="s">
        <v>76</v>
      </c>
      <c r="B44" s="271">
        <f>$C26*$C25</f>
        <v>2048</v>
      </c>
      <c r="C44" s="182">
        <f>492*8</f>
        <v>3936</v>
      </c>
      <c r="F44" s="436" t="s">
        <v>599</v>
      </c>
      <c r="G44" s="869">
        <f>SUM(P87, P142, P166, P185, P291, P315) * PARAMS(B6) / 1024</f>
        <v>21.25915527</v>
      </c>
      <c r="P44" s="227"/>
      <c r="AG44" s="2"/>
      <c r="AH44" s="2"/>
      <c r="AI44" s="2"/>
      <c r="AJ44" s="2"/>
      <c r="AK44" s="2"/>
      <c r="AL44" s="2"/>
      <c r="AM44" s="247"/>
      <c r="AN44" s="247"/>
      <c r="AO44" s="279"/>
      <c r="AP44" s="222"/>
      <c r="AQ44" s="247"/>
      <c r="AR44" s="247"/>
      <c r="AT44" s="280"/>
    </row>
    <row r="45" ht="15.0" customHeight="1">
      <c r="A45" s="185" t="s">
        <v>243</v>
      </c>
      <c r="B45" s="288">
        <f>G10</f>
        <v>16</v>
      </c>
      <c r="C45" s="9">
        <v>8.0</v>
      </c>
      <c r="F45" s="867" t="s">
        <v>600</v>
      </c>
      <c r="G45" s="870">
        <f>(G43*  SWITCH(G36, "fp32", 4, "bf16", 2, "fp8", 1, "fp4", 0.5)/1024^3 + G44*G10) + (G10-1) * SUM(P515, P534) * (C6-3)/1024</f>
        <v>972.2761512</v>
      </c>
      <c r="P45" s="227"/>
      <c r="AG45" s="2"/>
      <c r="AH45" s="2"/>
      <c r="AI45" s="2"/>
      <c r="AJ45" s="2"/>
      <c r="AK45" s="2"/>
      <c r="AL45" s="2"/>
      <c r="AM45" s="247"/>
      <c r="AN45" s="247"/>
      <c r="AO45" s="279"/>
      <c r="AP45" s="222"/>
      <c r="AQ45" s="247"/>
      <c r="AR45" s="247"/>
      <c r="AT45" s="280"/>
    </row>
    <row r="46" ht="15.0" customHeight="1">
      <c r="A46" s="185" t="s">
        <v>146</v>
      </c>
      <c r="B46" s="289" t="str">
        <f>$G$73/1000 * $C$6</f>
        <v>#N/A</v>
      </c>
      <c r="C46" s="11">
        <f>0.0734</f>
        <v>0.0734</v>
      </c>
      <c r="F46" s="436" t="s">
        <v>601</v>
      </c>
      <c r="G46" s="869">
        <f>G45/G10</f>
        <v>60.76725945</v>
      </c>
      <c r="P46" s="227"/>
      <c r="AG46" s="2"/>
      <c r="AH46" s="2"/>
      <c r="AI46" s="2"/>
      <c r="AJ46" s="2"/>
      <c r="AK46" s="2"/>
      <c r="AL46" s="2"/>
      <c r="AM46" s="247"/>
      <c r="AN46" s="247"/>
      <c r="AO46" s="279"/>
      <c r="AP46" s="222"/>
      <c r="AQ46" s="247"/>
      <c r="AR46" s="247"/>
      <c r="AT46" s="280"/>
    </row>
    <row r="47" ht="15.0" customHeight="1">
      <c r="A47" s="185" t="s">
        <v>147</v>
      </c>
      <c r="B47" s="271" t="str">
        <f>$B$44/$B$46</f>
        <v>#N/A</v>
      </c>
      <c r="C47" s="193">
        <f>492/0.0733 * C45</f>
        <v>53697.13506</v>
      </c>
      <c r="F47" s="867" t="s">
        <v>602</v>
      </c>
      <c r="G47" s="871">
        <v>0.9</v>
      </c>
      <c r="P47" s="227"/>
      <c r="AG47" s="2"/>
      <c r="AH47" s="2"/>
      <c r="AI47" s="2"/>
      <c r="AJ47" s="2"/>
      <c r="AK47" s="2"/>
      <c r="AL47" s="2"/>
      <c r="AM47" s="247"/>
      <c r="AN47" s="247"/>
      <c r="AO47" s="279"/>
      <c r="AP47" s="222"/>
      <c r="AQ47" s="247"/>
      <c r="AR47" s="247"/>
      <c r="AT47" s="280"/>
    </row>
    <row r="48" ht="15.0" customHeight="1">
      <c r="A48" s="185" t="s">
        <v>148</v>
      </c>
      <c r="B48" s="193" t="str">
        <f>B44/(B46*(1+C28))*C29</f>
        <v>#N/A</v>
      </c>
      <c r="C48" s="193"/>
      <c r="F48" s="436" t="s">
        <v>603</v>
      </c>
      <c r="G48" s="869" t="str">
        <f>(((H28 * G47 - G46)*1024^3) * G9) / (PARAMS(B27) * PAD_128(C10+C12) * SWITCH(PARAMS("kv_dtype"), "fp32", 4, "bf16", 2, "fp8", 1, "fp4", 0.5)*PARAMS(B6))</f>
        <v>#N/A</v>
      </c>
      <c r="P48" s="227"/>
      <c r="AG48" s="2"/>
      <c r="AH48" s="2"/>
      <c r="AI48" s="2"/>
      <c r="AJ48" s="2"/>
      <c r="AK48" s="2"/>
      <c r="AL48" s="2"/>
      <c r="AM48" s="247"/>
      <c r="AN48" s="247"/>
      <c r="AO48" s="279"/>
      <c r="AP48" s="222"/>
      <c r="AQ48" s="247"/>
      <c r="AR48" s="247"/>
      <c r="AT48" s="280"/>
    </row>
    <row r="49" ht="15.0" customHeight="1">
      <c r="A49" s="185" t="s">
        <v>149</v>
      </c>
      <c r="B49" s="193" t="str">
        <f>B48/$G$11</f>
        <v>#N/A</v>
      </c>
      <c r="C49" s="193">
        <f>C47/C45</f>
        <v>6712.141883</v>
      </c>
      <c r="P49" s="227"/>
      <c r="AG49" s="2"/>
      <c r="AH49" s="2"/>
      <c r="AI49" s="2"/>
      <c r="AJ49" s="2"/>
      <c r="AK49" s="2"/>
      <c r="AL49" s="2"/>
      <c r="AM49" s="247"/>
      <c r="AN49" s="247"/>
      <c r="AO49" s="279"/>
      <c r="AP49" s="222"/>
      <c r="AQ49" s="247"/>
      <c r="AR49" s="247"/>
      <c r="AT49" s="280"/>
    </row>
    <row r="50" ht="15.0" customHeight="1">
      <c r="A50" s="899" t="s">
        <v>652</v>
      </c>
      <c r="B50" s="900" t="str">
        <f t="shared" ref="B50:C50" si="3">B49/$C$49</f>
        <v>#N/A</v>
      </c>
      <c r="C50" s="900">
        <f t="shared" si="3"/>
        <v>1</v>
      </c>
      <c r="P50" s="227"/>
      <c r="AG50" s="2"/>
      <c r="AH50" s="2"/>
      <c r="AI50" s="2"/>
      <c r="AJ50" s="2"/>
      <c r="AK50" s="2"/>
      <c r="AL50" s="2"/>
      <c r="AM50" s="247"/>
      <c r="AN50" s="247"/>
      <c r="AO50" s="279"/>
      <c r="AP50" s="222"/>
      <c r="AQ50" s="247"/>
      <c r="AR50" s="247"/>
      <c r="AT50" s="280"/>
    </row>
    <row r="51" ht="15.0" customHeight="1">
      <c r="P51" s="227"/>
      <c r="AG51" s="2"/>
      <c r="AH51" s="2"/>
      <c r="AI51" s="2"/>
      <c r="AJ51" s="2"/>
      <c r="AK51" s="2"/>
      <c r="AL51" s="2"/>
      <c r="AM51" s="247"/>
      <c r="AN51" s="247"/>
      <c r="AO51" s="279"/>
      <c r="AP51" s="222"/>
      <c r="AQ51" s="247"/>
      <c r="AR51" s="247"/>
      <c r="AT51" s="280"/>
    </row>
    <row r="52">
      <c r="A52" s="281"/>
      <c r="B52" s="281"/>
      <c r="D52" s="181"/>
      <c r="E52" s="181"/>
      <c r="F52" s="181"/>
      <c r="G52" s="181"/>
      <c r="AM52" s="222"/>
      <c r="AN52" s="218"/>
      <c r="AO52" s="218"/>
      <c r="AP52" s="218"/>
      <c r="AQ52" s="218"/>
      <c r="AR52" s="222"/>
      <c r="AT52" s="280"/>
    </row>
    <row r="53">
      <c r="A53" s="281" t="s">
        <v>244</v>
      </c>
      <c r="B53" s="281"/>
      <c r="D53" s="181"/>
      <c r="E53" s="181"/>
      <c r="F53" s="181"/>
      <c r="G53" s="181"/>
      <c r="AM53" s="222"/>
      <c r="AN53" s="218"/>
      <c r="AO53" s="218"/>
      <c r="AP53" s="218"/>
      <c r="AQ53" s="218"/>
      <c r="AR53" s="222"/>
      <c r="AT53" s="280"/>
    </row>
    <row r="54">
      <c r="A54" s="290" t="s">
        <v>245</v>
      </c>
      <c r="B54" s="290" t="s">
        <v>246</v>
      </c>
      <c r="C54" s="290" t="s">
        <v>247</v>
      </c>
      <c r="D54" s="290" t="s">
        <v>248</v>
      </c>
      <c r="E54" s="290" t="s">
        <v>249</v>
      </c>
      <c r="F54" s="290" t="s">
        <v>250</v>
      </c>
      <c r="G54" s="290" t="s">
        <v>251</v>
      </c>
      <c r="H54" s="290" t="s">
        <v>252</v>
      </c>
      <c r="I54" s="875"/>
      <c r="J54" s="290" t="s">
        <v>604</v>
      </c>
      <c r="K54" s="903" t="s">
        <v>678</v>
      </c>
      <c r="AG54" s="207"/>
      <c r="AH54" s="207"/>
      <c r="AI54" s="2"/>
      <c r="AJ54" s="2"/>
      <c r="AK54" s="2"/>
      <c r="AL54" s="2"/>
      <c r="AM54" s="247"/>
      <c r="AN54" s="279"/>
      <c r="AO54" s="279"/>
      <c r="AP54" s="292"/>
      <c r="AQ54" s="279"/>
      <c r="AR54" s="247"/>
      <c r="AS54" s="66"/>
      <c r="AT54" s="280"/>
    </row>
    <row r="55">
      <c r="A55" s="293" t="s">
        <v>29</v>
      </c>
      <c r="B55" s="294" t="s">
        <v>255</v>
      </c>
      <c r="C55" s="295" t="str">
        <f>$H$136</f>
        <v>#N/A</v>
      </c>
      <c r="D55" s="295" t="str">
        <f>$H$134</f>
        <v>#N/A</v>
      </c>
      <c r="E55" s="296" t="str">
        <f>$H$131</f>
        <v>#N/A</v>
      </c>
      <c r="F55" s="295" t="str">
        <f>$H$129</f>
        <v>#N/A</v>
      </c>
      <c r="G55" s="295" t="str">
        <f t="shared" ref="G55:G56" si="4">IF(K55,max(C55:F55),
max(C55:D55)+max(E55:F55))</f>
        <v>#N/A</v>
      </c>
      <c r="H55" s="297" t="str">
        <f t="shared" ref="H55:H60" si="5">LET(maxtime, MAX(C55:F55),
 IFS(C55=maxtime, "HBM", D55=maxtime, "Compute", E55=maxtime, "ICI Lt", F55=maxtime, "ICI BW"))</f>
        <v>#N/A</v>
      </c>
      <c r="I55" s="808"/>
      <c r="J55" s="876" t="str">
        <f t="shared" ref="J55:J61" si="6">G55/$G$71</f>
        <v>#N/A</v>
      </c>
      <c r="K55" s="904" t="b">
        <v>1</v>
      </c>
      <c r="P55" s="301"/>
      <c r="AG55" s="2"/>
      <c r="AH55" s="2"/>
      <c r="AI55" s="207"/>
      <c r="AJ55" s="2"/>
      <c r="AK55" s="2"/>
      <c r="AL55" s="2"/>
      <c r="AM55" s="247"/>
      <c r="AN55" s="218"/>
      <c r="AO55" s="218"/>
      <c r="AP55" s="218"/>
      <c r="AQ55" s="218"/>
      <c r="AR55" s="247"/>
      <c r="AT55" s="280"/>
    </row>
    <row r="56">
      <c r="A56" s="293" t="s">
        <v>29</v>
      </c>
      <c r="B56" s="294" t="s">
        <v>32</v>
      </c>
      <c r="C56" s="295" t="str">
        <f>$H$160</f>
        <v>#N/A</v>
      </c>
      <c r="D56" s="295" t="str">
        <f>$H$158</f>
        <v>#N/A</v>
      </c>
      <c r="E56" s="297"/>
      <c r="F56" s="295" t="str">
        <f>H155</f>
        <v>#N/A</v>
      </c>
      <c r="G56" s="295" t="str">
        <f t="shared" si="4"/>
        <v>#N/A</v>
      </c>
      <c r="H56" s="297" t="str">
        <f t="shared" si="5"/>
        <v>#N/A</v>
      </c>
      <c r="I56" s="808"/>
      <c r="J56" s="876" t="str">
        <f t="shared" si="6"/>
        <v>#N/A</v>
      </c>
      <c r="K56" s="904" t="b">
        <v>1</v>
      </c>
      <c r="P56" s="227"/>
      <c r="AG56" s="2"/>
      <c r="AH56" s="2"/>
      <c r="AI56" s="2"/>
      <c r="AJ56" s="2"/>
      <c r="AK56" s="2"/>
      <c r="AL56" s="2"/>
      <c r="AM56" s="247"/>
      <c r="AN56" s="247"/>
      <c r="AO56" s="279"/>
      <c r="AP56" s="222"/>
      <c r="AQ56" s="247"/>
      <c r="AR56" s="247"/>
      <c r="AT56" s="280"/>
    </row>
    <row r="57">
      <c r="A57" s="293" t="s">
        <v>29</v>
      </c>
      <c r="B57" s="294" t="s">
        <v>34</v>
      </c>
      <c r="C57" s="295" t="str">
        <f>$H$179</f>
        <v>#N/A</v>
      </c>
      <c r="D57" s="295" t="str">
        <f>$H$177</f>
        <v>#N/A</v>
      </c>
      <c r="E57" s="297"/>
      <c r="F57" s="295"/>
      <c r="G57" s="295" t="str">
        <f t="shared" ref="G57:G59" si="7">max(C57:F57)</f>
        <v>#N/A</v>
      </c>
      <c r="H57" s="297" t="str">
        <f t="shared" si="5"/>
        <v>#N/A</v>
      </c>
      <c r="I57" s="808"/>
      <c r="J57" s="876" t="str">
        <f t="shared" si="6"/>
        <v>#N/A</v>
      </c>
      <c r="K57" s="904" t="b">
        <v>0</v>
      </c>
      <c r="P57" s="227"/>
      <c r="AG57" s="2"/>
      <c r="AH57" s="2"/>
      <c r="AI57" s="2"/>
      <c r="AJ57" s="2"/>
      <c r="AK57" s="2"/>
      <c r="AL57" s="2"/>
      <c r="AM57" s="247"/>
      <c r="AN57" s="218"/>
      <c r="AO57" s="218"/>
      <c r="AP57" s="218"/>
      <c r="AQ57" s="218"/>
      <c r="AR57" s="247"/>
      <c r="AT57" s="280"/>
    </row>
    <row r="58">
      <c r="A58" s="293" t="s">
        <v>29</v>
      </c>
      <c r="B58" s="294" t="s">
        <v>256</v>
      </c>
      <c r="C58" s="295" t="str">
        <f>$H$198</f>
        <v>#N/A</v>
      </c>
      <c r="D58" s="295" t="str">
        <f>$H$196</f>
        <v>#N/A</v>
      </c>
      <c r="E58" s="297"/>
      <c r="F58" s="295"/>
      <c r="G58" s="295" t="str">
        <f t="shared" si="7"/>
        <v>#N/A</v>
      </c>
      <c r="H58" s="297" t="str">
        <f t="shared" si="5"/>
        <v>#N/A</v>
      </c>
      <c r="I58" s="808"/>
      <c r="J58" s="876" t="str">
        <f t="shared" si="6"/>
        <v>#N/A</v>
      </c>
      <c r="K58" s="808" t="b">
        <v>0</v>
      </c>
      <c r="P58" s="227"/>
      <c r="AM58" s="222"/>
      <c r="AO58" s="222"/>
      <c r="AP58" s="222"/>
      <c r="AQ58" s="222"/>
      <c r="AR58" s="247"/>
      <c r="AS58" s="66"/>
      <c r="AT58" s="280"/>
    </row>
    <row r="59">
      <c r="A59" s="293" t="s">
        <v>29</v>
      </c>
      <c r="B59" s="294" t="s">
        <v>257</v>
      </c>
      <c r="C59" s="295"/>
      <c r="D59" s="295"/>
      <c r="E59" s="297"/>
      <c r="F59" s="295">
        <f>$H$228</f>
        <v>0</v>
      </c>
      <c r="G59" s="295">
        <f t="shared" si="7"/>
        <v>0</v>
      </c>
      <c r="H59" s="297" t="str">
        <f t="shared" si="5"/>
        <v>HBM</v>
      </c>
      <c r="I59" s="808"/>
      <c r="J59" s="876" t="str">
        <f t="shared" si="6"/>
        <v>#N/A</v>
      </c>
      <c r="K59" s="808" t="b">
        <v>0</v>
      </c>
      <c r="P59" s="227"/>
      <c r="R59" s="203"/>
      <c r="S59" s="203"/>
      <c r="T59" s="203"/>
      <c r="U59" s="203"/>
      <c r="V59" s="203"/>
      <c r="W59" s="2"/>
      <c r="AM59" s="222"/>
      <c r="AO59" s="218"/>
      <c r="AP59" s="218"/>
      <c r="AQ59" s="218"/>
      <c r="AR59" s="247"/>
      <c r="AT59" s="280"/>
    </row>
    <row r="60">
      <c r="A60" s="293" t="s">
        <v>29</v>
      </c>
      <c r="B60" s="302" t="s">
        <v>258</v>
      </c>
      <c r="C60" s="295" t="str">
        <f t="shared" ref="C60:D60" si="8">SUM(C62:C64)</f>
        <v>#N/A</v>
      </c>
      <c r="D60" s="295" t="str">
        <f t="shared" si="8"/>
        <v>#N/A</v>
      </c>
      <c r="E60" s="297"/>
      <c r="F60" s="295"/>
      <c r="G60" s="295" t="str">
        <f>IF(PARAMS("flash_attn"),MAX(C60:F60),0)</f>
        <v>#N/A</v>
      </c>
      <c r="H60" s="297" t="str">
        <f t="shared" si="5"/>
        <v>#N/A</v>
      </c>
      <c r="I60" s="808"/>
      <c r="J60" s="876" t="str">
        <f t="shared" si="6"/>
        <v>#N/A</v>
      </c>
      <c r="K60" s="808" t="b">
        <v>0</v>
      </c>
      <c r="P60" s="227"/>
      <c r="R60" s="203"/>
      <c r="S60" s="203"/>
      <c r="T60" s="203"/>
      <c r="U60" s="203"/>
      <c r="V60" s="203"/>
      <c r="W60" s="2"/>
      <c r="AM60" s="222"/>
      <c r="AO60" s="218"/>
      <c r="AP60" s="218"/>
      <c r="AQ60" s="218"/>
      <c r="AR60" s="247"/>
      <c r="AT60" s="280"/>
    </row>
    <row r="61">
      <c r="A61" s="293" t="s">
        <v>29</v>
      </c>
      <c r="B61" s="302" t="s">
        <v>259</v>
      </c>
      <c r="C61" s="295"/>
      <c r="D61" s="295"/>
      <c r="E61" s="297"/>
      <c r="F61" s="295"/>
      <c r="G61" s="295">
        <f>IF(PARAMS("flash_attn"),0,SUM(G62:G64))</f>
        <v>0</v>
      </c>
      <c r="H61" s="297"/>
      <c r="I61" s="808"/>
      <c r="J61" s="876" t="str">
        <f t="shared" si="6"/>
        <v>#N/A</v>
      </c>
      <c r="K61" s="808" t="b">
        <v>0</v>
      </c>
      <c r="P61" s="227"/>
      <c r="R61" s="203"/>
      <c r="S61" s="203"/>
      <c r="T61" s="203"/>
      <c r="U61" s="203"/>
      <c r="V61" s="203"/>
      <c r="W61" s="2"/>
      <c r="AM61" s="222"/>
      <c r="AO61" s="218"/>
      <c r="AP61" s="218"/>
      <c r="AQ61" s="218"/>
      <c r="AR61" s="247"/>
      <c r="AT61" s="280"/>
    </row>
    <row r="62">
      <c r="A62" s="293" t="s">
        <v>29</v>
      </c>
      <c r="B62" s="294" t="s">
        <v>679</v>
      </c>
      <c r="C62" s="295" t="str">
        <f>$H$247</f>
        <v>#N/A</v>
      </c>
      <c r="D62" s="295" t="str">
        <f>$H$245</f>
        <v>#N/A</v>
      </c>
      <c r="E62" s="297"/>
      <c r="F62" s="295"/>
      <c r="G62" s="295" t="str">
        <f t="shared" ref="G62:G64" si="9">max(C62:F62)</f>
        <v>#N/A</v>
      </c>
      <c r="H62" s="297" t="str">
        <f t="shared" ref="H62:H70" si="10">LET(maxtime, MAX(C62:F62),
 IFS(C62=maxtime, "HBM", D62=maxtime, "Compute", E62=maxtime, "ICI Lt", F62=maxtime, "ICI BW"))</f>
        <v>#N/A</v>
      </c>
      <c r="I62" s="808"/>
      <c r="J62" s="876"/>
      <c r="K62" s="808" t="b">
        <v>0</v>
      </c>
      <c r="P62" s="227"/>
      <c r="R62" s="203"/>
      <c r="S62" s="203"/>
      <c r="T62" s="203"/>
      <c r="U62" s="203"/>
      <c r="V62" s="203"/>
      <c r="W62" s="2"/>
      <c r="AM62" s="222"/>
      <c r="AO62" s="218"/>
      <c r="AP62" s="218"/>
      <c r="AQ62" s="218"/>
      <c r="AR62" s="247"/>
      <c r="AT62" s="280"/>
    </row>
    <row r="63">
      <c r="A63" s="293" t="s">
        <v>29</v>
      </c>
      <c r="B63" s="294" t="s">
        <v>680</v>
      </c>
      <c r="C63" s="295" t="str">
        <f>$H$266</f>
        <v>#N/A</v>
      </c>
      <c r="D63" s="295" t="str">
        <f>$H$264</f>
        <v>#N/A</v>
      </c>
      <c r="E63" s="297"/>
      <c r="F63" s="295"/>
      <c r="G63" s="295" t="str">
        <f t="shared" si="9"/>
        <v>#N/A</v>
      </c>
      <c r="H63" s="297" t="str">
        <f t="shared" si="10"/>
        <v>#N/A</v>
      </c>
      <c r="I63" s="808"/>
      <c r="J63" s="876"/>
      <c r="K63" s="808" t="b">
        <v>0</v>
      </c>
      <c r="P63" s="227"/>
      <c r="R63" s="303"/>
      <c r="S63" s="303"/>
      <c r="T63" s="303"/>
      <c r="U63" s="303"/>
      <c r="V63" s="303"/>
      <c r="W63" s="2"/>
      <c r="AM63" s="222"/>
      <c r="AN63" s="218"/>
      <c r="AO63" s="222"/>
      <c r="AP63" s="222"/>
      <c r="AQ63" s="218"/>
      <c r="AR63" s="247"/>
      <c r="AT63" s="280"/>
    </row>
    <row r="64">
      <c r="A64" s="293" t="s">
        <v>29</v>
      </c>
      <c r="B64" s="294" t="s">
        <v>681</v>
      </c>
      <c r="C64" s="295" t="str">
        <f>$H$285</f>
        <v>#N/A</v>
      </c>
      <c r="D64" s="295" t="str">
        <f>$H$283</f>
        <v>#N/A</v>
      </c>
      <c r="E64" s="297"/>
      <c r="F64" s="295"/>
      <c r="G64" s="295" t="str">
        <f t="shared" si="9"/>
        <v>#N/A</v>
      </c>
      <c r="H64" s="297" t="str">
        <f t="shared" si="10"/>
        <v>#N/A</v>
      </c>
      <c r="I64" s="808"/>
      <c r="J64" s="876"/>
      <c r="K64" s="808" t="b">
        <v>0</v>
      </c>
      <c r="P64" s="227"/>
      <c r="R64" s="303"/>
      <c r="S64" s="303"/>
      <c r="T64" s="303"/>
      <c r="U64" s="303"/>
      <c r="V64" s="303"/>
      <c r="W64" s="2"/>
      <c r="AM64" s="222"/>
      <c r="AN64" s="218"/>
      <c r="AO64" s="218"/>
      <c r="AP64" s="218"/>
      <c r="AQ64" s="218"/>
      <c r="AR64" s="247"/>
      <c r="AT64" s="280"/>
    </row>
    <row r="65">
      <c r="A65" s="293" t="s">
        <v>29</v>
      </c>
      <c r="B65" s="294" t="s">
        <v>38</v>
      </c>
      <c r="C65" s="295" t="str">
        <f>H309</f>
        <v>#N/A</v>
      </c>
      <c r="D65" s="295" t="str">
        <f>H307</f>
        <v>#N/A</v>
      </c>
      <c r="E65" s="297"/>
      <c r="F65" s="295" t="str">
        <f>H304</f>
        <v>#N/A</v>
      </c>
      <c r="G65" s="295" t="str">
        <f t="shared" ref="G65:G66" si="11">max(C65:D65)+max(E65:F65)</f>
        <v>#N/A</v>
      </c>
      <c r="H65" s="297" t="str">
        <f t="shared" si="10"/>
        <v>#N/A</v>
      </c>
      <c r="I65" s="808"/>
      <c r="J65" s="876" t="str">
        <f t="shared" ref="J65:J71" si="12">G65/$G$71</f>
        <v>#N/A</v>
      </c>
      <c r="K65" s="904" t="b">
        <v>1</v>
      </c>
      <c r="P65" s="227"/>
      <c r="R65" s="303"/>
      <c r="S65" s="303"/>
      <c r="T65" s="303"/>
      <c r="U65" s="303"/>
      <c r="V65" s="303"/>
      <c r="W65" s="304"/>
      <c r="AK65" s="280"/>
      <c r="AM65" s="222"/>
      <c r="AN65" s="218"/>
      <c r="AO65" s="218"/>
      <c r="AP65" s="218"/>
      <c r="AQ65" s="218"/>
      <c r="AR65" s="247"/>
      <c r="AT65" s="280"/>
    </row>
    <row r="66">
      <c r="A66" s="293" t="s">
        <v>29</v>
      </c>
      <c r="B66" s="294" t="s">
        <v>40</v>
      </c>
      <c r="C66" s="295" t="str">
        <f>H333</f>
        <v>#N/A</v>
      </c>
      <c r="D66" s="295" t="str">
        <f>H331</f>
        <v>#N/A</v>
      </c>
      <c r="E66" s="297"/>
      <c r="F66" s="295" t="str">
        <f>$H$328</f>
        <v>#N/A</v>
      </c>
      <c r="G66" s="295" t="str">
        <f t="shared" si="11"/>
        <v>#N/A</v>
      </c>
      <c r="H66" s="297" t="str">
        <f t="shared" si="10"/>
        <v>#N/A</v>
      </c>
      <c r="I66" s="808"/>
      <c r="J66" s="876" t="str">
        <f t="shared" si="12"/>
        <v>#N/A</v>
      </c>
      <c r="K66" s="904" t="b">
        <v>1</v>
      </c>
      <c r="P66" s="227"/>
      <c r="R66" s="303"/>
      <c r="S66" s="303"/>
      <c r="T66" s="303"/>
      <c r="U66" s="305"/>
      <c r="V66" s="305"/>
      <c r="W66" s="2"/>
      <c r="AK66" s="306"/>
      <c r="AL66" s="307"/>
      <c r="AM66" s="247"/>
      <c r="AN66" s="218"/>
      <c r="AO66" s="218"/>
      <c r="AP66" s="218"/>
      <c r="AQ66" s="218"/>
      <c r="AR66" s="247"/>
      <c r="AT66" s="280"/>
    </row>
    <row r="67">
      <c r="A67" s="293" t="s">
        <v>264</v>
      </c>
      <c r="B67" s="308" t="s">
        <v>44</v>
      </c>
      <c r="C67" s="295"/>
      <c r="D67" s="295"/>
      <c r="E67" s="296" t="str">
        <f>$H$383</f>
        <v>#N/A</v>
      </c>
      <c r="F67" s="295" t="str">
        <f>$H$381</f>
        <v>#N/A</v>
      </c>
      <c r="G67" s="295" t="str">
        <f t="shared" ref="G67:G70" si="13">max(C67:F67)</f>
        <v>#N/A</v>
      </c>
      <c r="H67" s="297" t="str">
        <f t="shared" si="10"/>
        <v>#N/A</v>
      </c>
      <c r="I67" s="808"/>
      <c r="J67" s="876" t="str">
        <f t="shared" si="12"/>
        <v>#N/A</v>
      </c>
      <c r="K67" s="808" t="b">
        <v>0</v>
      </c>
      <c r="P67" s="227"/>
      <c r="R67" s="2"/>
      <c r="S67" s="2"/>
      <c r="T67" s="2"/>
      <c r="U67" s="2"/>
      <c r="V67" s="2"/>
      <c r="W67" s="2"/>
      <c r="AM67" s="222"/>
      <c r="AN67" s="218"/>
      <c r="AO67" s="222"/>
      <c r="AP67" s="222"/>
      <c r="AQ67" s="272"/>
      <c r="AR67" s="222"/>
    </row>
    <row r="68">
      <c r="A68" s="293" t="s">
        <v>264</v>
      </c>
      <c r="B68" s="308" t="s">
        <v>46</v>
      </c>
      <c r="C68" s="295" t="str">
        <f>$H$428</f>
        <v>#N/A</v>
      </c>
      <c r="D68" s="295" t="str">
        <f>$H$426</f>
        <v>#N/A</v>
      </c>
      <c r="E68" s="297"/>
      <c r="F68" s="295" t="str">
        <f>$H$423</f>
        <v>#N/A</v>
      </c>
      <c r="G68" s="295" t="str">
        <f t="shared" si="13"/>
        <v>#N/A</v>
      </c>
      <c r="H68" s="297" t="str">
        <f t="shared" si="10"/>
        <v>#N/A</v>
      </c>
      <c r="I68" s="808"/>
      <c r="J68" s="876" t="str">
        <f t="shared" si="12"/>
        <v>#N/A</v>
      </c>
      <c r="K68" s="808" t="b">
        <v>0</v>
      </c>
      <c r="P68" s="227"/>
      <c r="R68" s="2"/>
      <c r="S68" s="2"/>
      <c r="T68" s="2"/>
      <c r="U68" s="2"/>
      <c r="V68" s="2"/>
      <c r="W68" s="309"/>
      <c r="AM68" s="222"/>
      <c r="AN68" s="218"/>
      <c r="AO68" s="218"/>
      <c r="AP68" s="218"/>
      <c r="AQ68" s="218"/>
      <c r="AR68" s="222"/>
      <c r="AT68" s="228"/>
    </row>
    <row r="69">
      <c r="A69" s="293" t="s">
        <v>264</v>
      </c>
      <c r="B69" s="308" t="s">
        <v>48</v>
      </c>
      <c r="C69" s="295" t="str">
        <f>$H$458</f>
        <v>#N/A</v>
      </c>
      <c r="D69" s="295" t="str">
        <f>$H$456</f>
        <v>#N/A</v>
      </c>
      <c r="E69" s="297"/>
      <c r="F69" s="295">
        <f>$H$453</f>
        <v>0</v>
      </c>
      <c r="G69" s="295" t="str">
        <f t="shared" si="13"/>
        <v>#N/A</v>
      </c>
      <c r="H69" s="297" t="str">
        <f t="shared" si="10"/>
        <v>#N/A</v>
      </c>
      <c r="I69" s="808"/>
      <c r="J69" s="876" t="str">
        <f t="shared" si="12"/>
        <v>#N/A</v>
      </c>
      <c r="K69" s="808" t="b">
        <v>0</v>
      </c>
      <c r="P69" s="227"/>
      <c r="R69" s="2"/>
      <c r="S69" s="2"/>
      <c r="T69" s="2"/>
      <c r="U69" s="2"/>
      <c r="V69" s="2"/>
      <c r="W69" s="309"/>
      <c r="AM69" s="222"/>
      <c r="AN69" s="218"/>
      <c r="AO69" s="218"/>
      <c r="AP69" s="222"/>
      <c r="AQ69" s="222"/>
      <c r="AR69" s="222"/>
    </row>
    <row r="70">
      <c r="A70" s="293" t="s">
        <v>264</v>
      </c>
      <c r="B70" s="308" t="s">
        <v>52</v>
      </c>
      <c r="C70" s="295"/>
      <c r="D70" s="295"/>
      <c r="E70" s="296" t="str">
        <f>$H$504</f>
        <v>#N/A</v>
      </c>
      <c r="F70" s="295" t="str">
        <f>$H$502</f>
        <v>#N/A</v>
      </c>
      <c r="G70" s="295" t="str">
        <f t="shared" si="13"/>
        <v>#N/A</v>
      </c>
      <c r="H70" s="297" t="str">
        <f t="shared" si="10"/>
        <v>#N/A</v>
      </c>
      <c r="I70" s="808"/>
      <c r="J70" s="876" t="str">
        <f t="shared" si="12"/>
        <v>#N/A</v>
      </c>
      <c r="K70" s="808" t="b">
        <v>0</v>
      </c>
      <c r="P70" s="227"/>
      <c r="AM70" s="222"/>
      <c r="AN70" s="218"/>
      <c r="AO70" s="218"/>
      <c r="AP70" s="218"/>
      <c r="AQ70" s="218"/>
      <c r="AR70" s="222"/>
      <c r="AT70" s="280"/>
    </row>
    <row r="71">
      <c r="A71" s="310"/>
      <c r="B71" s="311"/>
      <c r="C71" s="311"/>
      <c r="D71" s="311"/>
      <c r="E71" s="310" t="s">
        <v>265</v>
      </c>
      <c r="F71" s="312" t="s">
        <v>121</v>
      </c>
      <c r="G71" s="311" t="str">
        <f>SUM(G55:G61,G65:G70)</f>
        <v>#N/A</v>
      </c>
      <c r="H71" s="311"/>
      <c r="I71" s="314"/>
      <c r="J71" s="315" t="str">
        <f t="shared" si="12"/>
        <v>#N/A</v>
      </c>
      <c r="K71" s="904"/>
      <c r="P71" s="227"/>
      <c r="AG71" s="207"/>
      <c r="AH71" s="207"/>
      <c r="AI71" s="2"/>
      <c r="AJ71" s="2"/>
      <c r="AK71" s="2"/>
      <c r="AL71" s="2"/>
      <c r="AM71" s="247"/>
      <c r="AN71" s="279"/>
      <c r="AO71" s="279"/>
      <c r="AP71" s="292"/>
      <c r="AQ71" s="279"/>
      <c r="AR71" s="247"/>
      <c r="AT71" s="280"/>
    </row>
    <row r="72">
      <c r="A72" s="316"/>
      <c r="B72" s="311"/>
      <c r="C72" s="311"/>
      <c r="D72" s="311"/>
      <c r="E72" s="316"/>
      <c r="F72" s="312" t="s">
        <v>266</v>
      </c>
      <c r="G72" s="879" t="str">
        <f>SUM(G55:G61,G65:G66)+MAX(G67:G68)+MAX(G69:G70)</f>
        <v>#N/A</v>
      </c>
      <c r="H72" s="311"/>
      <c r="I72" s="314"/>
      <c r="J72" s="315"/>
      <c r="K72" s="808"/>
      <c r="P72" s="227"/>
      <c r="AG72" s="207"/>
      <c r="AH72" s="207"/>
      <c r="AI72" s="2"/>
      <c r="AJ72" s="2"/>
      <c r="AK72" s="2"/>
      <c r="AL72" s="2"/>
      <c r="AM72" s="247"/>
      <c r="AN72" s="279"/>
      <c r="AO72" s="279"/>
      <c r="AP72" s="292"/>
      <c r="AQ72" s="279"/>
      <c r="AR72" s="247"/>
      <c r="AT72" s="280"/>
    </row>
    <row r="73">
      <c r="A73" s="318" t="s">
        <v>267</v>
      </c>
      <c r="B73" s="319"/>
      <c r="C73" s="319"/>
      <c r="D73" s="319"/>
      <c r="E73" s="318" t="s">
        <v>268</v>
      </c>
      <c r="F73" s="320" t="s">
        <v>121</v>
      </c>
      <c r="G73" s="880" t="str">
        <f>IF(F73=F71,G71,G72)</f>
        <v>#N/A</v>
      </c>
      <c r="H73" s="319"/>
      <c r="I73" s="322"/>
      <c r="J73" s="322"/>
      <c r="K73" s="905"/>
      <c r="P73" s="227"/>
      <c r="AG73" s="2"/>
      <c r="AH73" s="2"/>
      <c r="AI73" s="2"/>
      <c r="AJ73" s="2"/>
      <c r="AK73" s="2"/>
      <c r="AL73" s="2"/>
      <c r="AM73" s="247"/>
      <c r="AN73" s="247"/>
      <c r="AO73" s="279"/>
      <c r="AP73" s="222"/>
      <c r="AQ73" s="247"/>
      <c r="AR73" s="247"/>
      <c r="AT73" s="280"/>
    </row>
    <row r="74" ht="15.0" customHeight="1">
      <c r="P74" s="227"/>
      <c r="AG74" s="2"/>
      <c r="AH74" s="2"/>
      <c r="AI74" s="2"/>
      <c r="AJ74" s="2"/>
      <c r="AK74" s="2"/>
      <c r="AL74" s="2"/>
      <c r="AM74" s="247"/>
      <c r="AN74" s="247"/>
      <c r="AO74" s="279"/>
      <c r="AP74" s="222"/>
      <c r="AQ74" s="247"/>
      <c r="AR74" s="247"/>
      <c r="AT74" s="280"/>
    </row>
    <row r="75">
      <c r="P75" s="227"/>
      <c r="AG75" s="2"/>
      <c r="AH75" s="2"/>
      <c r="AI75" s="2"/>
      <c r="AJ75" s="2"/>
      <c r="AK75" s="2"/>
      <c r="AL75" s="2"/>
      <c r="AM75" s="247"/>
      <c r="AN75" s="247"/>
      <c r="AO75" s="279"/>
      <c r="AP75" s="222"/>
      <c r="AQ75" s="247"/>
      <c r="AR75" s="247"/>
      <c r="AT75" s="280"/>
    </row>
    <row r="76">
      <c r="A76" s="323" t="s">
        <v>269</v>
      </c>
      <c r="E76" s="281" t="s">
        <v>270</v>
      </c>
      <c r="P76" s="227"/>
      <c r="AG76" s="2"/>
      <c r="AH76" s="2"/>
      <c r="AI76" s="2"/>
      <c r="AJ76" s="2"/>
      <c r="AK76" s="2"/>
      <c r="AL76" s="2"/>
      <c r="AM76" s="247"/>
      <c r="AN76" s="218"/>
      <c r="AO76" s="218"/>
      <c r="AP76" s="218"/>
      <c r="AQ76" s="218"/>
      <c r="AR76" s="247"/>
      <c r="AT76" s="280"/>
    </row>
    <row r="77">
      <c r="A77" s="183" t="s">
        <v>271</v>
      </c>
      <c r="B77" s="183" t="s">
        <v>171</v>
      </c>
      <c r="C77" s="183" t="s">
        <v>174</v>
      </c>
      <c r="E77" s="324" t="s">
        <v>272</v>
      </c>
      <c r="F77" s="325" t="s">
        <v>273</v>
      </c>
      <c r="G77" s="326"/>
      <c r="H77" s="327"/>
      <c r="I77" s="325" t="s">
        <v>274</v>
      </c>
      <c r="J77" s="326"/>
      <c r="K77" s="326"/>
      <c r="L77" s="326"/>
      <c r="M77" s="326"/>
      <c r="N77" s="327"/>
      <c r="O77" s="328" t="s">
        <v>275</v>
      </c>
      <c r="P77" s="329" t="s">
        <v>276</v>
      </c>
      <c r="Q77" s="330" t="s">
        <v>277</v>
      </c>
      <c r="AM77" s="222"/>
      <c r="AO77" s="222"/>
      <c r="AP77" s="222"/>
      <c r="AQ77" s="222"/>
      <c r="AR77" s="247"/>
      <c r="AT77" s="280"/>
    </row>
    <row r="78">
      <c r="A78" s="185" t="s">
        <v>278</v>
      </c>
      <c r="B78" s="331">
        <f>SUM(P87,P142,P166,P185,P291,P315) * PARAMS("L") / 1024</f>
        <v>21.25915527</v>
      </c>
      <c r="C78" s="332"/>
      <c r="D78" s="2"/>
      <c r="E78" s="333" t="s">
        <v>279</v>
      </c>
      <c r="F78" s="334" t="s">
        <v>280</v>
      </c>
      <c r="G78" s="335"/>
      <c r="H78" s="336" t="s">
        <v>281</v>
      </c>
      <c r="I78" s="336" t="s">
        <v>282</v>
      </c>
      <c r="J78" s="336"/>
      <c r="K78" s="337" t="s">
        <v>104</v>
      </c>
      <c r="L78" s="337" t="s">
        <v>102</v>
      </c>
      <c r="M78" s="336" t="s">
        <v>178</v>
      </c>
      <c r="N78" s="336" t="s">
        <v>283</v>
      </c>
      <c r="O78" s="338" t="s">
        <v>125</v>
      </c>
      <c r="P78" s="339"/>
      <c r="Q78" s="337"/>
      <c r="AM78" s="222"/>
      <c r="AO78" s="218"/>
      <c r="AP78" s="218"/>
      <c r="AQ78" s="218"/>
      <c r="AR78" s="247"/>
      <c r="AT78" s="280"/>
    </row>
    <row r="79">
      <c r="A79" s="185" t="s">
        <v>284</v>
      </c>
      <c r="B79" s="340">
        <f>SUM($P$341,$P$434) * PARAMS("L") / 1024</f>
        <v>113.421875</v>
      </c>
      <c r="C79" s="11"/>
      <c r="D79" s="2"/>
      <c r="E79" s="341"/>
      <c r="F79" s="342"/>
      <c r="G79" s="343"/>
      <c r="H79" s="344" t="s">
        <v>285</v>
      </c>
      <c r="I79" s="345" t="s">
        <v>282</v>
      </c>
      <c r="J79" s="346"/>
      <c r="K79" s="345">
        <f t="shared" ref="K79:M79" si="14">PARAMS(K78)</f>
        <v>2048</v>
      </c>
      <c r="L79" s="345">
        <f t="shared" si="14"/>
        <v>1</v>
      </c>
      <c r="M79" s="345">
        <f t="shared" si="14"/>
        <v>7168</v>
      </c>
      <c r="N79" s="345" t="s">
        <v>283</v>
      </c>
      <c r="O79" s="347"/>
      <c r="P79" s="348">
        <f>SIZEOF_IN_MIB(J79:M79, $O78)</f>
        <v>14</v>
      </c>
      <c r="Q79" s="344"/>
      <c r="AM79" s="222"/>
      <c r="AN79" s="218"/>
      <c r="AO79" s="222"/>
      <c r="AP79" s="222"/>
      <c r="AQ79" s="218"/>
      <c r="AR79" s="247"/>
      <c r="AT79" s="280"/>
    </row>
    <row r="80">
      <c r="A80" s="9" t="s">
        <v>286</v>
      </c>
      <c r="B80" s="11"/>
      <c r="C80" s="11"/>
      <c r="D80" s="2"/>
      <c r="E80" s="341"/>
      <c r="F80" s="342"/>
      <c r="G80" s="343"/>
      <c r="H80" s="349" t="s">
        <v>287</v>
      </c>
      <c r="I80" s="349" t="s">
        <v>282</v>
      </c>
      <c r="J80" s="336"/>
      <c r="K80" s="337" t="s">
        <v>96</v>
      </c>
      <c r="L80" s="337"/>
      <c r="M80" s="337" t="s">
        <v>97</v>
      </c>
      <c r="N80" s="349" t="s">
        <v>283</v>
      </c>
      <c r="O80" s="350"/>
      <c r="P80" s="351"/>
      <c r="Q80" s="337"/>
      <c r="AM80" s="222"/>
      <c r="AN80" s="218"/>
      <c r="AO80" s="218"/>
      <c r="AP80" s="218"/>
      <c r="AQ80" s="218"/>
      <c r="AR80" s="247"/>
      <c r="AT80" s="280"/>
    </row>
    <row r="81">
      <c r="A81" s="185" t="s">
        <v>288</v>
      </c>
      <c r="B81" s="340">
        <f>SIZEOF_IN_MIB(PARAMS("B")*PARAMS("S")*PARAMS("L")*(PARAMS("c_kv")+PARAMS("h_rope")), PARAMS("kv_dtype"))/1024</f>
        <v>343.125</v>
      </c>
      <c r="C81" s="11"/>
      <c r="D81" s="2"/>
      <c r="E81" s="352"/>
      <c r="F81" s="353"/>
      <c r="G81" s="354"/>
      <c r="H81" s="344" t="s">
        <v>289</v>
      </c>
      <c r="I81" s="346" t="s">
        <v>282</v>
      </c>
      <c r="J81" s="345"/>
      <c r="K81" s="346">
        <f t="shared" ref="K81:M81" si="15">K79/SHARDING(K80)</f>
        <v>256</v>
      </c>
      <c r="L81" s="346">
        <f t="shared" si="15"/>
        <v>1</v>
      </c>
      <c r="M81" s="346">
        <f t="shared" si="15"/>
        <v>3584</v>
      </c>
      <c r="N81" s="346" t="s">
        <v>283</v>
      </c>
      <c r="O81" s="355"/>
      <c r="P81" s="348">
        <f>SIZEOF_IN_MIB(J81:M81, $O78)</f>
        <v>0.875</v>
      </c>
      <c r="Q81" s="344"/>
      <c r="AG81" s="181"/>
      <c r="AK81" s="280"/>
      <c r="AM81" s="222"/>
      <c r="AN81" s="218"/>
      <c r="AO81" s="218"/>
      <c r="AP81" s="218"/>
      <c r="AQ81" s="218"/>
      <c r="AR81" s="247"/>
      <c r="AT81" s="280"/>
    </row>
    <row r="82">
      <c r="A82" s="9" t="s">
        <v>290</v>
      </c>
      <c r="B82" s="356">
        <f>MAX(P87,P106,P134,P158,P177,P196,P245,P264,P283,P304,P347,P398,P471,P490)/1024</f>
        <v>0.0205078125</v>
      </c>
      <c r="C82" s="9"/>
      <c r="D82" s="2"/>
      <c r="E82" s="333" t="s">
        <v>291</v>
      </c>
      <c r="F82" s="357" t="s">
        <v>292</v>
      </c>
      <c r="G82" s="335"/>
      <c r="H82" s="336" t="s">
        <v>281</v>
      </c>
      <c r="I82" s="336" t="s">
        <v>282</v>
      </c>
      <c r="J82" s="336"/>
      <c r="K82" s="337" t="s">
        <v>104</v>
      </c>
      <c r="L82" s="337" t="s">
        <v>102</v>
      </c>
      <c r="M82" s="358" t="s">
        <v>178</v>
      </c>
      <c r="N82" s="336" t="s">
        <v>283</v>
      </c>
      <c r="O82" s="338" t="str">
        <f>EXTRACT_ACTIVATION_DTYPE(PARAMS("attn_proj_dtype"))</f>
        <v>bf16</v>
      </c>
      <c r="P82" s="339"/>
      <c r="Q82" s="338" t="b">
        <v>0</v>
      </c>
      <c r="AG82" s="181"/>
      <c r="AK82" s="306"/>
      <c r="AL82" s="307"/>
      <c r="AM82" s="247"/>
      <c r="AN82" s="218"/>
      <c r="AO82" s="218"/>
      <c r="AP82" s="218"/>
      <c r="AQ82" s="218"/>
      <c r="AR82" s="247"/>
      <c r="AT82" s="280"/>
    </row>
    <row r="83">
      <c r="A83" s="8" t="s">
        <v>293</v>
      </c>
      <c r="B83" s="359">
        <f>SUM(B78:B81)</f>
        <v>477.8060303</v>
      </c>
      <c r="C83" s="8" t="str">
        <f>"&lt;=" &amp; ($H$28 * PARAMS("num_devices")) &amp; " (Capacity)?"</f>
        <v>#N/A</v>
      </c>
      <c r="D83" s="2"/>
      <c r="E83" s="341"/>
      <c r="F83" s="342"/>
      <c r="G83" s="343"/>
      <c r="H83" s="344" t="s">
        <v>285</v>
      </c>
      <c r="I83" s="345" t="s">
        <v>282</v>
      </c>
      <c r="J83" s="346"/>
      <c r="K83" s="345">
        <f t="shared" ref="K83:M83" si="16">PARAMS(K82)</f>
        <v>2048</v>
      </c>
      <c r="L83" s="345">
        <f t="shared" si="16"/>
        <v>1</v>
      </c>
      <c r="M83" s="345">
        <f t="shared" si="16"/>
        <v>7168</v>
      </c>
      <c r="N83" s="345" t="s">
        <v>283</v>
      </c>
      <c r="O83" s="347"/>
      <c r="P83" s="348">
        <f>SIZEOF_IN_MIB(J83:M83, $O82)</f>
        <v>28</v>
      </c>
      <c r="Q83" s="347"/>
      <c r="AG83" s="181"/>
      <c r="AM83" s="2"/>
      <c r="AR83" s="2"/>
    </row>
    <row r="84">
      <c r="A84" s="11"/>
      <c r="B84" s="11"/>
      <c r="C84" s="11"/>
      <c r="D84" s="161"/>
      <c r="E84" s="341"/>
      <c r="F84" s="342"/>
      <c r="G84" s="343"/>
      <c r="H84" s="349" t="s">
        <v>287</v>
      </c>
      <c r="I84" s="349" t="s">
        <v>282</v>
      </c>
      <c r="J84" s="336"/>
      <c r="K84" s="337" t="s">
        <v>96</v>
      </c>
      <c r="L84" s="337"/>
      <c r="M84" s="337" t="s">
        <v>97</v>
      </c>
      <c r="N84" s="349" t="s">
        <v>283</v>
      </c>
      <c r="O84" s="350"/>
      <c r="P84" s="351"/>
      <c r="Q84" s="350"/>
    </row>
    <row r="85">
      <c r="A85" s="185" t="s">
        <v>294</v>
      </c>
      <c r="B85" s="331">
        <f>SUM(P89,P144,P168,P187,P293,P317) * PARAMS("L") / 1024</f>
        <v>11.81726074</v>
      </c>
      <c r="C85" s="332"/>
      <c r="D85" s="161"/>
      <c r="E85" s="341"/>
      <c r="F85" s="353"/>
      <c r="G85" s="354"/>
      <c r="H85" s="344" t="s">
        <v>289</v>
      </c>
      <c r="I85" s="346" t="s">
        <v>282</v>
      </c>
      <c r="J85" s="345"/>
      <c r="K85" s="346">
        <f t="shared" ref="K85:M85" si="17">K83/SHARDING(K84)</f>
        <v>256</v>
      </c>
      <c r="L85" s="346">
        <f t="shared" si="17"/>
        <v>1</v>
      </c>
      <c r="M85" s="346">
        <f t="shared" si="17"/>
        <v>3584</v>
      </c>
      <c r="N85" s="346" t="s">
        <v>283</v>
      </c>
      <c r="O85" s="355"/>
      <c r="P85" s="348">
        <f>SIZEOF_IN_MIB(J85:M85, $O82)</f>
        <v>1.75</v>
      </c>
      <c r="Q85" s="355"/>
      <c r="AG85" s="181"/>
    </row>
    <row r="86">
      <c r="A86" s="185" t="s">
        <v>295</v>
      </c>
      <c r="B86" s="340">
        <f>SUM(P391,P436) * PARAMS("L") / 1024</f>
        <v>113.421875</v>
      </c>
      <c r="C86" s="332"/>
      <c r="D86" s="161"/>
      <c r="E86" s="341"/>
      <c r="F86" s="334" t="s">
        <v>296</v>
      </c>
      <c r="G86" s="335"/>
      <c r="H86" s="349" t="s">
        <v>281</v>
      </c>
      <c r="I86" s="349" t="s">
        <v>282</v>
      </c>
      <c r="J86" s="336"/>
      <c r="K86" s="336"/>
      <c r="L86" s="360" t="s">
        <v>178</v>
      </c>
      <c r="M86" s="337" t="s">
        <v>195</v>
      </c>
      <c r="N86" s="349" t="s">
        <v>283</v>
      </c>
      <c r="O86" s="338" t="str">
        <f>EXTRACT_WEIGHT_DTYPE(PARAMS("attn_proj_dtype"))</f>
        <v>bf16</v>
      </c>
      <c r="P86" s="351"/>
      <c r="Q86" s="338" t="b">
        <v>0</v>
      </c>
      <c r="AP86" s="218"/>
      <c r="AQ86" s="218"/>
      <c r="AT86" s="228"/>
    </row>
    <row r="87">
      <c r="A87" s="9" t="s">
        <v>286</v>
      </c>
      <c r="B87" s="11"/>
      <c r="C87" s="332"/>
      <c r="D87" s="161"/>
      <c r="E87" s="341"/>
      <c r="F87" s="342"/>
      <c r="G87" s="343"/>
      <c r="H87" s="344" t="s">
        <v>285</v>
      </c>
      <c r="I87" s="346" t="s">
        <v>282</v>
      </c>
      <c r="J87" s="345"/>
      <c r="K87" s="345"/>
      <c r="L87" s="346">
        <f t="shared" ref="L87:M87" si="18">PARAMS(L86)</f>
        <v>7168</v>
      </c>
      <c r="M87" s="346">
        <f t="shared" si="18"/>
        <v>1536</v>
      </c>
      <c r="N87" s="346" t="s">
        <v>283</v>
      </c>
      <c r="O87" s="347"/>
      <c r="P87" s="348">
        <f>SIZEOF_IN_MIB(J87:M87, $O86)</f>
        <v>21</v>
      </c>
      <c r="Q87" s="347"/>
      <c r="AP87" s="222"/>
    </row>
    <row r="88">
      <c r="A88" s="185" t="s">
        <v>297</v>
      </c>
      <c r="B88" s="340">
        <f>B81/PARAMS("num_devices")</f>
        <v>21.4453125</v>
      </c>
      <c r="C88" s="332"/>
      <c r="D88" s="161"/>
      <c r="E88" s="341"/>
      <c r="F88" s="342"/>
      <c r="G88" s="343"/>
      <c r="H88" s="349" t="s">
        <v>287</v>
      </c>
      <c r="I88" s="349" t="s">
        <v>282</v>
      </c>
      <c r="J88" s="336"/>
      <c r="K88" s="336"/>
      <c r="L88" s="337"/>
      <c r="M88" s="337" t="s">
        <v>97</v>
      </c>
      <c r="N88" s="349" t="s">
        <v>283</v>
      </c>
      <c r="O88" s="350"/>
      <c r="P88" s="351"/>
      <c r="Q88" s="350"/>
      <c r="AP88" s="218"/>
      <c r="AQ88" s="218"/>
      <c r="AT88" s="228"/>
    </row>
    <row r="89">
      <c r="A89" s="185" t="s">
        <v>298</v>
      </c>
      <c r="B89" s="340">
        <f>MAX(P89,P108,P136,P160,P179,P198,P247,P266,P285,P306,P349,P400,P473,P492)/1024</f>
        <v>0.01025390625</v>
      </c>
      <c r="C89" s="332"/>
      <c r="D89" s="161"/>
      <c r="E89" s="341"/>
      <c r="F89" s="353"/>
      <c r="G89" s="354"/>
      <c r="H89" s="346" t="s">
        <v>289</v>
      </c>
      <c r="I89" s="346" t="s">
        <v>282</v>
      </c>
      <c r="J89" s="345"/>
      <c r="K89" s="345"/>
      <c r="L89" s="346">
        <f t="shared" ref="L89:M89" si="19">L87/SHARDING(L88)</f>
        <v>7168</v>
      </c>
      <c r="M89" s="346">
        <f t="shared" si="19"/>
        <v>768</v>
      </c>
      <c r="N89" s="346" t="s">
        <v>283</v>
      </c>
      <c r="O89" s="355"/>
      <c r="P89" s="348">
        <f>SIZEOF_IN_MIB(J89:M89, $O86)</f>
        <v>10.5</v>
      </c>
      <c r="Q89" s="355"/>
    </row>
    <row r="90">
      <c r="A90" s="199" t="s">
        <v>299</v>
      </c>
      <c r="B90" s="361">
        <f>SUM(B85:B88)</f>
        <v>146.6844482</v>
      </c>
      <c r="C90" s="362" t="str">
        <f>"&lt;=" &amp; ($H$28) &amp; " (Capacity)?"</f>
        <v>#N/A</v>
      </c>
      <c r="D90" s="161"/>
      <c r="E90" s="341"/>
      <c r="F90" s="334" t="s">
        <v>56</v>
      </c>
      <c r="G90" s="335"/>
      <c r="H90" s="363" t="s">
        <v>281</v>
      </c>
      <c r="I90" s="363" t="s">
        <v>282</v>
      </c>
      <c r="J90" s="364"/>
      <c r="K90" s="273" t="s">
        <v>104</v>
      </c>
      <c r="L90" s="273" t="s">
        <v>102</v>
      </c>
      <c r="M90" s="273" t="s">
        <v>195</v>
      </c>
      <c r="N90" s="363" t="s">
        <v>283</v>
      </c>
      <c r="O90" s="365" t="s">
        <v>133</v>
      </c>
      <c r="P90" s="366"/>
      <c r="Q90" s="365" t="b">
        <v>0</v>
      </c>
    </row>
    <row r="91">
      <c r="A91" s="161"/>
      <c r="B91" s="161"/>
      <c r="C91" s="161"/>
      <c r="D91" s="161"/>
      <c r="E91" s="341"/>
      <c r="F91" s="342"/>
      <c r="G91" s="343"/>
      <c r="H91" s="273" t="s">
        <v>285</v>
      </c>
      <c r="I91" s="363" t="s">
        <v>282</v>
      </c>
      <c r="J91" s="364"/>
      <c r="K91" s="363">
        <f t="shared" ref="K91:M91" si="20">PARAMS(K90)</f>
        <v>2048</v>
      </c>
      <c r="L91" s="364">
        <f t="shared" si="20"/>
        <v>1</v>
      </c>
      <c r="M91" s="363">
        <f t="shared" si="20"/>
        <v>1536</v>
      </c>
      <c r="N91" s="363" t="s">
        <v>283</v>
      </c>
      <c r="O91" s="341"/>
      <c r="P91" s="366">
        <f>SIZEOF_IN_MIB(K91:M91, $O90)</f>
        <v>6</v>
      </c>
      <c r="Q91" s="341"/>
    </row>
    <row r="92">
      <c r="A92" s="161"/>
      <c r="B92" s="161"/>
      <c r="C92" s="161"/>
      <c r="D92" s="161"/>
      <c r="E92" s="341"/>
      <c r="F92" s="342"/>
      <c r="G92" s="343"/>
      <c r="H92" s="363" t="s">
        <v>287</v>
      </c>
      <c r="I92" s="363" t="s">
        <v>282</v>
      </c>
      <c r="J92" s="364"/>
      <c r="K92" s="273" t="s">
        <v>96</v>
      </c>
      <c r="L92" s="273"/>
      <c r="M92" s="273" t="s">
        <v>97</v>
      </c>
      <c r="N92" s="363" t="s">
        <v>283</v>
      </c>
      <c r="O92" s="341"/>
      <c r="P92" s="366"/>
      <c r="Q92" s="341"/>
    </row>
    <row r="93">
      <c r="A93" s="161"/>
      <c r="B93" s="161"/>
      <c r="C93" s="161"/>
      <c r="D93" s="161"/>
      <c r="E93" s="341"/>
      <c r="F93" s="353"/>
      <c r="G93" s="354"/>
      <c r="H93" s="363" t="s">
        <v>289</v>
      </c>
      <c r="I93" s="363" t="s">
        <v>282</v>
      </c>
      <c r="J93" s="364"/>
      <c r="K93" s="363">
        <f t="shared" ref="K93:M93" si="21">K91/SHARDING(K92)</f>
        <v>256</v>
      </c>
      <c r="L93" s="363">
        <f t="shared" si="21"/>
        <v>1</v>
      </c>
      <c r="M93" s="363">
        <f t="shared" si="21"/>
        <v>768</v>
      </c>
      <c r="N93" s="363" t="s">
        <v>283</v>
      </c>
      <c r="O93" s="352"/>
      <c r="P93" s="366">
        <f>SIZEOF_IN_MIB(K93:M93, $O90)</f>
        <v>0.375</v>
      </c>
      <c r="Q93" s="352"/>
    </row>
    <row r="94">
      <c r="A94" s="161"/>
      <c r="B94" s="161"/>
      <c r="C94" s="161"/>
      <c r="E94" s="341"/>
      <c r="F94" s="370" t="s">
        <v>300</v>
      </c>
      <c r="G94" s="371" t="s">
        <v>301</v>
      </c>
      <c r="H94" s="372" t="s">
        <v>281</v>
      </c>
      <c r="I94" s="364" t="s">
        <v>282</v>
      </c>
      <c r="J94" s="364" t="str">
        <f t="array" ref="J94:M97">J78:M81</f>
        <v/>
      </c>
      <c r="K94" s="273" t="s">
        <v>104</v>
      </c>
      <c r="L94" s="273" t="s">
        <v>102</v>
      </c>
      <c r="M94" s="373" t="s">
        <v>178</v>
      </c>
      <c r="N94" s="364" t="s">
        <v>283</v>
      </c>
      <c r="O94" s="365" t="str">
        <f>O82</f>
        <v>bf16</v>
      </c>
      <c r="P94" s="364"/>
      <c r="Q94" s="365"/>
    </row>
    <row r="95">
      <c r="A95" s="161"/>
      <c r="B95" s="161"/>
      <c r="C95" s="161"/>
      <c r="E95" s="341"/>
      <c r="F95" s="341"/>
      <c r="G95" s="341"/>
      <c r="H95" s="374" t="s">
        <v>285</v>
      </c>
      <c r="I95" s="364" t="s">
        <v>282</v>
      </c>
      <c r="J95" s="363"/>
      <c r="K95" s="364">
        <v>2048.0</v>
      </c>
      <c r="L95" s="364">
        <v>1.0</v>
      </c>
      <c r="M95" s="364">
        <v>7168.0</v>
      </c>
      <c r="N95" s="364" t="s">
        <v>283</v>
      </c>
      <c r="O95" s="341"/>
      <c r="P95" s="375">
        <f>SIZEOF_IN_MIB(J95:M95, O94)</f>
        <v>28</v>
      </c>
      <c r="Q95" s="341"/>
    </row>
    <row r="96">
      <c r="A96" s="161"/>
      <c r="B96" s="161"/>
      <c r="C96" s="161"/>
      <c r="E96" s="341"/>
      <c r="F96" s="341"/>
      <c r="G96" s="341"/>
      <c r="H96" s="374" t="s">
        <v>302</v>
      </c>
      <c r="I96" s="363" t="s">
        <v>282</v>
      </c>
      <c r="J96" s="364"/>
      <c r="K96" s="273" t="s">
        <v>96</v>
      </c>
      <c r="L96" s="273"/>
      <c r="M96" s="273" t="s">
        <v>97</v>
      </c>
      <c r="N96" s="363" t="s">
        <v>283</v>
      </c>
      <c r="O96" s="341"/>
      <c r="P96" s="375"/>
      <c r="Q96" s="341"/>
    </row>
    <row r="97">
      <c r="A97" s="161"/>
      <c r="B97" s="161"/>
      <c r="C97" s="161"/>
      <c r="E97" s="341"/>
      <c r="F97" s="341"/>
      <c r="G97" s="341"/>
      <c r="H97" s="376" t="s">
        <v>303</v>
      </c>
      <c r="I97" s="349" t="s">
        <v>282</v>
      </c>
      <c r="J97" s="336"/>
      <c r="K97" s="349">
        <v>256.0</v>
      </c>
      <c r="L97" s="349">
        <v>1.0</v>
      </c>
      <c r="M97" s="349">
        <v>3584.0</v>
      </c>
      <c r="N97" s="337" t="s">
        <v>283</v>
      </c>
      <c r="O97" s="350"/>
      <c r="P97" s="377">
        <f>SIZEOF_IN_MIB(J97:M97, O94)</f>
        <v>1.75</v>
      </c>
      <c r="Q97" s="350"/>
    </row>
    <row r="98">
      <c r="A98" s="161"/>
      <c r="B98" s="161"/>
      <c r="C98" s="161"/>
      <c r="E98" s="341"/>
      <c r="F98" s="341"/>
      <c r="G98" s="352"/>
      <c r="H98" s="378" t="s">
        <v>304</v>
      </c>
      <c r="I98" s="346" t="s">
        <v>282</v>
      </c>
      <c r="J98" s="345"/>
      <c r="K98" s="344" t="s">
        <v>96</v>
      </c>
      <c r="L98" s="344"/>
      <c r="M98" s="344"/>
      <c r="N98" s="346" t="s">
        <v>283</v>
      </c>
      <c r="O98" s="355"/>
      <c r="P98" s="379"/>
      <c r="Q98" s="355"/>
      <c r="R98" s="2"/>
      <c r="S98" s="2"/>
      <c r="AG98" s="2"/>
      <c r="AH98" s="2"/>
      <c r="AI98" s="2"/>
      <c r="AJ98" s="2"/>
      <c r="AK98" s="2"/>
      <c r="AL98" s="2"/>
      <c r="AM98" s="2"/>
      <c r="AN98" s="2"/>
      <c r="AO98" s="2"/>
      <c r="AP98" s="2"/>
      <c r="AQ98" s="2"/>
      <c r="AR98" s="2"/>
      <c r="AS98" s="2"/>
      <c r="AT98" s="2"/>
    </row>
    <row r="99">
      <c r="A99" s="161"/>
      <c r="B99" s="161"/>
      <c r="C99" s="161"/>
      <c r="E99" s="341"/>
      <c r="F99" s="341"/>
      <c r="G99" s="380" t="s">
        <v>305</v>
      </c>
      <c r="H99" s="381"/>
      <c r="I99" s="382"/>
      <c r="J99" s="382"/>
      <c r="K99" s="382"/>
      <c r="L99" s="383"/>
      <c r="M99" s="383"/>
      <c r="N99" s="383"/>
      <c r="O99" s="382"/>
      <c r="P99" s="384"/>
      <c r="Q99" s="382"/>
      <c r="R99" s="2"/>
      <c r="S99" s="2"/>
      <c r="AG99" s="2"/>
      <c r="AH99" s="2"/>
      <c r="AI99" s="2"/>
      <c r="AJ99" s="2"/>
      <c r="AK99" s="2"/>
      <c r="AL99" s="2"/>
      <c r="AM99" s="2"/>
      <c r="AN99" s="2"/>
      <c r="AO99" s="2"/>
      <c r="AP99" s="2"/>
      <c r="AQ99" s="2"/>
      <c r="AR99" s="2"/>
      <c r="AS99" s="2"/>
      <c r="AT99" s="2"/>
    </row>
    <row r="100">
      <c r="A100" s="161"/>
      <c r="B100" s="161"/>
      <c r="C100" s="161"/>
      <c r="E100" s="341"/>
      <c r="F100" s="341"/>
      <c r="G100" s="385" t="s">
        <v>306</v>
      </c>
      <c r="H100" s="386">
        <f>SHARDING(K96)*SHARDING(L96)*SHARDING(M96)</f>
        <v>16</v>
      </c>
      <c r="I100" s="387"/>
      <c r="J100" s="387"/>
      <c r="K100" s="387"/>
      <c r="L100" s="388"/>
      <c r="M100" s="388"/>
      <c r="N100" s="388"/>
      <c r="O100" s="387"/>
      <c r="P100" s="389"/>
      <c r="Q100" s="387"/>
      <c r="R100" s="2"/>
      <c r="S100" s="2"/>
      <c r="AG100" s="2"/>
      <c r="AH100" s="2"/>
      <c r="AI100" s="2"/>
      <c r="AJ100" s="2"/>
      <c r="AK100" s="2"/>
      <c r="AL100" s="2"/>
      <c r="AM100" s="2"/>
      <c r="AN100" s="2"/>
      <c r="AO100" s="2"/>
      <c r="AP100" s="2"/>
      <c r="AQ100" s="2"/>
      <c r="AR100" s="2"/>
      <c r="AS100" s="2"/>
      <c r="AT100" s="2"/>
    </row>
    <row r="101">
      <c r="A101" s="161"/>
      <c r="B101" s="161"/>
      <c r="C101" s="161"/>
      <c r="E101" s="341"/>
      <c r="F101" s="341"/>
      <c r="G101" s="385" t="s">
        <v>307</v>
      </c>
      <c r="H101" s="390">
        <f>P97 * (H100-1)</f>
        <v>26.25</v>
      </c>
      <c r="I101" s="298"/>
      <c r="J101" s="391"/>
      <c r="K101" s="391"/>
      <c r="L101" s="392"/>
      <c r="M101" s="392"/>
      <c r="N101" s="392"/>
      <c r="O101" s="391"/>
      <c r="P101" s="393"/>
      <c r="Q101" s="391"/>
      <c r="R101" s="2"/>
      <c r="S101" s="2"/>
      <c r="AG101" s="2"/>
      <c r="AH101" s="2"/>
      <c r="AI101" s="2"/>
      <c r="AJ101" s="2"/>
      <c r="AK101" s="2"/>
      <c r="AL101" s="2"/>
      <c r="AM101" s="2"/>
      <c r="AN101" s="2"/>
      <c r="AO101" s="2"/>
      <c r="AP101" s="2"/>
      <c r="AQ101" s="2"/>
      <c r="AR101" s="2"/>
      <c r="AS101" s="2"/>
      <c r="AT101" s="2"/>
    </row>
    <row r="102">
      <c r="A102" s="161"/>
      <c r="B102" s="161"/>
      <c r="C102" s="161"/>
      <c r="E102" s="341"/>
      <c r="F102" s="341"/>
      <c r="G102" s="394" t="s">
        <v>308</v>
      </c>
      <c r="H102" s="395">
        <f>H101*H100</f>
        <v>420</v>
      </c>
      <c r="I102" s="387"/>
      <c r="J102" s="379"/>
      <c r="K102" s="379"/>
      <c r="L102" s="388"/>
      <c r="M102" s="388"/>
      <c r="N102" s="388"/>
      <c r="O102" s="387"/>
      <c r="P102" s="389"/>
      <c r="Q102" s="387"/>
      <c r="R102" s="2"/>
      <c r="S102" s="2"/>
      <c r="AG102" s="2"/>
      <c r="AH102" s="2"/>
      <c r="AI102" s="2"/>
      <c r="AJ102" s="2"/>
      <c r="AK102" s="2"/>
      <c r="AL102" s="2"/>
      <c r="AM102" s="2"/>
      <c r="AN102" s="2"/>
      <c r="AO102" s="2"/>
      <c r="AP102" s="2"/>
      <c r="AQ102" s="2"/>
      <c r="AR102" s="2"/>
      <c r="AS102" s="2"/>
      <c r="AT102" s="2"/>
    </row>
    <row r="103">
      <c r="A103" s="161"/>
      <c r="B103" s="161"/>
      <c r="C103" s="161"/>
      <c r="E103" s="341"/>
      <c r="F103" s="341"/>
      <c r="G103" s="396" t="s">
        <v>309</v>
      </c>
      <c r="H103" s="397" t="str">
        <f>IFS(H100=8,12,
H100=4,4,
H100=2,1,
H100=1,0,
TRUE,NA())</f>
        <v>#N/A</v>
      </c>
      <c r="I103" s="391"/>
      <c r="J103" s="391"/>
      <c r="K103" s="391"/>
      <c r="L103" s="392"/>
      <c r="M103" s="392"/>
      <c r="N103" s="392"/>
      <c r="O103" s="391"/>
      <c r="P103" s="393"/>
      <c r="Q103" s="391"/>
      <c r="R103" s="2"/>
      <c r="S103" s="2"/>
      <c r="AG103" s="2"/>
      <c r="AH103" s="2"/>
      <c r="AI103" s="2"/>
      <c r="AJ103" s="2"/>
      <c r="AK103" s="2"/>
      <c r="AL103" s="2"/>
      <c r="AM103" s="2"/>
      <c r="AN103" s="2"/>
      <c r="AO103" s="2"/>
      <c r="AP103" s="2"/>
      <c r="AQ103" s="2"/>
      <c r="AR103" s="2"/>
      <c r="AS103" s="2"/>
      <c r="AT103" s="2"/>
    </row>
    <row r="104">
      <c r="A104" s="161"/>
      <c r="B104" s="161"/>
      <c r="C104" s="161"/>
      <c r="E104" s="341"/>
      <c r="F104" s="341"/>
      <c r="G104" s="9" t="s">
        <v>310</v>
      </c>
      <c r="H104" s="398">
        <v>1.0</v>
      </c>
      <c r="I104" s="399"/>
      <c r="J104" s="399"/>
      <c r="K104" s="399"/>
      <c r="L104" s="400"/>
      <c r="M104" s="400"/>
      <c r="N104" s="400"/>
      <c r="O104" s="399"/>
      <c r="P104" s="401"/>
      <c r="Q104" s="399"/>
      <c r="R104" s="2"/>
      <c r="S104" s="2"/>
      <c r="AG104" s="2"/>
      <c r="AH104" s="2"/>
      <c r="AI104" s="2"/>
      <c r="AJ104" s="2"/>
      <c r="AK104" s="2"/>
      <c r="AL104" s="2"/>
      <c r="AM104" s="2"/>
      <c r="AN104" s="2"/>
      <c r="AO104" s="2"/>
      <c r="AP104" s="2"/>
      <c r="AQ104" s="2"/>
      <c r="AR104" s="2"/>
      <c r="AS104" s="2"/>
      <c r="AT104" s="2"/>
    </row>
    <row r="105">
      <c r="A105" s="161"/>
      <c r="B105" s="161"/>
      <c r="C105" s="161"/>
      <c r="E105" s="341"/>
      <c r="F105" s="341"/>
      <c r="G105" s="402" t="s">
        <v>311</v>
      </c>
      <c r="H105" s="403" t="str">
        <f>ALL_GATHER_CHIP2CHIP_TIME_MS2(H102 * H104, H103)</f>
        <v>#N/A</v>
      </c>
      <c r="I105" s="404"/>
      <c r="J105" s="404"/>
      <c r="K105" s="404"/>
      <c r="L105" s="405"/>
      <c r="M105" s="405"/>
      <c r="N105" s="405"/>
      <c r="O105" s="404"/>
      <c r="P105" s="406"/>
      <c r="Q105" s="404"/>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4"/>
      <c r="H106" s="407"/>
      <c r="I106" s="399"/>
      <c r="J106" s="399"/>
      <c r="K106" s="399"/>
      <c r="L106" s="400"/>
      <c r="M106" s="400"/>
      <c r="N106" s="400"/>
      <c r="O106" s="399"/>
      <c r="P106" s="401"/>
      <c r="Q106" s="399"/>
      <c r="R106" s="2"/>
      <c r="S106" s="2"/>
      <c r="AG106" s="2"/>
      <c r="AH106" s="2"/>
      <c r="AI106" s="2"/>
      <c r="AJ106" s="2"/>
      <c r="AK106" s="2"/>
      <c r="AL106" s="2"/>
      <c r="AM106" s="2"/>
      <c r="AN106" s="2"/>
      <c r="AO106" s="2"/>
      <c r="AP106" s="2"/>
      <c r="AQ106" s="2"/>
      <c r="AR106" s="2"/>
      <c r="AS106" s="2"/>
      <c r="AT106" s="2"/>
    </row>
    <row r="107">
      <c r="A107" s="161"/>
      <c r="B107" s="161"/>
      <c r="C107" s="161"/>
      <c r="E107" s="341"/>
      <c r="F107" s="341"/>
      <c r="G107" s="380" t="s">
        <v>312</v>
      </c>
      <c r="H107" s="381"/>
      <c r="I107" s="382"/>
      <c r="J107" s="382"/>
      <c r="K107" s="382"/>
      <c r="L107" s="383"/>
      <c r="M107" s="383"/>
      <c r="N107" s="383"/>
      <c r="O107" s="382"/>
      <c r="P107" s="384"/>
      <c r="Q107" s="382"/>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8" t="s">
        <v>313</v>
      </c>
      <c r="H108" s="409" t="s">
        <v>306</v>
      </c>
      <c r="I108" s="379"/>
      <c r="J108" s="410" t="str">
        <f>SHARDING(K96)*SHARDING(L96)*SHARDING(M96)/HW_SPEC("# of TensorCore per Chip")</f>
        <v>#N/A</v>
      </c>
      <c r="K108" s="399"/>
      <c r="L108" s="400"/>
      <c r="M108" s="400"/>
      <c r="N108" s="400"/>
      <c r="O108" s="399"/>
      <c r="P108" s="401"/>
      <c r="Q108" s="399"/>
      <c r="R108" s="2"/>
      <c r="S108" s="2"/>
      <c r="AG108" s="2"/>
      <c r="AH108" s="2"/>
      <c r="AI108" s="2"/>
      <c r="AJ108" s="2"/>
      <c r="AK108" s="2"/>
      <c r="AL108" s="2"/>
      <c r="AM108" s="2"/>
      <c r="AN108" s="2"/>
      <c r="AO108" s="2"/>
      <c r="AP108" s="2"/>
      <c r="AQ108" s="2"/>
      <c r="AR108" s="2"/>
      <c r="AS108" s="2"/>
      <c r="AT108" s="2"/>
    </row>
    <row r="109">
      <c r="A109" s="161"/>
      <c r="B109" s="161"/>
      <c r="C109" s="161"/>
      <c r="E109" s="341"/>
      <c r="F109" s="341"/>
      <c r="G109" s="341"/>
      <c r="H109" s="385" t="s">
        <v>307</v>
      </c>
      <c r="I109" s="11"/>
      <c r="J109" s="411" t="str">
        <f>P97 * HW_SPEC("# of TensorCore per Chip") * (J108-1)</f>
        <v>#N/A</v>
      </c>
      <c r="K109" s="412"/>
      <c r="L109" s="413"/>
      <c r="M109" s="413"/>
      <c r="N109" s="413"/>
      <c r="O109" s="412"/>
      <c r="P109" s="414"/>
      <c r="Q109" s="412"/>
      <c r="R109" s="2"/>
      <c r="S109" s="2"/>
      <c r="AG109" s="2"/>
      <c r="AH109" s="2"/>
      <c r="AI109" s="2"/>
      <c r="AJ109" s="2"/>
      <c r="AK109" s="2"/>
      <c r="AL109" s="2"/>
      <c r="AM109" s="2"/>
      <c r="AN109" s="2"/>
      <c r="AO109" s="2"/>
      <c r="AP109" s="2"/>
      <c r="AQ109" s="2"/>
      <c r="AR109" s="2"/>
      <c r="AS109" s="2"/>
      <c r="AT109" s="2"/>
    </row>
    <row r="110">
      <c r="A110" s="161"/>
      <c r="B110" s="161"/>
      <c r="C110" s="161"/>
      <c r="E110" s="341"/>
      <c r="F110" s="341"/>
      <c r="G110" s="341"/>
      <c r="H110" s="394" t="s">
        <v>308</v>
      </c>
      <c r="I110" s="11"/>
      <c r="J110" s="411" t="str">
        <f>J109*J108</f>
        <v>#N/A</v>
      </c>
      <c r="K110" s="412"/>
      <c r="L110" s="413"/>
      <c r="M110" s="413"/>
      <c r="N110" s="413"/>
      <c r="O110" s="412"/>
      <c r="P110" s="414"/>
      <c r="Q110" s="412"/>
      <c r="R110" s="2"/>
      <c r="S110" s="2"/>
      <c r="AG110" s="2"/>
      <c r="AH110" s="2"/>
      <c r="AI110" s="2"/>
      <c r="AJ110" s="2"/>
      <c r="AK110" s="2"/>
      <c r="AL110" s="2"/>
      <c r="AM110" s="2"/>
      <c r="AN110" s="2"/>
      <c r="AO110" s="2"/>
      <c r="AP110" s="2"/>
      <c r="AQ110" s="2"/>
      <c r="AR110" s="2"/>
      <c r="AS110" s="2"/>
      <c r="AT110" s="2"/>
    </row>
    <row r="111">
      <c r="A111" s="161"/>
      <c r="B111" s="161"/>
      <c r="C111" s="161"/>
      <c r="E111" s="341"/>
      <c r="F111" s="341"/>
      <c r="G111" s="341"/>
      <c r="H111" s="396" t="s">
        <v>309</v>
      </c>
      <c r="I111" s="11"/>
      <c r="J111" s="415" t="str">
        <f>IFS(J108=8,12,
J108=4,4,
J108=2,1,
J108=1,0,
TRUE,NA())</f>
        <v>#N/A</v>
      </c>
      <c r="K111" s="412"/>
      <c r="L111" s="413"/>
      <c r="M111" s="413"/>
      <c r="N111" s="413"/>
      <c r="O111" s="412"/>
      <c r="P111" s="414"/>
      <c r="Q111" s="412"/>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9" t="s">
        <v>310</v>
      </c>
      <c r="I112" s="11"/>
      <c r="J112" s="416">
        <v>2.0</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52"/>
      <c r="H113" s="385" t="s">
        <v>311</v>
      </c>
      <c r="I113" s="11"/>
      <c r="J113" s="417" t="str">
        <f>ALL_GATHER_CHIP2CHIP_TIME_MS2(J110 * J112, J111)</f>
        <v>#N/A</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408" t="s">
        <v>314</v>
      </c>
      <c r="H114" s="396" t="s">
        <v>306</v>
      </c>
      <c r="I114" s="418"/>
      <c r="J114" s="419" t="str">
        <f>HW_SPEC("# of TensorCore per Chip")</f>
        <v>#N/A</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6" t="s">
        <v>307</v>
      </c>
      <c r="I115" s="418"/>
      <c r="J115" s="411" t="str">
        <f>P81 / J114 * (J114-1)</f>
        <v>#N/A</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308</v>
      </c>
      <c r="I116" s="418"/>
      <c r="J116" s="411" t="str">
        <f>J115*J114</f>
        <v>#N/A</v>
      </c>
      <c r="K116" s="412"/>
      <c r="L116" s="413"/>
      <c r="M116" s="413"/>
      <c r="N116" s="413"/>
      <c r="O116" s="412"/>
      <c r="P116" s="414"/>
      <c r="Q116" s="412"/>
      <c r="R116" s="420"/>
      <c r="S116" s="420"/>
      <c r="AG116" s="2"/>
      <c r="AH116" s="2"/>
      <c r="AI116" s="2"/>
      <c r="AJ116" s="2"/>
      <c r="AK116" s="2"/>
      <c r="AL116" s="2"/>
      <c r="AM116" s="2"/>
      <c r="AN116" s="2"/>
      <c r="AO116" s="2"/>
      <c r="AP116" s="2"/>
      <c r="AQ116" s="2"/>
      <c r="AR116" s="2"/>
      <c r="AS116" s="2"/>
      <c r="AT116" s="2"/>
    </row>
    <row r="117">
      <c r="A117" s="161"/>
      <c r="B117" s="161"/>
      <c r="C117" s="161"/>
      <c r="E117" s="341"/>
      <c r="F117" s="341"/>
      <c r="G117" s="341"/>
      <c r="H117" s="396" t="s">
        <v>311</v>
      </c>
      <c r="I117" s="418"/>
      <c r="J117" s="421" t="str">
        <f>ALL_GATHER_CORE2CORE_TIME_MS(J116)</f>
        <v>#N/A</v>
      </c>
      <c r="K117" s="412"/>
      <c r="L117" s="413"/>
      <c r="M117" s="413"/>
      <c r="N117" s="413"/>
      <c r="O117" s="412"/>
      <c r="P117" s="414"/>
      <c r="Q117" s="412"/>
      <c r="R117" s="420"/>
      <c r="S117" s="420"/>
      <c r="AG117" s="2"/>
      <c r="AH117" s="2"/>
      <c r="AI117" s="2"/>
      <c r="AJ117" s="2"/>
      <c r="AK117" s="2"/>
      <c r="AL117" s="2"/>
      <c r="AM117" s="2"/>
      <c r="AN117" s="2"/>
      <c r="AO117" s="2"/>
      <c r="AP117" s="2"/>
      <c r="AQ117" s="2"/>
      <c r="AR117" s="2"/>
      <c r="AS117" s="2"/>
      <c r="AT117" s="2"/>
    </row>
    <row r="118">
      <c r="A118" s="161"/>
      <c r="B118" s="161"/>
      <c r="C118" s="161"/>
      <c r="E118" s="341"/>
      <c r="F118" s="341"/>
      <c r="G118" s="352"/>
      <c r="H118" s="394" t="s">
        <v>315</v>
      </c>
      <c r="I118" s="11"/>
      <c r="J118" s="421" t="str">
        <f>J117/J108</f>
        <v>#N/A</v>
      </c>
      <c r="K118" s="412"/>
      <c r="L118" s="413"/>
      <c r="M118" s="413"/>
      <c r="N118" s="413"/>
      <c r="O118" s="412"/>
      <c r="P118" s="414"/>
      <c r="Q118" s="412"/>
      <c r="R118" s="420"/>
      <c r="S118" s="420"/>
      <c r="AG118" s="2"/>
      <c r="AH118" s="2"/>
      <c r="AI118" s="2"/>
      <c r="AJ118" s="2"/>
      <c r="AK118" s="2"/>
      <c r="AL118" s="2"/>
      <c r="AM118" s="2"/>
      <c r="AN118" s="2"/>
      <c r="AO118" s="2"/>
      <c r="AP118" s="2"/>
      <c r="AQ118" s="2"/>
      <c r="AR118" s="2"/>
      <c r="AS118" s="2"/>
      <c r="AT118" s="2"/>
    </row>
    <row r="119">
      <c r="A119" s="161"/>
      <c r="B119" s="161"/>
      <c r="C119" s="161"/>
      <c r="E119" s="341"/>
      <c r="F119" s="341"/>
      <c r="G119" s="402" t="s">
        <v>316</v>
      </c>
      <c r="H119" s="422" t="str">
        <f>J113+J118</f>
        <v>#N/A</v>
      </c>
      <c r="I119" s="11"/>
      <c r="J119" s="417"/>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94"/>
      <c r="H120" s="422"/>
      <c r="I120" s="11"/>
      <c r="J120" s="417"/>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394"/>
      <c r="H121" s="422"/>
      <c r="I121" s="11"/>
      <c r="J121" s="417"/>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551" t="s">
        <v>682</v>
      </c>
      <c r="H122" s="906" t="s">
        <v>318</v>
      </c>
      <c r="I122" s="572"/>
      <c r="J122" s="381"/>
      <c r="K122" s="787"/>
      <c r="L122" s="907"/>
      <c r="M122" s="907"/>
      <c r="N122" s="907"/>
      <c r="O122" s="787"/>
      <c r="P122" s="908"/>
      <c r="Q122" s="787"/>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272" t="s">
        <v>319</v>
      </c>
      <c r="H123" s="909" t="str">
        <f>M80</f>
        <v>data</v>
      </c>
      <c r="I123" s="11"/>
      <c r="J123" s="417"/>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58" t="s">
        <v>320</v>
      </c>
      <c r="H124" s="396" t="s">
        <v>306</v>
      </c>
      <c r="I124" s="418"/>
      <c r="J124" s="419" t="str">
        <f>HW_SPEC("# of TensorCore per Chip")</f>
        <v>#N/A</v>
      </c>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41"/>
      <c r="H125" s="396" t="s">
        <v>307</v>
      </c>
      <c r="I125" s="418"/>
      <c r="J125" s="411" t="str">
        <f>P85 * (J124-1)</f>
        <v>#N/A</v>
      </c>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341"/>
      <c r="H126" s="396" t="s">
        <v>308</v>
      </c>
      <c r="I126" s="418"/>
      <c r="J126" s="411" t="str">
        <f>J125*J124</f>
        <v>#N/A</v>
      </c>
      <c r="K126" s="412"/>
      <c r="L126" s="413"/>
      <c r="M126" s="413"/>
      <c r="N126" s="413"/>
      <c r="O126" s="412"/>
      <c r="P126" s="414"/>
      <c r="Q126" s="412"/>
      <c r="R126" s="420"/>
      <c r="S126" s="420"/>
      <c r="AG126" s="2"/>
      <c r="AH126" s="2"/>
      <c r="AI126" s="2"/>
      <c r="AJ126" s="2"/>
      <c r="AK126" s="2"/>
      <c r="AL126" s="2"/>
      <c r="AM126" s="2"/>
      <c r="AN126" s="2"/>
      <c r="AO126" s="2"/>
      <c r="AP126" s="2"/>
      <c r="AQ126" s="2"/>
      <c r="AR126" s="2"/>
      <c r="AS126" s="2"/>
      <c r="AT126" s="2"/>
    </row>
    <row r="127">
      <c r="A127" s="161"/>
      <c r="B127" s="161"/>
      <c r="C127" s="161"/>
      <c r="E127" s="341"/>
      <c r="F127" s="341"/>
      <c r="G127" s="352"/>
      <c r="H127" s="396" t="s">
        <v>311</v>
      </c>
      <c r="I127" s="418"/>
      <c r="J127" s="421" t="str">
        <f>ALL_GATHER_CORE2CORE_TIME_MS(J126)</f>
        <v>#N/A</v>
      </c>
      <c r="K127" s="412"/>
      <c r="L127" s="413"/>
      <c r="M127" s="413"/>
      <c r="N127" s="413"/>
      <c r="O127" s="412"/>
      <c r="P127" s="414"/>
      <c r="Q127" s="412"/>
      <c r="R127" s="420"/>
      <c r="S127" s="420"/>
      <c r="AG127" s="2"/>
      <c r="AH127" s="2"/>
      <c r="AI127" s="2"/>
      <c r="AJ127" s="2"/>
      <c r="AK127" s="2"/>
      <c r="AL127" s="2"/>
      <c r="AM127" s="2"/>
      <c r="AN127" s="2"/>
      <c r="AO127" s="2"/>
      <c r="AP127" s="2"/>
      <c r="AQ127" s="2"/>
      <c r="AR127" s="2"/>
      <c r="AS127" s="2"/>
      <c r="AT127" s="2"/>
    </row>
    <row r="128">
      <c r="A128" s="161"/>
      <c r="B128" s="161"/>
      <c r="C128" s="161"/>
      <c r="E128" s="341"/>
      <c r="F128" s="341"/>
      <c r="G128" s="443" t="s">
        <v>322</v>
      </c>
      <c r="H128" s="623" t="s">
        <v>682</v>
      </c>
      <c r="I128" s="445"/>
      <c r="J128" s="445"/>
      <c r="K128" s="382"/>
      <c r="L128" s="383"/>
      <c r="M128" s="383"/>
      <c r="N128" s="383"/>
      <c r="O128" s="382"/>
      <c r="P128" s="384"/>
      <c r="Q128" s="382"/>
      <c r="R128" s="420"/>
      <c r="S128" s="420"/>
      <c r="AG128" s="2"/>
      <c r="AH128" s="2"/>
      <c r="AI128" s="2"/>
      <c r="AJ128" s="2"/>
      <c r="AK128" s="2"/>
      <c r="AL128" s="2"/>
      <c r="AM128" s="2"/>
      <c r="AN128" s="2"/>
      <c r="AO128" s="2"/>
      <c r="AP128" s="2"/>
      <c r="AQ128" s="2"/>
      <c r="AR128" s="2"/>
      <c r="AS128" s="2"/>
      <c r="AT128" s="2"/>
    </row>
    <row r="129">
      <c r="A129" s="161"/>
      <c r="B129" s="161"/>
      <c r="C129" s="161"/>
      <c r="E129" s="341"/>
      <c r="F129" s="341"/>
      <c r="G129" s="446" t="s">
        <v>324</v>
      </c>
      <c r="H129" s="447" t="str">
        <f>IFS(H128=G99,H105,
H128=G107, H119,
H128=G122,J127,
TRUE,0)</f>
        <v>#N/A</v>
      </c>
      <c r="I129" s="448"/>
      <c r="J129" s="448"/>
      <c r="K129" s="448"/>
      <c r="L129" s="449"/>
      <c r="M129" s="449"/>
      <c r="N129" s="449"/>
      <c r="O129" s="450"/>
      <c r="P129" s="451"/>
      <c r="Q129" s="450"/>
      <c r="AG129" s="2"/>
      <c r="AH129" s="2"/>
      <c r="AI129" s="2"/>
      <c r="AJ129" s="2"/>
      <c r="AK129" s="2"/>
      <c r="AL129" s="2"/>
      <c r="AM129" s="2"/>
      <c r="AN129" s="2"/>
      <c r="AO129" s="2"/>
      <c r="AP129" s="2"/>
      <c r="AQ129" s="2"/>
      <c r="AR129" s="2"/>
      <c r="AS129" s="2"/>
      <c r="AT129" s="2"/>
    </row>
    <row r="130">
      <c r="A130" s="161"/>
      <c r="B130" s="161"/>
      <c r="C130" s="161"/>
      <c r="E130" s="341"/>
      <c r="F130" s="341"/>
      <c r="G130" s="452" t="s">
        <v>325</v>
      </c>
      <c r="H130" s="452">
        <v>1.0</v>
      </c>
      <c r="I130" s="454"/>
      <c r="J130" s="454"/>
      <c r="K130" s="454"/>
      <c r="L130" s="455"/>
      <c r="M130" s="455"/>
      <c r="N130" s="455"/>
      <c r="O130" s="456"/>
      <c r="P130" s="457"/>
      <c r="Q130" s="456"/>
      <c r="AG130" s="2"/>
      <c r="AH130" s="2"/>
      <c r="AI130" s="2"/>
      <c r="AJ130" s="2"/>
      <c r="AK130" s="2"/>
      <c r="AL130" s="2"/>
      <c r="AM130" s="2"/>
      <c r="AN130" s="2"/>
      <c r="AO130" s="2"/>
      <c r="AP130" s="2"/>
      <c r="AQ130" s="2"/>
      <c r="AR130" s="2"/>
      <c r="AS130" s="2"/>
      <c r="AT130" s="2"/>
    </row>
    <row r="131">
      <c r="A131" s="161"/>
      <c r="B131" s="161"/>
      <c r="C131" s="161"/>
      <c r="E131" s="341"/>
      <c r="F131" s="352"/>
      <c r="G131" s="446" t="s">
        <v>326</v>
      </c>
      <c r="H131" s="447" t="str">
        <f>IF(H128="No Collectives", 0, H130 * HW_SPEC("Chip-to-Chip ICI Latency (ms)"))</f>
        <v>#N/A</v>
      </c>
      <c r="I131" s="448"/>
      <c r="J131" s="448"/>
      <c r="K131" s="448"/>
      <c r="L131" s="449"/>
      <c r="M131" s="449"/>
      <c r="N131" s="449"/>
      <c r="O131" s="450"/>
      <c r="P131" s="451"/>
      <c r="Q131" s="450"/>
      <c r="AG131" s="2"/>
      <c r="AH131" s="2"/>
      <c r="AI131" s="2"/>
      <c r="AJ131" s="2"/>
      <c r="AK131" s="2"/>
      <c r="AL131" s="2"/>
      <c r="AM131" s="2"/>
      <c r="AN131" s="2"/>
      <c r="AO131" s="2"/>
      <c r="AP131" s="2"/>
      <c r="AQ131" s="2"/>
      <c r="AR131" s="2"/>
      <c r="AS131" s="2"/>
      <c r="AT131" s="2"/>
    </row>
    <row r="132">
      <c r="A132" s="161"/>
      <c r="B132" s="161"/>
      <c r="C132" s="161"/>
      <c r="E132" s="341"/>
      <c r="F132" s="458" t="s">
        <v>327</v>
      </c>
      <c r="G132" s="459" t="s">
        <v>328</v>
      </c>
      <c r="H132" s="455" t="str">
        <f>VLOOKUP(O82&amp;","&amp;O86,$T$3:$W$12,4, FALSE)</f>
        <v>bf16</v>
      </c>
      <c r="I132" s="460"/>
      <c r="J132" s="454"/>
      <c r="K132" s="454"/>
      <c r="L132" s="455"/>
      <c r="M132" s="455"/>
      <c r="N132" s="455"/>
      <c r="O132" s="454"/>
      <c r="P132" s="457"/>
      <c r="Q132" s="11"/>
      <c r="AG132" s="2"/>
      <c r="AH132" s="2"/>
      <c r="AI132" s="2"/>
      <c r="AJ132" s="2"/>
      <c r="AK132" s="2"/>
      <c r="AL132" s="2"/>
      <c r="AM132" s="2"/>
      <c r="AN132" s="2"/>
      <c r="AO132" s="2"/>
      <c r="AP132" s="2"/>
      <c r="AQ132" s="2"/>
      <c r="AR132" s="2"/>
      <c r="AS132" s="2"/>
      <c r="AT132" s="2"/>
    </row>
    <row r="133">
      <c r="A133" s="161"/>
      <c r="B133" s="161"/>
      <c r="C133" s="161"/>
      <c r="E133" s="341"/>
      <c r="F133" s="341"/>
      <c r="G133" s="459" t="s">
        <v>329</v>
      </c>
      <c r="H133" s="461" t="str">
        <f>CALCULATE_FLOPS(J85:M85,J89:M89,L89,1,H132)</f>
        <v>#N/A</v>
      </c>
      <c r="I133" s="460"/>
      <c r="J133" s="454"/>
      <c r="K133" s="454"/>
      <c r="L133" s="455"/>
      <c r="M133" s="455"/>
      <c r="N133" s="455"/>
      <c r="O133" s="454"/>
      <c r="P133" s="457"/>
      <c r="Q133" s="11"/>
      <c r="AG133" s="2"/>
      <c r="AH133" s="2"/>
      <c r="AI133" s="2"/>
      <c r="AJ133" s="2"/>
      <c r="AK133" s="2"/>
      <c r="AL133" s="2"/>
      <c r="AM133" s="2"/>
      <c r="AN133" s="2"/>
      <c r="AO133" s="2"/>
      <c r="AP133" s="2"/>
      <c r="AQ133" s="2"/>
      <c r="AR133" s="2"/>
      <c r="AS133" s="2"/>
      <c r="AT133" s="2"/>
    </row>
    <row r="134">
      <c r="A134" s="161"/>
      <c r="B134" s="161"/>
      <c r="C134" s="161"/>
      <c r="E134" s="341"/>
      <c r="F134" s="352"/>
      <c r="G134" s="462" t="s">
        <v>330</v>
      </c>
      <c r="H134" s="463" t="str">
        <f>COMPUTE_TIME_MS(H133, H132)</f>
        <v>#N/A</v>
      </c>
      <c r="I134" s="464"/>
      <c r="J134" s="465"/>
      <c r="K134" s="465"/>
      <c r="L134" s="466"/>
      <c r="M134" s="466"/>
      <c r="N134" s="466"/>
      <c r="O134" s="465"/>
      <c r="P134" s="467"/>
      <c r="Q134" s="11"/>
      <c r="AG134" s="2"/>
      <c r="AH134" s="2"/>
      <c r="AI134" s="2"/>
      <c r="AJ134" s="2"/>
      <c r="AK134" s="2"/>
      <c r="AL134" s="2"/>
      <c r="AM134" s="2"/>
      <c r="AN134" s="2"/>
      <c r="AO134" s="2"/>
      <c r="AP134" s="2"/>
      <c r="AQ134" s="2"/>
      <c r="AR134" s="2"/>
      <c r="AS134" s="2"/>
      <c r="AT134" s="2"/>
    </row>
    <row r="135">
      <c r="A135" s="161"/>
      <c r="B135" s="161"/>
      <c r="C135" s="161"/>
      <c r="E135" s="341"/>
      <c r="F135" s="458" t="s">
        <v>331</v>
      </c>
      <c r="G135" s="455" t="s">
        <v>332</v>
      </c>
      <c r="H135" s="468">
        <f>IF(Q82,0,P85)+IF(Q86,0,P89)+IF(Q90,0,P93)</f>
        <v>12.625</v>
      </c>
      <c r="I135" s="454"/>
      <c r="J135" s="454"/>
      <c r="K135" s="454"/>
      <c r="L135" s="455"/>
      <c r="M135" s="455"/>
      <c r="N135" s="455"/>
      <c r="O135" s="454"/>
      <c r="P135" s="457"/>
      <c r="Q135" s="11"/>
      <c r="AG135" s="2"/>
      <c r="AH135" s="2"/>
      <c r="AI135" s="2"/>
      <c r="AJ135" s="2"/>
      <c r="AK135" s="2"/>
      <c r="AL135" s="2"/>
      <c r="AM135" s="2"/>
      <c r="AN135" s="2"/>
      <c r="AO135" s="2"/>
      <c r="AP135" s="2"/>
      <c r="AQ135" s="2"/>
      <c r="AR135" s="2"/>
      <c r="AS135" s="2"/>
      <c r="AT135" s="2"/>
    </row>
    <row r="136">
      <c r="A136" s="161"/>
      <c r="B136" s="161"/>
      <c r="C136" s="161"/>
      <c r="E136" s="352"/>
      <c r="F136" s="352"/>
      <c r="G136" s="469" t="s">
        <v>333</v>
      </c>
      <c r="H136" s="470" t="str">
        <f>HBM_TIME_MS(H135)</f>
        <v>#N/A</v>
      </c>
      <c r="I136" s="465"/>
      <c r="J136" s="465"/>
      <c r="K136" s="465"/>
      <c r="L136" s="466"/>
      <c r="M136" s="466"/>
      <c r="N136" s="466"/>
      <c r="O136" s="465"/>
      <c r="P136" s="467"/>
      <c r="Q136" s="11"/>
      <c r="AH136" s="471"/>
      <c r="AI136" s="471"/>
      <c r="AJ136" s="471"/>
      <c r="AK136" s="2"/>
      <c r="AL136" s="2"/>
      <c r="AM136" s="2"/>
      <c r="AN136" s="2"/>
      <c r="AO136" s="2"/>
      <c r="AP136" s="2"/>
      <c r="AQ136" s="2"/>
      <c r="AR136" s="2"/>
      <c r="AS136" s="2"/>
      <c r="AT136" s="2"/>
    </row>
    <row r="137">
      <c r="E137" s="333" t="s">
        <v>334</v>
      </c>
      <c r="F137" s="357" t="s">
        <v>292</v>
      </c>
      <c r="G137" s="335"/>
      <c r="H137" s="364" t="s">
        <v>281</v>
      </c>
      <c r="I137" s="364" t="s">
        <v>282</v>
      </c>
      <c r="J137" s="364"/>
      <c r="K137" s="273" t="s">
        <v>104</v>
      </c>
      <c r="L137" s="273" t="s">
        <v>102</v>
      </c>
      <c r="M137" s="472" t="s">
        <v>195</v>
      </c>
      <c r="N137" s="364" t="s">
        <v>283</v>
      </c>
      <c r="O137" s="365" t="str">
        <f>EXTRACT_ACTIVATION_DTYPE(PARAMS("attn_proj_dtype"))</f>
        <v>bf16</v>
      </c>
      <c r="P137" s="366"/>
      <c r="Q137" s="365" t="b">
        <v>0</v>
      </c>
      <c r="R137" s="2"/>
      <c r="S137" s="2"/>
      <c r="AH137" s="471"/>
      <c r="AI137" s="471"/>
      <c r="AJ137" s="471"/>
      <c r="AK137" s="2"/>
      <c r="AL137" s="2"/>
      <c r="AM137" s="2"/>
      <c r="AN137" s="2"/>
      <c r="AO137" s="2"/>
      <c r="AP137" s="2"/>
      <c r="AQ137" s="2"/>
      <c r="AR137" s="2"/>
      <c r="AS137" s="2"/>
      <c r="AT137" s="2"/>
    </row>
    <row r="138">
      <c r="E138" s="341"/>
      <c r="F138" s="342"/>
      <c r="G138" s="343"/>
      <c r="H138" s="273" t="s">
        <v>285</v>
      </c>
      <c r="I138" s="364" t="s">
        <v>282</v>
      </c>
      <c r="J138" s="363"/>
      <c r="K138" s="363">
        <f t="shared" ref="K138:M138" si="22">PARAMS(K137)</f>
        <v>2048</v>
      </c>
      <c r="L138" s="364">
        <f t="shared" si="22"/>
        <v>1</v>
      </c>
      <c r="M138" s="364">
        <f t="shared" si="22"/>
        <v>1536</v>
      </c>
      <c r="N138" s="364" t="s">
        <v>283</v>
      </c>
      <c r="O138" s="341"/>
      <c r="P138" s="366">
        <f>SIZEOF_IN_MIB(J138:M138, $O137)</f>
        <v>6</v>
      </c>
      <c r="Q138" s="341"/>
      <c r="R138" s="2"/>
      <c r="S138" s="2"/>
      <c r="AH138" s="471"/>
      <c r="AI138" s="471"/>
      <c r="AJ138" s="471"/>
      <c r="AK138" s="2"/>
      <c r="AL138" s="2"/>
      <c r="AM138" s="2"/>
      <c r="AN138" s="2"/>
      <c r="AO138" s="2"/>
      <c r="AP138" s="2"/>
      <c r="AQ138" s="2"/>
      <c r="AR138" s="2"/>
      <c r="AS138" s="2"/>
      <c r="AT138" s="2"/>
    </row>
    <row r="139">
      <c r="E139" s="341"/>
      <c r="F139" s="342"/>
      <c r="G139" s="343"/>
      <c r="H139" s="363" t="s">
        <v>287</v>
      </c>
      <c r="I139" s="363" t="s">
        <v>282</v>
      </c>
      <c r="J139" s="364"/>
      <c r="K139" s="273" t="s">
        <v>96</v>
      </c>
      <c r="L139" s="273"/>
      <c r="M139" s="273" t="s">
        <v>97</v>
      </c>
      <c r="N139" s="363" t="s">
        <v>283</v>
      </c>
      <c r="O139" s="341"/>
      <c r="P139" s="366"/>
      <c r="Q139" s="341"/>
      <c r="R139" s="2"/>
      <c r="S139" s="2"/>
      <c r="AH139" s="471"/>
      <c r="AI139" s="471"/>
      <c r="AJ139" s="471"/>
      <c r="AK139" s="2"/>
      <c r="AL139" s="2"/>
      <c r="AM139" s="2"/>
      <c r="AN139" s="2"/>
      <c r="AO139" s="2"/>
      <c r="AP139" s="2"/>
      <c r="AQ139" s="2"/>
      <c r="AR139" s="2"/>
      <c r="AS139" s="2"/>
      <c r="AT139" s="2"/>
    </row>
    <row r="140">
      <c r="E140" s="341"/>
      <c r="F140" s="353"/>
      <c r="G140" s="354"/>
      <c r="H140" s="273" t="s">
        <v>289</v>
      </c>
      <c r="I140" s="363" t="s">
        <v>282</v>
      </c>
      <c r="J140" s="364"/>
      <c r="K140" s="363">
        <f t="shared" ref="K140:M140" si="23">K138/SHARDING(K139)</f>
        <v>256</v>
      </c>
      <c r="L140" s="363">
        <f t="shared" si="23"/>
        <v>1</v>
      </c>
      <c r="M140" s="363">
        <f t="shared" si="23"/>
        <v>768</v>
      </c>
      <c r="N140" s="363" t="s">
        <v>283</v>
      </c>
      <c r="O140" s="352"/>
      <c r="P140" s="366">
        <f>SIZEOF_IN_MIB(J140:M140, $O137)</f>
        <v>0.375</v>
      </c>
      <c r="Q140" s="352"/>
      <c r="R140" s="2"/>
      <c r="S140" s="2"/>
      <c r="AK140" s="2"/>
      <c r="AL140" s="2"/>
      <c r="AM140" s="2"/>
      <c r="AN140" s="2"/>
      <c r="AO140" s="2"/>
      <c r="AP140" s="2"/>
      <c r="AQ140" s="2"/>
      <c r="AR140" s="2"/>
      <c r="AS140" s="2"/>
      <c r="AT140" s="2"/>
    </row>
    <row r="141">
      <c r="E141" s="341"/>
      <c r="F141" s="334" t="s">
        <v>296</v>
      </c>
      <c r="G141" s="335"/>
      <c r="H141" s="363" t="s">
        <v>281</v>
      </c>
      <c r="I141" s="363" t="s">
        <v>282</v>
      </c>
      <c r="J141" s="364"/>
      <c r="K141" s="472" t="s">
        <v>195</v>
      </c>
      <c r="L141" s="273" t="s">
        <v>207</v>
      </c>
      <c r="M141" s="273" t="s">
        <v>209</v>
      </c>
      <c r="N141" s="363" t="s">
        <v>283</v>
      </c>
      <c r="O141" s="365" t="str">
        <f>EXTRACT_WEIGHT_DTYPE(PARAMS("attn_proj_dtype"))</f>
        <v>bf16</v>
      </c>
      <c r="P141" s="366"/>
      <c r="Q141" s="365" t="b">
        <v>0</v>
      </c>
      <c r="R141" s="2"/>
      <c r="S141" s="2"/>
      <c r="AK141" s="2"/>
      <c r="AL141" s="2"/>
      <c r="AM141" s="2"/>
      <c r="AN141" s="2"/>
      <c r="AO141" s="2"/>
      <c r="AP141" s="2"/>
      <c r="AQ141" s="2"/>
      <c r="AR141" s="2"/>
      <c r="AS141" s="2"/>
      <c r="AT141" s="2"/>
    </row>
    <row r="142">
      <c r="E142" s="341"/>
      <c r="F142" s="342"/>
      <c r="G142" s="343"/>
      <c r="H142" s="273" t="s">
        <v>285</v>
      </c>
      <c r="I142" s="363" t="s">
        <v>282</v>
      </c>
      <c r="J142" s="364"/>
      <c r="K142" s="363">
        <f t="shared" ref="K142:M142" si="24">PARAMS(K141)</f>
        <v>1536</v>
      </c>
      <c r="L142" s="363">
        <f t="shared" si="24"/>
        <v>128</v>
      </c>
      <c r="M142" s="363">
        <f t="shared" si="24"/>
        <v>192</v>
      </c>
      <c r="N142" s="363" t="s">
        <v>283</v>
      </c>
      <c r="O142" s="341"/>
      <c r="P142" s="366">
        <f>SIZEOF_IN_MIB(J142:M142, $O141)</f>
        <v>72</v>
      </c>
      <c r="Q142" s="341"/>
      <c r="R142" s="2"/>
      <c r="S142" s="2"/>
      <c r="AK142" s="2"/>
      <c r="AL142" s="2"/>
      <c r="AM142" s="2"/>
      <c r="AN142" s="2"/>
      <c r="AO142" s="2"/>
      <c r="AP142" s="2"/>
      <c r="AQ142" s="2"/>
      <c r="AR142" s="2"/>
      <c r="AS142" s="2"/>
      <c r="AT142" s="2"/>
    </row>
    <row r="143">
      <c r="E143" s="341"/>
      <c r="F143" s="342"/>
      <c r="G143" s="343"/>
      <c r="H143" s="363" t="s">
        <v>287</v>
      </c>
      <c r="I143" s="363" t="s">
        <v>282</v>
      </c>
      <c r="J143" s="364"/>
      <c r="K143" s="273" t="s">
        <v>97</v>
      </c>
      <c r="L143" s="363"/>
      <c r="M143" s="363"/>
      <c r="N143" s="363" t="s">
        <v>283</v>
      </c>
      <c r="O143" s="341"/>
      <c r="P143" s="366"/>
      <c r="Q143" s="341"/>
      <c r="R143" s="2"/>
      <c r="S143" s="2"/>
      <c r="AK143" s="2"/>
      <c r="AL143" s="2"/>
      <c r="AM143" s="2"/>
      <c r="AN143" s="2"/>
      <c r="AO143" s="2"/>
      <c r="AP143" s="2"/>
      <c r="AQ143" s="2"/>
      <c r="AR143" s="2"/>
      <c r="AS143" s="2"/>
      <c r="AT143" s="2"/>
    </row>
    <row r="144">
      <c r="E144" s="341"/>
      <c r="F144" s="353"/>
      <c r="G144" s="354"/>
      <c r="H144" s="349" t="s">
        <v>289</v>
      </c>
      <c r="I144" s="349" t="s">
        <v>282</v>
      </c>
      <c r="J144" s="336"/>
      <c r="K144" s="349">
        <f t="shared" ref="K144:M144" si="25">K142/SHARDING(K143)</f>
        <v>768</v>
      </c>
      <c r="L144" s="349">
        <f t="shared" si="25"/>
        <v>128</v>
      </c>
      <c r="M144" s="349">
        <f t="shared" si="25"/>
        <v>192</v>
      </c>
      <c r="N144" s="349" t="s">
        <v>283</v>
      </c>
      <c r="O144" s="316"/>
      <c r="P144" s="351">
        <f>SIZEOF_IN_MIB(J144:M144, $O141)</f>
        <v>36</v>
      </c>
      <c r="Q144" s="316"/>
      <c r="R144" s="2"/>
      <c r="S144" s="2"/>
      <c r="AK144" s="2"/>
      <c r="AL144" s="2"/>
      <c r="AM144" s="2"/>
      <c r="AN144" s="2"/>
      <c r="AO144" s="2"/>
      <c r="AP144" s="2"/>
      <c r="AQ144" s="2"/>
      <c r="AR144" s="2"/>
      <c r="AS144" s="2"/>
      <c r="AT144" s="2"/>
    </row>
    <row r="145">
      <c r="E145" s="341"/>
      <c r="F145" s="334" t="s">
        <v>56</v>
      </c>
      <c r="G145" s="335"/>
      <c r="H145" s="346" t="s">
        <v>281</v>
      </c>
      <c r="I145" s="346" t="s">
        <v>282</v>
      </c>
      <c r="J145" s="344" t="s">
        <v>104</v>
      </c>
      <c r="K145" s="344" t="s">
        <v>102</v>
      </c>
      <c r="L145" s="344" t="s">
        <v>207</v>
      </c>
      <c r="M145" s="344" t="s">
        <v>209</v>
      </c>
      <c r="N145" s="346" t="s">
        <v>283</v>
      </c>
      <c r="O145" s="473" t="s">
        <v>133</v>
      </c>
      <c r="P145" s="348"/>
      <c r="Q145" s="473" t="b">
        <v>0</v>
      </c>
      <c r="R145" s="2"/>
      <c r="S145" s="2"/>
      <c r="AK145" s="2"/>
      <c r="AL145" s="2"/>
      <c r="AM145" s="2"/>
      <c r="AN145" s="2"/>
      <c r="AO145" s="2"/>
      <c r="AP145" s="2"/>
      <c r="AQ145" s="2"/>
      <c r="AR145" s="2"/>
      <c r="AS145" s="2"/>
      <c r="AT145" s="2"/>
    </row>
    <row r="146">
      <c r="E146" s="341"/>
      <c r="F146" s="342"/>
      <c r="G146" s="343"/>
      <c r="H146" s="337" t="s">
        <v>285</v>
      </c>
      <c r="I146" s="349" t="s">
        <v>282</v>
      </c>
      <c r="J146" s="349">
        <f t="shared" ref="J146:M146" si="26">PARAMS(J145)</f>
        <v>2048</v>
      </c>
      <c r="K146" s="349">
        <f t="shared" si="26"/>
        <v>1</v>
      </c>
      <c r="L146" s="349">
        <f t="shared" si="26"/>
        <v>128</v>
      </c>
      <c r="M146" s="349">
        <f t="shared" si="26"/>
        <v>192</v>
      </c>
      <c r="N146" s="349" t="s">
        <v>283</v>
      </c>
      <c r="O146" s="350"/>
      <c r="P146" s="351">
        <f>SIZEOF_IN_MIB(J146:M146, $O145)</f>
        <v>96</v>
      </c>
      <c r="Q146" s="350"/>
      <c r="R146" s="2"/>
      <c r="S146" s="2"/>
      <c r="AK146" s="2"/>
      <c r="AL146" s="2"/>
      <c r="AM146" s="2"/>
      <c r="AN146" s="2"/>
      <c r="AO146" s="2"/>
      <c r="AP146" s="2"/>
      <c r="AQ146" s="2"/>
      <c r="AR146" s="2"/>
      <c r="AS146" s="2"/>
      <c r="AT146" s="2"/>
    </row>
    <row r="147">
      <c r="E147" s="341"/>
      <c r="F147" s="342"/>
      <c r="G147" s="343"/>
      <c r="H147" s="346" t="s">
        <v>287</v>
      </c>
      <c r="I147" s="346" t="s">
        <v>282</v>
      </c>
      <c r="J147" s="344" t="s">
        <v>196</v>
      </c>
      <c r="K147" s="344"/>
      <c r="L147" s="344"/>
      <c r="M147" s="346"/>
      <c r="N147" s="346" t="s">
        <v>283</v>
      </c>
      <c r="O147" s="347"/>
      <c r="P147" s="348"/>
      <c r="Q147" s="347"/>
      <c r="R147" s="2"/>
      <c r="S147" s="2"/>
      <c r="AK147" s="2"/>
      <c r="AL147" s="2"/>
      <c r="AM147" s="2"/>
      <c r="AN147" s="2"/>
      <c r="AO147" s="2"/>
      <c r="AP147" s="2"/>
      <c r="AQ147" s="2"/>
      <c r="AR147" s="2"/>
      <c r="AS147" s="2"/>
      <c r="AT147" s="2"/>
    </row>
    <row r="148">
      <c r="E148" s="341"/>
      <c r="F148" s="353"/>
      <c r="G148" s="354"/>
      <c r="H148" s="349" t="s">
        <v>289</v>
      </c>
      <c r="I148" s="349" t="s">
        <v>282</v>
      </c>
      <c r="J148" s="349">
        <f t="shared" ref="J148:M148" si="27">J146/SHARDING(J147)</f>
        <v>128</v>
      </c>
      <c r="K148" s="349">
        <f t="shared" si="27"/>
        <v>1</v>
      </c>
      <c r="L148" s="349">
        <f t="shared" si="27"/>
        <v>128</v>
      </c>
      <c r="M148" s="349">
        <f t="shared" si="27"/>
        <v>192</v>
      </c>
      <c r="N148" s="349" t="s">
        <v>283</v>
      </c>
      <c r="O148" s="316"/>
      <c r="P148" s="351">
        <f>SIZEOF_IN_MIB(J148:M148, $O145)</f>
        <v>6</v>
      </c>
      <c r="Q148" s="316"/>
      <c r="R148" s="2"/>
      <c r="S148" s="2"/>
      <c r="AK148" s="2"/>
      <c r="AL148" s="2"/>
      <c r="AM148" s="2"/>
      <c r="AN148" s="2"/>
      <c r="AO148" s="2"/>
      <c r="AP148" s="2"/>
      <c r="AQ148" s="2"/>
      <c r="AR148" s="2"/>
      <c r="AS148" s="2"/>
      <c r="AT148" s="2"/>
    </row>
    <row r="149">
      <c r="E149" s="341"/>
      <c r="F149" s="474" t="s">
        <v>335</v>
      </c>
      <c r="G149" s="551" t="s">
        <v>683</v>
      </c>
      <c r="H149" s="910"/>
      <c r="I149" s="911" t="s">
        <v>684</v>
      </c>
      <c r="J149" s="381"/>
      <c r="K149" s="787"/>
      <c r="L149" s="907"/>
      <c r="M149" s="907"/>
      <c r="N149" s="907"/>
      <c r="O149" s="787"/>
      <c r="P149" s="908"/>
      <c r="Q149" s="787"/>
      <c r="R149" s="2"/>
      <c r="S149" s="2"/>
      <c r="AK149" s="2"/>
      <c r="AL149" s="2"/>
      <c r="AM149" s="2"/>
      <c r="AN149" s="2"/>
      <c r="AO149" s="2"/>
      <c r="AP149" s="2"/>
      <c r="AQ149" s="2"/>
      <c r="AR149" s="2"/>
      <c r="AS149" s="2"/>
      <c r="AT149" s="2"/>
    </row>
    <row r="150">
      <c r="E150" s="341"/>
      <c r="F150" s="341"/>
      <c r="G150" s="458" t="s">
        <v>338</v>
      </c>
      <c r="H150" s="605" t="str">
        <f>K143</f>
        <v>data</v>
      </c>
      <c r="I150" s="298"/>
      <c r="J150" s="478"/>
      <c r="K150" s="336"/>
      <c r="L150" s="349"/>
      <c r="M150" s="349"/>
      <c r="N150" s="349"/>
      <c r="O150" s="336"/>
      <c r="P150" s="351"/>
      <c r="Q150" s="298"/>
      <c r="R150" s="2"/>
      <c r="S150" s="2"/>
      <c r="AK150" s="2"/>
      <c r="AL150" s="2"/>
      <c r="AM150" s="2"/>
      <c r="AN150" s="2"/>
      <c r="AO150" s="2"/>
      <c r="AP150" s="2"/>
      <c r="AQ150" s="2"/>
      <c r="AR150" s="2"/>
      <c r="AS150" s="2"/>
      <c r="AT150" s="2"/>
    </row>
    <row r="151">
      <c r="E151" s="341"/>
      <c r="F151" s="341"/>
      <c r="G151" s="458" t="s">
        <v>339</v>
      </c>
      <c r="H151" s="481" t="s">
        <v>306</v>
      </c>
      <c r="I151" s="387"/>
      <c r="J151" s="912">
        <v>2.0</v>
      </c>
      <c r="K151" s="345"/>
      <c r="L151" s="346"/>
      <c r="M151" s="346"/>
      <c r="N151" s="346"/>
      <c r="O151" s="345"/>
      <c r="P151" s="348"/>
      <c r="Q151" s="379"/>
      <c r="R151" s="2"/>
      <c r="S151" s="2"/>
      <c r="AK151" s="2"/>
      <c r="AL151" s="2"/>
      <c r="AM151" s="2"/>
      <c r="AN151" s="2"/>
      <c r="AO151" s="2"/>
      <c r="AP151" s="2"/>
      <c r="AQ151" s="2"/>
      <c r="AR151" s="2"/>
      <c r="AS151" s="2"/>
      <c r="AT151" s="2"/>
    </row>
    <row r="152">
      <c r="E152" s="341"/>
      <c r="F152" s="341"/>
      <c r="G152" s="341"/>
      <c r="H152" s="485" t="s">
        <v>307</v>
      </c>
      <c r="I152" s="391"/>
      <c r="J152" s="390">
        <f>P148/J151 * (J151-1)</f>
        <v>3</v>
      </c>
      <c r="K152" s="336"/>
      <c r="L152" s="349"/>
      <c r="M152" s="349"/>
      <c r="N152" s="349"/>
      <c r="O152" s="336"/>
      <c r="P152" s="351"/>
      <c r="Q152" s="298"/>
      <c r="R152" s="2"/>
      <c r="S152" s="2"/>
      <c r="AK152" s="2"/>
      <c r="AL152" s="2"/>
      <c r="AM152" s="2"/>
      <c r="AN152" s="2"/>
      <c r="AO152" s="2"/>
      <c r="AP152" s="2"/>
      <c r="AQ152" s="2"/>
      <c r="AR152" s="2"/>
      <c r="AS152" s="2"/>
      <c r="AT152" s="2"/>
    </row>
    <row r="153">
      <c r="E153" s="341"/>
      <c r="F153" s="341"/>
      <c r="G153" s="341"/>
      <c r="H153" s="481" t="s">
        <v>308</v>
      </c>
      <c r="I153" s="387"/>
      <c r="J153" s="395">
        <f>J152*J151</f>
        <v>6</v>
      </c>
      <c r="K153" s="345"/>
      <c r="L153" s="346"/>
      <c r="M153" s="346"/>
      <c r="N153" s="346"/>
      <c r="O153" s="345"/>
      <c r="P153" s="348"/>
      <c r="Q153" s="379"/>
      <c r="R153" s="2"/>
      <c r="S153" s="2"/>
      <c r="AK153" s="2"/>
      <c r="AL153" s="2"/>
      <c r="AM153" s="2"/>
      <c r="AN153" s="2"/>
      <c r="AO153" s="2"/>
      <c r="AP153" s="2"/>
      <c r="AQ153" s="2"/>
      <c r="AR153" s="2"/>
      <c r="AS153" s="2"/>
      <c r="AT153" s="2"/>
    </row>
    <row r="154">
      <c r="E154" s="341"/>
      <c r="F154" s="341"/>
      <c r="G154" s="352"/>
      <c r="H154" s="485" t="s">
        <v>311</v>
      </c>
      <c r="I154" s="391"/>
      <c r="J154" s="486" t="str">
        <f>ALL_GATHER_CORE2CORE_TIME_MS(J153)</f>
        <v>#N/A</v>
      </c>
      <c r="K154" s="336"/>
      <c r="L154" s="349"/>
      <c r="M154" s="349"/>
      <c r="N154" s="349"/>
      <c r="O154" s="336"/>
      <c r="P154" s="351"/>
      <c r="Q154" s="298"/>
      <c r="R154" s="2"/>
      <c r="S154" s="2"/>
      <c r="AK154" s="2"/>
      <c r="AL154" s="2"/>
      <c r="AM154" s="2"/>
      <c r="AN154" s="2"/>
      <c r="AO154" s="2"/>
      <c r="AP154" s="2"/>
      <c r="AQ154" s="2"/>
      <c r="AR154" s="2"/>
      <c r="AS154" s="2"/>
      <c r="AT154" s="2"/>
    </row>
    <row r="155">
      <c r="E155" s="341"/>
      <c r="F155" s="352"/>
      <c r="G155" s="462" t="s">
        <v>340</v>
      </c>
      <c r="H155" s="495" t="str">
        <f>J154</f>
        <v>#N/A</v>
      </c>
      <c r="I155" s="493"/>
      <c r="J155" s="345"/>
      <c r="K155" s="345"/>
      <c r="L155" s="346"/>
      <c r="M155" s="346"/>
      <c r="N155" s="346"/>
      <c r="O155" s="345"/>
      <c r="P155" s="348"/>
      <c r="Q155" s="379"/>
      <c r="R155" s="2"/>
      <c r="S155" s="2"/>
      <c r="AK155" s="2"/>
      <c r="AL155" s="2"/>
      <c r="AM155" s="2"/>
      <c r="AN155" s="2"/>
      <c r="AO155" s="2"/>
      <c r="AP155" s="2"/>
      <c r="AQ155" s="2"/>
      <c r="AR155" s="2"/>
      <c r="AS155" s="2"/>
      <c r="AT155" s="2"/>
    </row>
    <row r="156">
      <c r="E156" s="341"/>
      <c r="F156" s="458" t="s">
        <v>327</v>
      </c>
      <c r="G156" s="459" t="s">
        <v>328</v>
      </c>
      <c r="H156" s="349" t="str">
        <f>VLOOKUP(O137&amp;","&amp;O141,$T$3:$W$12,4, FALSE)</f>
        <v>bf16</v>
      </c>
      <c r="I156" s="492"/>
      <c r="J156" s="336"/>
      <c r="K156" s="336"/>
      <c r="L156" s="349"/>
      <c r="M156" s="349"/>
      <c r="N156" s="349"/>
      <c r="O156" s="336"/>
      <c r="P156" s="351"/>
      <c r="Q156" s="298"/>
      <c r="R156" s="2"/>
      <c r="S156" s="2"/>
      <c r="AK156" s="2"/>
      <c r="AL156" s="2"/>
      <c r="AM156" s="2"/>
      <c r="AN156" s="2"/>
      <c r="AO156" s="2"/>
      <c r="AP156" s="2"/>
      <c r="AQ156" s="2"/>
      <c r="AR156" s="2"/>
      <c r="AS156" s="2"/>
      <c r="AT156" s="2"/>
    </row>
    <row r="157">
      <c r="E157" s="341"/>
      <c r="F157" s="341"/>
      <c r="G157" s="455" t="s">
        <v>341</v>
      </c>
      <c r="H157" s="550" t="str">
        <f>CALCULATE_FLOPS(K140:M140,K144:M144,K144,1,H156)</f>
        <v>#N/A</v>
      </c>
      <c r="I157" s="493"/>
      <c r="J157" s="345"/>
      <c r="K157" s="345"/>
      <c r="L157" s="346"/>
      <c r="M157" s="346"/>
      <c r="N157" s="346"/>
      <c r="O157" s="345"/>
      <c r="P157" s="348"/>
      <c r="Q157" s="379"/>
      <c r="R157" s="2"/>
      <c r="S157" s="2"/>
      <c r="AK157" s="2"/>
      <c r="AL157" s="2"/>
      <c r="AM157" s="2"/>
      <c r="AN157" s="2"/>
      <c r="AO157" s="2"/>
      <c r="AP157" s="2"/>
      <c r="AQ157" s="2"/>
      <c r="AR157" s="2"/>
      <c r="AS157" s="2"/>
      <c r="AT157" s="2"/>
    </row>
    <row r="158">
      <c r="A158" s="207"/>
      <c r="B158" s="2"/>
      <c r="C158" s="2"/>
      <c r="D158" s="2"/>
      <c r="E158" s="341"/>
      <c r="F158" s="352"/>
      <c r="G158" s="462" t="s">
        <v>330</v>
      </c>
      <c r="H158" s="495" t="str">
        <f>COMPUTE_TIME_MS(H157, H156)</f>
        <v>#N/A</v>
      </c>
      <c r="I158" s="464"/>
      <c r="J158" s="465"/>
      <c r="K158" s="465"/>
      <c r="L158" s="466"/>
      <c r="M158" s="466"/>
      <c r="N158" s="466"/>
      <c r="O158" s="465"/>
      <c r="P158" s="467"/>
      <c r="Q158" s="298"/>
      <c r="R158" s="2"/>
      <c r="S158" s="2"/>
      <c r="AK158" s="2"/>
      <c r="AL158" s="2"/>
      <c r="AM158" s="2"/>
      <c r="AN158" s="2"/>
      <c r="AO158" s="2"/>
      <c r="AP158" s="2"/>
      <c r="AQ158" s="2"/>
      <c r="AR158" s="2"/>
      <c r="AS158" s="2"/>
      <c r="AT158" s="2"/>
    </row>
    <row r="159">
      <c r="A159" s="207"/>
      <c r="B159" s="2"/>
      <c r="C159" s="2"/>
      <c r="D159" s="2"/>
      <c r="E159" s="341"/>
      <c r="F159" s="458" t="s">
        <v>331</v>
      </c>
      <c r="G159" s="455" t="s">
        <v>332</v>
      </c>
      <c r="H159" s="509">
        <f>IF(Q137,0,P140)+IF(Q141,0,P144)+IF(Q145,0,P148)</f>
        <v>42.375</v>
      </c>
      <c r="I159" s="345"/>
      <c r="J159" s="345"/>
      <c r="K159" s="345"/>
      <c r="L159" s="346"/>
      <c r="M159" s="346"/>
      <c r="N159" s="346"/>
      <c r="O159" s="345"/>
      <c r="P159" s="348"/>
      <c r="Q159" s="379"/>
      <c r="R159" s="2"/>
      <c r="S159" s="2"/>
      <c r="AK159" s="2"/>
      <c r="AL159" s="2"/>
      <c r="AM159" s="2"/>
      <c r="AN159" s="2"/>
      <c r="AO159" s="2"/>
      <c r="AP159" s="2"/>
      <c r="AQ159" s="2"/>
      <c r="AR159" s="2"/>
      <c r="AS159" s="2"/>
      <c r="AT159" s="2"/>
    </row>
    <row r="160">
      <c r="A160" s="2"/>
      <c r="B160" s="2"/>
      <c r="C160" s="2"/>
      <c r="D160" s="2"/>
      <c r="E160" s="352"/>
      <c r="F160" s="352"/>
      <c r="G160" s="469" t="s">
        <v>333</v>
      </c>
      <c r="H160" s="496" t="str">
        <f>HBM_TIME_MS(H159)</f>
        <v>#N/A</v>
      </c>
      <c r="I160" s="465"/>
      <c r="J160" s="465"/>
      <c r="K160" s="465"/>
      <c r="L160" s="466"/>
      <c r="M160" s="466"/>
      <c r="N160" s="466"/>
      <c r="O160" s="465"/>
      <c r="P160" s="467"/>
      <c r="Q160" s="298"/>
      <c r="R160" s="2"/>
      <c r="S160" s="2"/>
      <c r="AK160" s="2"/>
      <c r="AL160" s="2"/>
      <c r="AM160" s="2"/>
      <c r="AN160" s="2"/>
      <c r="AO160" s="2"/>
      <c r="AP160" s="2"/>
      <c r="AQ160" s="2"/>
      <c r="AR160" s="2"/>
      <c r="AS160" s="2"/>
      <c r="AT160" s="2"/>
    </row>
    <row r="161">
      <c r="A161" s="161"/>
      <c r="B161" s="161"/>
      <c r="C161" s="161"/>
      <c r="D161" s="161"/>
      <c r="E161" s="333" t="s">
        <v>342</v>
      </c>
      <c r="F161" s="357" t="s">
        <v>292</v>
      </c>
      <c r="G161" s="335"/>
      <c r="H161" s="364" t="s">
        <v>281</v>
      </c>
      <c r="I161" s="364" t="s">
        <v>282</v>
      </c>
      <c r="J161" s="273" t="s">
        <v>104</v>
      </c>
      <c r="K161" s="273" t="s">
        <v>102</v>
      </c>
      <c r="L161" s="273" t="s">
        <v>207</v>
      </c>
      <c r="M161" s="472" t="s">
        <v>201</v>
      </c>
      <c r="N161" s="364" t="s">
        <v>283</v>
      </c>
      <c r="O161" s="365" t="str">
        <f>EXTRACT_ACTIVATION_DTYPE(PARAMS("attn_proj_dtype"))</f>
        <v>bf16</v>
      </c>
      <c r="P161" s="366"/>
      <c r="Q161" s="365" t="b">
        <v>0</v>
      </c>
      <c r="R161" s="2"/>
      <c r="S161" s="2"/>
      <c r="AK161" s="2"/>
      <c r="AL161" s="2"/>
      <c r="AM161" s="2"/>
      <c r="AN161" s="2"/>
      <c r="AO161" s="2"/>
      <c r="AP161" s="2"/>
      <c r="AQ161" s="2"/>
      <c r="AR161" s="2"/>
      <c r="AS161" s="2"/>
      <c r="AT161" s="2"/>
    </row>
    <row r="162">
      <c r="A162" s="161"/>
      <c r="B162" s="161"/>
      <c r="C162" s="161"/>
      <c r="D162" s="161"/>
      <c r="E162" s="341"/>
      <c r="F162" s="342"/>
      <c r="G162" s="343"/>
      <c r="H162" s="273" t="s">
        <v>285</v>
      </c>
      <c r="I162" s="364" t="s">
        <v>282</v>
      </c>
      <c r="J162" s="363">
        <f t="shared" ref="J162:M162" si="28">PARAMS(J161)</f>
        <v>2048</v>
      </c>
      <c r="K162" s="364">
        <f t="shared" si="28"/>
        <v>1</v>
      </c>
      <c r="L162" s="364">
        <f t="shared" si="28"/>
        <v>128</v>
      </c>
      <c r="M162" s="364">
        <f t="shared" si="28"/>
        <v>128</v>
      </c>
      <c r="N162" s="364" t="s">
        <v>283</v>
      </c>
      <c r="O162" s="341"/>
      <c r="P162" s="366">
        <f>SIZEOF_IN_MIB(J162:M162, $O161)</f>
        <v>64</v>
      </c>
      <c r="Q162" s="341"/>
      <c r="R162" s="2"/>
      <c r="S162" s="2"/>
      <c r="AK162" s="2"/>
      <c r="AL162" s="2"/>
      <c r="AM162" s="2"/>
      <c r="AN162" s="2"/>
      <c r="AO162" s="2"/>
      <c r="AP162" s="2"/>
      <c r="AQ162" s="2"/>
      <c r="AR162" s="2"/>
      <c r="AS162" s="2"/>
      <c r="AT162" s="2"/>
    </row>
    <row r="163">
      <c r="A163" s="161"/>
      <c r="B163" s="161"/>
      <c r="C163" s="161"/>
      <c r="D163" s="161"/>
      <c r="E163" s="341"/>
      <c r="F163" s="342"/>
      <c r="G163" s="343"/>
      <c r="H163" s="363" t="s">
        <v>287</v>
      </c>
      <c r="I163" s="363" t="s">
        <v>282</v>
      </c>
      <c r="J163" s="273" t="s">
        <v>196</v>
      </c>
      <c r="K163" s="273"/>
      <c r="L163" s="273"/>
      <c r="M163" s="363"/>
      <c r="N163" s="363" t="s">
        <v>283</v>
      </c>
      <c r="O163" s="341"/>
      <c r="P163" s="366"/>
      <c r="Q163" s="341"/>
      <c r="R163" s="2"/>
      <c r="S163" s="2"/>
      <c r="AG163" s="2"/>
      <c r="AH163" s="2"/>
      <c r="AI163" s="2"/>
      <c r="AJ163" s="2"/>
      <c r="AK163" s="2"/>
      <c r="AL163" s="2"/>
      <c r="AM163" s="2"/>
      <c r="AN163" s="2"/>
      <c r="AO163" s="2"/>
      <c r="AP163" s="2"/>
      <c r="AQ163" s="2"/>
      <c r="AR163" s="2"/>
      <c r="AS163" s="2"/>
      <c r="AT163" s="2"/>
    </row>
    <row r="164">
      <c r="A164" s="161"/>
      <c r="B164" s="161"/>
      <c r="C164" s="161"/>
      <c r="D164" s="161"/>
      <c r="E164" s="341"/>
      <c r="F164" s="353"/>
      <c r="G164" s="354"/>
      <c r="H164" s="273" t="s">
        <v>289</v>
      </c>
      <c r="I164" s="363" t="s">
        <v>282</v>
      </c>
      <c r="J164" s="363">
        <f t="shared" ref="J164:M164" si="29">J162/SHARDING(J163)</f>
        <v>128</v>
      </c>
      <c r="K164" s="363">
        <f t="shared" si="29"/>
        <v>1</v>
      </c>
      <c r="L164" s="363">
        <f t="shared" si="29"/>
        <v>128</v>
      </c>
      <c r="M164" s="363">
        <f t="shared" si="29"/>
        <v>128</v>
      </c>
      <c r="N164" s="363" t="s">
        <v>283</v>
      </c>
      <c r="O164" s="352"/>
      <c r="P164" s="366">
        <f>SIZEOF_IN_MIB(J164:M164, $O161)</f>
        <v>4</v>
      </c>
      <c r="Q164" s="352"/>
      <c r="R164" s="2"/>
      <c r="S164" s="2"/>
      <c r="AG164" s="2"/>
      <c r="AH164" s="2"/>
      <c r="AI164" s="2"/>
      <c r="AJ164" s="2"/>
      <c r="AK164" s="2"/>
      <c r="AL164" s="2"/>
      <c r="AM164" s="2"/>
      <c r="AN164" s="2"/>
      <c r="AO164" s="2"/>
      <c r="AP164" s="2"/>
      <c r="AQ164" s="2"/>
      <c r="AR164" s="2"/>
      <c r="AS164" s="2"/>
      <c r="AT164" s="2"/>
    </row>
    <row r="165">
      <c r="A165" s="161"/>
      <c r="B165" s="161"/>
      <c r="C165" s="161"/>
      <c r="D165" s="161"/>
      <c r="E165" s="341"/>
      <c r="F165" s="334" t="s">
        <v>296</v>
      </c>
      <c r="G165" s="335"/>
      <c r="H165" s="363" t="s">
        <v>281</v>
      </c>
      <c r="I165" s="363" t="s">
        <v>282</v>
      </c>
      <c r="J165" s="364"/>
      <c r="K165" s="273" t="s">
        <v>207</v>
      </c>
      <c r="L165" s="472" t="s">
        <v>201</v>
      </c>
      <c r="M165" s="273" t="s">
        <v>198</v>
      </c>
      <c r="N165" s="363" t="s">
        <v>283</v>
      </c>
      <c r="O165" s="365" t="str">
        <f>EXTRACT_WEIGHT_DTYPE(PARAMS("attn_proj_dtype"))</f>
        <v>bf16</v>
      </c>
      <c r="P165" s="366"/>
      <c r="Q165" s="365" t="b">
        <v>0</v>
      </c>
      <c r="R165" s="2"/>
      <c r="S165" s="2"/>
      <c r="AG165" s="2"/>
      <c r="AH165" s="2"/>
      <c r="AI165" s="2"/>
      <c r="AJ165" s="2"/>
      <c r="AK165" s="2"/>
      <c r="AL165" s="2"/>
      <c r="AM165" s="2"/>
      <c r="AN165" s="2"/>
      <c r="AO165" s="2"/>
      <c r="AP165" s="2"/>
      <c r="AQ165" s="2"/>
      <c r="AR165" s="2"/>
      <c r="AS165" s="2"/>
      <c r="AT165" s="2"/>
    </row>
    <row r="166">
      <c r="A166" s="161"/>
      <c r="B166" s="161"/>
      <c r="C166" s="161"/>
      <c r="D166" s="161"/>
      <c r="E166" s="341"/>
      <c r="F166" s="342"/>
      <c r="G166" s="343"/>
      <c r="H166" s="273" t="s">
        <v>285</v>
      </c>
      <c r="I166" s="363" t="s">
        <v>282</v>
      </c>
      <c r="J166" s="364"/>
      <c r="K166" s="363">
        <f t="shared" ref="K166:M166" si="30">PARAMS(K165)</f>
        <v>128</v>
      </c>
      <c r="L166" s="363">
        <f t="shared" si="30"/>
        <v>128</v>
      </c>
      <c r="M166" s="363">
        <f t="shared" si="30"/>
        <v>512</v>
      </c>
      <c r="N166" s="363" t="s">
        <v>283</v>
      </c>
      <c r="O166" s="341"/>
      <c r="P166" s="366">
        <f>SIZEOF_IN_MIB(J166:M166, $O165)</f>
        <v>16</v>
      </c>
      <c r="Q166" s="341"/>
      <c r="R166" s="2"/>
      <c r="S166" s="2"/>
      <c r="AG166" s="2"/>
      <c r="AH166" s="2"/>
      <c r="AI166" s="2"/>
      <c r="AJ166" s="2"/>
      <c r="AK166" s="2"/>
      <c r="AL166" s="2"/>
      <c r="AM166" s="2"/>
      <c r="AN166" s="2"/>
      <c r="AO166" s="2"/>
      <c r="AP166" s="2"/>
      <c r="AQ166" s="2"/>
      <c r="AR166" s="2"/>
      <c r="AS166" s="2"/>
      <c r="AT166" s="2"/>
    </row>
    <row r="167">
      <c r="A167" s="161"/>
      <c r="B167" s="161"/>
      <c r="C167" s="161"/>
      <c r="D167" s="161"/>
      <c r="E167" s="341"/>
      <c r="F167" s="342"/>
      <c r="G167" s="343"/>
      <c r="H167" s="363" t="s">
        <v>287</v>
      </c>
      <c r="I167" s="363" t="s">
        <v>282</v>
      </c>
      <c r="J167" s="364"/>
      <c r="K167" s="364"/>
      <c r="L167" s="363"/>
      <c r="M167" s="363"/>
      <c r="N167" s="363" t="s">
        <v>283</v>
      </c>
      <c r="O167" s="341"/>
      <c r="P167" s="366"/>
      <c r="Q167" s="341"/>
      <c r="R167" s="2"/>
      <c r="S167" s="2"/>
      <c r="AG167" s="2"/>
      <c r="AH167" s="2"/>
      <c r="AI167" s="2"/>
      <c r="AJ167" s="2"/>
      <c r="AK167" s="2"/>
      <c r="AL167" s="2"/>
      <c r="AM167" s="2"/>
      <c r="AN167" s="2"/>
      <c r="AO167" s="2"/>
      <c r="AP167" s="2"/>
      <c r="AQ167" s="2"/>
      <c r="AR167" s="2"/>
      <c r="AS167" s="2"/>
      <c r="AT167" s="2"/>
    </row>
    <row r="168">
      <c r="A168" s="161"/>
      <c r="B168" s="161"/>
      <c r="C168" s="161"/>
      <c r="D168" s="161"/>
      <c r="E168" s="341"/>
      <c r="F168" s="353"/>
      <c r="G168" s="354"/>
      <c r="H168" s="349" t="s">
        <v>289</v>
      </c>
      <c r="I168" s="349" t="s">
        <v>282</v>
      </c>
      <c r="J168" s="336"/>
      <c r="K168" s="349">
        <f t="shared" ref="K168:M168" si="31">K166/SHARDING(K167)</f>
        <v>128</v>
      </c>
      <c r="L168" s="349">
        <f t="shared" si="31"/>
        <v>128</v>
      </c>
      <c r="M168" s="349">
        <f t="shared" si="31"/>
        <v>512</v>
      </c>
      <c r="N168" s="349" t="s">
        <v>283</v>
      </c>
      <c r="O168" s="316"/>
      <c r="P168" s="351">
        <f>SIZEOF_IN_MIB(J168:M168, $O165)</f>
        <v>16</v>
      </c>
      <c r="Q168" s="316"/>
      <c r="R168" s="2"/>
      <c r="S168" s="2"/>
      <c r="T168" s="284"/>
      <c r="U168" s="284"/>
      <c r="V168" s="284"/>
      <c r="W168" s="284"/>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161"/>
      <c r="B169" s="161"/>
      <c r="C169" s="161"/>
      <c r="D169" s="161"/>
      <c r="E169" s="341"/>
      <c r="F169" s="334" t="s">
        <v>56</v>
      </c>
      <c r="G169" s="335"/>
      <c r="H169" s="346" t="s">
        <v>281</v>
      </c>
      <c r="I169" s="346" t="s">
        <v>282</v>
      </c>
      <c r="J169" s="344" t="s">
        <v>104</v>
      </c>
      <c r="K169" s="344" t="s">
        <v>102</v>
      </c>
      <c r="L169" s="344" t="s">
        <v>207</v>
      </c>
      <c r="M169" s="344" t="s">
        <v>198</v>
      </c>
      <c r="N169" s="346" t="s">
        <v>283</v>
      </c>
      <c r="O169" s="473" t="s">
        <v>133</v>
      </c>
      <c r="P169" s="348"/>
      <c r="Q169" s="473" t="b">
        <v>0</v>
      </c>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41"/>
      <c r="F170" s="342"/>
      <c r="G170" s="343"/>
      <c r="H170" s="337" t="s">
        <v>285</v>
      </c>
      <c r="I170" s="349" t="s">
        <v>282</v>
      </c>
      <c r="J170" s="349">
        <f t="shared" ref="J170:M170" si="32">PARAMS(J169)</f>
        <v>2048</v>
      </c>
      <c r="K170" s="349">
        <f t="shared" si="32"/>
        <v>1</v>
      </c>
      <c r="L170" s="349">
        <f t="shared" si="32"/>
        <v>128</v>
      </c>
      <c r="M170" s="349">
        <f t="shared" si="32"/>
        <v>512</v>
      </c>
      <c r="N170" s="349" t="s">
        <v>283</v>
      </c>
      <c r="O170" s="350"/>
      <c r="P170" s="351">
        <f>SIZEOF_IN_MIB(J170:M170, $O169)</f>
        <v>256</v>
      </c>
      <c r="Q170" s="350"/>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41"/>
      <c r="F171" s="342"/>
      <c r="G171" s="343"/>
      <c r="H171" s="346" t="s">
        <v>287</v>
      </c>
      <c r="I171" s="346" t="s">
        <v>282</v>
      </c>
      <c r="J171" s="344" t="s">
        <v>196</v>
      </c>
      <c r="K171" s="344"/>
      <c r="L171" s="344"/>
      <c r="M171" s="346"/>
      <c r="N171" s="346" t="s">
        <v>283</v>
      </c>
      <c r="O171" s="347"/>
      <c r="P171" s="348"/>
      <c r="Q171" s="347"/>
      <c r="R171" s="2"/>
      <c r="S171" s="2"/>
      <c r="T171" s="284"/>
      <c r="U171" s="284"/>
      <c r="V171" s="284"/>
      <c r="W171" s="284"/>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53"/>
      <c r="G172" s="354"/>
      <c r="H172" s="349" t="s">
        <v>289</v>
      </c>
      <c r="I172" s="349" t="s">
        <v>282</v>
      </c>
      <c r="J172" s="349">
        <f t="shared" ref="J172:M172" si="33">J170/SHARDING(J171)</f>
        <v>128</v>
      </c>
      <c r="K172" s="349">
        <f t="shared" si="33"/>
        <v>1</v>
      </c>
      <c r="L172" s="349">
        <f t="shared" si="33"/>
        <v>128</v>
      </c>
      <c r="M172" s="349">
        <f t="shared" si="33"/>
        <v>512</v>
      </c>
      <c r="N172" s="349" t="s">
        <v>283</v>
      </c>
      <c r="O172" s="316"/>
      <c r="P172" s="351">
        <f>SIZEOF_IN_MIB(J172:M172, $O169)</f>
        <v>16</v>
      </c>
      <c r="Q172" s="316"/>
      <c r="R172" s="2"/>
      <c r="S172" s="2"/>
      <c r="T172" s="284"/>
      <c r="U172" s="284"/>
      <c r="V172" s="284"/>
      <c r="W172" s="284"/>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474" t="s">
        <v>335</v>
      </c>
      <c r="G173" s="459" t="s">
        <v>109</v>
      </c>
      <c r="H173" s="497"/>
      <c r="I173" s="498"/>
      <c r="J173" s="345"/>
      <c r="K173" s="345"/>
      <c r="L173" s="346"/>
      <c r="M173" s="346"/>
      <c r="N173" s="346"/>
      <c r="O173" s="345"/>
      <c r="P173" s="348"/>
      <c r="Q173" s="379"/>
      <c r="T173" s="4"/>
      <c r="U173" s="4"/>
      <c r="V173" s="4"/>
      <c r="W173" s="4"/>
    </row>
    <row r="174">
      <c r="A174" s="161"/>
      <c r="B174" s="2"/>
      <c r="C174" s="2"/>
      <c r="D174" s="2"/>
      <c r="E174" s="341"/>
      <c r="F174" s="352"/>
      <c r="G174" s="459"/>
      <c r="H174" s="349"/>
      <c r="I174" s="492"/>
      <c r="J174" s="336"/>
      <c r="K174" s="336"/>
      <c r="L174" s="349"/>
      <c r="M174" s="349"/>
      <c r="N174" s="349"/>
      <c r="O174" s="336"/>
      <c r="P174" s="351"/>
      <c r="Q174" s="298"/>
      <c r="T174" s="4"/>
      <c r="U174" s="4"/>
      <c r="V174" s="4"/>
      <c r="W174" s="4"/>
    </row>
    <row r="175">
      <c r="A175" s="2"/>
      <c r="B175" s="2"/>
      <c r="C175" s="2"/>
      <c r="D175" s="2"/>
      <c r="E175" s="341"/>
      <c r="F175" s="458" t="s">
        <v>327</v>
      </c>
      <c r="G175" s="459" t="s">
        <v>328</v>
      </c>
      <c r="H175" s="346" t="str">
        <f>VLOOKUP(O161&amp;","&amp;O165,$T$3:$W$12,4, FALSE)</f>
        <v>bf16</v>
      </c>
      <c r="I175" s="493"/>
      <c r="J175" s="345"/>
      <c r="K175" s="345"/>
      <c r="L175" s="346"/>
      <c r="M175" s="346"/>
      <c r="N175" s="346"/>
      <c r="O175" s="345"/>
      <c r="P175" s="348"/>
      <c r="Q175" s="379"/>
      <c r="T175" s="4"/>
      <c r="U175" s="4"/>
      <c r="V175" s="4"/>
      <c r="W175" s="4"/>
    </row>
    <row r="176">
      <c r="A176" s="161"/>
      <c r="B176" s="161"/>
      <c r="C176" s="161"/>
      <c r="D176" s="161"/>
      <c r="E176" s="341"/>
      <c r="F176" s="341"/>
      <c r="G176" s="455" t="s">
        <v>341</v>
      </c>
      <c r="H176" s="494" t="str">
        <f>CALCULATE_FLOPS(J164:M164,J168:M168,L168,K168,H175)</f>
        <v>#N/A</v>
      </c>
      <c r="I176" s="492"/>
      <c r="J176" s="336"/>
      <c r="K176" s="336"/>
      <c r="L176" s="349"/>
      <c r="M176" s="349"/>
      <c r="N176" s="349"/>
      <c r="O176" s="336"/>
      <c r="P176" s="351"/>
      <c r="Q176" s="298"/>
      <c r="T176" s="4"/>
      <c r="U176" s="4"/>
      <c r="V176" s="4"/>
      <c r="W176" s="4"/>
    </row>
    <row r="177">
      <c r="A177" s="161"/>
      <c r="B177" s="161"/>
      <c r="C177" s="161"/>
      <c r="D177" s="161"/>
      <c r="E177" s="341"/>
      <c r="F177" s="352"/>
      <c r="G177" s="462" t="s">
        <v>330</v>
      </c>
      <c r="H177" s="463" t="str">
        <f>COMPUTE_TIME_MS(H176, H175)</f>
        <v>#N/A</v>
      </c>
      <c r="I177" s="464"/>
      <c r="J177" s="465"/>
      <c r="K177" s="465"/>
      <c r="L177" s="466"/>
      <c r="M177" s="466"/>
      <c r="N177" s="466"/>
      <c r="O177" s="465"/>
      <c r="P177" s="467"/>
      <c r="Q177" s="379"/>
      <c r="T177" s="4"/>
      <c r="U177" s="4"/>
      <c r="V177" s="4"/>
      <c r="W177" s="4"/>
    </row>
    <row r="178">
      <c r="A178" s="161"/>
      <c r="B178" s="161"/>
      <c r="C178" s="161"/>
      <c r="D178" s="161"/>
      <c r="E178" s="341"/>
      <c r="F178" s="458" t="s">
        <v>331</v>
      </c>
      <c r="G178" s="455" t="s">
        <v>332</v>
      </c>
      <c r="H178" s="377">
        <f>IF(Q161,0,P164)+IF(Q165,0,P168)+IF(Q169,0,P172)</f>
        <v>36</v>
      </c>
      <c r="I178" s="336"/>
      <c r="J178" s="336"/>
      <c r="K178" s="336"/>
      <c r="L178" s="349"/>
      <c r="M178" s="349"/>
      <c r="N178" s="349"/>
      <c r="O178" s="336"/>
      <c r="P178" s="351"/>
      <c r="Q178" s="298"/>
      <c r="R178" s="2"/>
      <c r="S178" s="2"/>
      <c r="T178" s="284"/>
      <c r="U178" s="284"/>
      <c r="V178" s="284"/>
      <c r="W178" s="284"/>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61"/>
      <c r="B179" s="161"/>
      <c r="C179" s="161"/>
      <c r="D179" s="161"/>
      <c r="E179" s="352"/>
      <c r="F179" s="352"/>
      <c r="G179" s="469" t="s">
        <v>333</v>
      </c>
      <c r="H179" s="496" t="str">
        <f>HBM_TIME_MS(H178)</f>
        <v>#N/A</v>
      </c>
      <c r="I179" s="465"/>
      <c r="J179" s="465"/>
      <c r="K179" s="465"/>
      <c r="L179" s="466"/>
      <c r="M179" s="466"/>
      <c r="N179" s="466"/>
      <c r="O179" s="465"/>
      <c r="P179" s="467"/>
      <c r="Q179" s="379"/>
      <c r="R179" s="2"/>
      <c r="S179" s="2"/>
      <c r="T179" s="284"/>
      <c r="U179" s="284"/>
      <c r="V179" s="284"/>
      <c r="W179" s="284"/>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61"/>
      <c r="B180" s="161"/>
      <c r="C180" s="161"/>
      <c r="D180" s="161"/>
      <c r="E180" s="333" t="s">
        <v>343</v>
      </c>
      <c r="F180" s="357" t="s">
        <v>292</v>
      </c>
      <c r="G180" s="335"/>
      <c r="H180" s="336" t="s">
        <v>281</v>
      </c>
      <c r="I180" s="336" t="s">
        <v>282</v>
      </c>
      <c r="J180" s="337"/>
      <c r="K180" s="337" t="s">
        <v>104</v>
      </c>
      <c r="L180" s="337" t="s">
        <v>102</v>
      </c>
      <c r="M180" s="499" t="s">
        <v>178</v>
      </c>
      <c r="N180" s="336" t="s">
        <v>283</v>
      </c>
      <c r="O180" s="338" t="str">
        <f>EXTRACT_ACTIVATION_DTYPE(PARAMS("attn_proj_dtype"))</f>
        <v>bf16</v>
      </c>
      <c r="P180" s="351"/>
      <c r="Q180" s="338" t="b">
        <v>0</v>
      </c>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61"/>
      <c r="B181" s="161"/>
      <c r="C181" s="161"/>
      <c r="D181" s="161"/>
      <c r="E181" s="341"/>
      <c r="F181" s="342"/>
      <c r="G181" s="343"/>
      <c r="H181" s="273" t="s">
        <v>285</v>
      </c>
      <c r="I181" s="364" t="s">
        <v>282</v>
      </c>
      <c r="J181" s="363"/>
      <c r="K181" s="363">
        <f t="shared" ref="K181:M181" si="34">PARAMS(K180)</f>
        <v>2048</v>
      </c>
      <c r="L181" s="364">
        <f t="shared" si="34"/>
        <v>1</v>
      </c>
      <c r="M181" s="364">
        <f t="shared" si="34"/>
        <v>7168</v>
      </c>
      <c r="N181" s="364" t="s">
        <v>283</v>
      </c>
      <c r="O181" s="341"/>
      <c r="P181" s="366">
        <f>SIZEOF_IN_MIB(J181:M181, $O180)</f>
        <v>28</v>
      </c>
      <c r="Q181" s="341"/>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 r="A182" s="161"/>
      <c r="B182" s="161"/>
      <c r="C182" s="161"/>
      <c r="D182" s="161"/>
      <c r="E182" s="341"/>
      <c r="F182" s="342"/>
      <c r="G182" s="343"/>
      <c r="H182" s="363" t="s">
        <v>287</v>
      </c>
      <c r="I182" s="363" t="s">
        <v>282</v>
      </c>
      <c r="J182" s="364"/>
      <c r="K182" s="273" t="s">
        <v>196</v>
      </c>
      <c r="L182" s="273"/>
      <c r="M182" s="363"/>
      <c r="N182" s="363" t="s">
        <v>283</v>
      </c>
      <c r="O182" s="341"/>
      <c r="P182" s="366"/>
      <c r="Q182" s="341"/>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 r="A183" s="161"/>
      <c r="B183" s="161"/>
      <c r="C183" s="161"/>
      <c r="D183" s="161"/>
      <c r="E183" s="341"/>
      <c r="F183" s="353"/>
      <c r="G183" s="354"/>
      <c r="H183" s="273" t="s">
        <v>289</v>
      </c>
      <c r="I183" s="363" t="s">
        <v>282</v>
      </c>
      <c r="J183" s="364"/>
      <c r="K183" s="363">
        <f t="shared" ref="K183:M183" si="35">K181/SHARDING(K182)</f>
        <v>128</v>
      </c>
      <c r="L183" s="363">
        <f t="shared" si="35"/>
        <v>1</v>
      </c>
      <c r="M183" s="363">
        <f t="shared" si="35"/>
        <v>7168</v>
      </c>
      <c r="N183" s="363" t="s">
        <v>283</v>
      </c>
      <c r="O183" s="352"/>
      <c r="P183" s="366">
        <f>SIZEOF_IN_MIB(J183:M183, $O180)</f>
        <v>1.75</v>
      </c>
      <c r="Q183" s="35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 r="A184" s="161"/>
      <c r="B184" s="161"/>
      <c r="C184" s="161"/>
      <c r="D184" s="161"/>
      <c r="E184" s="341"/>
      <c r="F184" s="334" t="s">
        <v>296</v>
      </c>
      <c r="G184" s="335"/>
      <c r="H184" s="363" t="s">
        <v>281</v>
      </c>
      <c r="I184" s="363" t="s">
        <v>282</v>
      </c>
      <c r="J184" s="364"/>
      <c r="K184" s="273"/>
      <c r="L184" s="472" t="s">
        <v>178</v>
      </c>
      <c r="M184" s="273" t="s">
        <v>210</v>
      </c>
      <c r="N184" s="363" t="s">
        <v>283</v>
      </c>
      <c r="O184" s="365" t="str">
        <f>EXTRACT_WEIGHT_DTYPE(PARAMS("attn_proj_dtype"))</f>
        <v>bf16</v>
      </c>
      <c r="P184" s="366"/>
      <c r="Q184" s="365" t="b">
        <v>0</v>
      </c>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 r="A185" s="161"/>
      <c r="B185" s="161"/>
      <c r="C185" s="161"/>
      <c r="D185" s="161"/>
      <c r="E185" s="341"/>
      <c r="F185" s="342"/>
      <c r="G185" s="343"/>
      <c r="H185" s="273" t="s">
        <v>285</v>
      </c>
      <c r="I185" s="363" t="s">
        <v>282</v>
      </c>
      <c r="J185" s="364"/>
      <c r="K185" s="363"/>
      <c r="L185" s="363">
        <f t="shared" ref="L185:M185" si="36">PARAMS(L184)</f>
        <v>7168</v>
      </c>
      <c r="M185" s="363">
        <f t="shared" si="36"/>
        <v>576</v>
      </c>
      <c r="N185" s="363" t="s">
        <v>283</v>
      </c>
      <c r="O185" s="341"/>
      <c r="P185" s="366">
        <f>SIZEOF_IN_MIB(J185:M185, $O184)</f>
        <v>7.875</v>
      </c>
      <c r="Q185" s="341"/>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 r="A186" s="161"/>
      <c r="B186" s="161"/>
      <c r="C186" s="161"/>
      <c r="D186" s="161"/>
      <c r="E186" s="341"/>
      <c r="F186" s="342"/>
      <c r="G186" s="343"/>
      <c r="H186" s="363" t="s">
        <v>287</v>
      </c>
      <c r="I186" s="363" t="s">
        <v>282</v>
      </c>
      <c r="J186" s="364"/>
      <c r="K186" s="364"/>
      <c r="L186" s="363"/>
      <c r="M186" s="363"/>
      <c r="N186" s="363" t="s">
        <v>283</v>
      </c>
      <c r="O186" s="341"/>
      <c r="P186" s="366"/>
      <c r="Q186" s="341"/>
    </row>
    <row r="187">
      <c r="A187" s="161"/>
      <c r="B187" s="161"/>
      <c r="C187" s="161"/>
      <c r="D187" s="161"/>
      <c r="E187" s="341"/>
      <c r="F187" s="353"/>
      <c r="G187" s="354"/>
      <c r="H187" s="349" t="s">
        <v>289</v>
      </c>
      <c r="I187" s="349" t="s">
        <v>282</v>
      </c>
      <c r="J187" s="336"/>
      <c r="K187" s="349"/>
      <c r="L187" s="349">
        <f t="shared" ref="L187:M187" si="37">L185/SHARDING(L186)</f>
        <v>7168</v>
      </c>
      <c r="M187" s="349">
        <f t="shared" si="37"/>
        <v>576</v>
      </c>
      <c r="N187" s="349" t="s">
        <v>283</v>
      </c>
      <c r="O187" s="316"/>
      <c r="P187" s="351">
        <f>SIZEOF_IN_MIB(J187:M187, $O184)</f>
        <v>7.875</v>
      </c>
      <c r="Q187" s="316"/>
    </row>
    <row r="188">
      <c r="A188" s="161"/>
      <c r="B188" s="161"/>
      <c r="C188" s="161"/>
      <c r="D188" s="161"/>
      <c r="E188" s="341"/>
      <c r="F188" s="334" t="s">
        <v>56</v>
      </c>
      <c r="G188" s="335"/>
      <c r="H188" s="346" t="s">
        <v>281</v>
      </c>
      <c r="I188" s="346" t="s">
        <v>282</v>
      </c>
      <c r="J188" s="345"/>
      <c r="K188" s="344" t="s">
        <v>104</v>
      </c>
      <c r="L188" s="344" t="s">
        <v>102</v>
      </c>
      <c r="M188" s="344" t="s">
        <v>210</v>
      </c>
      <c r="N188" s="346" t="s">
        <v>283</v>
      </c>
      <c r="O188" s="473" t="s">
        <v>133</v>
      </c>
      <c r="P188" s="348"/>
      <c r="Q188" s="473" t="b">
        <v>0</v>
      </c>
    </row>
    <row r="189">
      <c r="A189" s="161"/>
      <c r="B189" s="2"/>
      <c r="C189" s="2"/>
      <c r="D189" s="2"/>
      <c r="E189" s="341"/>
      <c r="F189" s="342"/>
      <c r="G189" s="343"/>
      <c r="H189" s="337" t="s">
        <v>285</v>
      </c>
      <c r="I189" s="349" t="s">
        <v>282</v>
      </c>
      <c r="J189" s="336"/>
      <c r="K189" s="349">
        <f t="shared" ref="K189:M189" si="38">PARAMS(K188)</f>
        <v>2048</v>
      </c>
      <c r="L189" s="349">
        <f t="shared" si="38"/>
        <v>1</v>
      </c>
      <c r="M189" s="349">
        <f t="shared" si="38"/>
        <v>576</v>
      </c>
      <c r="N189" s="349" t="s">
        <v>283</v>
      </c>
      <c r="O189" s="350"/>
      <c r="P189" s="351">
        <f>SIZEOF_IN_MIB(K189:M189, $O188)</f>
        <v>2.25</v>
      </c>
      <c r="Q189" s="350"/>
    </row>
    <row r="190">
      <c r="A190" s="2"/>
      <c r="B190" s="2"/>
      <c r="C190" s="2"/>
      <c r="D190" s="2"/>
      <c r="E190" s="341"/>
      <c r="F190" s="342"/>
      <c r="G190" s="343"/>
      <c r="H190" s="346" t="s">
        <v>287</v>
      </c>
      <c r="I190" s="346" t="s">
        <v>282</v>
      </c>
      <c r="J190" s="345"/>
      <c r="K190" s="344" t="s">
        <v>196</v>
      </c>
      <c r="L190" s="344"/>
      <c r="M190" s="346"/>
      <c r="N190" s="346" t="s">
        <v>283</v>
      </c>
      <c r="O190" s="347"/>
      <c r="P190" s="348"/>
      <c r="Q190" s="347"/>
    </row>
    <row r="191">
      <c r="A191" s="161"/>
      <c r="B191" s="161"/>
      <c r="C191" s="161"/>
      <c r="D191" s="161"/>
      <c r="E191" s="341"/>
      <c r="F191" s="353"/>
      <c r="G191" s="354"/>
      <c r="H191" s="349" t="s">
        <v>289</v>
      </c>
      <c r="I191" s="349" t="s">
        <v>282</v>
      </c>
      <c r="J191" s="349"/>
      <c r="K191" s="349">
        <f t="shared" ref="K191:M191" si="39">K189/SHARDING(K190)</f>
        <v>128</v>
      </c>
      <c r="L191" s="349">
        <f t="shared" si="39"/>
        <v>1</v>
      </c>
      <c r="M191" s="349">
        <f t="shared" si="39"/>
        <v>576</v>
      </c>
      <c r="N191" s="349" t="s">
        <v>283</v>
      </c>
      <c r="O191" s="316"/>
      <c r="P191" s="351">
        <f>SIZEOF_IN_MIB(K191:M191, $O188)</f>
        <v>0.140625</v>
      </c>
      <c r="Q191" s="316"/>
    </row>
    <row r="192">
      <c r="A192" s="161"/>
      <c r="B192" s="161"/>
      <c r="C192" s="161"/>
      <c r="D192" s="161"/>
      <c r="E192" s="341"/>
      <c r="F192" s="474" t="s">
        <v>335</v>
      </c>
      <c r="G192" s="459" t="s">
        <v>109</v>
      </c>
      <c r="H192" s="497"/>
      <c r="I192" s="498"/>
      <c r="J192" s="345"/>
      <c r="K192" s="345"/>
      <c r="L192" s="346"/>
      <c r="M192" s="346"/>
      <c r="N192" s="346"/>
      <c r="O192" s="345"/>
      <c r="P192" s="348"/>
      <c r="Q192" s="379"/>
    </row>
    <row r="193">
      <c r="A193" s="161"/>
      <c r="B193" s="161"/>
      <c r="C193" s="161"/>
      <c r="D193" s="161"/>
      <c r="E193" s="341"/>
      <c r="F193" s="352"/>
      <c r="G193" s="459"/>
      <c r="H193" s="349"/>
      <c r="I193" s="492"/>
      <c r="J193" s="336"/>
      <c r="K193" s="336"/>
      <c r="L193" s="349"/>
      <c r="M193" s="349"/>
      <c r="N193" s="349"/>
      <c r="O193" s="336"/>
      <c r="P193" s="351"/>
      <c r="Q193" s="298"/>
    </row>
    <row r="194">
      <c r="A194" s="161"/>
      <c r="B194" s="161"/>
      <c r="C194" s="161"/>
      <c r="D194" s="161"/>
      <c r="E194" s="341"/>
      <c r="F194" s="458" t="s">
        <v>327</v>
      </c>
      <c r="G194" s="459" t="s">
        <v>328</v>
      </c>
      <c r="H194" s="346" t="str">
        <f>VLOOKUP(O180&amp;","&amp;O184,$T$3:$W$12,4, FALSE)</f>
        <v>bf16</v>
      </c>
      <c r="I194" s="493"/>
      <c r="J194" s="345"/>
      <c r="K194" s="345"/>
      <c r="L194" s="346"/>
      <c r="M194" s="346"/>
      <c r="N194" s="346"/>
      <c r="O194" s="345"/>
      <c r="P194" s="348"/>
      <c r="Q194" s="379"/>
    </row>
    <row r="195">
      <c r="A195" s="161"/>
      <c r="B195" s="161"/>
      <c r="C195" s="161"/>
      <c r="D195" s="161"/>
      <c r="E195" s="341"/>
      <c r="F195" s="341"/>
      <c r="G195" s="455" t="s">
        <v>341</v>
      </c>
      <c r="H195" s="494" t="str">
        <f>CALCULATE_FLOPS(J164:M164,J168:M168,L168,K168,H175)</f>
        <v>#N/A</v>
      </c>
      <c r="I195" s="492"/>
      <c r="J195" s="336"/>
      <c r="K195" s="336"/>
      <c r="L195" s="349"/>
      <c r="M195" s="349"/>
      <c r="N195" s="349"/>
      <c r="O195" s="336"/>
      <c r="P195" s="351"/>
      <c r="Q195" s="298"/>
    </row>
    <row r="196">
      <c r="A196" s="161"/>
      <c r="B196" s="161"/>
      <c r="C196" s="161"/>
      <c r="D196" s="161"/>
      <c r="E196" s="341"/>
      <c r="F196" s="352"/>
      <c r="G196" s="462" t="s">
        <v>330</v>
      </c>
      <c r="H196" s="495" t="str">
        <f>COMPUTE_TIME_MS(H195, H194)</f>
        <v>#N/A</v>
      </c>
      <c r="I196" s="464"/>
      <c r="J196" s="465"/>
      <c r="K196" s="465"/>
      <c r="L196" s="466"/>
      <c r="M196" s="466"/>
      <c r="N196" s="466"/>
      <c r="O196" s="465"/>
      <c r="P196" s="467"/>
      <c r="Q196" s="379"/>
    </row>
    <row r="197">
      <c r="A197" s="161"/>
      <c r="B197" s="161"/>
      <c r="C197" s="161"/>
      <c r="D197" s="161"/>
      <c r="E197" s="341"/>
      <c r="F197" s="458" t="s">
        <v>331</v>
      </c>
      <c r="G197" s="455" t="s">
        <v>332</v>
      </c>
      <c r="H197" s="377">
        <f>IF(Q180,0,P183)+IF(Q184,0,P187)+IF(Q188,0,P191)</f>
        <v>9.765625</v>
      </c>
      <c r="I197" s="336"/>
      <c r="J197" s="336"/>
      <c r="K197" s="336"/>
      <c r="L197" s="349"/>
      <c r="M197" s="349"/>
      <c r="N197" s="349"/>
      <c r="O197" s="336"/>
      <c r="P197" s="351"/>
      <c r="Q197" s="298"/>
    </row>
    <row r="198">
      <c r="A198" s="161"/>
      <c r="B198" s="161"/>
      <c r="C198" s="161"/>
      <c r="D198" s="161"/>
      <c r="E198" s="352"/>
      <c r="F198" s="352"/>
      <c r="G198" s="469" t="s">
        <v>333</v>
      </c>
      <c r="H198" s="500" t="str">
        <f>HBM_TIME_MS(H197)</f>
        <v>#N/A</v>
      </c>
      <c r="I198" s="465"/>
      <c r="J198" s="465"/>
      <c r="K198" s="465"/>
      <c r="L198" s="466"/>
      <c r="M198" s="466"/>
      <c r="N198" s="466"/>
      <c r="O198" s="465"/>
      <c r="P198" s="467"/>
      <c r="Q198" s="379"/>
    </row>
    <row r="199">
      <c r="A199" s="161"/>
      <c r="B199" s="161"/>
      <c r="C199" s="161"/>
      <c r="D199" s="161"/>
      <c r="E199" s="501" t="s">
        <v>344</v>
      </c>
      <c r="F199" s="474" t="s">
        <v>345</v>
      </c>
      <c r="G199" s="502" t="s">
        <v>301</v>
      </c>
      <c r="H199" s="503" t="s">
        <v>281</v>
      </c>
      <c r="I199" s="336" t="s">
        <v>282</v>
      </c>
      <c r="J199" s="504" t="str">
        <f t="array" ref="J199:M202">J188:M191</f>
        <v/>
      </c>
      <c r="K199" s="337" t="s">
        <v>104</v>
      </c>
      <c r="L199" s="337" t="s">
        <v>102</v>
      </c>
      <c r="M199" s="337" t="s">
        <v>210</v>
      </c>
      <c r="N199" s="349" t="s">
        <v>283</v>
      </c>
      <c r="O199" s="338" t="s">
        <v>125</v>
      </c>
      <c r="P199" s="505"/>
      <c r="Q199" s="506"/>
    </row>
    <row r="200">
      <c r="A200" s="161"/>
      <c r="B200" s="161"/>
      <c r="C200" s="161"/>
      <c r="D200" s="161"/>
      <c r="E200" s="341"/>
      <c r="F200" s="341"/>
      <c r="G200" s="341"/>
      <c r="H200" s="507" t="s">
        <v>285</v>
      </c>
      <c r="I200" s="345" t="s">
        <v>282</v>
      </c>
      <c r="J200" s="508"/>
      <c r="K200" s="345">
        <v>2048.0</v>
      </c>
      <c r="L200" s="346">
        <v>1.0</v>
      </c>
      <c r="M200" s="346">
        <v>576.0</v>
      </c>
      <c r="N200" s="346" t="s">
        <v>283</v>
      </c>
      <c r="O200" s="347"/>
      <c r="P200" s="509">
        <f>SIZEOF_IN_MIB(J200:M200, O199)</f>
        <v>1.125</v>
      </c>
      <c r="Q200" s="347"/>
    </row>
    <row r="201">
      <c r="A201" s="161"/>
      <c r="B201" s="161"/>
      <c r="C201" s="161"/>
      <c r="D201" s="161"/>
      <c r="E201" s="341"/>
      <c r="F201" s="341"/>
      <c r="G201" s="341"/>
      <c r="H201" s="503" t="s">
        <v>302</v>
      </c>
      <c r="I201" s="336" t="s">
        <v>282</v>
      </c>
      <c r="J201" s="504"/>
      <c r="K201" s="504" t="s">
        <v>196</v>
      </c>
      <c r="L201" s="349"/>
      <c r="M201" s="510"/>
      <c r="N201" s="349" t="s">
        <v>283</v>
      </c>
      <c r="O201" s="350"/>
      <c r="P201" s="511"/>
      <c r="Q201" s="350"/>
    </row>
    <row r="202">
      <c r="A202" s="161"/>
      <c r="B202" s="161"/>
      <c r="C202" s="161"/>
      <c r="D202" s="161"/>
      <c r="E202" s="341"/>
      <c r="F202" s="341"/>
      <c r="G202" s="341"/>
      <c r="H202" s="507" t="s">
        <v>303</v>
      </c>
      <c r="I202" s="345" t="s">
        <v>282</v>
      </c>
      <c r="J202" s="508"/>
      <c r="K202" s="346">
        <v>128.0</v>
      </c>
      <c r="L202" s="346">
        <v>1.0</v>
      </c>
      <c r="M202" s="346">
        <v>576.0</v>
      </c>
      <c r="N202" s="346" t="s">
        <v>283</v>
      </c>
      <c r="O202" s="347"/>
      <c r="P202" s="509">
        <f>SIZEOF_IN_MIB(J202:M202, O199)</f>
        <v>0.0703125</v>
      </c>
      <c r="Q202" s="347"/>
    </row>
    <row r="203">
      <c r="A203" s="161"/>
      <c r="B203" s="161"/>
      <c r="C203" s="161"/>
      <c r="D203" s="161"/>
      <c r="E203" s="341"/>
      <c r="F203" s="341"/>
      <c r="G203" s="341"/>
      <c r="H203" s="503" t="s">
        <v>304</v>
      </c>
      <c r="I203" s="336" t="s">
        <v>282</v>
      </c>
      <c r="J203" s="504"/>
      <c r="K203" s="504"/>
      <c r="L203" s="510"/>
      <c r="M203" s="510"/>
      <c r="N203" s="349" t="s">
        <v>283</v>
      </c>
      <c r="O203" s="350"/>
      <c r="P203" s="505"/>
      <c r="Q203" s="350"/>
    </row>
    <row r="204">
      <c r="A204" s="161"/>
      <c r="B204" s="161"/>
      <c r="C204" s="161"/>
      <c r="D204" s="161"/>
      <c r="E204" s="341"/>
      <c r="F204" s="341"/>
      <c r="G204" s="352"/>
      <c r="H204" s="507" t="s">
        <v>303</v>
      </c>
      <c r="I204" s="345" t="s">
        <v>282</v>
      </c>
      <c r="J204" s="508"/>
      <c r="K204" s="346">
        <f t="shared" ref="K204:M204" si="40">K200/SHARDING(K203)</f>
        <v>2048</v>
      </c>
      <c r="L204" s="346">
        <f t="shared" si="40"/>
        <v>1</v>
      </c>
      <c r="M204" s="346">
        <f t="shared" si="40"/>
        <v>576</v>
      </c>
      <c r="N204" s="346" t="s">
        <v>283</v>
      </c>
      <c r="O204" s="355"/>
      <c r="P204" s="509">
        <f>SIZEOF_IN_MIB(J204:M204, O199)</f>
        <v>1.125</v>
      </c>
      <c r="Q204" s="355"/>
    </row>
    <row r="205">
      <c r="A205" s="161"/>
      <c r="B205" s="161"/>
      <c r="C205" s="161"/>
      <c r="D205" s="161"/>
      <c r="E205" s="341"/>
      <c r="F205" s="341"/>
      <c r="G205" s="512" t="s">
        <v>305</v>
      </c>
      <c r="H205" s="513"/>
      <c r="I205" s="445"/>
      <c r="J205" s="445"/>
      <c r="K205" s="445"/>
      <c r="L205" s="514"/>
      <c r="M205" s="514"/>
      <c r="N205" s="514"/>
      <c r="O205" s="445"/>
      <c r="P205" s="515"/>
      <c r="Q205" s="445"/>
    </row>
    <row r="206">
      <c r="A206" s="161"/>
      <c r="B206" s="161"/>
      <c r="C206" s="161"/>
      <c r="D206" s="161"/>
      <c r="E206" s="341"/>
      <c r="F206" s="341"/>
      <c r="G206" s="516" t="s">
        <v>306</v>
      </c>
      <c r="H206" s="517">
        <f>SHARDING(K201)*SHARDING(L201)*SHARDING(M201)</f>
        <v>16</v>
      </c>
      <c r="I206" s="508"/>
      <c r="J206" s="508"/>
      <c r="K206" s="508"/>
      <c r="L206" s="518"/>
      <c r="M206" s="518"/>
      <c r="N206" s="518"/>
      <c r="O206" s="508"/>
      <c r="P206" s="519"/>
      <c r="Q206" s="508"/>
    </row>
    <row r="207">
      <c r="A207" s="161"/>
      <c r="B207" s="161"/>
      <c r="C207" s="161"/>
      <c r="D207" s="161"/>
      <c r="E207" s="341"/>
      <c r="F207" s="341"/>
      <c r="G207" s="516" t="s">
        <v>307</v>
      </c>
      <c r="H207" s="520">
        <f>P202 * (H206-1)</f>
        <v>1.0546875</v>
      </c>
      <c r="I207" s="504"/>
      <c r="J207" s="504"/>
      <c r="K207" s="504"/>
      <c r="L207" s="510"/>
      <c r="M207" s="510"/>
      <c r="N207" s="510"/>
      <c r="O207" s="504"/>
      <c r="P207" s="511"/>
      <c r="Q207" s="504"/>
    </row>
    <row r="208">
      <c r="A208" s="161"/>
      <c r="B208" s="161"/>
      <c r="C208" s="161"/>
      <c r="D208" s="161"/>
      <c r="E208" s="341"/>
      <c r="F208" s="341"/>
      <c r="G208" s="516" t="s">
        <v>308</v>
      </c>
      <c r="H208" s="521">
        <f>H207*H206</f>
        <v>16.875</v>
      </c>
      <c r="I208" s="508"/>
      <c r="J208" s="508"/>
      <c r="K208" s="508"/>
      <c r="L208" s="518"/>
      <c r="M208" s="518"/>
      <c r="N208" s="518"/>
      <c r="O208" s="508"/>
      <c r="P208" s="519"/>
      <c r="Q208" s="508"/>
    </row>
    <row r="209">
      <c r="A209" s="161"/>
      <c r="B209" s="161"/>
      <c r="C209" s="161"/>
      <c r="D209" s="161"/>
      <c r="E209" s="341"/>
      <c r="F209" s="341"/>
      <c r="G209" s="516" t="s">
        <v>309</v>
      </c>
      <c r="H209" s="503" t="str">
        <f>IFS(H206=8,12,
H206=4,4,
H206=2,1,
H206=1,0,
TRUE,NA())</f>
        <v>#N/A</v>
      </c>
      <c r="I209" s="504"/>
      <c r="J209" s="504"/>
      <c r="K209" s="504"/>
      <c r="L209" s="510"/>
      <c r="M209" s="510"/>
      <c r="N209" s="510"/>
      <c r="O209" s="504"/>
      <c r="P209" s="511"/>
      <c r="Q209" s="504"/>
    </row>
    <row r="210">
      <c r="A210" s="161"/>
      <c r="B210" s="161"/>
      <c r="C210" s="161"/>
      <c r="D210" s="161"/>
      <c r="E210" s="341"/>
      <c r="F210" s="341"/>
      <c r="G210" s="522" t="s">
        <v>310</v>
      </c>
      <c r="H210" s="523">
        <v>1.0</v>
      </c>
      <c r="I210" s="508"/>
      <c r="J210" s="508"/>
      <c r="K210" s="508"/>
      <c r="L210" s="518"/>
      <c r="M210" s="518"/>
      <c r="N210" s="518"/>
      <c r="O210" s="508"/>
      <c r="P210" s="519"/>
      <c r="Q210" s="508"/>
    </row>
    <row r="211">
      <c r="A211" s="161"/>
      <c r="B211" s="161"/>
      <c r="C211" s="161"/>
      <c r="D211" s="161"/>
      <c r="E211" s="341"/>
      <c r="F211" s="341"/>
      <c r="G211" s="524" t="s">
        <v>311</v>
      </c>
      <c r="H211" s="525" t="str">
        <f>ALL_GATHER_CHIP2CHIP_TIME_MS2(H208 * H210, H209)</f>
        <v>#N/A</v>
      </c>
      <c r="I211" s="504"/>
      <c r="J211" s="504"/>
      <c r="K211" s="504"/>
      <c r="L211" s="510"/>
      <c r="M211" s="510"/>
      <c r="N211" s="510"/>
      <c r="O211" s="504"/>
      <c r="P211" s="511"/>
      <c r="Q211" s="504"/>
    </row>
    <row r="212">
      <c r="A212" s="161"/>
      <c r="B212" s="161"/>
      <c r="C212" s="161"/>
      <c r="D212" s="161"/>
      <c r="E212" s="341"/>
      <c r="F212" s="341"/>
      <c r="G212" s="522"/>
      <c r="H212" s="526"/>
      <c r="I212" s="508"/>
      <c r="J212" s="508"/>
      <c r="K212" s="508"/>
      <c r="L212" s="518"/>
      <c r="M212" s="518"/>
      <c r="N212" s="518"/>
      <c r="O212" s="508"/>
      <c r="P212" s="519"/>
      <c r="Q212" s="508"/>
    </row>
    <row r="213">
      <c r="A213" s="161"/>
      <c r="B213" s="161"/>
      <c r="C213" s="161"/>
      <c r="D213" s="161"/>
      <c r="E213" s="341"/>
      <c r="F213" s="341"/>
      <c r="G213" s="512" t="s">
        <v>312</v>
      </c>
      <c r="H213" s="513"/>
      <c r="I213" s="445"/>
      <c r="J213" s="445"/>
      <c r="K213" s="445"/>
      <c r="L213" s="514"/>
      <c r="M213" s="514"/>
      <c r="N213" s="514"/>
      <c r="O213" s="445"/>
      <c r="P213" s="515"/>
      <c r="Q213" s="445"/>
    </row>
    <row r="214">
      <c r="A214" s="161"/>
      <c r="B214" s="161"/>
      <c r="C214" s="161"/>
      <c r="D214" s="161"/>
      <c r="E214" s="341"/>
      <c r="F214" s="341"/>
      <c r="G214" s="527" t="s">
        <v>313</v>
      </c>
      <c r="H214" s="528" t="s">
        <v>306</v>
      </c>
      <c r="I214" s="508"/>
      <c r="J214" s="529" t="str">
        <f>SHARDING(K201)*SHARDING(L201)*SHARDING(M201)/HW_SPEC("# of TensorCore per Chip")</f>
        <v>#N/A</v>
      </c>
      <c r="K214" s="508"/>
      <c r="L214" s="518"/>
      <c r="M214" s="518"/>
      <c r="N214" s="518"/>
      <c r="O214" s="508"/>
      <c r="P214" s="519"/>
      <c r="Q214" s="508"/>
    </row>
    <row r="215">
      <c r="A215" s="161"/>
      <c r="B215" s="161"/>
      <c r="C215" s="161"/>
      <c r="D215" s="161"/>
      <c r="E215" s="341"/>
      <c r="F215" s="341"/>
      <c r="G215" s="341"/>
      <c r="H215" s="530" t="s">
        <v>307</v>
      </c>
      <c r="I215" s="504"/>
      <c r="J215" s="520" t="str">
        <f>P202 * HW_SPEC("# of TensorCore per Chip") * (J214-1)</f>
        <v>#N/A</v>
      </c>
      <c r="K215" s="504"/>
      <c r="L215" s="510"/>
      <c r="M215" s="510"/>
      <c r="N215" s="510"/>
      <c r="O215" s="504"/>
      <c r="P215" s="511"/>
      <c r="Q215" s="504"/>
    </row>
    <row r="216">
      <c r="A216" s="161"/>
      <c r="B216" s="161"/>
      <c r="C216" s="161"/>
      <c r="D216" s="161"/>
      <c r="E216" s="341"/>
      <c r="F216" s="341"/>
      <c r="G216" s="341"/>
      <c r="H216" s="528" t="s">
        <v>308</v>
      </c>
      <c r="I216" s="508"/>
      <c r="J216" s="521" t="str">
        <f>J215*J214</f>
        <v>#N/A</v>
      </c>
      <c r="K216" s="508"/>
      <c r="L216" s="518"/>
      <c r="M216" s="518"/>
      <c r="N216" s="518"/>
      <c r="O216" s="508"/>
      <c r="P216" s="519"/>
      <c r="Q216" s="508"/>
    </row>
    <row r="217">
      <c r="A217" s="161"/>
      <c r="B217" s="161"/>
      <c r="C217" s="161"/>
      <c r="D217" s="161"/>
      <c r="E217" s="341"/>
      <c r="F217" s="341"/>
      <c r="G217" s="341"/>
      <c r="H217" s="530" t="s">
        <v>309</v>
      </c>
      <c r="I217" s="504"/>
      <c r="J217" s="531" t="str">
        <f>IFS(J214=8,12,
J214=4,4,
J214=2,1,
J214=1,0,
TRUE,NA())</f>
        <v>#N/A</v>
      </c>
      <c r="K217" s="504"/>
      <c r="L217" s="510"/>
      <c r="M217" s="510"/>
      <c r="N217" s="510"/>
      <c r="O217" s="504"/>
      <c r="P217" s="511"/>
      <c r="Q217" s="504"/>
    </row>
    <row r="218">
      <c r="A218" s="161"/>
      <c r="B218" s="161"/>
      <c r="C218" s="161"/>
      <c r="D218" s="161"/>
      <c r="E218" s="341"/>
      <c r="F218" s="341"/>
      <c r="G218" s="341"/>
      <c r="H218" s="526" t="s">
        <v>310</v>
      </c>
      <c r="I218" s="508"/>
      <c r="J218" s="345">
        <v>2.0</v>
      </c>
      <c r="K218" s="508"/>
      <c r="L218" s="518"/>
      <c r="M218" s="518"/>
      <c r="N218" s="518"/>
      <c r="O218" s="508"/>
      <c r="P218" s="519"/>
      <c r="Q218" s="508"/>
    </row>
    <row r="219">
      <c r="A219" s="161"/>
      <c r="B219" s="161"/>
      <c r="C219" s="161"/>
      <c r="D219" s="161"/>
      <c r="E219" s="341"/>
      <c r="F219" s="341"/>
      <c r="G219" s="352"/>
      <c r="H219" s="530" t="s">
        <v>311</v>
      </c>
      <c r="I219" s="504"/>
      <c r="J219" s="532" t="str">
        <f>ALL_GATHER_CHIP2CHIP_TIME_MS2(J216 * J218, J217)</f>
        <v>#N/A</v>
      </c>
      <c r="K219" s="504"/>
      <c r="L219" s="510"/>
      <c r="M219" s="510"/>
      <c r="N219" s="510"/>
      <c r="O219" s="504"/>
      <c r="P219" s="511"/>
      <c r="Q219" s="504"/>
    </row>
    <row r="220">
      <c r="A220" s="161"/>
      <c r="B220" s="161"/>
      <c r="C220" s="161"/>
      <c r="D220" s="161"/>
      <c r="E220" s="341"/>
      <c r="F220" s="341"/>
      <c r="G220" s="527" t="s">
        <v>314</v>
      </c>
      <c r="H220" s="528" t="s">
        <v>306</v>
      </c>
      <c r="I220" s="508"/>
      <c r="J220" s="533" t="str">
        <f>HW_SPEC("# of TensorCore per Chip")</f>
        <v>#N/A</v>
      </c>
      <c r="K220" s="508"/>
      <c r="L220" s="518"/>
      <c r="M220" s="518"/>
      <c r="N220" s="518"/>
      <c r="O220" s="508"/>
      <c r="P220" s="519"/>
      <c r="Q220" s="508"/>
    </row>
    <row r="221">
      <c r="A221" s="161"/>
      <c r="B221" s="161"/>
      <c r="C221" s="161"/>
      <c r="D221" s="161"/>
      <c r="E221" s="341"/>
      <c r="F221" s="341"/>
      <c r="G221" s="341"/>
      <c r="H221" s="530" t="s">
        <v>307</v>
      </c>
      <c r="I221" s="504"/>
      <c r="J221" s="520" t="str">
        <f>P202*J214 * (J220-1)</f>
        <v>#N/A</v>
      </c>
      <c r="K221" s="504"/>
      <c r="L221" s="510"/>
      <c r="M221" s="510"/>
      <c r="N221" s="510"/>
      <c r="O221" s="504"/>
      <c r="P221" s="511"/>
      <c r="Q221" s="504"/>
    </row>
    <row r="222">
      <c r="A222" s="161"/>
      <c r="B222" s="161"/>
      <c r="C222" s="161"/>
      <c r="D222" s="161"/>
      <c r="E222" s="341"/>
      <c r="F222" s="341"/>
      <c r="G222" s="341"/>
      <c r="H222" s="528" t="s">
        <v>308</v>
      </c>
      <c r="I222" s="508"/>
      <c r="J222" s="521" t="str">
        <f>J221*J220</f>
        <v>#N/A</v>
      </c>
      <c r="K222" s="508"/>
      <c r="L222" s="518"/>
      <c r="M222" s="518"/>
      <c r="N222" s="518"/>
      <c r="O222" s="508"/>
      <c r="P222" s="519"/>
      <c r="Q222" s="508"/>
    </row>
    <row r="223">
      <c r="A223" s="161"/>
      <c r="B223" s="161"/>
      <c r="C223" s="161"/>
      <c r="D223" s="161"/>
      <c r="E223" s="341"/>
      <c r="F223" s="341"/>
      <c r="G223" s="341"/>
      <c r="H223" s="530" t="s">
        <v>311</v>
      </c>
      <c r="I223" s="504"/>
      <c r="J223" s="534" t="str">
        <f>ALL_GATHER_CORE2CORE_TIME_MS(J222)</f>
        <v>#N/A</v>
      </c>
      <c r="K223" s="504"/>
      <c r="L223" s="510"/>
      <c r="M223" s="510"/>
      <c r="N223" s="510"/>
      <c r="O223" s="504"/>
      <c r="P223" s="511"/>
      <c r="Q223" s="504"/>
    </row>
    <row r="224">
      <c r="A224" s="161"/>
      <c r="B224" s="161"/>
      <c r="C224" s="161"/>
      <c r="D224" s="161"/>
      <c r="E224" s="341"/>
      <c r="F224" s="341"/>
      <c r="G224" s="352"/>
      <c r="H224" s="535" t="s">
        <v>346</v>
      </c>
      <c r="I224" s="508"/>
      <c r="J224" s="536" t="str">
        <f>J223/J214</f>
        <v>#N/A</v>
      </c>
      <c r="K224" s="508"/>
      <c r="L224" s="518"/>
      <c r="M224" s="518"/>
      <c r="N224" s="518"/>
      <c r="O224" s="508"/>
      <c r="P224" s="519"/>
      <c r="Q224" s="508"/>
    </row>
    <row r="225">
      <c r="A225" s="161"/>
      <c r="B225" s="161"/>
      <c r="C225" s="161"/>
      <c r="D225" s="161"/>
      <c r="E225" s="341"/>
      <c r="F225" s="341"/>
      <c r="G225" s="524" t="s">
        <v>316</v>
      </c>
      <c r="H225" s="537" t="str">
        <f>J219+J224</f>
        <v>#N/A</v>
      </c>
      <c r="I225" s="504"/>
      <c r="J225" s="538"/>
      <c r="K225" s="504"/>
      <c r="L225" s="510"/>
      <c r="M225" s="510"/>
      <c r="N225" s="510"/>
      <c r="O225" s="504"/>
      <c r="P225" s="511"/>
      <c r="Q225" s="504"/>
    </row>
    <row r="226">
      <c r="A226" s="161"/>
      <c r="B226" s="161"/>
      <c r="C226" s="161"/>
      <c r="D226" s="161"/>
      <c r="E226" s="341"/>
      <c r="F226" s="341"/>
      <c r="G226" s="522"/>
      <c r="H226" s="539"/>
      <c r="I226" s="508"/>
      <c r="J226" s="540"/>
      <c r="K226" s="508"/>
      <c r="L226" s="518"/>
      <c r="M226" s="518"/>
      <c r="N226" s="518"/>
      <c r="O226" s="508"/>
      <c r="P226" s="519"/>
      <c r="Q226" s="508"/>
    </row>
    <row r="227">
      <c r="A227" s="161"/>
      <c r="B227" s="161"/>
      <c r="C227" s="161"/>
      <c r="D227" s="161"/>
      <c r="E227" s="341"/>
      <c r="F227" s="341"/>
      <c r="G227" s="541" t="s">
        <v>322</v>
      </c>
      <c r="H227" s="444" t="s">
        <v>323</v>
      </c>
      <c r="I227" s="445"/>
      <c r="J227" s="445"/>
      <c r="K227" s="445"/>
      <c r="L227" s="514"/>
      <c r="M227" s="514"/>
      <c r="N227" s="514"/>
      <c r="O227" s="445"/>
      <c r="P227" s="515"/>
      <c r="Q227" s="445"/>
    </row>
    <row r="228">
      <c r="A228" s="161"/>
      <c r="B228" s="161"/>
      <c r="C228" s="161"/>
      <c r="D228" s="161"/>
      <c r="E228" s="341"/>
      <c r="F228" s="341"/>
      <c r="G228" s="541" t="s">
        <v>340</v>
      </c>
      <c r="H228" s="542">
        <f>IFS(H227=G205,H211,
H227=G213,H225 ,
TRUE,0)</f>
        <v>0</v>
      </c>
      <c r="I228" s="445"/>
      <c r="J228" s="445"/>
      <c r="K228" s="445"/>
      <c r="L228" s="514"/>
      <c r="M228" s="514"/>
      <c r="N228" s="514"/>
      <c r="O228" s="445"/>
      <c r="P228" s="543"/>
      <c r="Q228" s="445"/>
    </row>
    <row r="229">
      <c r="A229" s="161"/>
      <c r="B229" s="161"/>
      <c r="C229" s="161"/>
      <c r="D229" s="161"/>
      <c r="E229" s="333" t="s">
        <v>347</v>
      </c>
      <c r="F229" s="357" t="s">
        <v>292</v>
      </c>
      <c r="G229" s="335"/>
      <c r="H229" s="364" t="s">
        <v>281</v>
      </c>
      <c r="I229" s="364" t="s">
        <v>282</v>
      </c>
      <c r="J229" s="273" t="s">
        <v>104</v>
      </c>
      <c r="K229" s="273" t="s">
        <v>102</v>
      </c>
      <c r="L229" s="273" t="s">
        <v>207</v>
      </c>
      <c r="M229" s="472" t="s">
        <v>198</v>
      </c>
      <c r="N229" s="364" t="s">
        <v>283</v>
      </c>
      <c r="O229" s="365" t="str">
        <f>PARAMS("attn_kv_k_dtype")</f>
        <v>bf16</v>
      </c>
      <c r="P229" s="366"/>
      <c r="Q229" s="365" t="b">
        <v>0</v>
      </c>
    </row>
    <row r="230">
      <c r="A230" s="161"/>
      <c r="B230" s="161"/>
      <c r="C230" s="161"/>
      <c r="D230" s="161"/>
      <c r="E230" s="341"/>
      <c r="F230" s="342"/>
      <c r="G230" s="343"/>
      <c r="H230" s="273" t="s">
        <v>285</v>
      </c>
      <c r="I230" s="364" t="s">
        <v>282</v>
      </c>
      <c r="J230" s="363">
        <f t="shared" ref="J230:M230" si="41">PARAMS(J229)</f>
        <v>2048</v>
      </c>
      <c r="K230" s="364">
        <f t="shared" si="41"/>
        <v>1</v>
      </c>
      <c r="L230" s="364">
        <f t="shared" si="41"/>
        <v>128</v>
      </c>
      <c r="M230" s="364">
        <f t="shared" si="41"/>
        <v>512</v>
      </c>
      <c r="N230" s="364" t="s">
        <v>283</v>
      </c>
      <c r="O230" s="341"/>
      <c r="P230" s="366">
        <f>SIZEOF_IN_MIB(J230:M230, $O229)</f>
        <v>256</v>
      </c>
      <c r="Q230" s="341"/>
    </row>
    <row r="231">
      <c r="A231" s="161"/>
      <c r="B231" s="161"/>
      <c r="C231" s="161"/>
      <c r="D231" s="161"/>
      <c r="E231" s="341"/>
      <c r="F231" s="342"/>
      <c r="G231" s="343"/>
      <c r="H231" s="363" t="s">
        <v>287</v>
      </c>
      <c r="I231" s="363" t="s">
        <v>282</v>
      </c>
      <c r="J231" s="273" t="s">
        <v>196</v>
      </c>
      <c r="K231" s="273"/>
      <c r="L231" s="273"/>
      <c r="M231" s="363"/>
      <c r="N231" s="363" t="s">
        <v>283</v>
      </c>
      <c r="O231" s="341"/>
      <c r="P231" s="366"/>
      <c r="Q231" s="341"/>
    </row>
    <row r="232">
      <c r="A232" s="161"/>
      <c r="B232" s="161"/>
      <c r="C232" s="161"/>
      <c r="D232" s="161"/>
      <c r="E232" s="341"/>
      <c r="F232" s="353"/>
      <c r="G232" s="354"/>
      <c r="H232" s="273" t="s">
        <v>289</v>
      </c>
      <c r="I232" s="363" t="s">
        <v>282</v>
      </c>
      <c r="J232" s="363">
        <f t="shared" ref="J232:M232" si="42">J230/SHARDING(J231)</f>
        <v>128</v>
      </c>
      <c r="K232" s="363">
        <f t="shared" si="42"/>
        <v>1</v>
      </c>
      <c r="L232" s="363">
        <f t="shared" si="42"/>
        <v>128</v>
      </c>
      <c r="M232" s="363">
        <f t="shared" si="42"/>
        <v>512</v>
      </c>
      <c r="N232" s="363" t="s">
        <v>283</v>
      </c>
      <c r="O232" s="352"/>
      <c r="P232" s="366">
        <f>SIZEOF_IN_MIB(J232:M232, $O229)</f>
        <v>16</v>
      </c>
      <c r="Q232" s="352"/>
    </row>
    <row r="233">
      <c r="A233" s="161"/>
      <c r="B233" s="161"/>
      <c r="C233" s="161"/>
      <c r="D233" s="161"/>
      <c r="E233" s="341"/>
      <c r="F233" s="334" t="s">
        <v>296</v>
      </c>
      <c r="G233" s="335"/>
      <c r="H233" s="363" t="s">
        <v>281</v>
      </c>
      <c r="I233" s="363" t="s">
        <v>282</v>
      </c>
      <c r="J233" s="364"/>
      <c r="K233" s="273" t="s">
        <v>104</v>
      </c>
      <c r="L233" s="273" t="s">
        <v>106</v>
      </c>
      <c r="M233" s="472" t="s">
        <v>198</v>
      </c>
      <c r="N233" s="363" t="s">
        <v>283</v>
      </c>
      <c r="O233" s="365" t="str">
        <f>PARAMS("kv_dtype")</f>
        <v>fp8</v>
      </c>
      <c r="P233" s="366"/>
      <c r="Q233" s="365" t="b">
        <v>0</v>
      </c>
    </row>
    <row r="234">
      <c r="E234" s="341"/>
      <c r="F234" s="342"/>
      <c r="G234" s="343"/>
      <c r="H234" s="273" t="s">
        <v>285</v>
      </c>
      <c r="I234" s="363" t="s">
        <v>282</v>
      </c>
      <c r="J234" s="364"/>
      <c r="K234" s="363">
        <f t="shared" ref="K234:M234" si="43">PARAMS(K233)</f>
        <v>2048</v>
      </c>
      <c r="L234" s="363">
        <f t="shared" si="43"/>
        <v>5120</v>
      </c>
      <c r="M234" s="363">
        <f t="shared" si="43"/>
        <v>512</v>
      </c>
      <c r="N234" s="363" t="s">
        <v>283</v>
      </c>
      <c r="O234" s="341"/>
      <c r="P234" s="366">
        <f>SIZEOF_IN_MIB(J234:M234, $O233)</f>
        <v>5120</v>
      </c>
      <c r="Q234" s="341"/>
    </row>
    <row r="235">
      <c r="E235" s="341"/>
      <c r="F235" s="342"/>
      <c r="G235" s="343"/>
      <c r="H235" s="363" t="s">
        <v>287</v>
      </c>
      <c r="I235" s="363" t="s">
        <v>282</v>
      </c>
      <c r="J235" s="364"/>
      <c r="K235" s="273" t="s">
        <v>196</v>
      </c>
      <c r="L235" s="363"/>
      <c r="M235" s="363"/>
      <c r="N235" s="363" t="s">
        <v>283</v>
      </c>
      <c r="O235" s="341"/>
      <c r="P235" s="366"/>
      <c r="Q235" s="341"/>
    </row>
    <row r="236">
      <c r="E236" s="341"/>
      <c r="F236" s="353"/>
      <c r="G236" s="354"/>
      <c r="H236" s="349" t="s">
        <v>289</v>
      </c>
      <c r="I236" s="349" t="s">
        <v>282</v>
      </c>
      <c r="J236" s="336"/>
      <c r="K236" s="349">
        <f t="shared" ref="K236:M236" si="44">K234/SHARDING(K235)</f>
        <v>128</v>
      </c>
      <c r="L236" s="349">
        <f t="shared" si="44"/>
        <v>5120</v>
      </c>
      <c r="M236" s="349">
        <f t="shared" si="44"/>
        <v>512</v>
      </c>
      <c r="N236" s="349" t="s">
        <v>283</v>
      </c>
      <c r="O236" s="316"/>
      <c r="P236" s="351">
        <f>SIZEOF_IN_MIB(J236:M236, $O233)</f>
        <v>320</v>
      </c>
      <c r="Q236" s="316"/>
    </row>
    <row r="237">
      <c r="E237" s="341"/>
      <c r="F237" s="334" t="s">
        <v>56</v>
      </c>
      <c r="G237" s="335"/>
      <c r="H237" s="346" t="s">
        <v>281</v>
      </c>
      <c r="I237" s="346" t="s">
        <v>282</v>
      </c>
      <c r="J237" s="344" t="s">
        <v>104</v>
      </c>
      <c r="K237" s="344" t="s">
        <v>102</v>
      </c>
      <c r="L237" s="344" t="s">
        <v>106</v>
      </c>
      <c r="M237" s="344" t="s">
        <v>207</v>
      </c>
      <c r="N237" s="346" t="s">
        <v>283</v>
      </c>
      <c r="O237" s="473" t="s">
        <v>133</v>
      </c>
      <c r="P237" s="348"/>
      <c r="Q237" s="473" t="b">
        <v>1</v>
      </c>
    </row>
    <row r="238">
      <c r="E238" s="341"/>
      <c r="F238" s="342"/>
      <c r="G238" s="343"/>
      <c r="H238" s="337" t="s">
        <v>285</v>
      </c>
      <c r="I238" s="349" t="s">
        <v>282</v>
      </c>
      <c r="J238" s="349">
        <f t="shared" ref="J238:M238" si="45">PARAMS(J237)</f>
        <v>2048</v>
      </c>
      <c r="K238" s="349">
        <f t="shared" si="45"/>
        <v>1</v>
      </c>
      <c r="L238" s="349">
        <f t="shared" si="45"/>
        <v>5120</v>
      </c>
      <c r="M238" s="349">
        <f t="shared" si="45"/>
        <v>128</v>
      </c>
      <c r="N238" s="349" t="s">
        <v>283</v>
      </c>
      <c r="O238" s="350"/>
      <c r="P238" s="351">
        <f>SIZEOF_IN_MIB(J238:M238, $O237)</f>
        <v>2560</v>
      </c>
      <c r="Q238" s="350"/>
    </row>
    <row r="239">
      <c r="E239" s="341"/>
      <c r="F239" s="342"/>
      <c r="G239" s="343"/>
      <c r="H239" s="346" t="s">
        <v>287</v>
      </c>
      <c r="I239" s="346" t="s">
        <v>282</v>
      </c>
      <c r="J239" s="344" t="s">
        <v>196</v>
      </c>
      <c r="K239" s="344"/>
      <c r="L239" s="344"/>
      <c r="M239" s="346"/>
      <c r="N239" s="346" t="s">
        <v>283</v>
      </c>
      <c r="O239" s="347"/>
      <c r="P239" s="348"/>
      <c r="Q239" s="347"/>
    </row>
    <row r="240">
      <c r="E240" s="341"/>
      <c r="F240" s="353"/>
      <c r="G240" s="354"/>
      <c r="H240" s="349" t="s">
        <v>289</v>
      </c>
      <c r="I240" s="349" t="s">
        <v>282</v>
      </c>
      <c r="J240" s="349">
        <f t="shared" ref="J240:M240" si="46">J238/SHARDING(J239)</f>
        <v>128</v>
      </c>
      <c r="K240" s="349">
        <f t="shared" si="46"/>
        <v>1</v>
      </c>
      <c r="L240" s="349">
        <f t="shared" si="46"/>
        <v>5120</v>
      </c>
      <c r="M240" s="349">
        <f t="shared" si="46"/>
        <v>128</v>
      </c>
      <c r="N240" s="349" t="s">
        <v>283</v>
      </c>
      <c r="O240" s="316"/>
      <c r="P240" s="351">
        <f>SIZEOF_IN_MIB(J240:M240, $O237)</f>
        <v>160</v>
      </c>
      <c r="Q240" s="316"/>
    </row>
    <row r="241">
      <c r="E241" s="341"/>
      <c r="F241" s="474" t="s">
        <v>335</v>
      </c>
      <c r="G241" s="459" t="s">
        <v>109</v>
      </c>
      <c r="H241" s="544" t="s">
        <v>348</v>
      </c>
      <c r="I241" s="345"/>
      <c r="J241" s="345"/>
      <c r="K241" s="345"/>
      <c r="L241" s="346"/>
      <c r="M241" s="346"/>
      <c r="N241" s="346"/>
      <c r="O241" s="545"/>
      <c r="P241" s="348"/>
      <c r="Q241" s="545"/>
    </row>
    <row r="242">
      <c r="E242" s="341"/>
      <c r="F242" s="352"/>
      <c r="G242" s="459"/>
      <c r="H242" s="349"/>
      <c r="I242" s="492"/>
      <c r="J242" s="336"/>
      <c r="K242" s="336"/>
      <c r="L242" s="349"/>
      <c r="M242" s="349"/>
      <c r="N242" s="349"/>
      <c r="O242" s="336"/>
      <c r="P242" s="351"/>
      <c r="Q242" s="298"/>
    </row>
    <row r="243">
      <c r="E243" s="341"/>
      <c r="F243" s="458" t="s">
        <v>327</v>
      </c>
      <c r="G243" s="459" t="s">
        <v>328</v>
      </c>
      <c r="H243" s="346" t="str">
        <f>VLOOKUP(O229&amp;","&amp;O233,$T$3:$W$12,4, FALSE)</f>
        <v>bf16</v>
      </c>
      <c r="I243" s="493"/>
      <c r="J243" s="345"/>
      <c r="K243" s="345"/>
      <c r="L243" s="346"/>
      <c r="M243" s="346"/>
      <c r="N243" s="346"/>
      <c r="O243" s="345"/>
      <c r="P243" s="348"/>
      <c r="Q243" s="379"/>
    </row>
    <row r="244">
      <c r="E244" s="341"/>
      <c r="F244" s="341"/>
      <c r="G244" s="455" t="s">
        <v>341</v>
      </c>
      <c r="H244" s="494" t="str">
        <f>CALCULATE_FLOPS(J232:M232,J236:M236,M236,K236,H243)</f>
        <v>#N/A</v>
      </c>
      <c r="I244" s="492"/>
      <c r="J244" s="336"/>
      <c r="K244" s="336"/>
      <c r="L244" s="349"/>
      <c r="M244" s="349"/>
      <c r="N244" s="349"/>
      <c r="O244" s="336"/>
      <c r="P244" s="351"/>
      <c r="Q244" s="298"/>
    </row>
    <row r="245">
      <c r="E245" s="341"/>
      <c r="F245" s="352"/>
      <c r="G245" s="462" t="s">
        <v>330</v>
      </c>
      <c r="H245" s="463" t="str">
        <f>COMPUTE_TIME_MS(H244, H243)</f>
        <v>#N/A</v>
      </c>
      <c r="I245" s="464"/>
      <c r="J245" s="465"/>
      <c r="K245" s="465"/>
      <c r="L245" s="466"/>
      <c r="M245" s="466"/>
      <c r="N245" s="466"/>
      <c r="O245" s="465"/>
      <c r="P245" s="467"/>
      <c r="Q245" s="379"/>
    </row>
    <row r="246">
      <c r="E246" s="341"/>
      <c r="F246" s="458" t="s">
        <v>331</v>
      </c>
      <c r="G246" s="455" t="s">
        <v>332</v>
      </c>
      <c r="H246" s="377">
        <f>IF(Q229,0,P232)+IF(Q233,0,P236)+IF(Q237,0,P240)</f>
        <v>336</v>
      </c>
      <c r="I246" s="336"/>
      <c r="J246" s="336"/>
      <c r="K246" s="336"/>
      <c r="L246" s="349"/>
      <c r="M246" s="349"/>
      <c r="N246" s="349"/>
      <c r="O246" s="336"/>
      <c r="P246" s="351"/>
      <c r="Q246" s="298"/>
    </row>
    <row r="247">
      <c r="E247" s="352"/>
      <c r="F247" s="352"/>
      <c r="G247" s="469" t="s">
        <v>333</v>
      </c>
      <c r="H247" s="500" t="str">
        <f>HBM_TIME_MS(H246)</f>
        <v>#N/A</v>
      </c>
      <c r="I247" s="465"/>
      <c r="J247" s="465"/>
      <c r="K247" s="465"/>
      <c r="L247" s="466"/>
      <c r="M247" s="466"/>
      <c r="N247" s="466"/>
      <c r="O247" s="465"/>
      <c r="P247" s="467"/>
      <c r="Q247" s="379"/>
    </row>
    <row r="248">
      <c r="E248" s="333" t="s">
        <v>349</v>
      </c>
      <c r="F248" s="357" t="s">
        <v>292</v>
      </c>
      <c r="G248" s="335"/>
      <c r="H248" s="364" t="s">
        <v>281</v>
      </c>
      <c r="I248" s="364" t="s">
        <v>282</v>
      </c>
      <c r="J248" s="273" t="s">
        <v>104</v>
      </c>
      <c r="K248" s="273" t="s">
        <v>102</v>
      </c>
      <c r="L248" s="273" t="s">
        <v>207</v>
      </c>
      <c r="M248" s="472" t="s">
        <v>204</v>
      </c>
      <c r="N248" s="364" t="s">
        <v>283</v>
      </c>
      <c r="O248" s="365" t="str">
        <f>PARAMS("attn_kv_k_dtype")</f>
        <v>bf16</v>
      </c>
      <c r="P248" s="366"/>
      <c r="Q248" s="365" t="b">
        <v>0</v>
      </c>
    </row>
    <row r="249">
      <c r="E249" s="341"/>
      <c r="F249" s="342"/>
      <c r="G249" s="343"/>
      <c r="H249" s="273" t="s">
        <v>285</v>
      </c>
      <c r="I249" s="364" t="s">
        <v>282</v>
      </c>
      <c r="J249" s="363">
        <f t="shared" ref="J249:M249" si="47">PARAMS(J248)</f>
        <v>2048</v>
      </c>
      <c r="K249" s="364">
        <f t="shared" si="47"/>
        <v>1</v>
      </c>
      <c r="L249" s="364">
        <f t="shared" si="47"/>
        <v>128</v>
      </c>
      <c r="M249" s="364">
        <f t="shared" si="47"/>
        <v>64</v>
      </c>
      <c r="N249" s="364" t="s">
        <v>283</v>
      </c>
      <c r="O249" s="341"/>
      <c r="P249" s="366">
        <f>SIZEOF_IN_MIB(J249:M249, $O248)</f>
        <v>32</v>
      </c>
      <c r="Q249" s="341"/>
    </row>
    <row r="250">
      <c r="E250" s="341"/>
      <c r="F250" s="342"/>
      <c r="G250" s="343"/>
      <c r="H250" s="363" t="s">
        <v>287</v>
      </c>
      <c r="I250" s="363" t="s">
        <v>282</v>
      </c>
      <c r="J250" s="273" t="s">
        <v>196</v>
      </c>
      <c r="K250" s="273"/>
      <c r="L250" s="273"/>
      <c r="M250" s="363"/>
      <c r="N250" s="363" t="s">
        <v>283</v>
      </c>
      <c r="O250" s="341"/>
      <c r="P250" s="366"/>
      <c r="Q250" s="341"/>
    </row>
    <row r="251">
      <c r="E251" s="341"/>
      <c r="F251" s="353"/>
      <c r="G251" s="354"/>
      <c r="H251" s="273" t="s">
        <v>289</v>
      </c>
      <c r="I251" s="363" t="s">
        <v>282</v>
      </c>
      <c r="J251" s="363">
        <f t="shared" ref="J251:M251" si="48">J249/SHARDING(J250)</f>
        <v>128</v>
      </c>
      <c r="K251" s="363">
        <f t="shared" si="48"/>
        <v>1</v>
      </c>
      <c r="L251" s="363">
        <f t="shared" si="48"/>
        <v>128</v>
      </c>
      <c r="M251" s="363">
        <f t="shared" si="48"/>
        <v>64</v>
      </c>
      <c r="N251" s="363" t="s">
        <v>283</v>
      </c>
      <c r="O251" s="352"/>
      <c r="P251" s="366">
        <f>SIZEOF_IN_MIB(J251:M251, $O248)</f>
        <v>2</v>
      </c>
      <c r="Q251" s="352"/>
    </row>
    <row r="252">
      <c r="E252" s="341"/>
      <c r="F252" s="334" t="s">
        <v>296</v>
      </c>
      <c r="G252" s="335"/>
      <c r="H252" s="363" t="s">
        <v>281</v>
      </c>
      <c r="I252" s="363" t="s">
        <v>282</v>
      </c>
      <c r="J252" s="364"/>
      <c r="K252" s="273" t="s">
        <v>104</v>
      </c>
      <c r="L252" s="273" t="s">
        <v>106</v>
      </c>
      <c r="M252" s="472" t="s">
        <v>204</v>
      </c>
      <c r="N252" s="363" t="s">
        <v>283</v>
      </c>
      <c r="O252" s="365" t="str">
        <f>PARAMS("kv_dtype")</f>
        <v>fp8</v>
      </c>
      <c r="P252" s="366"/>
      <c r="Q252" s="365" t="b">
        <v>0</v>
      </c>
    </row>
    <row r="253">
      <c r="E253" s="341"/>
      <c r="F253" s="342"/>
      <c r="G253" s="343"/>
      <c r="H253" s="273" t="s">
        <v>285</v>
      </c>
      <c r="I253" s="363" t="s">
        <v>282</v>
      </c>
      <c r="J253" s="364"/>
      <c r="K253" s="363">
        <f t="shared" ref="K253:M253" si="49">PARAMS(K252)</f>
        <v>2048</v>
      </c>
      <c r="L253" s="363">
        <f t="shared" si="49"/>
        <v>5120</v>
      </c>
      <c r="M253" s="363">
        <f t="shared" si="49"/>
        <v>64</v>
      </c>
      <c r="N253" s="363" t="s">
        <v>283</v>
      </c>
      <c r="O253" s="341"/>
      <c r="P253" s="366">
        <f>SIZEOF_IN_MIB(J253:M253, $O252)</f>
        <v>640</v>
      </c>
      <c r="Q253" s="341"/>
    </row>
    <row r="254">
      <c r="E254" s="341"/>
      <c r="F254" s="342"/>
      <c r="G254" s="343"/>
      <c r="H254" s="363" t="s">
        <v>287</v>
      </c>
      <c r="I254" s="363" t="s">
        <v>282</v>
      </c>
      <c r="J254" s="364"/>
      <c r="K254" s="273" t="s">
        <v>196</v>
      </c>
      <c r="L254" s="363"/>
      <c r="M254" s="363"/>
      <c r="N254" s="363" t="s">
        <v>283</v>
      </c>
      <c r="O254" s="341"/>
      <c r="P254" s="366"/>
      <c r="Q254" s="341"/>
    </row>
    <row r="255">
      <c r="E255" s="341"/>
      <c r="F255" s="353"/>
      <c r="G255" s="354"/>
      <c r="H255" s="349" t="s">
        <v>289</v>
      </c>
      <c r="I255" s="349" t="s">
        <v>282</v>
      </c>
      <c r="J255" s="336"/>
      <c r="K255" s="349">
        <f t="shared" ref="K255:M255" si="50">K253/SHARDING(K254)</f>
        <v>128</v>
      </c>
      <c r="L255" s="349">
        <f t="shared" si="50"/>
        <v>5120</v>
      </c>
      <c r="M255" s="349">
        <f t="shared" si="50"/>
        <v>64</v>
      </c>
      <c r="N255" s="349" t="s">
        <v>283</v>
      </c>
      <c r="O255" s="316"/>
      <c r="P255" s="351">
        <f>SIZEOF_IN_MIB(J255:M255, $O252)</f>
        <v>40</v>
      </c>
      <c r="Q255" s="316"/>
    </row>
    <row r="256">
      <c r="E256" s="341"/>
      <c r="F256" s="334" t="s">
        <v>56</v>
      </c>
      <c r="G256" s="335"/>
      <c r="H256" s="346" t="s">
        <v>281</v>
      </c>
      <c r="I256" s="346" t="s">
        <v>282</v>
      </c>
      <c r="J256" s="344" t="s">
        <v>104</v>
      </c>
      <c r="K256" s="344" t="s">
        <v>102</v>
      </c>
      <c r="L256" s="344" t="s">
        <v>106</v>
      </c>
      <c r="M256" s="344" t="s">
        <v>207</v>
      </c>
      <c r="N256" s="346" t="s">
        <v>283</v>
      </c>
      <c r="O256" s="546" t="s">
        <v>133</v>
      </c>
      <c r="P256" s="348"/>
      <c r="Q256" s="473" t="b">
        <v>1</v>
      </c>
    </row>
    <row r="257">
      <c r="E257" s="341"/>
      <c r="F257" s="342"/>
      <c r="G257" s="343"/>
      <c r="H257" s="337" t="s">
        <v>285</v>
      </c>
      <c r="I257" s="349" t="s">
        <v>282</v>
      </c>
      <c r="J257" s="349">
        <f t="shared" ref="J257:M257" si="51">PARAMS(J256)</f>
        <v>2048</v>
      </c>
      <c r="K257" s="349">
        <f t="shared" si="51"/>
        <v>1</v>
      </c>
      <c r="L257" s="349">
        <f t="shared" si="51"/>
        <v>5120</v>
      </c>
      <c r="M257" s="349">
        <f t="shared" si="51"/>
        <v>128</v>
      </c>
      <c r="N257" s="349" t="s">
        <v>283</v>
      </c>
      <c r="O257" s="350"/>
      <c r="P257" s="351">
        <f>SIZEOF_IN_MIB(J257:M257, $O256)</f>
        <v>2560</v>
      </c>
      <c r="Q257" s="350"/>
    </row>
    <row r="258">
      <c r="E258" s="341"/>
      <c r="F258" s="342"/>
      <c r="G258" s="343"/>
      <c r="H258" s="346" t="s">
        <v>287</v>
      </c>
      <c r="I258" s="346" t="s">
        <v>282</v>
      </c>
      <c r="J258" s="344" t="s">
        <v>196</v>
      </c>
      <c r="K258" s="344"/>
      <c r="L258" s="344"/>
      <c r="M258" s="346"/>
      <c r="N258" s="346" t="s">
        <v>283</v>
      </c>
      <c r="O258" s="347"/>
      <c r="P258" s="348"/>
      <c r="Q258" s="347"/>
    </row>
    <row r="259">
      <c r="E259" s="341"/>
      <c r="F259" s="353"/>
      <c r="G259" s="354"/>
      <c r="H259" s="349" t="s">
        <v>289</v>
      </c>
      <c r="I259" s="349" t="s">
        <v>282</v>
      </c>
      <c r="J259" s="349">
        <f t="shared" ref="J259:M259" si="52">J257/SHARDING(J258)</f>
        <v>128</v>
      </c>
      <c r="K259" s="349">
        <f t="shared" si="52"/>
        <v>1</v>
      </c>
      <c r="L259" s="349">
        <f t="shared" si="52"/>
        <v>5120</v>
      </c>
      <c r="M259" s="349">
        <f t="shared" si="52"/>
        <v>128</v>
      </c>
      <c r="N259" s="349" t="s">
        <v>283</v>
      </c>
      <c r="O259" s="316"/>
      <c r="P259" s="351">
        <f>SIZEOF_IN_MIB(J259:M259, $O256)</f>
        <v>160</v>
      </c>
      <c r="Q259" s="316"/>
    </row>
    <row r="260">
      <c r="E260" s="341"/>
      <c r="F260" s="474" t="s">
        <v>335</v>
      </c>
      <c r="G260" s="459" t="s">
        <v>109</v>
      </c>
      <c r="H260" s="497"/>
      <c r="I260" s="498"/>
      <c r="J260" s="345"/>
      <c r="K260" s="345"/>
      <c r="L260" s="346"/>
      <c r="M260" s="346"/>
      <c r="N260" s="346"/>
      <c r="O260" s="345"/>
      <c r="P260" s="348"/>
      <c r="Q260" s="379"/>
    </row>
    <row r="261">
      <c r="E261" s="341"/>
      <c r="F261" s="352"/>
      <c r="G261" s="459"/>
      <c r="H261" s="349"/>
      <c r="I261" s="492"/>
      <c r="J261" s="336"/>
      <c r="K261" s="336"/>
      <c r="L261" s="349"/>
      <c r="M261" s="349"/>
      <c r="N261" s="349"/>
      <c r="O261" s="336"/>
      <c r="P261" s="351"/>
      <c r="Q261" s="298"/>
    </row>
    <row r="262">
      <c r="E262" s="341"/>
      <c r="F262" s="458" t="s">
        <v>327</v>
      </c>
      <c r="G262" s="459" t="s">
        <v>328</v>
      </c>
      <c r="H262" s="346" t="str">
        <f>VLOOKUP(O248&amp;","&amp;O252,$T$3:$W$12,4, FALSE)</f>
        <v>bf16</v>
      </c>
      <c r="I262" s="493"/>
      <c r="J262" s="345"/>
      <c r="K262" s="345"/>
      <c r="L262" s="346"/>
      <c r="M262" s="346"/>
      <c r="N262" s="346"/>
      <c r="O262" s="345"/>
      <c r="P262" s="348"/>
      <c r="Q262" s="379"/>
    </row>
    <row r="263">
      <c r="E263" s="341"/>
      <c r="F263" s="341"/>
      <c r="G263" s="455" t="s">
        <v>341</v>
      </c>
      <c r="H263" s="494" t="str">
        <f>CALCULATE_FLOPS(J251:M251,J255:M255,M255,K255,H262)</f>
        <v>#N/A</v>
      </c>
      <c r="I263" s="492"/>
      <c r="J263" s="336"/>
      <c r="K263" s="336"/>
      <c r="L263" s="349"/>
      <c r="M263" s="349"/>
      <c r="N263" s="349"/>
      <c r="O263" s="336"/>
      <c r="P263" s="351"/>
      <c r="Q263" s="298"/>
    </row>
    <row r="264">
      <c r="E264" s="341"/>
      <c r="F264" s="352"/>
      <c r="G264" s="462" t="s">
        <v>330</v>
      </c>
      <c r="H264" s="495" t="str">
        <f>COMPUTE_TIME_MS(H263, H262)</f>
        <v>#N/A</v>
      </c>
      <c r="I264" s="464"/>
      <c r="J264" s="465"/>
      <c r="K264" s="465"/>
      <c r="L264" s="466"/>
      <c r="M264" s="466"/>
      <c r="N264" s="466"/>
      <c r="O264" s="465"/>
      <c r="P264" s="467"/>
      <c r="Q264" s="379"/>
    </row>
    <row r="265">
      <c r="E265" s="341"/>
      <c r="F265" s="458" t="s">
        <v>331</v>
      </c>
      <c r="G265" s="455" t="s">
        <v>332</v>
      </c>
      <c r="H265" s="377">
        <f>IF(Q248,0,P251)+IF(Q252,0,P255)+IF(Q256,0,P259)</f>
        <v>42</v>
      </c>
      <c r="I265" s="336"/>
      <c r="J265" s="336"/>
      <c r="K265" s="336"/>
      <c r="L265" s="349"/>
      <c r="M265" s="349"/>
      <c r="N265" s="349"/>
      <c r="O265" s="336"/>
      <c r="P265" s="351"/>
      <c r="Q265" s="298"/>
    </row>
    <row r="266">
      <c r="E266" s="352"/>
      <c r="F266" s="352"/>
      <c r="G266" s="469" t="s">
        <v>333</v>
      </c>
      <c r="H266" s="500" t="str">
        <f>HBM_TIME_MS(H265)</f>
        <v>#N/A</v>
      </c>
      <c r="I266" s="465"/>
      <c r="J266" s="465"/>
      <c r="K266" s="465"/>
      <c r="L266" s="466"/>
      <c r="M266" s="466"/>
      <c r="N266" s="466"/>
      <c r="O266" s="465"/>
      <c r="P266" s="467"/>
      <c r="Q266" s="379"/>
    </row>
    <row r="267">
      <c r="E267" s="333" t="s">
        <v>350</v>
      </c>
      <c r="F267" s="357" t="s">
        <v>292</v>
      </c>
      <c r="G267" s="335"/>
      <c r="H267" s="364" t="s">
        <v>281</v>
      </c>
      <c r="I267" s="364" t="s">
        <v>282</v>
      </c>
      <c r="J267" s="273" t="s">
        <v>104</v>
      </c>
      <c r="K267" s="273" t="s">
        <v>102</v>
      </c>
      <c r="L267" s="472" t="s">
        <v>106</v>
      </c>
      <c r="M267" s="273" t="s">
        <v>207</v>
      </c>
      <c r="N267" s="364" t="s">
        <v>283</v>
      </c>
      <c r="O267" s="365" t="str">
        <f>PARAMS("attn_av_a_dtype")</f>
        <v>bf16</v>
      </c>
      <c r="P267" s="366"/>
      <c r="Q267" s="365" t="b">
        <v>1</v>
      </c>
    </row>
    <row r="268">
      <c r="E268" s="341"/>
      <c r="F268" s="342"/>
      <c r="G268" s="343"/>
      <c r="H268" s="273" t="s">
        <v>285</v>
      </c>
      <c r="I268" s="364" t="s">
        <v>282</v>
      </c>
      <c r="J268" s="363">
        <f t="shared" ref="J268:M268" si="53">PARAMS(J267)</f>
        <v>2048</v>
      </c>
      <c r="K268" s="364">
        <f t="shared" si="53"/>
        <v>1</v>
      </c>
      <c r="L268" s="364">
        <f t="shared" si="53"/>
        <v>5120</v>
      </c>
      <c r="M268" s="364">
        <f t="shared" si="53"/>
        <v>128</v>
      </c>
      <c r="N268" s="364" t="s">
        <v>283</v>
      </c>
      <c r="O268" s="341"/>
      <c r="P268" s="366">
        <f>SIZEOF_IN_MIB(J268:M268, $O267)</f>
        <v>2560</v>
      </c>
      <c r="Q268" s="341"/>
    </row>
    <row r="269">
      <c r="E269" s="341"/>
      <c r="F269" s="342"/>
      <c r="G269" s="343"/>
      <c r="H269" s="363" t="s">
        <v>287</v>
      </c>
      <c r="I269" s="363" t="s">
        <v>282</v>
      </c>
      <c r="J269" s="273" t="s">
        <v>196</v>
      </c>
      <c r="K269" s="273"/>
      <c r="L269" s="273"/>
      <c r="M269" s="363"/>
      <c r="N269" s="363" t="s">
        <v>283</v>
      </c>
      <c r="O269" s="341"/>
      <c r="P269" s="366"/>
      <c r="Q269" s="341"/>
    </row>
    <row r="270">
      <c r="E270" s="341"/>
      <c r="F270" s="353"/>
      <c r="G270" s="354"/>
      <c r="H270" s="273" t="s">
        <v>289</v>
      </c>
      <c r="I270" s="363" t="s">
        <v>282</v>
      </c>
      <c r="J270" s="363">
        <f t="shared" ref="J270:M270" si="54">J268/SHARDING(J269)</f>
        <v>128</v>
      </c>
      <c r="K270" s="363">
        <f t="shared" si="54"/>
        <v>1</v>
      </c>
      <c r="L270" s="363">
        <f t="shared" si="54"/>
        <v>5120</v>
      </c>
      <c r="M270" s="363">
        <f t="shared" si="54"/>
        <v>128</v>
      </c>
      <c r="N270" s="363" t="s">
        <v>283</v>
      </c>
      <c r="O270" s="352"/>
      <c r="P270" s="366">
        <f>SIZEOF_IN_MIB(J270:M270, $O267)</f>
        <v>160</v>
      </c>
      <c r="Q270" s="352"/>
    </row>
    <row r="271">
      <c r="E271" s="341"/>
      <c r="F271" s="334" t="s">
        <v>296</v>
      </c>
      <c r="G271" s="335"/>
      <c r="H271" s="363" t="s">
        <v>281</v>
      </c>
      <c r="I271" s="363" t="s">
        <v>282</v>
      </c>
      <c r="J271" s="273" t="s">
        <v>104</v>
      </c>
      <c r="K271" s="273"/>
      <c r="L271" s="472" t="s">
        <v>106</v>
      </c>
      <c r="M271" s="273" t="s">
        <v>198</v>
      </c>
      <c r="N271" s="363" t="s">
        <v>283</v>
      </c>
      <c r="O271" s="365" t="str">
        <f>PARAMS("kv_dtype")</f>
        <v>fp8</v>
      </c>
      <c r="P271" s="366"/>
      <c r="Q271" s="365" t="b">
        <v>1</v>
      </c>
    </row>
    <row r="272">
      <c r="E272" s="341"/>
      <c r="F272" s="342"/>
      <c r="G272" s="343"/>
      <c r="H272" s="273" t="s">
        <v>285</v>
      </c>
      <c r="I272" s="363" t="s">
        <v>282</v>
      </c>
      <c r="J272" s="363">
        <f>PARAMS(J271)</f>
        <v>2048</v>
      </c>
      <c r="K272" s="363"/>
      <c r="L272" s="363">
        <f t="shared" ref="L272:M272" si="55">PARAMS(L271)</f>
        <v>5120</v>
      </c>
      <c r="M272" s="363">
        <f t="shared" si="55"/>
        <v>512</v>
      </c>
      <c r="N272" s="363" t="s">
        <v>283</v>
      </c>
      <c r="O272" s="341"/>
      <c r="P272" s="366">
        <f>SIZEOF_IN_MIB(J272:M272, $O271)</f>
        <v>5120</v>
      </c>
      <c r="Q272" s="341"/>
    </row>
    <row r="273">
      <c r="E273" s="341"/>
      <c r="F273" s="342"/>
      <c r="G273" s="343"/>
      <c r="H273" s="363" t="s">
        <v>287</v>
      </c>
      <c r="I273" s="363" t="s">
        <v>282</v>
      </c>
      <c r="J273" s="273" t="s">
        <v>196</v>
      </c>
      <c r="K273" s="364"/>
      <c r="L273" s="363"/>
      <c r="M273" s="273"/>
      <c r="N273" s="363" t="s">
        <v>283</v>
      </c>
      <c r="O273" s="341"/>
      <c r="P273" s="366"/>
      <c r="Q273" s="341"/>
    </row>
    <row r="274">
      <c r="E274" s="341"/>
      <c r="F274" s="353"/>
      <c r="G274" s="354"/>
      <c r="H274" s="349" t="s">
        <v>289</v>
      </c>
      <c r="I274" s="349" t="s">
        <v>282</v>
      </c>
      <c r="J274" s="349">
        <f>J272/SHARDING(J273)</f>
        <v>128</v>
      </c>
      <c r="K274" s="349"/>
      <c r="L274" s="349">
        <f t="shared" ref="L274:M274" si="56">L272/SHARDING(L273)</f>
        <v>5120</v>
      </c>
      <c r="M274" s="349">
        <f t="shared" si="56"/>
        <v>512</v>
      </c>
      <c r="N274" s="349" t="s">
        <v>283</v>
      </c>
      <c r="O274" s="316"/>
      <c r="P274" s="351">
        <f>SIZEOF_IN_MIB(J274:M274, $O271)</f>
        <v>320</v>
      </c>
      <c r="Q274" s="316"/>
    </row>
    <row r="275">
      <c r="E275" s="341"/>
      <c r="F275" s="334" t="s">
        <v>56</v>
      </c>
      <c r="G275" s="335"/>
      <c r="H275" s="346" t="s">
        <v>281</v>
      </c>
      <c r="I275" s="346" t="s">
        <v>282</v>
      </c>
      <c r="J275" s="344" t="s">
        <v>104</v>
      </c>
      <c r="K275" s="344" t="s">
        <v>102</v>
      </c>
      <c r="L275" s="344" t="s">
        <v>207</v>
      </c>
      <c r="M275" s="344" t="s">
        <v>198</v>
      </c>
      <c r="N275" s="346" t="s">
        <v>283</v>
      </c>
      <c r="O275" s="546" t="s">
        <v>133</v>
      </c>
      <c r="P275" s="348"/>
      <c r="Q275" s="473" t="b">
        <v>0</v>
      </c>
    </row>
    <row r="276">
      <c r="E276" s="341"/>
      <c r="F276" s="342"/>
      <c r="G276" s="343"/>
      <c r="H276" s="337" t="s">
        <v>285</v>
      </c>
      <c r="I276" s="349" t="s">
        <v>282</v>
      </c>
      <c r="J276" s="349">
        <f t="shared" ref="J276:M276" si="57">PARAMS(J275)</f>
        <v>2048</v>
      </c>
      <c r="K276" s="349">
        <f t="shared" si="57"/>
        <v>1</v>
      </c>
      <c r="L276" s="349">
        <f t="shared" si="57"/>
        <v>128</v>
      </c>
      <c r="M276" s="349">
        <f t="shared" si="57"/>
        <v>512</v>
      </c>
      <c r="N276" s="349" t="s">
        <v>283</v>
      </c>
      <c r="O276" s="350"/>
      <c r="P276" s="351">
        <f>SIZEOF_IN_MIB(J276:M276, $O275)</f>
        <v>256</v>
      </c>
      <c r="Q276" s="350"/>
    </row>
    <row r="277">
      <c r="E277" s="341"/>
      <c r="F277" s="342"/>
      <c r="G277" s="343"/>
      <c r="H277" s="346" t="s">
        <v>287</v>
      </c>
      <c r="I277" s="346" t="s">
        <v>282</v>
      </c>
      <c r="J277" s="344" t="s">
        <v>196</v>
      </c>
      <c r="K277" s="344"/>
      <c r="L277" s="344"/>
      <c r="M277" s="344"/>
      <c r="N277" s="346" t="s">
        <v>283</v>
      </c>
      <c r="O277" s="347"/>
      <c r="P277" s="348"/>
      <c r="Q277" s="347"/>
    </row>
    <row r="278">
      <c r="E278" s="341"/>
      <c r="F278" s="353"/>
      <c r="G278" s="354"/>
      <c r="H278" s="349" t="s">
        <v>289</v>
      </c>
      <c r="I278" s="349" t="s">
        <v>282</v>
      </c>
      <c r="J278" s="349">
        <f t="shared" ref="J278:M278" si="58">J276/SHARDING(J277)</f>
        <v>128</v>
      </c>
      <c r="K278" s="349">
        <f t="shared" si="58"/>
        <v>1</v>
      </c>
      <c r="L278" s="349">
        <f t="shared" si="58"/>
        <v>128</v>
      </c>
      <c r="M278" s="349">
        <f t="shared" si="58"/>
        <v>512</v>
      </c>
      <c r="N278" s="349" t="s">
        <v>283</v>
      </c>
      <c r="O278" s="316"/>
      <c r="P278" s="351">
        <f>SIZEOF_IN_MIB(J278:M278, $O275)</f>
        <v>16</v>
      </c>
      <c r="Q278" s="316"/>
    </row>
    <row r="279">
      <c r="E279" s="341"/>
      <c r="F279" s="474" t="s">
        <v>335</v>
      </c>
      <c r="G279" s="459" t="s">
        <v>109</v>
      </c>
      <c r="H279" s="497"/>
      <c r="I279" s="498"/>
      <c r="J279" s="345"/>
      <c r="K279" s="345"/>
      <c r="L279" s="346"/>
      <c r="M279" s="346"/>
      <c r="N279" s="346"/>
      <c r="O279" s="345"/>
      <c r="P279" s="348"/>
      <c r="Q279" s="379"/>
    </row>
    <row r="280">
      <c r="E280" s="341"/>
      <c r="F280" s="352"/>
      <c r="G280" s="459"/>
      <c r="H280" s="349"/>
      <c r="I280" s="492"/>
      <c r="J280" s="336"/>
      <c r="K280" s="336"/>
      <c r="L280" s="349"/>
      <c r="M280" s="349"/>
      <c r="N280" s="349"/>
      <c r="O280" s="336"/>
      <c r="P280" s="351"/>
      <c r="Q280" s="298"/>
    </row>
    <row r="281">
      <c r="E281" s="341"/>
      <c r="F281" s="458" t="s">
        <v>327</v>
      </c>
      <c r="G281" s="459" t="s">
        <v>328</v>
      </c>
      <c r="H281" s="346" t="str">
        <f>VLOOKUP(O267&amp;","&amp;O271,$T$3:$W$12,4, FALSE)</f>
        <v>bf16</v>
      </c>
      <c r="I281" s="493"/>
      <c r="J281" s="345"/>
      <c r="K281" s="345"/>
      <c r="L281" s="346"/>
      <c r="M281" s="346"/>
      <c r="N281" s="346"/>
      <c r="O281" s="345"/>
      <c r="P281" s="348"/>
      <c r="Q281" s="379"/>
    </row>
    <row r="282">
      <c r="E282" s="341"/>
      <c r="F282" s="341"/>
      <c r="G282" s="455" t="s">
        <v>341</v>
      </c>
      <c r="H282" s="494" t="str">
        <f>CALCULATE_FLOPS(J270:M270,J274:M274,L274,J274,H281)</f>
        <v>#N/A</v>
      </c>
      <c r="I282" s="492"/>
      <c r="J282" s="336"/>
      <c r="K282" s="336"/>
      <c r="L282" s="349"/>
      <c r="M282" s="349"/>
      <c r="N282" s="349"/>
      <c r="O282" s="336"/>
      <c r="P282" s="351"/>
      <c r="Q282" s="298"/>
    </row>
    <row r="283">
      <c r="E283" s="341"/>
      <c r="F283" s="352"/>
      <c r="G283" s="462" t="s">
        <v>330</v>
      </c>
      <c r="H283" s="495" t="str">
        <f>COMPUTE_TIME_MS(H282, H281)</f>
        <v>#N/A</v>
      </c>
      <c r="I283" s="464"/>
      <c r="J283" s="465"/>
      <c r="K283" s="465"/>
      <c r="L283" s="466"/>
      <c r="M283" s="466"/>
      <c r="N283" s="466"/>
      <c r="O283" s="465"/>
      <c r="P283" s="467"/>
      <c r="Q283" s="379"/>
    </row>
    <row r="284">
      <c r="E284" s="341"/>
      <c r="F284" s="458" t="s">
        <v>331</v>
      </c>
      <c r="G284" s="455" t="s">
        <v>332</v>
      </c>
      <c r="H284" s="377">
        <f>IF(Q267,0,P270)+IF(Q271,0,P274)+IF(Q275,0,P278)</f>
        <v>16</v>
      </c>
      <c r="I284" s="336"/>
      <c r="J284" s="336"/>
      <c r="K284" s="336"/>
      <c r="L284" s="349"/>
      <c r="M284" s="349"/>
      <c r="N284" s="349"/>
      <c r="O284" s="336"/>
      <c r="P284" s="351"/>
      <c r="Q284" s="298"/>
    </row>
    <row r="285">
      <c r="E285" s="352"/>
      <c r="F285" s="352"/>
      <c r="G285" s="469" t="s">
        <v>333</v>
      </c>
      <c r="H285" s="547" t="str">
        <f>HBM_TIME_MS(H284)</f>
        <v>#N/A</v>
      </c>
      <c r="I285" s="465"/>
      <c r="J285" s="465"/>
      <c r="K285" s="465"/>
      <c r="L285" s="466"/>
      <c r="M285" s="466"/>
      <c r="N285" s="466"/>
      <c r="O285" s="465"/>
      <c r="P285" s="467"/>
      <c r="Q285" s="379"/>
    </row>
    <row r="286">
      <c r="E286" s="333" t="s">
        <v>351</v>
      </c>
      <c r="F286" s="357" t="s">
        <v>292</v>
      </c>
      <c r="G286" s="335"/>
      <c r="H286" s="336" t="s">
        <v>281</v>
      </c>
      <c r="I286" s="336" t="s">
        <v>282</v>
      </c>
      <c r="J286" s="337" t="s">
        <v>104</v>
      </c>
      <c r="K286" s="337" t="s">
        <v>102</v>
      </c>
      <c r="L286" s="337" t="s">
        <v>207</v>
      </c>
      <c r="M286" s="499" t="s">
        <v>198</v>
      </c>
      <c r="N286" s="336" t="s">
        <v>283</v>
      </c>
      <c r="O286" s="338" t="str">
        <f>EXTRACT_ACTIVATION_DTYPE(PARAMS("attn_proj_dtype"))</f>
        <v>bf16</v>
      </c>
      <c r="P286" s="351"/>
      <c r="Q286" s="338" t="b">
        <v>0</v>
      </c>
    </row>
    <row r="287">
      <c r="E287" s="341"/>
      <c r="F287" s="342"/>
      <c r="G287" s="343"/>
      <c r="H287" s="344" t="s">
        <v>285</v>
      </c>
      <c r="I287" s="345" t="s">
        <v>282</v>
      </c>
      <c r="J287" s="346">
        <f t="shared" ref="J287:M287" si="59">PARAMS(J286)</f>
        <v>2048</v>
      </c>
      <c r="K287" s="345">
        <f t="shared" si="59"/>
        <v>1</v>
      </c>
      <c r="L287" s="345">
        <f t="shared" si="59"/>
        <v>128</v>
      </c>
      <c r="M287" s="345">
        <f t="shared" si="59"/>
        <v>512</v>
      </c>
      <c r="N287" s="345" t="s">
        <v>283</v>
      </c>
      <c r="O287" s="347"/>
      <c r="P287" s="348">
        <f>SIZEOF_IN_MIB(J287:M287, $O286)</f>
        <v>256</v>
      </c>
      <c r="Q287" s="347"/>
    </row>
    <row r="288">
      <c r="E288" s="341"/>
      <c r="F288" s="342"/>
      <c r="G288" s="343"/>
      <c r="H288" s="349" t="s">
        <v>287</v>
      </c>
      <c r="I288" s="349" t="s">
        <v>282</v>
      </c>
      <c r="J288" s="337" t="s">
        <v>196</v>
      </c>
      <c r="K288" s="337"/>
      <c r="L288" s="337"/>
      <c r="M288" s="337"/>
      <c r="N288" s="349" t="s">
        <v>283</v>
      </c>
      <c r="O288" s="350"/>
      <c r="P288" s="351"/>
      <c r="Q288" s="350"/>
    </row>
    <row r="289">
      <c r="E289" s="341"/>
      <c r="F289" s="353"/>
      <c r="G289" s="354"/>
      <c r="H289" s="344" t="s">
        <v>289</v>
      </c>
      <c r="I289" s="346" t="s">
        <v>282</v>
      </c>
      <c r="J289" s="346">
        <f t="shared" ref="J289:M289" si="60">J287/SHARDING(J288)</f>
        <v>128</v>
      </c>
      <c r="K289" s="346">
        <f t="shared" si="60"/>
        <v>1</v>
      </c>
      <c r="L289" s="346">
        <f t="shared" si="60"/>
        <v>128</v>
      </c>
      <c r="M289" s="346">
        <f t="shared" si="60"/>
        <v>512</v>
      </c>
      <c r="N289" s="346" t="s">
        <v>283</v>
      </c>
      <c r="O289" s="355"/>
      <c r="P289" s="348">
        <f>SIZEOF_IN_MIB(J289:M289, $O286)</f>
        <v>16</v>
      </c>
      <c r="Q289" s="355"/>
    </row>
    <row r="290">
      <c r="E290" s="341"/>
      <c r="F290" s="334" t="s">
        <v>296</v>
      </c>
      <c r="G290" s="335"/>
      <c r="H290" s="349" t="s">
        <v>281</v>
      </c>
      <c r="I290" s="349" t="s">
        <v>282</v>
      </c>
      <c r="J290" s="336"/>
      <c r="K290" s="337" t="s">
        <v>207</v>
      </c>
      <c r="L290" s="337" t="s">
        <v>201</v>
      </c>
      <c r="M290" s="499" t="s">
        <v>198</v>
      </c>
      <c r="N290" s="349" t="s">
        <v>283</v>
      </c>
      <c r="O290" s="338" t="str">
        <f>EXTRACT_WEIGHT_DTYPE(PARAMS("attn_proj_dtype"))</f>
        <v>bf16</v>
      </c>
      <c r="P290" s="351"/>
      <c r="Q290" s="338" t="b">
        <v>0</v>
      </c>
    </row>
    <row r="291">
      <c r="E291" s="341"/>
      <c r="F291" s="342"/>
      <c r="G291" s="343"/>
      <c r="H291" s="344" t="s">
        <v>285</v>
      </c>
      <c r="I291" s="346" t="s">
        <v>282</v>
      </c>
      <c r="J291" s="345"/>
      <c r="K291" s="346">
        <f t="shared" ref="K291:M291" si="61">PARAMS(K290)</f>
        <v>128</v>
      </c>
      <c r="L291" s="346">
        <f t="shared" si="61"/>
        <v>128</v>
      </c>
      <c r="M291" s="346">
        <f t="shared" si="61"/>
        <v>512</v>
      </c>
      <c r="N291" s="346" t="s">
        <v>283</v>
      </c>
      <c r="O291" s="347"/>
      <c r="P291" s="348">
        <f>SIZEOF_IN_MIB(J291:M291, $O290)</f>
        <v>16</v>
      </c>
      <c r="Q291" s="347"/>
    </row>
    <row r="292">
      <c r="E292" s="341"/>
      <c r="F292" s="342"/>
      <c r="G292" s="343"/>
      <c r="H292" s="349" t="s">
        <v>287</v>
      </c>
      <c r="I292" s="349" t="s">
        <v>282</v>
      </c>
      <c r="J292" s="336"/>
      <c r="K292" s="336"/>
      <c r="L292" s="337"/>
      <c r="M292" s="337"/>
      <c r="N292" s="349" t="s">
        <v>283</v>
      </c>
      <c r="O292" s="350"/>
      <c r="P292" s="351"/>
      <c r="Q292" s="350"/>
    </row>
    <row r="293">
      <c r="E293" s="341"/>
      <c r="F293" s="353"/>
      <c r="G293" s="354"/>
      <c r="H293" s="346" t="s">
        <v>289</v>
      </c>
      <c r="I293" s="346" t="s">
        <v>282</v>
      </c>
      <c r="J293" s="345"/>
      <c r="K293" s="346">
        <f t="shared" ref="K293:M293" si="62">K291/SHARDING(K292)</f>
        <v>128</v>
      </c>
      <c r="L293" s="346">
        <f t="shared" si="62"/>
        <v>128</v>
      </c>
      <c r="M293" s="346">
        <f t="shared" si="62"/>
        <v>512</v>
      </c>
      <c r="N293" s="346" t="s">
        <v>283</v>
      </c>
      <c r="O293" s="355"/>
      <c r="P293" s="348">
        <f>SIZEOF_IN_MIB(J293:M293, $O290)</f>
        <v>16</v>
      </c>
      <c r="Q293" s="355"/>
    </row>
    <row r="294">
      <c r="E294" s="341"/>
      <c r="F294" s="334" t="s">
        <v>56</v>
      </c>
      <c r="G294" s="335"/>
      <c r="H294" s="349" t="s">
        <v>281</v>
      </c>
      <c r="I294" s="349" t="s">
        <v>282</v>
      </c>
      <c r="J294" s="337" t="s">
        <v>104</v>
      </c>
      <c r="K294" s="337" t="s">
        <v>102</v>
      </c>
      <c r="L294" s="337" t="s">
        <v>207</v>
      </c>
      <c r="M294" s="337" t="s">
        <v>201</v>
      </c>
      <c r="N294" s="349" t="s">
        <v>283</v>
      </c>
      <c r="O294" s="338" t="s">
        <v>133</v>
      </c>
      <c r="P294" s="351"/>
      <c r="Q294" s="338" t="b">
        <v>0</v>
      </c>
    </row>
    <row r="295">
      <c r="E295" s="341"/>
      <c r="F295" s="342"/>
      <c r="G295" s="343"/>
      <c r="H295" s="344" t="s">
        <v>285</v>
      </c>
      <c r="I295" s="346" t="s">
        <v>282</v>
      </c>
      <c r="J295" s="346">
        <f t="shared" ref="J295:M295" si="63">PARAMS(J294)</f>
        <v>2048</v>
      </c>
      <c r="K295" s="346">
        <f t="shared" si="63"/>
        <v>1</v>
      </c>
      <c r="L295" s="346">
        <f t="shared" si="63"/>
        <v>128</v>
      </c>
      <c r="M295" s="346">
        <f t="shared" si="63"/>
        <v>128</v>
      </c>
      <c r="N295" s="346" t="s">
        <v>283</v>
      </c>
      <c r="O295" s="347"/>
      <c r="P295" s="348">
        <f>SIZEOF_IN_MIB(J295:M295, $O294)</f>
        <v>64</v>
      </c>
      <c r="Q295" s="347"/>
    </row>
    <row r="296">
      <c r="E296" s="341"/>
      <c r="F296" s="342"/>
      <c r="G296" s="343"/>
      <c r="H296" s="349" t="s">
        <v>287</v>
      </c>
      <c r="I296" s="349" t="s">
        <v>282</v>
      </c>
      <c r="J296" s="337" t="s">
        <v>96</v>
      </c>
      <c r="K296" s="337"/>
      <c r="L296" s="337"/>
      <c r="M296" s="337" t="s">
        <v>97</v>
      </c>
      <c r="N296" s="349" t="s">
        <v>283</v>
      </c>
      <c r="O296" s="350"/>
      <c r="P296" s="351"/>
      <c r="Q296" s="350"/>
    </row>
    <row r="297">
      <c r="E297" s="341"/>
      <c r="F297" s="353"/>
      <c r="G297" s="354"/>
      <c r="H297" s="346" t="s">
        <v>289</v>
      </c>
      <c r="I297" s="346" t="s">
        <v>282</v>
      </c>
      <c r="J297" s="346">
        <f t="shared" ref="J297:M297" si="64">J295/SHARDING(J296)</f>
        <v>256</v>
      </c>
      <c r="K297" s="346">
        <f t="shared" si="64"/>
        <v>1</v>
      </c>
      <c r="L297" s="346">
        <f t="shared" si="64"/>
        <v>128</v>
      </c>
      <c r="M297" s="346">
        <f t="shared" si="64"/>
        <v>64</v>
      </c>
      <c r="N297" s="346" t="s">
        <v>283</v>
      </c>
      <c r="O297" s="355"/>
      <c r="P297" s="348">
        <f>SIZEOF_IN_MIB(J297:M297, $O294)</f>
        <v>4</v>
      </c>
      <c r="Q297" s="355"/>
    </row>
    <row r="298">
      <c r="E298" s="341"/>
      <c r="F298" s="474" t="s">
        <v>335</v>
      </c>
      <c r="G298" s="551"/>
      <c r="H298" s="906"/>
      <c r="I298" s="572"/>
      <c r="J298" s="381"/>
      <c r="K298" s="787"/>
      <c r="L298" s="907"/>
      <c r="M298" s="907"/>
      <c r="N298" s="907"/>
      <c r="O298" s="787"/>
      <c r="P298" s="908"/>
      <c r="Q298" s="787"/>
    </row>
    <row r="299">
      <c r="E299" s="341"/>
      <c r="F299" s="341"/>
      <c r="G299" s="272"/>
      <c r="H299" s="913"/>
      <c r="I299" s="379"/>
      <c r="J299" s="914"/>
      <c r="K299" s="399"/>
      <c r="L299" s="400"/>
      <c r="M299" s="400"/>
      <c r="N299" s="400"/>
      <c r="O299" s="399"/>
      <c r="P299" s="401"/>
      <c r="Q299" s="399"/>
    </row>
    <row r="300">
      <c r="E300" s="341"/>
      <c r="F300" s="341"/>
      <c r="G300" s="458"/>
      <c r="H300" s="485"/>
      <c r="I300" s="391"/>
      <c r="J300" s="558"/>
      <c r="K300" s="404"/>
      <c r="L300" s="405"/>
      <c r="M300" s="405"/>
      <c r="N300" s="405"/>
      <c r="O300" s="404"/>
      <c r="P300" s="406"/>
      <c r="Q300" s="404"/>
      <c r="S300" s="181" t="s">
        <v>685</v>
      </c>
    </row>
    <row r="301">
      <c r="E301" s="341"/>
      <c r="F301" s="341"/>
      <c r="G301" s="341"/>
      <c r="H301" s="481"/>
      <c r="I301" s="387"/>
      <c r="J301" s="395"/>
      <c r="K301" s="399"/>
      <c r="L301" s="400"/>
      <c r="M301" s="400"/>
      <c r="N301" s="400"/>
      <c r="O301" s="399"/>
      <c r="P301" s="401"/>
      <c r="Q301" s="399"/>
    </row>
    <row r="302">
      <c r="E302" s="341"/>
      <c r="F302" s="341"/>
      <c r="G302" s="341"/>
      <c r="H302" s="485"/>
      <c r="I302" s="391"/>
      <c r="J302" s="390"/>
      <c r="K302" s="404"/>
      <c r="L302" s="405"/>
      <c r="M302" s="405"/>
      <c r="N302" s="405"/>
      <c r="O302" s="404"/>
      <c r="P302" s="406"/>
      <c r="Q302" s="404"/>
    </row>
    <row r="303">
      <c r="E303" s="341"/>
      <c r="F303" s="341"/>
      <c r="G303" s="352"/>
      <c r="H303" s="481"/>
      <c r="I303" s="387"/>
      <c r="J303" s="560" t="str">
        <f>ALL_GATHER_CORE2CORE_TIME_MS(J302)</f>
        <v>#N/A</v>
      </c>
      <c r="K303" s="399"/>
      <c r="L303" s="400"/>
      <c r="M303" s="400"/>
      <c r="N303" s="400"/>
      <c r="O303" s="399"/>
      <c r="P303" s="401"/>
      <c r="Q303" s="399"/>
    </row>
    <row r="304">
      <c r="E304" s="341"/>
      <c r="F304" s="352"/>
      <c r="G304" s="462" t="s">
        <v>340</v>
      </c>
      <c r="H304" s="495" t="str">
        <f>J303</f>
        <v>#N/A</v>
      </c>
      <c r="I304" s="492"/>
      <c r="J304" s="336"/>
      <c r="K304" s="336"/>
      <c r="L304" s="349"/>
      <c r="M304" s="349"/>
      <c r="N304" s="349"/>
      <c r="O304" s="336"/>
      <c r="P304" s="351"/>
      <c r="Q304" s="298"/>
    </row>
    <row r="305">
      <c r="E305" s="341"/>
      <c r="F305" s="458" t="s">
        <v>327</v>
      </c>
      <c r="G305" s="459" t="s">
        <v>328</v>
      </c>
      <c r="H305" s="346" t="str">
        <f>VLOOKUP(O286&amp;","&amp;O290,$T$3:$W$12,4, FALSE)</f>
        <v>bf16</v>
      </c>
      <c r="I305" s="493"/>
      <c r="J305" s="345"/>
      <c r="K305" s="345"/>
      <c r="L305" s="346"/>
      <c r="M305" s="346"/>
      <c r="N305" s="346"/>
      <c r="O305" s="345"/>
      <c r="P305" s="348"/>
      <c r="Q305" s="379"/>
    </row>
    <row r="306">
      <c r="E306" s="341"/>
      <c r="F306" s="341"/>
      <c r="G306" s="455" t="s">
        <v>341</v>
      </c>
      <c r="H306" s="494" t="str">
        <f>CALCULATE_FLOPS(J289:M289,J293:M293,M293,K293,H305)</f>
        <v>#N/A</v>
      </c>
      <c r="I306" s="492"/>
      <c r="J306" s="336"/>
      <c r="K306" s="336"/>
      <c r="L306" s="349"/>
      <c r="M306" s="349"/>
      <c r="N306" s="349"/>
      <c r="O306" s="336"/>
      <c r="P306" s="351"/>
      <c r="Q306" s="298"/>
    </row>
    <row r="307">
      <c r="E307" s="341"/>
      <c r="F307" s="352"/>
      <c r="G307" s="462" t="s">
        <v>330</v>
      </c>
      <c r="H307" s="495" t="str">
        <f>COMPUTE_TIME_MS(H306, H305)</f>
        <v>#N/A</v>
      </c>
      <c r="I307" s="464"/>
      <c r="J307" s="465"/>
      <c r="K307" s="465"/>
      <c r="L307" s="466"/>
      <c r="M307" s="466"/>
      <c r="N307" s="466"/>
      <c r="O307" s="465"/>
      <c r="P307" s="467"/>
      <c r="Q307" s="379"/>
    </row>
    <row r="308">
      <c r="E308" s="341"/>
      <c r="F308" s="458" t="s">
        <v>331</v>
      </c>
      <c r="G308" s="455" t="s">
        <v>332</v>
      </c>
      <c r="H308" s="377">
        <f>IF(Q286,0,P289)+IF(Q290,0,P293)+IF(Q294,0,P297)</f>
        <v>36</v>
      </c>
      <c r="I308" s="336"/>
      <c r="J308" s="336"/>
      <c r="K308" s="336"/>
      <c r="L308" s="349"/>
      <c r="M308" s="349"/>
      <c r="N308" s="349"/>
      <c r="O308" s="336"/>
      <c r="P308" s="351"/>
      <c r="Q308" s="298"/>
    </row>
    <row r="309">
      <c r="E309" s="352"/>
      <c r="F309" s="352"/>
      <c r="G309" s="469" t="s">
        <v>333</v>
      </c>
      <c r="H309" s="500" t="str">
        <f>HBM_TIME_MS(H308)</f>
        <v>#N/A</v>
      </c>
      <c r="I309" s="465"/>
      <c r="J309" s="465"/>
      <c r="K309" s="465"/>
      <c r="L309" s="466"/>
      <c r="M309" s="466"/>
      <c r="N309" s="466"/>
      <c r="O309" s="465"/>
      <c r="P309" s="467"/>
      <c r="Q309" s="379"/>
    </row>
    <row r="310">
      <c r="E310" s="333" t="s">
        <v>355</v>
      </c>
      <c r="F310" s="357" t="s">
        <v>292</v>
      </c>
      <c r="G310" s="335"/>
      <c r="H310" s="336" t="s">
        <v>281</v>
      </c>
      <c r="I310" s="336" t="s">
        <v>282</v>
      </c>
      <c r="J310" s="337" t="s">
        <v>104</v>
      </c>
      <c r="K310" s="337" t="s">
        <v>102</v>
      </c>
      <c r="L310" s="499" t="s">
        <v>207</v>
      </c>
      <c r="M310" s="499" t="s">
        <v>201</v>
      </c>
      <c r="N310" s="336" t="s">
        <v>283</v>
      </c>
      <c r="O310" s="338" t="str">
        <f>EXTRACT_ACTIVATION_DTYPE(PARAMS("attn_proj_dtype"))</f>
        <v>bf16</v>
      </c>
      <c r="P310" s="351"/>
      <c r="Q310" s="338" t="b">
        <v>0</v>
      </c>
    </row>
    <row r="311">
      <c r="E311" s="341"/>
      <c r="F311" s="342"/>
      <c r="G311" s="343"/>
      <c r="H311" s="344" t="s">
        <v>285</v>
      </c>
      <c r="I311" s="345" t="s">
        <v>282</v>
      </c>
      <c r="J311" s="346">
        <f t="shared" ref="J311:M311" si="65">PARAMS(J310)</f>
        <v>2048</v>
      </c>
      <c r="K311" s="345">
        <f t="shared" si="65"/>
        <v>1</v>
      </c>
      <c r="L311" s="345">
        <f t="shared" si="65"/>
        <v>128</v>
      </c>
      <c r="M311" s="345">
        <f t="shared" si="65"/>
        <v>128</v>
      </c>
      <c r="N311" s="345" t="s">
        <v>283</v>
      </c>
      <c r="O311" s="347"/>
      <c r="P311" s="348">
        <f>SIZEOF_IN_MIB(J311:M311, $O310)</f>
        <v>64</v>
      </c>
      <c r="Q311" s="347"/>
    </row>
    <row r="312">
      <c r="E312" s="341"/>
      <c r="F312" s="342"/>
      <c r="G312" s="343"/>
      <c r="H312" s="349" t="s">
        <v>287</v>
      </c>
      <c r="I312" s="349" t="s">
        <v>282</v>
      </c>
      <c r="J312" s="337" t="s">
        <v>96</v>
      </c>
      <c r="K312" s="337"/>
      <c r="L312" s="337"/>
      <c r="M312" s="337" t="s">
        <v>97</v>
      </c>
      <c r="N312" s="349" t="s">
        <v>283</v>
      </c>
      <c r="O312" s="350"/>
      <c r="P312" s="351"/>
      <c r="Q312" s="350"/>
    </row>
    <row r="313">
      <c r="E313" s="341"/>
      <c r="F313" s="353"/>
      <c r="G313" s="354"/>
      <c r="H313" s="344" t="s">
        <v>289</v>
      </c>
      <c r="I313" s="346" t="s">
        <v>282</v>
      </c>
      <c r="J313" s="346">
        <f t="shared" ref="J313:M313" si="66">J311/SHARDING(J312)</f>
        <v>256</v>
      </c>
      <c r="K313" s="346">
        <f t="shared" si="66"/>
        <v>1</v>
      </c>
      <c r="L313" s="346">
        <f t="shared" si="66"/>
        <v>128</v>
      </c>
      <c r="M313" s="346">
        <f t="shared" si="66"/>
        <v>64</v>
      </c>
      <c r="N313" s="346" t="s">
        <v>283</v>
      </c>
      <c r="O313" s="355"/>
      <c r="P313" s="348">
        <f>SIZEOF_IN_MIB(J313:M313, $O310)</f>
        <v>4</v>
      </c>
      <c r="Q313" s="355"/>
    </row>
    <row r="314">
      <c r="E314" s="341"/>
      <c r="F314" s="334" t="s">
        <v>296</v>
      </c>
      <c r="G314" s="335"/>
      <c r="H314" s="349" t="s">
        <v>281</v>
      </c>
      <c r="I314" s="349" t="s">
        <v>282</v>
      </c>
      <c r="J314" s="336"/>
      <c r="K314" s="499" t="s">
        <v>207</v>
      </c>
      <c r="L314" s="499" t="s">
        <v>201</v>
      </c>
      <c r="M314" s="337" t="s">
        <v>178</v>
      </c>
      <c r="N314" s="349" t="s">
        <v>283</v>
      </c>
      <c r="O314" s="338" t="str">
        <f>EXTRACT_WEIGHT_DTYPE(PARAMS("attn_proj_dtype"))</f>
        <v>bf16</v>
      </c>
      <c r="P314" s="351"/>
      <c r="Q314" s="338" t="b">
        <v>0</v>
      </c>
    </row>
    <row r="315">
      <c r="E315" s="341"/>
      <c r="F315" s="342"/>
      <c r="G315" s="343"/>
      <c r="H315" s="344" t="s">
        <v>285</v>
      </c>
      <c r="I315" s="346" t="s">
        <v>282</v>
      </c>
      <c r="J315" s="345"/>
      <c r="K315" s="346">
        <f t="shared" ref="K315:M315" si="67">PARAMS(K314)</f>
        <v>128</v>
      </c>
      <c r="L315" s="346">
        <f t="shared" si="67"/>
        <v>128</v>
      </c>
      <c r="M315" s="346">
        <f t="shared" si="67"/>
        <v>7168</v>
      </c>
      <c r="N315" s="346" t="s">
        <v>283</v>
      </c>
      <c r="O315" s="347"/>
      <c r="P315" s="348">
        <f>SIZEOF_IN_MIB(J315:M315, $O314)</f>
        <v>224</v>
      </c>
      <c r="Q315" s="347"/>
    </row>
    <row r="316">
      <c r="E316" s="341"/>
      <c r="F316" s="342"/>
      <c r="G316" s="343"/>
      <c r="H316" s="349" t="s">
        <v>287</v>
      </c>
      <c r="I316" s="349" t="s">
        <v>282</v>
      </c>
      <c r="J316" s="336"/>
      <c r="K316" s="336"/>
      <c r="L316" s="337"/>
      <c r="M316" s="337" t="s">
        <v>97</v>
      </c>
      <c r="N316" s="349" t="s">
        <v>283</v>
      </c>
      <c r="O316" s="350"/>
      <c r="P316" s="351"/>
      <c r="Q316" s="350"/>
    </row>
    <row r="317">
      <c r="E317" s="341"/>
      <c r="F317" s="353"/>
      <c r="G317" s="354"/>
      <c r="H317" s="346" t="s">
        <v>289</v>
      </c>
      <c r="I317" s="346" t="s">
        <v>282</v>
      </c>
      <c r="J317" s="345"/>
      <c r="K317" s="346">
        <f t="shared" ref="K317:M317" si="68">K315/SHARDING(K316)</f>
        <v>128</v>
      </c>
      <c r="L317" s="346">
        <f t="shared" si="68"/>
        <v>128</v>
      </c>
      <c r="M317" s="346">
        <f t="shared" si="68"/>
        <v>3584</v>
      </c>
      <c r="N317" s="346" t="s">
        <v>283</v>
      </c>
      <c r="O317" s="355"/>
      <c r="P317" s="348">
        <f>SIZEOF_IN_MIB(J317:M317, $O314)</f>
        <v>112</v>
      </c>
      <c r="Q317" s="355"/>
    </row>
    <row r="318">
      <c r="E318" s="341"/>
      <c r="F318" s="334" t="s">
        <v>56</v>
      </c>
      <c r="G318" s="335"/>
      <c r="H318" s="349" t="s">
        <v>281</v>
      </c>
      <c r="I318" s="349" t="s">
        <v>282</v>
      </c>
      <c r="J318" s="336"/>
      <c r="K318" s="337" t="s">
        <v>104</v>
      </c>
      <c r="L318" s="337" t="s">
        <v>102</v>
      </c>
      <c r="M318" s="337" t="s">
        <v>178</v>
      </c>
      <c r="N318" s="349" t="s">
        <v>283</v>
      </c>
      <c r="O318" s="338" t="s">
        <v>133</v>
      </c>
      <c r="P318" s="351"/>
      <c r="Q318" s="338" t="b">
        <v>0</v>
      </c>
    </row>
    <row r="319">
      <c r="E319" s="341"/>
      <c r="F319" s="342"/>
      <c r="G319" s="343"/>
      <c r="H319" s="344" t="s">
        <v>285</v>
      </c>
      <c r="I319" s="346" t="s">
        <v>282</v>
      </c>
      <c r="J319" s="345"/>
      <c r="K319" s="346">
        <f t="shared" ref="K319:M319" si="69">PARAMS(K318)</f>
        <v>2048</v>
      </c>
      <c r="L319" s="346">
        <f t="shared" si="69"/>
        <v>1</v>
      </c>
      <c r="M319" s="346">
        <f t="shared" si="69"/>
        <v>7168</v>
      </c>
      <c r="N319" s="346" t="s">
        <v>283</v>
      </c>
      <c r="O319" s="347"/>
      <c r="P319" s="348">
        <f>SIZEOF_IN_MIB(K319:M319, $O318)</f>
        <v>28</v>
      </c>
      <c r="Q319" s="347"/>
    </row>
    <row r="320">
      <c r="E320" s="341"/>
      <c r="F320" s="342"/>
      <c r="G320" s="343"/>
      <c r="H320" s="349" t="s">
        <v>287</v>
      </c>
      <c r="I320" s="349" t="s">
        <v>282</v>
      </c>
      <c r="J320" s="336"/>
      <c r="K320" s="337" t="s">
        <v>96</v>
      </c>
      <c r="L320" s="337"/>
      <c r="M320" s="337" t="s">
        <v>97</v>
      </c>
      <c r="N320" s="349" t="s">
        <v>283</v>
      </c>
      <c r="O320" s="350"/>
      <c r="P320" s="351"/>
      <c r="Q320" s="350"/>
    </row>
    <row r="321">
      <c r="E321" s="341"/>
      <c r="F321" s="353"/>
      <c r="G321" s="354"/>
      <c r="H321" s="346" t="s">
        <v>289</v>
      </c>
      <c r="I321" s="346" t="s">
        <v>282</v>
      </c>
      <c r="J321" s="346"/>
      <c r="K321" s="346">
        <f t="shared" ref="K321:M321" si="70">K319/SHARDING(K320)</f>
        <v>256</v>
      </c>
      <c r="L321" s="346">
        <f t="shared" si="70"/>
        <v>1</v>
      </c>
      <c r="M321" s="346">
        <f t="shared" si="70"/>
        <v>3584</v>
      </c>
      <c r="N321" s="346" t="s">
        <v>283</v>
      </c>
      <c r="O321" s="355"/>
      <c r="P321" s="348">
        <f>SIZEOF_IN_MIB(K321:M321, $O318)</f>
        <v>1.75</v>
      </c>
      <c r="Q321" s="355"/>
    </row>
    <row r="322">
      <c r="E322" s="341"/>
      <c r="F322" s="474" t="s">
        <v>335</v>
      </c>
      <c r="G322" s="551" t="s">
        <v>686</v>
      </c>
      <c r="H322" s="906" t="s">
        <v>687</v>
      </c>
      <c r="I322" s="572"/>
      <c r="J322" s="381"/>
      <c r="K322" s="787"/>
      <c r="L322" s="907"/>
      <c r="M322" s="907"/>
      <c r="N322" s="907"/>
      <c r="O322" s="787"/>
      <c r="P322" s="908"/>
      <c r="Q322" s="787"/>
    </row>
    <row r="323">
      <c r="E323" s="341"/>
      <c r="F323" s="341"/>
      <c r="G323" s="272" t="s">
        <v>319</v>
      </c>
      <c r="H323" s="913" t="str">
        <f>M312</f>
        <v>data</v>
      </c>
      <c r="I323" s="379"/>
      <c r="J323" s="914"/>
      <c r="K323" s="399"/>
      <c r="L323" s="400"/>
      <c r="M323" s="400"/>
      <c r="N323" s="400"/>
      <c r="O323" s="399"/>
      <c r="P323" s="401"/>
      <c r="Q323" s="399"/>
    </row>
    <row r="324">
      <c r="E324" s="341"/>
      <c r="F324" s="341"/>
      <c r="G324" s="458" t="s">
        <v>320</v>
      </c>
      <c r="H324" s="485" t="s">
        <v>306</v>
      </c>
      <c r="I324" s="391"/>
      <c r="J324" s="558" t="str">
        <f>HW_SPEC("# of TensorCore per Chip")</f>
        <v>#N/A</v>
      </c>
      <c r="K324" s="404"/>
      <c r="L324" s="405"/>
      <c r="M324" s="405"/>
      <c r="N324" s="405"/>
      <c r="O324" s="404"/>
      <c r="P324" s="406"/>
      <c r="Q324" s="404"/>
    </row>
    <row r="325">
      <c r="E325" s="341"/>
      <c r="F325" s="341"/>
      <c r="G325" s="341"/>
      <c r="H325" s="481" t="s">
        <v>307</v>
      </c>
      <c r="I325" s="387"/>
      <c r="J325" s="395" t="str">
        <f>P313 * (J324-1)</f>
        <v>#N/A</v>
      </c>
      <c r="K325" s="399"/>
      <c r="L325" s="400"/>
      <c r="M325" s="400"/>
      <c r="N325" s="400"/>
      <c r="O325" s="399"/>
      <c r="P325" s="401"/>
      <c r="Q325" s="399"/>
    </row>
    <row r="326">
      <c r="E326" s="341"/>
      <c r="F326" s="341"/>
      <c r="G326" s="341"/>
      <c r="H326" s="485" t="s">
        <v>308</v>
      </c>
      <c r="I326" s="391"/>
      <c r="J326" s="390" t="str">
        <f>J325*J324</f>
        <v>#N/A</v>
      </c>
      <c r="K326" s="404"/>
      <c r="L326" s="405"/>
      <c r="M326" s="405"/>
      <c r="N326" s="405"/>
      <c r="O326" s="404"/>
      <c r="P326" s="406"/>
      <c r="Q326" s="404"/>
    </row>
    <row r="327">
      <c r="E327" s="341"/>
      <c r="F327" s="341"/>
      <c r="G327" s="352"/>
      <c r="H327" s="481" t="s">
        <v>311</v>
      </c>
      <c r="I327" s="387"/>
      <c r="J327" s="560" t="str">
        <f>ALL_GATHER_CORE2CORE_TIME_MS(J326)</f>
        <v>#N/A</v>
      </c>
      <c r="K327" s="399"/>
      <c r="L327" s="400"/>
      <c r="M327" s="400"/>
      <c r="N327" s="400"/>
      <c r="O327" s="399"/>
      <c r="P327" s="401"/>
      <c r="Q327" s="399"/>
    </row>
    <row r="328">
      <c r="E328" s="341"/>
      <c r="F328" s="352"/>
      <c r="G328" s="462" t="s">
        <v>340</v>
      </c>
      <c r="H328" s="495" t="str">
        <f>J327</f>
        <v>#N/A</v>
      </c>
      <c r="I328" s="492"/>
      <c r="J328" s="336"/>
      <c r="K328" s="336"/>
      <c r="L328" s="349"/>
      <c r="M328" s="349"/>
      <c r="N328" s="349"/>
      <c r="O328" s="336"/>
      <c r="P328" s="351"/>
      <c r="Q328" s="298"/>
    </row>
    <row r="329">
      <c r="E329" s="341"/>
      <c r="F329" s="458" t="s">
        <v>327</v>
      </c>
      <c r="G329" s="459" t="s">
        <v>328</v>
      </c>
      <c r="H329" s="346" t="str">
        <f>VLOOKUP(O310&amp;","&amp;O314,$T$3:$W$12,4, FALSE)</f>
        <v>bf16</v>
      </c>
      <c r="I329" s="493"/>
      <c r="J329" s="345"/>
      <c r="K329" s="345"/>
      <c r="L329" s="346"/>
      <c r="M329" s="346"/>
      <c r="N329" s="346"/>
      <c r="O329" s="345"/>
      <c r="P329" s="578"/>
      <c r="Q329" s="379"/>
    </row>
    <row r="330">
      <c r="E330" s="341"/>
      <c r="F330" s="341"/>
      <c r="G330" s="455" t="s">
        <v>341</v>
      </c>
      <c r="H330" s="494" t="str">
        <f>CALCULATE_FLOPS(J313:M313,J317:M317,K317:L317,1,H329)</f>
        <v>#N/A</v>
      </c>
      <c r="I330" s="883" t="s">
        <v>359</v>
      </c>
      <c r="J330" s="336"/>
      <c r="K330" s="336"/>
      <c r="L330" s="349"/>
      <c r="M330" s="349"/>
      <c r="N330" s="349"/>
      <c r="O330" s="336"/>
      <c r="P330" s="339"/>
      <c r="Q330" s="298"/>
    </row>
    <row r="331">
      <c r="E331" s="341"/>
      <c r="F331" s="352"/>
      <c r="G331" s="462" t="s">
        <v>330</v>
      </c>
      <c r="H331" s="585" t="str">
        <f>COMPUTE_TIME_MS(H330, H329)</f>
        <v>#N/A</v>
      </c>
      <c r="I331" s="464"/>
      <c r="J331" s="465"/>
      <c r="K331" s="465"/>
      <c r="L331" s="466"/>
      <c r="M331" s="466"/>
      <c r="N331" s="466"/>
      <c r="O331" s="465"/>
      <c r="P331" s="586"/>
      <c r="Q331" s="379"/>
    </row>
    <row r="332">
      <c r="E332" s="341"/>
      <c r="F332" s="458" t="s">
        <v>331</v>
      </c>
      <c r="G332" s="455" t="s">
        <v>332</v>
      </c>
      <c r="H332" s="377">
        <f>IF(Q310,0,P313)+IF(Q314,0,P317)+IF(Q318,0,P321)</f>
        <v>117.75</v>
      </c>
      <c r="I332" s="336"/>
      <c r="J332" s="336"/>
      <c r="K332" s="336"/>
      <c r="L332" s="349"/>
      <c r="M332" s="349"/>
      <c r="N332" s="349"/>
      <c r="O332" s="336"/>
      <c r="P332" s="339"/>
      <c r="Q332" s="298"/>
    </row>
    <row r="333">
      <c r="E333" s="352"/>
      <c r="F333" s="352"/>
      <c r="G333" s="469" t="s">
        <v>333</v>
      </c>
      <c r="H333" s="547" t="str">
        <f>HBM_TIME_MS(H332)</f>
        <v>#N/A</v>
      </c>
      <c r="I333" s="465"/>
      <c r="J333" s="465"/>
      <c r="K333" s="465"/>
      <c r="L333" s="466"/>
      <c r="M333" s="466"/>
      <c r="N333" s="466"/>
      <c r="O333" s="465"/>
      <c r="P333" s="586"/>
      <c r="Q333" s="11"/>
    </row>
    <row r="337">
      <c r="E337" s="281" t="s">
        <v>360</v>
      </c>
    </row>
    <row r="338">
      <c r="E338" s="324" t="s">
        <v>272</v>
      </c>
      <c r="F338" s="587" t="s">
        <v>273</v>
      </c>
      <c r="G338" s="326"/>
      <c r="H338" s="588"/>
      <c r="I338" s="325" t="s">
        <v>274</v>
      </c>
      <c r="J338" s="589"/>
      <c r="K338" s="589"/>
      <c r="L338" s="589"/>
      <c r="M338" s="589"/>
      <c r="N338" s="588"/>
      <c r="O338" s="328" t="s">
        <v>275</v>
      </c>
      <c r="P338" s="328" t="s">
        <v>361</v>
      </c>
      <c r="Q338" s="330" t="s">
        <v>277</v>
      </c>
    </row>
    <row r="339">
      <c r="E339" s="333" t="s">
        <v>362</v>
      </c>
      <c r="F339" s="590" t="s">
        <v>335</v>
      </c>
      <c r="G339" s="591" t="s">
        <v>363</v>
      </c>
      <c r="H339" s="592" t="s">
        <v>364</v>
      </c>
      <c r="I339" s="448"/>
      <c r="J339" s="448"/>
      <c r="K339" s="553"/>
      <c r="L339" s="553"/>
      <c r="M339" s="593"/>
      <c r="N339" s="448"/>
      <c r="O339" s="553"/>
      <c r="P339" s="448"/>
      <c r="Q339" s="553"/>
    </row>
    <row r="340">
      <c r="E340" s="341"/>
      <c r="F340" s="341"/>
      <c r="G340" s="371" t="s">
        <v>301</v>
      </c>
      <c r="H340" s="531" t="s">
        <v>281</v>
      </c>
      <c r="I340" s="336" t="s">
        <v>282</v>
      </c>
      <c r="J340" s="336"/>
      <c r="K340" s="337" t="s">
        <v>104</v>
      </c>
      <c r="L340" s="337" t="s">
        <v>212</v>
      </c>
      <c r="M340" s="358" t="s">
        <v>178</v>
      </c>
      <c r="N340" s="336" t="s">
        <v>283</v>
      </c>
      <c r="O340" s="338" t="str">
        <f>PARAMS("expert_dispatch_dtype")</f>
        <v>fp8</v>
      </c>
      <c r="P340" s="336"/>
      <c r="Q340" s="338"/>
    </row>
    <row r="341">
      <c r="E341" s="341"/>
      <c r="F341" s="341"/>
      <c r="G341" s="341"/>
      <c r="H341" s="378" t="s">
        <v>285</v>
      </c>
      <c r="I341" s="345" t="s">
        <v>282</v>
      </c>
      <c r="J341" s="346"/>
      <c r="K341" s="345">
        <f t="shared" ref="K341:M341" si="71">PARAMS(K340)</f>
        <v>2048</v>
      </c>
      <c r="L341" s="345">
        <f t="shared" si="71"/>
        <v>8</v>
      </c>
      <c r="M341" s="345">
        <f t="shared" si="71"/>
        <v>7168</v>
      </c>
      <c r="N341" s="345" t="s">
        <v>283</v>
      </c>
      <c r="O341" s="347"/>
      <c r="P341" s="509">
        <f>SIZEOF_IN_MIB(J341:M341, O340)</f>
        <v>112</v>
      </c>
      <c r="Q341" s="347"/>
    </row>
    <row r="342">
      <c r="E342" s="341"/>
      <c r="F342" s="341"/>
      <c r="G342" s="341"/>
      <c r="H342" s="376" t="s">
        <v>302</v>
      </c>
      <c r="I342" s="349" t="s">
        <v>282</v>
      </c>
      <c r="J342" s="336"/>
      <c r="K342" s="337" t="s">
        <v>196</v>
      </c>
      <c r="L342" s="337"/>
      <c r="M342" s="337"/>
      <c r="N342" s="349" t="s">
        <v>283</v>
      </c>
      <c r="O342" s="350"/>
      <c r="P342" s="377"/>
      <c r="Q342" s="350"/>
    </row>
    <row r="343">
      <c r="E343" s="341"/>
      <c r="F343" s="341"/>
      <c r="G343" s="341"/>
      <c r="H343" s="378" t="s">
        <v>303</v>
      </c>
      <c r="I343" s="346" t="s">
        <v>282</v>
      </c>
      <c r="J343" s="345"/>
      <c r="K343" s="346">
        <f t="shared" ref="K343:M343" si="72">K341/SHARDING(K342)</f>
        <v>128</v>
      </c>
      <c r="L343" s="346">
        <f t="shared" si="72"/>
        <v>8</v>
      </c>
      <c r="M343" s="346">
        <f t="shared" si="72"/>
        <v>7168</v>
      </c>
      <c r="N343" s="344" t="s">
        <v>283</v>
      </c>
      <c r="O343" s="347"/>
      <c r="P343" s="509"/>
      <c r="Q343" s="347"/>
    </row>
    <row r="344">
      <c r="E344" s="341"/>
      <c r="F344" s="341"/>
      <c r="G344" s="352"/>
      <c r="H344" s="376" t="s">
        <v>304</v>
      </c>
      <c r="I344" s="349" t="s">
        <v>282</v>
      </c>
      <c r="J344" s="336"/>
      <c r="K344" s="337" t="s">
        <v>196</v>
      </c>
      <c r="L344" s="337"/>
      <c r="M344" s="337"/>
      <c r="N344" s="349" t="s">
        <v>283</v>
      </c>
      <c r="O344" s="316"/>
      <c r="P344" s="377">
        <f>SIZEOF_IN_MIB(J343:M343, O340)</f>
        <v>7</v>
      </c>
      <c r="Q344" s="316"/>
    </row>
    <row r="345">
      <c r="E345" s="341"/>
      <c r="F345" s="341"/>
      <c r="G345" s="594" t="s">
        <v>608</v>
      </c>
      <c r="H345" s="715">
        <f>P341</f>
        <v>112</v>
      </c>
      <c r="I345" s="379"/>
      <c r="J345" s="379"/>
      <c r="K345" s="379"/>
      <c r="L345" s="379"/>
      <c r="M345" s="379"/>
      <c r="N345" s="379"/>
      <c r="O345" s="379"/>
      <c r="P345" s="596"/>
      <c r="Q345" s="379"/>
    </row>
    <row r="346">
      <c r="E346" s="341"/>
      <c r="F346" s="341"/>
      <c r="G346" s="599" t="s">
        <v>609</v>
      </c>
      <c r="H346" s="885" t="str">
        <f>ALL2ALL_CHIP2CHIP_TIME_MS(H345)</f>
        <v>#N/A</v>
      </c>
      <c r="I346" s="298"/>
      <c r="J346" s="298"/>
      <c r="K346" s="298"/>
      <c r="L346" s="298"/>
      <c r="M346" s="298"/>
      <c r="N346" s="298"/>
      <c r="O346" s="298"/>
      <c r="P346" s="598"/>
      <c r="Q346" s="298"/>
    </row>
    <row r="347">
      <c r="E347" s="341"/>
      <c r="F347" s="341"/>
      <c r="G347" s="601"/>
      <c r="H347" s="517"/>
      <c r="I347" s="346"/>
      <c r="J347" s="345"/>
      <c r="K347" s="344"/>
      <c r="L347" s="556"/>
      <c r="M347" s="344"/>
      <c r="N347" s="346"/>
      <c r="O347" s="344"/>
      <c r="P347" s="509"/>
      <c r="Q347" s="344"/>
    </row>
    <row r="348">
      <c r="E348" s="341"/>
      <c r="F348" s="341"/>
      <c r="G348" s="591" t="s">
        <v>368</v>
      </c>
      <c r="H348" s="603" t="s">
        <v>688</v>
      </c>
      <c r="I348" s="449"/>
      <c r="J348" s="448"/>
      <c r="K348" s="553"/>
      <c r="L348" s="446"/>
      <c r="M348" s="553"/>
      <c r="N348" s="449"/>
      <c r="O348" s="553"/>
      <c r="P348" s="604"/>
      <c r="Q348" s="553"/>
    </row>
    <row r="349">
      <c r="E349" s="341"/>
      <c r="F349" s="341"/>
      <c r="G349" s="371" t="s">
        <v>301</v>
      </c>
      <c r="H349" s="517" t="s">
        <v>281</v>
      </c>
      <c r="I349" s="346" t="s">
        <v>282</v>
      </c>
      <c r="J349" s="345"/>
      <c r="K349" s="344" t="s">
        <v>104</v>
      </c>
      <c r="L349" s="556" t="s">
        <v>102</v>
      </c>
      <c r="M349" s="344" t="s">
        <v>178</v>
      </c>
      <c r="N349" s="346" t="s">
        <v>283</v>
      </c>
      <c r="O349" s="473" t="str">
        <f>PARAMS("expert_dispatch_dtype")</f>
        <v>fp8</v>
      </c>
      <c r="P349" s="509"/>
      <c r="Q349" s="473"/>
    </row>
    <row r="350">
      <c r="E350" s="341"/>
      <c r="F350" s="341"/>
      <c r="G350" s="341"/>
      <c r="H350" s="376" t="s">
        <v>285</v>
      </c>
      <c r="I350" s="349" t="s">
        <v>282</v>
      </c>
      <c r="J350" s="336"/>
      <c r="K350" s="349">
        <f t="shared" ref="K350:M350" si="73">PARAMS(K349)</f>
        <v>2048</v>
      </c>
      <c r="L350" s="349">
        <f t="shared" si="73"/>
        <v>1</v>
      </c>
      <c r="M350" s="349">
        <f t="shared" si="73"/>
        <v>7168</v>
      </c>
      <c r="N350" s="349" t="s">
        <v>283</v>
      </c>
      <c r="O350" s="350"/>
      <c r="P350" s="377">
        <f>SIZEOF_IN_MIB(J350:M350, O349)</f>
        <v>14</v>
      </c>
      <c r="Q350" s="350"/>
    </row>
    <row r="351">
      <c r="E351" s="341"/>
      <c r="F351" s="341"/>
      <c r="G351" s="341"/>
      <c r="H351" s="378" t="s">
        <v>302</v>
      </c>
      <c r="I351" s="346" t="s">
        <v>282</v>
      </c>
      <c r="J351" s="345"/>
      <c r="K351" s="344" t="s">
        <v>96</v>
      </c>
      <c r="L351" s="344"/>
      <c r="M351" s="344" t="s">
        <v>97</v>
      </c>
      <c r="N351" s="346" t="s">
        <v>283</v>
      </c>
      <c r="O351" s="347"/>
      <c r="P351" s="509"/>
      <c r="Q351" s="347"/>
    </row>
    <row r="352">
      <c r="E352" s="341"/>
      <c r="F352" s="341"/>
      <c r="G352" s="341"/>
      <c r="H352" s="602" t="s">
        <v>289</v>
      </c>
      <c r="I352" s="349" t="s">
        <v>282</v>
      </c>
      <c r="J352" s="336"/>
      <c r="K352" s="349">
        <f t="shared" ref="K352:M352" si="74">K350/SHARDING(K351)</f>
        <v>256</v>
      </c>
      <c r="L352" s="349">
        <f t="shared" si="74"/>
        <v>1</v>
      </c>
      <c r="M352" s="349">
        <f t="shared" si="74"/>
        <v>3584</v>
      </c>
      <c r="N352" s="349" t="s">
        <v>283</v>
      </c>
      <c r="O352" s="350"/>
      <c r="P352" s="377">
        <f>SIZEOF_IN_MIB(J352:M352, O349)</f>
        <v>0.875</v>
      </c>
      <c r="Q352" s="316"/>
    </row>
    <row r="353">
      <c r="E353" s="341"/>
      <c r="F353" s="341"/>
      <c r="G353" s="352"/>
      <c r="H353" s="610" t="s">
        <v>304</v>
      </c>
      <c r="I353" s="346" t="s">
        <v>282</v>
      </c>
      <c r="J353" s="379"/>
      <c r="K353" s="379"/>
      <c r="L353" s="379"/>
      <c r="M353" s="344" t="s">
        <v>97</v>
      </c>
      <c r="N353" s="346" t="s">
        <v>283</v>
      </c>
      <c r="O353" s="355"/>
      <c r="P353" s="596"/>
      <c r="Q353" s="379"/>
    </row>
    <row r="354">
      <c r="E354" s="341"/>
      <c r="F354" s="341"/>
      <c r="G354" s="385" t="s">
        <v>306</v>
      </c>
      <c r="H354" s="886">
        <f>SHARDING(K351)*SHARDING(L351)</f>
        <v>8</v>
      </c>
      <c r="I354" s="298"/>
      <c r="J354" s="298"/>
      <c r="K354" s="298"/>
      <c r="L354" s="298"/>
      <c r="M354" s="298"/>
      <c r="N354" s="298"/>
      <c r="O354" s="298"/>
      <c r="P354" s="598"/>
      <c r="Q354" s="298"/>
    </row>
    <row r="355">
      <c r="E355" s="341"/>
      <c r="F355" s="341"/>
      <c r="G355" s="385" t="s">
        <v>307</v>
      </c>
      <c r="H355" s="395">
        <f>P352 * (H354-1)</f>
        <v>6.125</v>
      </c>
      <c r="I355" s="379"/>
      <c r="J355" s="379"/>
      <c r="K355" s="379"/>
      <c r="L355" s="379"/>
      <c r="M355" s="379"/>
      <c r="N355" s="379"/>
      <c r="O355" s="379"/>
      <c r="P355" s="596"/>
      <c r="Q355" s="379"/>
    </row>
    <row r="356">
      <c r="E356" s="341"/>
      <c r="F356" s="341"/>
      <c r="G356" s="394" t="s">
        <v>308</v>
      </c>
      <c r="H356" s="390">
        <f>H355*H354</f>
        <v>49</v>
      </c>
      <c r="I356" s="349"/>
      <c r="J356" s="336"/>
      <c r="K356" s="336"/>
      <c r="L356" s="337"/>
      <c r="M356" s="349"/>
      <c r="N356" s="349"/>
      <c r="O356" s="337"/>
      <c r="P356" s="377"/>
      <c r="Q356" s="337"/>
    </row>
    <row r="357">
      <c r="E357" s="341"/>
      <c r="F357" s="341"/>
      <c r="G357" s="396" t="s">
        <v>309</v>
      </c>
      <c r="H357" s="887">
        <f>IFS(H354=8,12,
H354=4,4,
H354=2,1,
H354=1,0,
TRUE,NA())</f>
        <v>12</v>
      </c>
      <c r="I357" s="346"/>
      <c r="J357" s="345"/>
      <c r="K357" s="345"/>
      <c r="L357" s="344"/>
      <c r="M357" s="346"/>
      <c r="N357" s="346"/>
      <c r="O357" s="344"/>
      <c r="P357" s="509"/>
      <c r="Q357" s="344"/>
    </row>
    <row r="358">
      <c r="E358" s="341"/>
      <c r="F358" s="341"/>
      <c r="G358" s="9" t="s">
        <v>310</v>
      </c>
      <c r="H358" s="293">
        <v>2.0</v>
      </c>
      <c r="I358" s="349"/>
      <c r="J358" s="336"/>
      <c r="K358" s="336"/>
      <c r="L358" s="337"/>
      <c r="M358" s="349"/>
      <c r="N358" s="349"/>
      <c r="O358" s="337"/>
      <c r="P358" s="377"/>
      <c r="Q358" s="337"/>
    </row>
    <row r="359">
      <c r="E359" s="341"/>
      <c r="F359" s="341"/>
      <c r="G359" s="402" t="s">
        <v>311</v>
      </c>
      <c r="H359" s="608" t="str">
        <f>ALL_GATHER_CHIP2CHIP_TIME_MS2(H356 * H358, H357)</f>
        <v>#N/A</v>
      </c>
      <c r="I359" s="346"/>
      <c r="J359" s="345"/>
      <c r="K359" s="345"/>
      <c r="L359" s="344"/>
      <c r="M359" s="346"/>
      <c r="N359" s="346"/>
      <c r="O359" s="344"/>
      <c r="P359" s="509"/>
      <c r="Q359" s="344"/>
    </row>
    <row r="360">
      <c r="E360" s="341"/>
      <c r="F360" s="341"/>
      <c r="G360" s="601"/>
      <c r="H360" s="602"/>
      <c r="I360" s="349"/>
      <c r="J360" s="336"/>
      <c r="K360" s="337"/>
      <c r="L360" s="499"/>
      <c r="M360" s="337"/>
      <c r="N360" s="349"/>
      <c r="O360" s="337"/>
      <c r="P360" s="377"/>
      <c r="Q360" s="337"/>
    </row>
    <row r="361">
      <c r="E361" s="341"/>
      <c r="F361" s="341"/>
      <c r="G361" s="591" t="s">
        <v>117</v>
      </c>
      <c r="H361" s="592" t="s">
        <v>371</v>
      </c>
      <c r="I361" s="449"/>
      <c r="J361" s="448"/>
      <c r="K361" s="553"/>
      <c r="L361" s="446"/>
      <c r="M361" s="553"/>
      <c r="N361" s="449"/>
      <c r="O361" s="553"/>
      <c r="P361" s="604"/>
      <c r="Q361" s="553"/>
    </row>
    <row r="362">
      <c r="E362" s="341"/>
      <c r="F362" s="341"/>
      <c r="G362" s="609" t="s">
        <v>301</v>
      </c>
      <c r="H362" s="602" t="s">
        <v>281</v>
      </c>
      <c r="I362" s="349" t="s">
        <v>282</v>
      </c>
      <c r="J362" s="336"/>
      <c r="K362" s="337" t="s">
        <v>104</v>
      </c>
      <c r="L362" s="499" t="s">
        <v>102</v>
      </c>
      <c r="M362" s="337" t="s">
        <v>178</v>
      </c>
      <c r="N362" s="349" t="s">
        <v>283</v>
      </c>
      <c r="O362" s="338" t="str">
        <f>PARAMS("expert_dispatch_dtype")</f>
        <v>fp8</v>
      </c>
      <c r="P362" s="377"/>
      <c r="Q362" s="337"/>
    </row>
    <row r="363">
      <c r="E363" s="341"/>
      <c r="F363" s="341"/>
      <c r="G363" s="341"/>
      <c r="H363" s="378" t="s">
        <v>285</v>
      </c>
      <c r="I363" s="346" t="s">
        <v>282</v>
      </c>
      <c r="J363" s="345"/>
      <c r="K363" s="346">
        <f t="shared" ref="K363:M363" si="75">PARAMS(K362)</f>
        <v>2048</v>
      </c>
      <c r="L363" s="346">
        <f t="shared" si="75"/>
        <v>1</v>
      </c>
      <c r="M363" s="346">
        <f t="shared" si="75"/>
        <v>7168</v>
      </c>
      <c r="N363" s="346" t="s">
        <v>283</v>
      </c>
      <c r="O363" s="347"/>
      <c r="P363" s="509">
        <f>SIZEOF_IN_MIB(J363:M363, O362)</f>
        <v>14</v>
      </c>
      <c r="Q363" s="344"/>
    </row>
    <row r="364">
      <c r="E364" s="341"/>
      <c r="F364" s="341"/>
      <c r="G364" s="341"/>
      <c r="H364" s="376" t="s">
        <v>302</v>
      </c>
      <c r="I364" s="349" t="s">
        <v>282</v>
      </c>
      <c r="J364" s="336"/>
      <c r="K364" s="337" t="s">
        <v>96</v>
      </c>
      <c r="L364" s="337"/>
      <c r="M364" s="337" t="s">
        <v>97</v>
      </c>
      <c r="N364" s="349" t="s">
        <v>283</v>
      </c>
      <c r="O364" s="350"/>
      <c r="P364" s="377"/>
      <c r="Q364" s="337"/>
    </row>
    <row r="365">
      <c r="E365" s="341"/>
      <c r="F365" s="341"/>
      <c r="G365" s="341"/>
      <c r="H365" s="378" t="s">
        <v>303</v>
      </c>
      <c r="I365" s="346" t="s">
        <v>282</v>
      </c>
      <c r="J365" s="345"/>
      <c r="K365" s="346">
        <f t="shared" ref="K365:M365" si="76">K363/SHARDING(K364)</f>
        <v>256</v>
      </c>
      <c r="L365" s="346">
        <f t="shared" si="76"/>
        <v>1</v>
      </c>
      <c r="M365" s="346">
        <f t="shared" si="76"/>
        <v>3584</v>
      </c>
      <c r="N365" s="346" t="s">
        <v>283</v>
      </c>
      <c r="O365" s="347"/>
      <c r="P365" s="509">
        <f>SIZEOF_IN_MIB(J365:M365, O362)</f>
        <v>0.875</v>
      </c>
      <c r="Q365" s="344"/>
    </row>
    <row r="366">
      <c r="E366" s="341"/>
      <c r="F366" s="341"/>
      <c r="G366" s="352"/>
      <c r="H366" s="605" t="s">
        <v>304</v>
      </c>
      <c r="I366" s="349" t="s">
        <v>282</v>
      </c>
      <c r="J366" s="298"/>
      <c r="K366" s="298"/>
      <c r="L366" s="298"/>
      <c r="M366" s="337"/>
      <c r="N366" s="349" t="s">
        <v>283</v>
      </c>
      <c r="O366" s="316"/>
      <c r="P366" s="298"/>
      <c r="Q366" s="337"/>
    </row>
    <row r="367">
      <c r="E367" s="341"/>
      <c r="F367" s="341"/>
      <c r="G367" s="458" t="s">
        <v>372</v>
      </c>
      <c r="H367" s="610" t="s">
        <v>306</v>
      </c>
      <c r="I367" s="379"/>
      <c r="J367" s="410" t="str">
        <f>SHARDING(K364) * SHARDING(L364)*SHARDING(M364) / HW_SPEC("# of TensorCore per Chip")</f>
        <v>#N/A</v>
      </c>
      <c r="K367" s="345"/>
      <c r="L367" s="344"/>
      <c r="M367" s="346"/>
      <c r="N367" s="346"/>
      <c r="O367" s="344"/>
      <c r="P367" s="509"/>
      <c r="Q367" s="344"/>
    </row>
    <row r="368">
      <c r="E368" s="341"/>
      <c r="F368" s="341"/>
      <c r="G368" s="341"/>
      <c r="H368" s="605" t="s">
        <v>307</v>
      </c>
      <c r="I368" s="298"/>
      <c r="J368" s="390" t="str">
        <f>P365 * HW_SPEC("# of TensorCore per Chip") * (J367-1)</f>
        <v>#N/A</v>
      </c>
      <c r="K368" s="336"/>
      <c r="L368" s="337"/>
      <c r="M368" s="349"/>
      <c r="N368" s="349"/>
      <c r="O368" s="337"/>
      <c r="P368" s="377"/>
      <c r="Q368" s="337"/>
    </row>
    <row r="369">
      <c r="E369" s="341"/>
      <c r="F369" s="341"/>
      <c r="G369" s="341"/>
      <c r="H369" s="410" t="s">
        <v>308</v>
      </c>
      <c r="I369" s="379"/>
      <c r="J369" s="395" t="str">
        <f>J368*J367</f>
        <v>#N/A</v>
      </c>
      <c r="K369" s="345"/>
      <c r="L369" s="344"/>
      <c r="M369" s="346"/>
      <c r="N369" s="346"/>
      <c r="O369" s="344"/>
      <c r="P369" s="509"/>
      <c r="Q369" s="344"/>
    </row>
    <row r="370">
      <c r="E370" s="341"/>
      <c r="F370" s="341"/>
      <c r="G370" s="341"/>
      <c r="H370" s="478" t="s">
        <v>309</v>
      </c>
      <c r="I370" s="298"/>
      <c r="J370" s="397" t="str">
        <f>IFS(J367=8,12,
J367=4,4,
J367=2,1,
J367=1,0,
TRUE,NA())</f>
        <v>#N/A</v>
      </c>
      <c r="K370" s="336"/>
      <c r="L370" s="337"/>
      <c r="M370" s="349"/>
      <c r="N370" s="349"/>
      <c r="O370" s="337"/>
      <c r="P370" s="377"/>
      <c r="Q370" s="337"/>
    </row>
    <row r="371">
      <c r="E371" s="341"/>
      <c r="F371" s="341"/>
      <c r="G371" s="341"/>
      <c r="H371" s="606" t="s">
        <v>310</v>
      </c>
      <c r="I371" s="379"/>
      <c r="J371" s="611" t="s">
        <v>611</v>
      </c>
      <c r="K371" s="345"/>
      <c r="L371" s="344"/>
      <c r="M371" s="346"/>
      <c r="N371" s="346"/>
      <c r="O371" s="344"/>
      <c r="P371" s="509"/>
      <c r="Q371" s="344"/>
    </row>
    <row r="372">
      <c r="E372" s="341"/>
      <c r="F372" s="341"/>
      <c r="G372" s="352"/>
      <c r="H372" s="612" t="s">
        <v>311</v>
      </c>
      <c r="I372" s="613"/>
      <c r="J372" s="403" t="str">
        <f>ALL_GATHER_CHIP2CHIP_TIME_MS2(J369 * J371, J370)</f>
        <v>#N/A</v>
      </c>
      <c r="K372" s="336"/>
      <c r="L372" s="337"/>
      <c r="M372" s="349"/>
      <c r="N372" s="349"/>
      <c r="O372" s="337"/>
      <c r="P372" s="377"/>
      <c r="Q372" s="337"/>
    </row>
    <row r="373">
      <c r="E373" s="341"/>
      <c r="F373" s="341"/>
      <c r="G373" s="458" t="s">
        <v>373</v>
      </c>
      <c r="H373" s="410" t="s">
        <v>306</v>
      </c>
      <c r="I373" s="387"/>
      <c r="J373" s="483" t="str">
        <f>HW_SPEC("# of TensorCore per Chip")</f>
        <v>#N/A</v>
      </c>
      <c r="K373" s="345"/>
      <c r="L373" s="344"/>
      <c r="M373" s="346"/>
      <c r="N373" s="346"/>
      <c r="O373" s="344"/>
      <c r="P373" s="509"/>
      <c r="Q373" s="344"/>
    </row>
    <row r="374">
      <c r="E374" s="341"/>
      <c r="F374" s="341"/>
      <c r="G374" s="341"/>
      <c r="H374" s="478" t="s">
        <v>307</v>
      </c>
      <c r="I374" s="391"/>
      <c r="J374" s="390" t="str">
        <f> P363 / J373 * (J373-1)</f>
        <v>#N/A</v>
      </c>
      <c r="K374" s="336"/>
      <c r="L374" s="337"/>
      <c r="M374" s="349"/>
      <c r="N374" s="349"/>
      <c r="O374" s="337"/>
      <c r="P374" s="377"/>
      <c r="Q374" s="337"/>
    </row>
    <row r="375">
      <c r="E375" s="341"/>
      <c r="F375" s="341"/>
      <c r="G375" s="341"/>
      <c r="H375" s="410" t="s">
        <v>308</v>
      </c>
      <c r="I375" s="387"/>
      <c r="J375" s="395" t="str">
        <f>J374*J373</f>
        <v>#N/A</v>
      </c>
      <c r="K375" s="345"/>
      <c r="L375" s="344"/>
      <c r="M375" s="346"/>
      <c r="N375" s="346"/>
      <c r="O375" s="344"/>
      <c r="P375" s="509"/>
      <c r="Q375" s="344"/>
    </row>
    <row r="376">
      <c r="E376" s="341"/>
      <c r="F376" s="341"/>
      <c r="G376" s="341"/>
      <c r="H376" s="614" t="s">
        <v>311</v>
      </c>
      <c r="I376" s="615"/>
      <c r="J376" s="616" t="str">
        <f>ALL_GATHER_CORE2CORE_TIME_MS(J375)</f>
        <v>#N/A</v>
      </c>
      <c r="K376" s="336"/>
      <c r="L376" s="337"/>
      <c r="M376" s="349"/>
      <c r="N376" s="349"/>
      <c r="O376" s="337"/>
      <c r="P376" s="377"/>
      <c r="Q376" s="337"/>
    </row>
    <row r="377">
      <c r="E377" s="341"/>
      <c r="F377" s="341"/>
      <c r="G377" s="352"/>
      <c r="H377" s="617" t="s">
        <v>374</v>
      </c>
      <c r="I377" s="618"/>
      <c r="J377" s="619" t="str">
        <f>J376/J367</f>
        <v>#N/A</v>
      </c>
      <c r="K377" s="345"/>
      <c r="L377" s="344"/>
      <c r="M377" s="346"/>
      <c r="N377" s="346"/>
      <c r="O377" s="344"/>
      <c r="P377" s="509"/>
      <c r="Q377" s="344"/>
    </row>
    <row r="378">
      <c r="E378" s="341"/>
      <c r="F378" s="341"/>
      <c r="G378" s="402" t="s">
        <v>316</v>
      </c>
      <c r="H378" s="620" t="str">
        <f>J372+J377</f>
        <v>#N/A</v>
      </c>
      <c r="I378" s="298"/>
      <c r="J378" s="621"/>
      <c r="K378" s="336"/>
      <c r="L378" s="337"/>
      <c r="M378" s="349"/>
      <c r="N378" s="349"/>
      <c r="O378" s="337"/>
      <c r="P378" s="377"/>
      <c r="Q378" s="337"/>
    </row>
    <row r="379">
      <c r="E379" s="341"/>
      <c r="F379" s="341"/>
      <c r="G379" s="601"/>
      <c r="H379" s="622"/>
      <c r="I379" s="493"/>
      <c r="J379" s="345"/>
      <c r="K379" s="345"/>
      <c r="L379" s="346"/>
      <c r="M379" s="346"/>
      <c r="N379" s="346"/>
      <c r="O379" s="345"/>
      <c r="P379" s="509"/>
      <c r="Q379" s="379"/>
    </row>
    <row r="380">
      <c r="E380" s="341"/>
      <c r="F380" s="341"/>
      <c r="G380" s="623" t="s">
        <v>375</v>
      </c>
      <c r="H380" s="624" t="s">
        <v>368</v>
      </c>
      <c r="I380" s="581"/>
      <c r="J380" s="448"/>
      <c r="K380" s="448"/>
      <c r="L380" s="449"/>
      <c r="M380" s="449"/>
      <c r="N380" s="449"/>
      <c r="O380" s="448"/>
      <c r="P380" s="604"/>
      <c r="Q380" s="572"/>
    </row>
    <row r="381">
      <c r="E381" s="341"/>
      <c r="F381" s="341"/>
      <c r="G381" s="591" t="s">
        <v>340</v>
      </c>
      <c r="H381" s="625" t="str">
        <f>IFS(H380=G339,H346,H380=G348,H359,H380=G361,H378, TRUE,0)</f>
        <v>#N/A</v>
      </c>
      <c r="I381" s="581"/>
      <c r="J381" s="448"/>
      <c r="K381" s="448"/>
      <c r="L381" s="449"/>
      <c r="M381" s="449"/>
      <c r="N381" s="449"/>
      <c r="O381" s="448"/>
      <c r="P381" s="604"/>
      <c r="Q381" s="572"/>
    </row>
    <row r="382">
      <c r="E382" s="341"/>
      <c r="F382" s="341"/>
      <c r="G382" s="452" t="s">
        <v>325</v>
      </c>
      <c r="H382" s="626" t="str">
        <f>IFS(PARAMS("topo")="2x2x2", (2+2+2)/2,
PARAMS("topo")="2x2", (2+2)/2,
TRUE, NA())</f>
        <v>#N/A</v>
      </c>
      <c r="I382" s="460"/>
      <c r="J382" s="454"/>
      <c r="K382" s="454"/>
      <c r="L382" s="455"/>
      <c r="M382" s="455"/>
      <c r="N382" s="455"/>
      <c r="O382" s="454"/>
      <c r="P382" s="468"/>
      <c r="Q382" s="11"/>
    </row>
    <row r="383">
      <c r="E383" s="352"/>
      <c r="F383" s="352"/>
      <c r="G383" s="446" t="s">
        <v>326</v>
      </c>
      <c r="H383" s="447" t="str">
        <f>IF(H380="No Collectives", 0, H382 * HW_SPEC("Chip-to-Chip ICI Latency (ms)"))</f>
        <v>#N/A</v>
      </c>
      <c r="I383" s="581"/>
      <c r="J383" s="448"/>
      <c r="K383" s="448"/>
      <c r="L383" s="449"/>
      <c r="M383" s="449"/>
      <c r="N383" s="449"/>
      <c r="O383" s="448"/>
      <c r="P383" s="604"/>
      <c r="Q383" s="572"/>
    </row>
    <row r="384">
      <c r="E384" s="333" t="s">
        <v>377</v>
      </c>
      <c r="F384" s="627" t="s">
        <v>292</v>
      </c>
      <c r="G384" s="335"/>
      <c r="H384" s="372" t="s">
        <v>281</v>
      </c>
      <c r="I384" s="364" t="s">
        <v>282</v>
      </c>
      <c r="J384" s="364"/>
      <c r="K384" s="273" t="s">
        <v>104</v>
      </c>
      <c r="L384" s="273" t="s">
        <v>212</v>
      </c>
      <c r="M384" s="472" t="s">
        <v>178</v>
      </c>
      <c r="N384" s="364" t="s">
        <v>283</v>
      </c>
      <c r="O384" s="628" t="str">
        <f>EXTRACT_ACTIVATION_DTYPE(PARAMS("moe_dtype"))</f>
        <v>fp8</v>
      </c>
      <c r="P384" s="375"/>
      <c r="Q384" s="365" t="b">
        <v>0</v>
      </c>
    </row>
    <row r="385">
      <c r="E385" s="341"/>
      <c r="F385" s="342"/>
      <c r="G385" s="343"/>
      <c r="H385" s="374" t="s">
        <v>285</v>
      </c>
      <c r="I385" s="364" t="s">
        <v>282</v>
      </c>
      <c r="J385" s="363"/>
      <c r="K385" s="364">
        <f t="shared" ref="K385:M385" si="77">PARAMS(K384)</f>
        <v>2048</v>
      </c>
      <c r="L385" s="364">
        <f t="shared" si="77"/>
        <v>8</v>
      </c>
      <c r="M385" s="364">
        <f t="shared" si="77"/>
        <v>7168</v>
      </c>
      <c r="N385" s="364" t="s">
        <v>283</v>
      </c>
      <c r="O385" s="341"/>
      <c r="P385" s="375">
        <f>SIZEOF_IN_MIB(J385:M385, O384)</f>
        <v>112</v>
      </c>
      <c r="Q385" s="341"/>
    </row>
    <row r="386">
      <c r="E386" s="341"/>
      <c r="F386" s="342"/>
      <c r="G386" s="343"/>
      <c r="H386" s="629" t="s">
        <v>287</v>
      </c>
      <c r="I386" s="363" t="s">
        <v>282</v>
      </c>
      <c r="J386" s="364"/>
      <c r="K386" s="273" t="s">
        <v>96</v>
      </c>
      <c r="L386" s="273"/>
      <c r="M386" s="273" t="s">
        <v>97</v>
      </c>
      <c r="N386" s="363" t="s">
        <v>283</v>
      </c>
      <c r="O386" s="341"/>
      <c r="P386" s="375"/>
      <c r="Q386" s="341"/>
    </row>
    <row r="387">
      <c r="E387" s="341"/>
      <c r="F387" s="353"/>
      <c r="G387" s="354"/>
      <c r="H387" s="376" t="s">
        <v>289</v>
      </c>
      <c r="I387" s="349" t="s">
        <v>282</v>
      </c>
      <c r="J387" s="336"/>
      <c r="K387" s="349">
        <f t="shared" ref="K387:M387" si="78">K385/SHARDING(K386)</f>
        <v>256</v>
      </c>
      <c r="L387" s="349">
        <f t="shared" si="78"/>
        <v>8</v>
      </c>
      <c r="M387" s="349">
        <f t="shared" si="78"/>
        <v>3584</v>
      </c>
      <c r="N387" s="349" t="s">
        <v>283</v>
      </c>
      <c r="O387" s="316"/>
      <c r="P387" s="377">
        <f>SIZEOF_IN_MIB(J387:M387, O384)</f>
        <v>7</v>
      </c>
      <c r="Q387" s="316"/>
      <c r="R387" s="806"/>
      <c r="S387" s="806"/>
    </row>
    <row r="388">
      <c r="E388" s="341"/>
      <c r="F388" s="630" t="s">
        <v>296</v>
      </c>
      <c r="G388" s="335"/>
      <c r="H388" s="517" t="s">
        <v>281</v>
      </c>
      <c r="I388" s="346" t="s">
        <v>282</v>
      </c>
      <c r="J388" s="344">
        <v>2.0</v>
      </c>
      <c r="K388" s="344" t="s">
        <v>184</v>
      </c>
      <c r="L388" s="556" t="s">
        <v>178</v>
      </c>
      <c r="M388" s="344" t="s">
        <v>182</v>
      </c>
      <c r="N388" s="346" t="s">
        <v>283</v>
      </c>
      <c r="O388" s="631" t="str">
        <f>EXTRACT_WEIGHT_DTYPE(PARAMS("moe_dtype"))</f>
        <v>fp4</v>
      </c>
      <c r="P388" s="509"/>
      <c r="Q388" s="473" t="b">
        <v>0</v>
      </c>
      <c r="R388" s="807"/>
      <c r="S388" s="807"/>
    </row>
    <row r="389">
      <c r="E389" s="341"/>
      <c r="F389" s="342"/>
      <c r="G389" s="343"/>
      <c r="H389" s="376" t="s">
        <v>285</v>
      </c>
      <c r="I389" s="349" t="s">
        <v>282</v>
      </c>
      <c r="J389" s="349">
        <f t="shared" ref="J389:M389" si="79">PARAMS(J388)</f>
        <v>2</v>
      </c>
      <c r="K389" s="349">
        <f t="shared" si="79"/>
        <v>256</v>
      </c>
      <c r="L389" s="349">
        <f t="shared" si="79"/>
        <v>7168</v>
      </c>
      <c r="M389" s="349">
        <f t="shared" si="79"/>
        <v>2048</v>
      </c>
      <c r="N389" s="349" t="s">
        <v>283</v>
      </c>
      <c r="O389" s="350"/>
      <c r="P389" s="377">
        <f>SIZEOF_IN_MIB(J389:M389, O388)</f>
        <v>3584</v>
      </c>
      <c r="Q389" s="350"/>
      <c r="R389" s="806"/>
      <c r="S389" s="806"/>
    </row>
    <row r="390">
      <c r="E390" s="341"/>
      <c r="F390" s="342"/>
      <c r="G390" s="343"/>
      <c r="H390" s="517" t="s">
        <v>287</v>
      </c>
      <c r="I390" s="346"/>
      <c r="J390" s="345"/>
      <c r="K390" s="344"/>
      <c r="L390" s="344" t="s">
        <v>97</v>
      </c>
      <c r="M390" s="344"/>
      <c r="N390" s="346" t="s">
        <v>283</v>
      </c>
      <c r="O390" s="347"/>
      <c r="P390" s="509"/>
      <c r="Q390" s="347"/>
      <c r="S390" s="915" t="s">
        <v>689</v>
      </c>
    </row>
    <row r="391">
      <c r="E391" s="341"/>
      <c r="F391" s="353"/>
      <c r="G391" s="354"/>
      <c r="H391" s="602" t="s">
        <v>289</v>
      </c>
      <c r="I391" s="349" t="s">
        <v>282</v>
      </c>
      <c r="J391" s="349">
        <f t="shared" ref="J391:M391" si="80">J389/SHARDING(J390)</f>
        <v>2</v>
      </c>
      <c r="K391" s="349">
        <f t="shared" si="80"/>
        <v>256</v>
      </c>
      <c r="L391" s="349">
        <f t="shared" si="80"/>
        <v>3584</v>
      </c>
      <c r="M391" s="349">
        <f t="shared" si="80"/>
        <v>2048</v>
      </c>
      <c r="N391" s="349" t="s">
        <v>283</v>
      </c>
      <c r="O391" s="316"/>
      <c r="P391" s="377">
        <f>SIZEOF_IN_MIB(J391:M391, O388)</f>
        <v>1792</v>
      </c>
      <c r="Q391" s="316"/>
      <c r="R391" s="916" t="s">
        <v>690</v>
      </c>
      <c r="S391" s="916" t="s">
        <v>691</v>
      </c>
    </row>
    <row r="392">
      <c r="E392" s="341"/>
      <c r="F392" s="630" t="s">
        <v>56</v>
      </c>
      <c r="G392" s="335"/>
      <c r="H392" s="517" t="s">
        <v>281</v>
      </c>
      <c r="I392" s="346" t="s">
        <v>282</v>
      </c>
      <c r="J392" s="344">
        <v>2.0</v>
      </c>
      <c r="K392" s="344" t="s">
        <v>104</v>
      </c>
      <c r="L392" s="344" t="s">
        <v>212</v>
      </c>
      <c r="M392" s="344" t="s">
        <v>182</v>
      </c>
      <c r="N392" s="346" t="s">
        <v>283</v>
      </c>
      <c r="O392" s="546" t="s">
        <v>133</v>
      </c>
      <c r="P392" s="509"/>
      <c r="Q392" s="473" t="b">
        <v>0</v>
      </c>
      <c r="R392" s="807"/>
      <c r="S392" s="807"/>
    </row>
    <row r="393">
      <c r="E393" s="341"/>
      <c r="F393" s="342"/>
      <c r="G393" s="343"/>
      <c r="H393" s="376" t="s">
        <v>285</v>
      </c>
      <c r="I393" s="349" t="s">
        <v>282</v>
      </c>
      <c r="J393" s="349">
        <f t="shared" ref="J393:M393" si="81">PARAMS(J392)</f>
        <v>2</v>
      </c>
      <c r="K393" s="349">
        <f t="shared" si="81"/>
        <v>2048</v>
      </c>
      <c r="L393" s="349">
        <f t="shared" si="81"/>
        <v>8</v>
      </c>
      <c r="M393" s="349">
        <f t="shared" si="81"/>
        <v>2048</v>
      </c>
      <c r="N393" s="349" t="s">
        <v>283</v>
      </c>
      <c r="O393" s="350"/>
      <c r="P393" s="377">
        <f>SIZEOF_IN_MIB(J393:M393, O392)</f>
        <v>128</v>
      </c>
      <c r="Q393" s="350"/>
      <c r="R393" s="806"/>
      <c r="S393" s="806"/>
    </row>
    <row r="394">
      <c r="E394" s="341"/>
      <c r="F394" s="342"/>
      <c r="G394" s="343"/>
      <c r="H394" s="517" t="s">
        <v>287</v>
      </c>
      <c r="I394" s="346" t="s">
        <v>282</v>
      </c>
      <c r="J394" s="345"/>
      <c r="K394" s="344" t="s">
        <v>96</v>
      </c>
      <c r="L394" s="344"/>
      <c r="M394" s="344" t="s">
        <v>196</v>
      </c>
      <c r="N394" s="346" t="s">
        <v>283</v>
      </c>
      <c r="O394" s="347"/>
      <c r="P394" s="509"/>
      <c r="Q394" s="347"/>
      <c r="R394" s="807"/>
      <c r="S394" s="807"/>
    </row>
    <row r="395">
      <c r="E395" s="341"/>
      <c r="F395" s="353"/>
      <c r="G395" s="354"/>
      <c r="H395" s="602" t="s">
        <v>289</v>
      </c>
      <c r="I395" s="349" t="s">
        <v>282</v>
      </c>
      <c r="J395" s="349">
        <f t="shared" ref="J395:M395" si="82">J393/SHARDING(J394)</f>
        <v>2</v>
      </c>
      <c r="K395" s="349">
        <f t="shared" si="82"/>
        <v>256</v>
      </c>
      <c r="L395" s="349">
        <f t="shared" si="82"/>
        <v>8</v>
      </c>
      <c r="M395" s="349">
        <f t="shared" si="82"/>
        <v>128</v>
      </c>
      <c r="N395" s="349" t="s">
        <v>283</v>
      </c>
      <c r="O395" s="316"/>
      <c r="P395" s="377">
        <f>SIZEOF_IN_MIB(J395:M395, O392)</f>
        <v>1</v>
      </c>
      <c r="Q395" s="316"/>
      <c r="R395" s="806"/>
      <c r="S395" s="806"/>
    </row>
    <row r="396">
      <c r="E396" s="341"/>
      <c r="F396" s="661" t="s">
        <v>692</v>
      </c>
      <c r="G396" s="591" t="s">
        <v>686</v>
      </c>
      <c r="H396" s="633" t="s">
        <v>693</v>
      </c>
      <c r="I396" s="632"/>
      <c r="J396" s="345"/>
      <c r="K396" s="345"/>
      <c r="L396" s="346"/>
      <c r="M396" s="346"/>
      <c r="N396" s="346"/>
      <c r="O396" s="345"/>
      <c r="P396" s="509"/>
      <c r="Q396" s="379"/>
      <c r="R396" s="697"/>
      <c r="S396" s="697"/>
    </row>
    <row r="397">
      <c r="E397" s="341"/>
      <c r="F397" s="661"/>
      <c r="G397" s="601" t="s">
        <v>338</v>
      </c>
      <c r="H397" s="549" t="str">
        <f>K386</f>
        <v>model</v>
      </c>
      <c r="I397" s="917"/>
      <c r="J397" s="336"/>
      <c r="K397" s="336"/>
      <c r="L397" s="349"/>
      <c r="M397" s="349"/>
      <c r="N397" s="349"/>
      <c r="O397" s="336"/>
      <c r="P397" s="377"/>
      <c r="Q397" s="298"/>
      <c r="R397" s="808"/>
      <c r="S397" s="808"/>
    </row>
    <row r="398">
      <c r="E398" s="341"/>
      <c r="F398" s="370" t="s">
        <v>378</v>
      </c>
      <c r="G398" s="601" t="s">
        <v>694</v>
      </c>
      <c r="H398" s="498" t="str">
        <f>L390</f>
        <v>data</v>
      </c>
      <c r="I398" s="632" t="s">
        <v>695</v>
      </c>
      <c r="J398" s="345"/>
      <c r="K398" s="345"/>
      <c r="L398" s="346"/>
      <c r="M398" s="346"/>
      <c r="N398" s="346"/>
      <c r="O398" s="345"/>
      <c r="P398" s="509"/>
      <c r="Q398" s="379"/>
      <c r="R398" s="697"/>
      <c r="S398" s="697"/>
    </row>
    <row r="399">
      <c r="E399" s="341"/>
      <c r="F399" s="341"/>
      <c r="G399" s="591" t="s">
        <v>381</v>
      </c>
      <c r="H399" s="633" t="s">
        <v>382</v>
      </c>
      <c r="I399" s="633"/>
      <c r="J399" s="448"/>
      <c r="K399" s="448"/>
      <c r="L399" s="449"/>
      <c r="M399" s="449"/>
      <c r="N399" s="449"/>
      <c r="O399" s="448"/>
      <c r="P399" s="604"/>
      <c r="Q399" s="572"/>
      <c r="R399" s="808"/>
      <c r="S399" s="808"/>
    </row>
    <row r="400">
      <c r="E400" s="341"/>
      <c r="F400" s="341"/>
      <c r="G400" s="594" t="s">
        <v>306</v>
      </c>
      <c r="H400" s="634">
        <f>SHARDING(H398)</f>
        <v>2</v>
      </c>
      <c r="I400" s="498"/>
      <c r="J400" s="345"/>
      <c r="K400" s="345"/>
      <c r="L400" s="346"/>
      <c r="M400" s="346"/>
      <c r="N400" s="346"/>
      <c r="O400" s="345"/>
      <c r="P400" s="509"/>
      <c r="Q400" s="379"/>
      <c r="R400" s="697"/>
      <c r="S400" s="697"/>
    </row>
    <row r="401">
      <c r="E401" s="341"/>
      <c r="F401" s="341"/>
      <c r="G401" s="594" t="s">
        <v>383</v>
      </c>
      <c r="H401" s="635">
        <f>P395/H400*(H400-1)</f>
        <v>0.5</v>
      </c>
      <c r="I401" s="549"/>
      <c r="J401" s="336"/>
      <c r="K401" s="336"/>
      <c r="L401" s="349"/>
      <c r="M401" s="349"/>
      <c r="N401" s="349"/>
      <c r="O401" s="336"/>
      <c r="P401" s="377"/>
      <c r="Q401" s="298"/>
      <c r="R401" s="808"/>
      <c r="S401" s="808"/>
    </row>
    <row r="402">
      <c r="E402" s="341"/>
      <c r="F402" s="341"/>
      <c r="G402" s="594" t="s">
        <v>384</v>
      </c>
      <c r="H402" s="636">
        <f>H401*H400</f>
        <v>1</v>
      </c>
      <c r="I402" s="498"/>
      <c r="J402" s="345"/>
      <c r="K402" s="345"/>
      <c r="L402" s="346"/>
      <c r="M402" s="346"/>
      <c r="N402" s="346"/>
      <c r="O402" s="345"/>
      <c r="P402" s="509"/>
      <c r="Q402" s="379"/>
      <c r="R402" s="697"/>
      <c r="S402" s="697"/>
    </row>
    <row r="403">
      <c r="E403" s="341"/>
      <c r="F403" s="341"/>
      <c r="G403" s="637" t="s">
        <v>385</v>
      </c>
      <c r="H403" s="638" t="s">
        <v>309</v>
      </c>
      <c r="I403" s="549"/>
      <c r="J403" s="639">
        <f>IFS(H400=8,12,
H400=4,4,
H400=2,1,
H400=1,0,
TRUE,NA())</f>
        <v>1</v>
      </c>
      <c r="K403" s="336"/>
      <c r="L403" s="349"/>
      <c r="M403" s="349"/>
      <c r="N403" s="349"/>
      <c r="O403" s="336"/>
      <c r="P403" s="377"/>
      <c r="Q403" s="298"/>
      <c r="R403" s="808"/>
      <c r="S403" s="808"/>
    </row>
    <row r="404">
      <c r="E404" s="341"/>
      <c r="F404" s="341"/>
      <c r="G404" s="341"/>
      <c r="H404" s="640" t="s">
        <v>386</v>
      </c>
      <c r="I404" s="379"/>
      <c r="J404" s="641" t="str">
        <f>HW_SPEC("# of TensorCore per Chip")</f>
        <v>#N/A</v>
      </c>
      <c r="K404" s="345"/>
      <c r="L404" s="346"/>
      <c r="M404" s="346"/>
      <c r="N404" s="346"/>
      <c r="O404" s="345"/>
      <c r="P404" s="509"/>
      <c r="Q404" s="379"/>
      <c r="R404" s="697"/>
      <c r="S404" s="697"/>
    </row>
    <row r="405">
      <c r="E405" s="341"/>
      <c r="F405" s="341"/>
      <c r="G405" s="352"/>
      <c r="H405" s="642" t="s">
        <v>311</v>
      </c>
      <c r="I405" s="549"/>
      <c r="J405" s="643" t="str">
        <f>REDUCE_SCATTER_CHIP2CHIP_TIME_MS2(H402*J404,J403)</f>
        <v>#N/A</v>
      </c>
      <c r="K405" s="336"/>
      <c r="L405" s="349"/>
      <c r="M405" s="349"/>
      <c r="N405" s="349"/>
      <c r="O405" s="336"/>
      <c r="P405" s="377"/>
      <c r="Q405" s="298"/>
      <c r="R405" s="808"/>
      <c r="S405" s="808"/>
    </row>
    <row r="406">
      <c r="E406" s="341"/>
      <c r="F406" s="341"/>
      <c r="G406" s="644" t="s">
        <v>387</v>
      </c>
      <c r="H406" s="645" t="s">
        <v>311</v>
      </c>
      <c r="I406" s="379"/>
      <c r="J406" s="646" t="str">
        <f>REDUCE_SCATTER_CORE2CORE_TIME_MS(H402)</f>
        <v>#N/A</v>
      </c>
      <c r="K406" s="345"/>
      <c r="L406" s="346"/>
      <c r="M406" s="346"/>
      <c r="N406" s="346"/>
      <c r="O406" s="345"/>
      <c r="P406" s="509"/>
      <c r="Q406" s="379"/>
      <c r="R406" s="697"/>
      <c r="S406" s="697"/>
    </row>
    <row r="407">
      <c r="E407" s="341"/>
      <c r="F407" s="341"/>
      <c r="G407" s="11"/>
      <c r="H407" s="298"/>
      <c r="I407" s="549"/>
      <c r="J407" s="336"/>
      <c r="K407" s="336"/>
      <c r="L407" s="349"/>
      <c r="M407" s="349"/>
      <c r="N407" s="349"/>
      <c r="O407" s="336"/>
      <c r="P407" s="377"/>
      <c r="Q407" s="298"/>
      <c r="R407" s="808"/>
      <c r="S407" s="808"/>
    </row>
    <row r="408">
      <c r="E408" s="341"/>
      <c r="F408" s="341"/>
      <c r="G408" s="591" t="s">
        <v>388</v>
      </c>
      <c r="H408" s="647" t="s">
        <v>389</v>
      </c>
      <c r="I408" s="648"/>
      <c r="J408" s="448"/>
      <c r="K408" s="448"/>
      <c r="L408" s="449"/>
      <c r="M408" s="449"/>
      <c r="N408" s="449"/>
      <c r="O408" s="448"/>
      <c r="P408" s="604"/>
      <c r="Q408" s="572"/>
      <c r="R408" s="697"/>
      <c r="S408" s="697"/>
    </row>
    <row r="409">
      <c r="E409" s="341"/>
      <c r="F409" s="341"/>
      <c r="G409" s="601" t="s">
        <v>390</v>
      </c>
      <c r="H409" s="649">
        <f>P395/2</f>
        <v>0.5</v>
      </c>
      <c r="I409" s="650"/>
      <c r="J409" s="454"/>
      <c r="K409" s="454"/>
      <c r="L409" s="455"/>
      <c r="M409" s="455"/>
      <c r="N409" s="455"/>
      <c r="O409" s="454"/>
      <c r="P409" s="468"/>
      <c r="Q409" s="11"/>
    </row>
    <row r="410">
      <c r="E410" s="341"/>
      <c r="F410" s="341"/>
      <c r="G410" s="11"/>
      <c r="H410" s="11"/>
      <c r="I410" s="650"/>
      <c r="J410" s="454"/>
      <c r="K410" s="454"/>
      <c r="L410" s="455"/>
      <c r="M410" s="455"/>
      <c r="N410" s="455"/>
      <c r="O410" s="454"/>
      <c r="P410" s="468"/>
      <c r="Q410" s="11"/>
    </row>
    <row r="411">
      <c r="E411" s="341"/>
      <c r="F411" s="341"/>
      <c r="G411" s="591" t="s">
        <v>263</v>
      </c>
      <c r="H411" s="647" t="s">
        <v>391</v>
      </c>
      <c r="I411" s="648"/>
      <c r="J411" s="448"/>
      <c r="K411" s="448"/>
      <c r="L411" s="449"/>
      <c r="M411" s="449"/>
      <c r="N411" s="449"/>
      <c r="O411" s="448"/>
      <c r="P411" s="604"/>
      <c r="Q411" s="572"/>
    </row>
    <row r="412">
      <c r="E412" s="341"/>
      <c r="F412" s="341"/>
      <c r="G412" s="594" t="s">
        <v>306</v>
      </c>
      <c r="H412" s="651">
        <f>H400</f>
        <v>2</v>
      </c>
      <c r="I412" s="650"/>
      <c r="J412" s="454"/>
      <c r="K412" s="454"/>
      <c r="L412" s="455"/>
      <c r="M412" s="455"/>
      <c r="N412" s="455"/>
      <c r="O412" s="454"/>
      <c r="P412" s="468"/>
      <c r="Q412" s="11"/>
    </row>
    <row r="413">
      <c r="E413" s="341"/>
      <c r="F413" s="341"/>
      <c r="G413" s="594" t="s">
        <v>392</v>
      </c>
      <c r="H413" s="652">
        <f>H409/H412 * (H412-1)</f>
        <v>0.25</v>
      </c>
      <c r="I413" s="650"/>
      <c r="J413" s="454"/>
      <c r="K413" s="454"/>
      <c r="L413" s="455"/>
      <c r="M413" s="455"/>
      <c r="N413" s="455"/>
      <c r="O413" s="454"/>
      <c r="P413" s="468"/>
      <c r="Q413" s="11"/>
    </row>
    <row r="414">
      <c r="E414" s="341"/>
      <c r="F414" s="341"/>
      <c r="G414" s="594" t="s">
        <v>308</v>
      </c>
      <c r="H414" s="652">
        <f>H413*H412</f>
        <v>0.5</v>
      </c>
      <c r="I414" s="650"/>
      <c r="J414" s="454"/>
      <c r="K414" s="454"/>
      <c r="L414" s="455"/>
      <c r="M414" s="455"/>
      <c r="N414" s="455"/>
      <c r="O414" s="454"/>
      <c r="P414" s="468"/>
      <c r="Q414" s="11"/>
    </row>
    <row r="415">
      <c r="E415" s="341"/>
      <c r="F415" s="341"/>
      <c r="G415" s="653" t="s">
        <v>385</v>
      </c>
      <c r="H415" s="385" t="s">
        <v>309</v>
      </c>
      <c r="I415" s="11"/>
      <c r="J415" s="654">
        <f>IFS(H412=8,12,
H412=4,4,
H412=2,1,
TRUE,NA())</f>
        <v>1</v>
      </c>
      <c r="K415" s="454"/>
      <c r="L415" s="455"/>
      <c r="M415" s="455"/>
      <c r="N415" s="455"/>
      <c r="O415" s="454"/>
      <c r="P415" s="468"/>
      <c r="Q415" s="11"/>
      <c r="S415" s="655"/>
    </row>
    <row r="416">
      <c r="E416" s="341"/>
      <c r="F416" s="341"/>
      <c r="G416" s="341"/>
      <c r="H416" s="385" t="s">
        <v>386</v>
      </c>
      <c r="I416" s="11"/>
      <c r="J416" s="656" t="str">
        <f>HW_SPEC("# of TensorCore per Chip")</f>
        <v>#N/A</v>
      </c>
      <c r="K416" s="454"/>
      <c r="L416" s="455"/>
      <c r="M416" s="455"/>
      <c r="N416" s="455"/>
      <c r="O416" s="454"/>
      <c r="P416" s="468"/>
      <c r="Q416" s="11"/>
    </row>
    <row r="417">
      <c r="E417" s="341"/>
      <c r="F417" s="341"/>
      <c r="G417" s="352"/>
      <c r="H417" s="402" t="s">
        <v>311</v>
      </c>
      <c r="I417" s="650"/>
      <c r="J417" s="657" t="str">
        <f>REDUCE_SCATTER_CHIP2CHIP_TIME_MS2(H414*J416,J415)</f>
        <v>#N/A</v>
      </c>
      <c r="K417" s="454"/>
      <c r="L417" s="455"/>
      <c r="M417" s="455"/>
      <c r="N417" s="455"/>
      <c r="O417" s="454"/>
      <c r="P417" s="468"/>
      <c r="Q417" s="11"/>
    </row>
    <row r="418">
      <c r="E418" s="341"/>
      <c r="F418" s="341"/>
      <c r="G418" s="658" t="s">
        <v>387</v>
      </c>
      <c r="H418" s="402" t="s">
        <v>311</v>
      </c>
      <c r="I418" s="650"/>
      <c r="J418" s="657" t="str">
        <f>REDUCE_SCATTER_CORE2CORE_TIME_MS(H414)</f>
        <v>#N/A</v>
      </c>
      <c r="K418" s="454"/>
      <c r="L418" s="455"/>
      <c r="M418" s="455"/>
      <c r="N418" s="455"/>
      <c r="O418" s="454"/>
      <c r="P418" s="468"/>
      <c r="Q418" s="11"/>
    </row>
    <row r="419">
      <c r="E419" s="341"/>
      <c r="F419" s="341"/>
      <c r="G419" s="594"/>
      <c r="H419" s="659"/>
      <c r="I419" s="650"/>
      <c r="J419" s="454"/>
      <c r="K419" s="454"/>
      <c r="L419" s="455"/>
      <c r="M419" s="455"/>
      <c r="N419" s="455"/>
      <c r="O419" s="454"/>
      <c r="P419" s="468"/>
      <c r="Q419" s="11"/>
    </row>
    <row r="420">
      <c r="E420" s="341"/>
      <c r="F420" s="341"/>
      <c r="G420" s="591" t="s">
        <v>393</v>
      </c>
      <c r="H420" s="660" t="s">
        <v>387</v>
      </c>
      <c r="I420" s="648"/>
      <c r="J420" s="448"/>
      <c r="K420" s="448"/>
      <c r="L420" s="449"/>
      <c r="M420" s="449"/>
      <c r="N420" s="449"/>
      <c r="O420" s="448"/>
      <c r="P420" s="604"/>
      <c r="Q420" s="572"/>
    </row>
    <row r="421">
      <c r="E421" s="341"/>
      <c r="F421" s="341"/>
      <c r="G421" s="661" t="s">
        <v>395</v>
      </c>
      <c r="H421" s="662" t="str">
        <f>IFS(H420=G403,J405,
H420=G406,J406 ,
TRUE,0)</f>
        <v>#N/A</v>
      </c>
      <c r="I421" s="650"/>
      <c r="J421" s="454"/>
      <c r="K421" s="454"/>
      <c r="L421" s="455"/>
      <c r="M421" s="455"/>
      <c r="N421" s="455"/>
      <c r="O421" s="454"/>
      <c r="P421" s="468"/>
      <c r="Q421" s="11"/>
    </row>
    <row r="422">
      <c r="E422" s="341"/>
      <c r="F422" s="341"/>
      <c r="G422" s="661" t="s">
        <v>396</v>
      </c>
      <c r="H422" s="662" t="str">
        <f>IFS(H420=G415,J417,
H420=G418,J418 ,
TRUE,0)</f>
        <v>#N/A</v>
      </c>
      <c r="I422" s="650"/>
      <c r="J422" s="454"/>
      <c r="K422" s="454"/>
      <c r="L422" s="455"/>
      <c r="M422" s="455"/>
      <c r="N422" s="455"/>
      <c r="O422" s="454"/>
      <c r="P422" s="468"/>
      <c r="Q422" s="11"/>
    </row>
    <row r="423">
      <c r="E423" s="341"/>
      <c r="F423" s="352"/>
      <c r="G423" s="591" t="s">
        <v>340</v>
      </c>
      <c r="H423" s="625" t="str">
        <f>SUM(H421:H422)</f>
        <v>#N/A</v>
      </c>
      <c r="I423" s="581"/>
      <c r="J423" s="448"/>
      <c r="K423" s="448"/>
      <c r="L423" s="449"/>
      <c r="M423" s="449"/>
      <c r="N423" s="449"/>
      <c r="O423" s="448"/>
      <c r="P423" s="604"/>
      <c r="Q423" s="572"/>
    </row>
    <row r="424">
      <c r="E424" s="341"/>
      <c r="F424" s="609" t="s">
        <v>327</v>
      </c>
      <c r="G424" s="601" t="s">
        <v>328</v>
      </c>
      <c r="H424" s="663" t="str">
        <f>VLOOKUP(O384&amp;","&amp;O388,$T$3:$W$12,4, FALSE)</f>
        <v>fp8</v>
      </c>
      <c r="I424" s="460"/>
      <c r="J424" s="454"/>
      <c r="K424" s="454"/>
      <c r="L424" s="455"/>
      <c r="M424" s="455"/>
      <c r="N424" s="455"/>
      <c r="O424" s="454"/>
      <c r="P424" s="468"/>
      <c r="Q424" s="11"/>
    </row>
    <row r="425">
      <c r="E425" s="341"/>
      <c r="F425" s="341"/>
      <c r="G425" s="601" t="s">
        <v>403</v>
      </c>
      <c r="H425" s="667" t="str">
        <f>CALCULATE_FLOPS(J387:M387,J391:M391,L391,K391,H424)</f>
        <v>#N/A</v>
      </c>
      <c r="I425" s="460"/>
      <c r="J425" s="454"/>
      <c r="K425" s="454"/>
      <c r="L425" s="455"/>
      <c r="M425" s="455"/>
      <c r="N425" s="455"/>
      <c r="O425" s="454"/>
      <c r="P425" s="468"/>
      <c r="Q425" s="11"/>
    </row>
    <row r="426">
      <c r="E426" s="341"/>
      <c r="F426" s="352"/>
      <c r="G426" s="669" t="s">
        <v>330</v>
      </c>
      <c r="H426" s="670" t="str">
        <f>COMPUTE_TIME_MS(H425, H424)</f>
        <v>#N/A</v>
      </c>
      <c r="I426" s="464"/>
      <c r="J426" s="465"/>
      <c r="K426" s="465"/>
      <c r="L426" s="466"/>
      <c r="M426" s="466"/>
      <c r="N426" s="466"/>
      <c r="O426" s="465"/>
      <c r="P426" s="671"/>
      <c r="Q426" s="11"/>
    </row>
    <row r="427">
      <c r="E427" s="341"/>
      <c r="F427" s="609" t="s">
        <v>331</v>
      </c>
      <c r="G427" s="663" t="s">
        <v>332</v>
      </c>
      <c r="H427" s="672">
        <f>IF(Q384,0,P387)+IF(Q388,0,P391)+IF(Q392,0,P395 / 2)</f>
        <v>1799.5</v>
      </c>
      <c r="I427" s="454"/>
      <c r="J427" s="454"/>
      <c r="K427" s="454"/>
      <c r="L427" s="455"/>
      <c r="M427" s="455"/>
      <c r="N427" s="455"/>
      <c r="O427" s="454"/>
      <c r="P427" s="468"/>
      <c r="Q427" s="11"/>
    </row>
    <row r="428">
      <c r="E428" s="352"/>
      <c r="F428" s="352"/>
      <c r="G428" s="673" t="s">
        <v>333</v>
      </c>
      <c r="H428" s="670" t="str">
        <f>HBM_TIME_MS(H427)</f>
        <v>#N/A</v>
      </c>
      <c r="I428" s="465"/>
      <c r="J428" s="465"/>
      <c r="K428" s="465"/>
      <c r="L428" s="466"/>
      <c r="M428" s="466"/>
      <c r="N428" s="466"/>
      <c r="O428" s="465"/>
      <c r="P428" s="671"/>
      <c r="Q428" s="11"/>
    </row>
    <row r="429">
      <c r="E429" s="333" t="s">
        <v>404</v>
      </c>
      <c r="F429" s="627" t="s">
        <v>292</v>
      </c>
      <c r="G429" s="335"/>
      <c r="H429" s="372" t="s">
        <v>281</v>
      </c>
      <c r="I429" s="364" t="s">
        <v>282</v>
      </c>
      <c r="J429" s="273"/>
      <c r="K429" s="273" t="s">
        <v>104</v>
      </c>
      <c r="L429" s="273" t="s">
        <v>212</v>
      </c>
      <c r="M429" s="472" t="s">
        <v>182</v>
      </c>
      <c r="N429" s="364" t="s">
        <v>283</v>
      </c>
      <c r="O429" s="628" t="str">
        <f>EXTRACT_ACTIVATION_DTYPE(PARAMS("moe_dtype"))</f>
        <v>fp8</v>
      </c>
      <c r="P429" s="375"/>
      <c r="Q429" s="365" t="b">
        <v>0</v>
      </c>
    </row>
    <row r="430">
      <c r="E430" s="341"/>
      <c r="F430" s="342"/>
      <c r="G430" s="343"/>
      <c r="H430" s="374" t="s">
        <v>285</v>
      </c>
      <c r="I430" s="364" t="s">
        <v>282</v>
      </c>
      <c r="J430" s="363"/>
      <c r="K430" s="364">
        <f t="shared" ref="K430:M430" si="83">PARAMS(K429)</f>
        <v>2048</v>
      </c>
      <c r="L430" s="364">
        <f t="shared" si="83"/>
        <v>8</v>
      </c>
      <c r="M430" s="364">
        <f t="shared" si="83"/>
        <v>2048</v>
      </c>
      <c r="N430" s="364" t="s">
        <v>283</v>
      </c>
      <c r="O430" s="341"/>
      <c r="P430" s="375">
        <f>SIZEOF_IN_MIB(J430:M430, O429)</f>
        <v>32</v>
      </c>
      <c r="Q430" s="341"/>
    </row>
    <row r="431">
      <c r="E431" s="341"/>
      <c r="F431" s="342"/>
      <c r="G431" s="343"/>
      <c r="H431" s="629" t="s">
        <v>287</v>
      </c>
      <c r="I431" s="363" t="s">
        <v>282</v>
      </c>
      <c r="J431" s="364"/>
      <c r="K431" s="273"/>
      <c r="L431" s="273"/>
      <c r="M431" s="273" t="s">
        <v>96</v>
      </c>
      <c r="N431" s="363" t="s">
        <v>283</v>
      </c>
      <c r="O431" s="341"/>
      <c r="P431" s="375"/>
      <c r="Q431" s="341"/>
    </row>
    <row r="432">
      <c r="E432" s="341"/>
      <c r="F432" s="353"/>
      <c r="G432" s="354"/>
      <c r="H432" s="374" t="s">
        <v>289</v>
      </c>
      <c r="I432" s="363" t="s">
        <v>282</v>
      </c>
      <c r="J432" s="364"/>
      <c r="K432" s="363">
        <f t="shared" ref="K432:M432" si="84">K430/SHARDING(K431)</f>
        <v>2048</v>
      </c>
      <c r="L432" s="363">
        <f t="shared" si="84"/>
        <v>8</v>
      </c>
      <c r="M432" s="363">
        <f t="shared" si="84"/>
        <v>256</v>
      </c>
      <c r="N432" s="363" t="s">
        <v>283</v>
      </c>
      <c r="O432" s="316"/>
      <c r="P432" s="375">
        <f>SIZEOF_IN_MIB(J432:M432, O429)</f>
        <v>4</v>
      </c>
      <c r="Q432" s="352"/>
    </row>
    <row r="433">
      <c r="E433" s="341"/>
      <c r="F433" s="630" t="s">
        <v>296</v>
      </c>
      <c r="G433" s="335"/>
      <c r="H433" s="629" t="s">
        <v>281</v>
      </c>
      <c r="I433" s="363" t="s">
        <v>282</v>
      </c>
      <c r="J433" s="364"/>
      <c r="K433" s="273" t="s">
        <v>184</v>
      </c>
      <c r="L433" s="472" t="s">
        <v>182</v>
      </c>
      <c r="M433" s="273" t="s">
        <v>178</v>
      </c>
      <c r="N433" s="363" t="s">
        <v>283</v>
      </c>
      <c r="O433" s="631" t="str">
        <f>EXTRACT_WEIGHT_DTYPE(PARAMS("moe_dtype"))</f>
        <v>fp4</v>
      </c>
      <c r="P433" s="375"/>
      <c r="Q433" s="365" t="b">
        <v>0</v>
      </c>
    </row>
    <row r="434">
      <c r="E434" s="341"/>
      <c r="F434" s="342"/>
      <c r="G434" s="343"/>
      <c r="H434" s="374" t="s">
        <v>285</v>
      </c>
      <c r="I434" s="363" t="s">
        <v>282</v>
      </c>
      <c r="J434" s="364"/>
      <c r="K434" s="363">
        <f t="shared" ref="K434:M434" si="85">PARAMS(K433)</f>
        <v>256</v>
      </c>
      <c r="L434" s="363">
        <f t="shared" si="85"/>
        <v>2048</v>
      </c>
      <c r="M434" s="363">
        <f t="shared" si="85"/>
        <v>7168</v>
      </c>
      <c r="N434" s="363" t="s">
        <v>283</v>
      </c>
      <c r="O434" s="350"/>
      <c r="P434" s="375">
        <f>SIZEOF_IN_MIB(J434:M434, O433)</f>
        <v>1792</v>
      </c>
      <c r="Q434" s="341"/>
    </row>
    <row r="435">
      <c r="E435" s="341"/>
      <c r="F435" s="342"/>
      <c r="G435" s="343"/>
      <c r="H435" s="629" t="s">
        <v>287</v>
      </c>
      <c r="I435" s="363" t="s">
        <v>282</v>
      </c>
      <c r="J435" s="364"/>
      <c r="K435" s="273"/>
      <c r="L435" s="273" t="s">
        <v>96</v>
      </c>
      <c r="M435" s="273" t="s">
        <v>97</v>
      </c>
      <c r="N435" s="363" t="s">
        <v>283</v>
      </c>
      <c r="O435" s="347"/>
      <c r="P435" s="375"/>
      <c r="Q435" s="341"/>
    </row>
    <row r="436">
      <c r="E436" s="341"/>
      <c r="F436" s="353"/>
      <c r="G436" s="354"/>
      <c r="H436" s="629" t="s">
        <v>289</v>
      </c>
      <c r="I436" s="363" t="s">
        <v>282</v>
      </c>
      <c r="J436" s="364"/>
      <c r="K436" s="363">
        <f t="shared" ref="K436:M436" si="86">K434/SHARDING(K435)</f>
        <v>256</v>
      </c>
      <c r="L436" s="363">
        <f t="shared" si="86"/>
        <v>256</v>
      </c>
      <c r="M436" s="363">
        <f t="shared" si="86"/>
        <v>3584</v>
      </c>
      <c r="N436" s="363" t="s">
        <v>283</v>
      </c>
      <c r="O436" s="316"/>
      <c r="P436" s="375">
        <f>SIZEOF_IN_MIB(J436:M436, O433)</f>
        <v>112</v>
      </c>
      <c r="Q436" s="352"/>
    </row>
    <row r="437">
      <c r="E437" s="341"/>
      <c r="F437" s="630" t="s">
        <v>56</v>
      </c>
      <c r="G437" s="335"/>
      <c r="H437" s="629" t="s">
        <v>281</v>
      </c>
      <c r="I437" s="363" t="s">
        <v>282</v>
      </c>
      <c r="J437" s="364"/>
      <c r="K437" s="273" t="s">
        <v>104</v>
      </c>
      <c r="L437" s="273" t="s">
        <v>212</v>
      </c>
      <c r="M437" s="273" t="s">
        <v>178</v>
      </c>
      <c r="N437" s="363" t="s">
        <v>283</v>
      </c>
      <c r="O437" s="674" t="s">
        <v>133</v>
      </c>
      <c r="P437" s="375"/>
      <c r="Q437" s="365" t="b">
        <v>0</v>
      </c>
    </row>
    <row r="438">
      <c r="E438" s="341"/>
      <c r="F438" s="342"/>
      <c r="G438" s="343"/>
      <c r="H438" s="374" t="s">
        <v>285</v>
      </c>
      <c r="I438" s="363" t="s">
        <v>282</v>
      </c>
      <c r="J438" s="364"/>
      <c r="K438" s="363">
        <f t="shared" ref="K438:M438" si="87">PARAMS(K437)</f>
        <v>2048</v>
      </c>
      <c r="L438" s="363">
        <f t="shared" si="87"/>
        <v>8</v>
      </c>
      <c r="M438" s="363">
        <f t="shared" si="87"/>
        <v>7168</v>
      </c>
      <c r="N438" s="363" t="s">
        <v>283</v>
      </c>
      <c r="O438" s="341"/>
      <c r="P438" s="375">
        <f>SIZEOF_IN_MIB(J438:M438, O437)</f>
        <v>224</v>
      </c>
      <c r="Q438" s="341"/>
    </row>
    <row r="439">
      <c r="E439" s="341"/>
      <c r="F439" s="342"/>
      <c r="G439" s="343"/>
      <c r="H439" s="629" t="s">
        <v>287</v>
      </c>
      <c r="I439" s="363" t="s">
        <v>282</v>
      </c>
      <c r="J439" s="364"/>
      <c r="K439" s="273"/>
      <c r="L439" s="273"/>
      <c r="M439" s="273" t="s">
        <v>97</v>
      </c>
      <c r="N439" s="363" t="s">
        <v>283</v>
      </c>
      <c r="O439" s="341"/>
      <c r="P439" s="375"/>
      <c r="Q439" s="341"/>
      <c r="R439" s="181" t="s">
        <v>696</v>
      </c>
    </row>
    <row r="440">
      <c r="E440" s="341"/>
      <c r="F440" s="353"/>
      <c r="G440" s="354"/>
      <c r="H440" s="629" t="s">
        <v>289</v>
      </c>
      <c r="I440" s="363" t="s">
        <v>282</v>
      </c>
      <c r="J440" s="363"/>
      <c r="K440" s="363">
        <f t="shared" ref="K440:M440" si="88">K438/SHARDING(K439)</f>
        <v>2048</v>
      </c>
      <c r="L440" s="363">
        <f t="shared" si="88"/>
        <v>8</v>
      </c>
      <c r="M440" s="363">
        <f t="shared" si="88"/>
        <v>3584</v>
      </c>
      <c r="N440" s="363" t="s">
        <v>283</v>
      </c>
      <c r="O440" s="352"/>
      <c r="P440" s="375">
        <f>SIZEOF_IN_MIB(J440:M440, O437)</f>
        <v>112</v>
      </c>
      <c r="Q440" s="352"/>
    </row>
    <row r="441">
      <c r="E441" s="341"/>
      <c r="F441" s="370" t="s">
        <v>378</v>
      </c>
      <c r="G441" s="675" t="s">
        <v>697</v>
      </c>
      <c r="H441" s="676" t="str">
        <f>L435</f>
        <v>model</v>
      </c>
      <c r="I441" s="364"/>
      <c r="J441" s="11"/>
      <c r="K441" s="364"/>
      <c r="L441" s="363"/>
      <c r="M441" s="363"/>
      <c r="N441" s="363"/>
      <c r="O441" s="364"/>
      <c r="P441" s="375"/>
      <c r="Q441" s="677"/>
    </row>
    <row r="442">
      <c r="E442" s="341"/>
      <c r="F442" s="341"/>
      <c r="G442" s="678" t="s">
        <v>406</v>
      </c>
      <c r="H442" s="679" t="s">
        <v>698</v>
      </c>
      <c r="I442" s="448"/>
      <c r="J442" s="448"/>
      <c r="K442" s="448"/>
      <c r="L442" s="449"/>
      <c r="M442" s="449"/>
      <c r="N442" s="449"/>
      <c r="O442" s="448"/>
      <c r="P442" s="604"/>
      <c r="Q442" s="450"/>
    </row>
    <row r="443">
      <c r="E443" s="341"/>
      <c r="F443" s="341"/>
      <c r="G443" s="680" t="s">
        <v>306</v>
      </c>
      <c r="H443" s="374">
        <f>SHARDING(H441)</f>
        <v>8</v>
      </c>
      <c r="I443" s="364"/>
      <c r="J443" s="364"/>
      <c r="K443" s="364"/>
      <c r="L443" s="363"/>
      <c r="M443" s="363"/>
      <c r="N443" s="363"/>
      <c r="O443" s="364"/>
      <c r="P443" s="375"/>
      <c r="Q443" s="677"/>
    </row>
    <row r="444">
      <c r="E444" s="341"/>
      <c r="F444" s="341"/>
      <c r="G444" s="680" t="s">
        <v>392</v>
      </c>
      <c r="H444" s="681">
        <f>P440 / H443 * (H443-1)</f>
        <v>98</v>
      </c>
      <c r="I444" s="364"/>
      <c r="J444" s="364"/>
      <c r="K444" s="364"/>
      <c r="L444" s="363"/>
      <c r="M444" s="363"/>
      <c r="N444" s="363"/>
      <c r="O444" s="364"/>
      <c r="P444" s="375"/>
      <c r="Q444" s="677"/>
    </row>
    <row r="445">
      <c r="E445" s="341"/>
      <c r="F445" s="341"/>
      <c r="G445" s="680" t="s">
        <v>308</v>
      </c>
      <c r="H445" s="681">
        <f>H444*H443</f>
        <v>784</v>
      </c>
      <c r="I445" s="364"/>
      <c r="J445" s="364"/>
      <c r="K445" s="364"/>
      <c r="L445" s="363"/>
      <c r="M445" s="363"/>
      <c r="N445" s="363"/>
      <c r="O445" s="364"/>
      <c r="P445" s="375"/>
      <c r="Q445" s="677"/>
    </row>
    <row r="446">
      <c r="E446" s="341"/>
      <c r="F446" s="341"/>
      <c r="G446" s="385" t="s">
        <v>309</v>
      </c>
      <c r="H446" s="654">
        <f>IFS(H443=8,12,
H443=4,4,
H443=2,1,
TRUE,NA())</f>
        <v>12</v>
      </c>
      <c r="I446" s="11"/>
      <c r="J446" s="364"/>
      <c r="K446" s="364"/>
      <c r="L446" s="363"/>
      <c r="M446" s="363"/>
      <c r="N446" s="363"/>
      <c r="O446" s="364"/>
      <c r="P446" s="375"/>
      <c r="Q446" s="677"/>
    </row>
    <row r="447">
      <c r="E447" s="341"/>
      <c r="F447" s="341"/>
      <c r="G447" s="682" t="s">
        <v>340</v>
      </c>
      <c r="H447" s="683" t="str">
        <f>REDUCE_SCATTER_CHIP2CHIP_TIME_MS2(H445,H446)</f>
        <v>#N/A</v>
      </c>
      <c r="I447" s="364"/>
      <c r="J447" s="364"/>
      <c r="K447" s="364"/>
      <c r="L447" s="363"/>
      <c r="M447" s="363"/>
      <c r="N447" s="363"/>
      <c r="O447" s="364"/>
      <c r="P447" s="375"/>
      <c r="Q447" s="677"/>
    </row>
    <row r="448">
      <c r="E448" s="341"/>
      <c r="F448" s="341"/>
      <c r="G448" s="682"/>
      <c r="H448" s="683"/>
      <c r="I448" s="364"/>
      <c r="J448" s="364"/>
      <c r="K448" s="364"/>
      <c r="L448" s="363"/>
      <c r="M448" s="363"/>
      <c r="N448" s="363"/>
      <c r="O448" s="364"/>
      <c r="P448" s="375"/>
      <c r="Q448" s="677"/>
    </row>
    <row r="449">
      <c r="E449" s="341"/>
      <c r="F449" s="341"/>
      <c r="G449" s="678" t="s">
        <v>408</v>
      </c>
      <c r="H449" s="684" t="s">
        <v>409</v>
      </c>
      <c r="I449" s="448"/>
      <c r="J449" s="448"/>
      <c r="K449" s="448"/>
      <c r="L449" s="449"/>
      <c r="M449" s="449"/>
      <c r="N449" s="449"/>
      <c r="O449" s="448"/>
      <c r="P449" s="604"/>
      <c r="Q449" s="450"/>
    </row>
    <row r="450">
      <c r="E450" s="341"/>
      <c r="F450" s="341"/>
      <c r="G450" s="8" t="s">
        <v>340</v>
      </c>
      <c r="H450" s="670">
        <f>0</f>
        <v>0</v>
      </c>
      <c r="I450" s="364"/>
      <c r="J450" s="364"/>
      <c r="K450" s="364"/>
      <c r="L450" s="363"/>
      <c r="M450" s="363"/>
      <c r="N450" s="363"/>
      <c r="O450" s="364"/>
      <c r="P450" s="375"/>
      <c r="Q450" s="677"/>
    </row>
    <row r="451">
      <c r="E451" s="341"/>
      <c r="F451" s="341"/>
      <c r="G451" s="8"/>
      <c r="H451" s="670"/>
      <c r="I451" s="364"/>
      <c r="J451" s="364"/>
      <c r="K451" s="364"/>
      <c r="L451" s="363"/>
      <c r="M451" s="363"/>
      <c r="N451" s="363"/>
      <c r="O451" s="364"/>
      <c r="P451" s="375"/>
      <c r="Q451" s="677"/>
    </row>
    <row r="452">
      <c r="E452" s="341"/>
      <c r="F452" s="341"/>
      <c r="G452" s="591" t="s">
        <v>393</v>
      </c>
      <c r="H452" s="685" t="s">
        <v>408</v>
      </c>
      <c r="I452" s="448"/>
      <c r="J452" s="448"/>
      <c r="K452" s="448"/>
      <c r="L452" s="449"/>
      <c r="M452" s="449"/>
      <c r="N452" s="449"/>
      <c r="O452" s="448"/>
      <c r="P452" s="604"/>
      <c r="Q452" s="450"/>
    </row>
    <row r="453">
      <c r="E453" s="341"/>
      <c r="F453" s="352"/>
      <c r="G453" s="669" t="s">
        <v>340</v>
      </c>
      <c r="H453" s="670">
        <f>IFS(H452=G442,H447,H452=G449,H450,TRUE,0)</f>
        <v>0</v>
      </c>
      <c r="I453" s="686"/>
      <c r="J453" s="364"/>
      <c r="K453" s="364"/>
      <c r="L453" s="363"/>
      <c r="M453" s="363"/>
      <c r="N453" s="363"/>
      <c r="O453" s="364"/>
      <c r="P453" s="375"/>
      <c r="Q453" s="677"/>
    </row>
    <row r="454">
      <c r="E454" s="341"/>
      <c r="F454" s="609" t="s">
        <v>327</v>
      </c>
      <c r="G454" s="601" t="s">
        <v>328</v>
      </c>
      <c r="H454" s="663" t="str">
        <f>VLOOKUP(O429&amp;","&amp;O433,$T$3:$W$12,4, FALSE)</f>
        <v>fp8</v>
      </c>
      <c r="I454" s="460"/>
      <c r="J454" s="454"/>
      <c r="K454" s="454"/>
      <c r="L454" s="455"/>
      <c r="M454" s="455"/>
      <c r="N454" s="455"/>
      <c r="O454" s="454"/>
      <c r="P454" s="468"/>
      <c r="Q454" s="11"/>
    </row>
    <row r="455">
      <c r="E455" s="341"/>
      <c r="F455" s="341"/>
      <c r="G455" s="663" t="s">
        <v>341</v>
      </c>
      <c r="H455" s="687" t="str">
        <f>CALCULATE_FLOPS(J432:M432,J436:M436,L436,K436,H454)</f>
        <v>#N/A</v>
      </c>
      <c r="I455" s="492"/>
      <c r="J455" s="336"/>
      <c r="K455" s="336"/>
      <c r="L455" s="349"/>
      <c r="M455" s="349"/>
      <c r="N455" s="349"/>
      <c r="O455" s="336"/>
      <c r="P455" s="377"/>
      <c r="Q455" s="298"/>
    </row>
    <row r="456">
      <c r="E456" s="341"/>
      <c r="F456" s="352"/>
      <c r="G456" s="669" t="s">
        <v>330</v>
      </c>
      <c r="H456" s="688" t="str">
        <f>COMPUTE_TIME_MS(H455, H454)</f>
        <v>#N/A</v>
      </c>
      <c r="I456" s="464"/>
      <c r="J456" s="465"/>
      <c r="K456" s="465"/>
      <c r="L456" s="466"/>
      <c r="M456" s="466"/>
      <c r="N456" s="466"/>
      <c r="O456" s="465"/>
      <c r="P456" s="671"/>
      <c r="Q456" s="379"/>
    </row>
    <row r="457">
      <c r="E457" s="341"/>
      <c r="F457" s="609" t="s">
        <v>331</v>
      </c>
      <c r="G457" s="663" t="s">
        <v>332</v>
      </c>
      <c r="H457" s="689">
        <f>IF(Q429,0,P432)+IF(Q433,0,P436)+IF(Q437,0,P440)</f>
        <v>228</v>
      </c>
      <c r="I457" s="336"/>
      <c r="J457" s="336"/>
      <c r="K457" s="336"/>
      <c r="L457" s="349"/>
      <c r="M457" s="349"/>
      <c r="N457" s="349"/>
      <c r="O457" s="336"/>
      <c r="P457" s="377"/>
      <c r="Q457" s="298"/>
    </row>
    <row r="458">
      <c r="E458" s="352"/>
      <c r="F458" s="352"/>
      <c r="G458" s="673" t="s">
        <v>333</v>
      </c>
      <c r="H458" s="690" t="str">
        <f>HBM_TIME_MS(H457)</f>
        <v>#N/A</v>
      </c>
      <c r="I458" s="465"/>
      <c r="J458" s="465"/>
      <c r="K458" s="465"/>
      <c r="L458" s="466"/>
      <c r="M458" s="466"/>
      <c r="N458" s="466"/>
      <c r="O458" s="465"/>
      <c r="P458" s="671"/>
      <c r="Q458" s="379"/>
    </row>
    <row r="459">
      <c r="E459" s="333" t="s">
        <v>411</v>
      </c>
      <c r="F459" s="691" t="s">
        <v>412</v>
      </c>
      <c r="G459" s="371" t="s">
        <v>301</v>
      </c>
      <c r="H459" s="531" t="s">
        <v>281</v>
      </c>
      <c r="I459" s="336" t="s">
        <v>282</v>
      </c>
      <c r="J459" s="337"/>
      <c r="K459" s="337" t="s">
        <v>104</v>
      </c>
      <c r="L459" s="337" t="s">
        <v>212</v>
      </c>
      <c r="M459" s="499" t="s">
        <v>178</v>
      </c>
      <c r="N459" s="336" t="s">
        <v>283</v>
      </c>
      <c r="O459" s="338" t="str">
        <f>PARAMS("expert_collect_dtype")</f>
        <v>bf16</v>
      </c>
      <c r="P459" s="377"/>
      <c r="Q459" s="337"/>
    </row>
    <row r="460">
      <c r="E460" s="341"/>
      <c r="F460" s="341"/>
      <c r="G460" s="341"/>
      <c r="H460" s="378" t="s">
        <v>285</v>
      </c>
      <c r="I460" s="345" t="s">
        <v>282</v>
      </c>
      <c r="J460" s="346"/>
      <c r="K460" s="345">
        <f t="shared" ref="K460:M460" si="89">PARAMS(K459)</f>
        <v>2048</v>
      </c>
      <c r="L460" s="345">
        <f t="shared" si="89"/>
        <v>8</v>
      </c>
      <c r="M460" s="345">
        <f t="shared" si="89"/>
        <v>7168</v>
      </c>
      <c r="N460" s="345" t="s">
        <v>283</v>
      </c>
      <c r="O460" s="347"/>
      <c r="P460" s="509">
        <f>SIZEOF_IN_MIB(J460:M460, O459)</f>
        <v>224</v>
      </c>
      <c r="Q460" s="344"/>
    </row>
    <row r="461">
      <c r="E461" s="341"/>
      <c r="F461" s="341"/>
      <c r="G461" s="341"/>
      <c r="H461" s="376" t="s">
        <v>287</v>
      </c>
      <c r="I461" s="349" t="s">
        <v>282</v>
      </c>
      <c r="J461" s="336"/>
      <c r="K461" s="337" t="s">
        <v>196</v>
      </c>
      <c r="L461" s="337"/>
      <c r="M461" s="337"/>
      <c r="N461" s="349" t="s">
        <v>283</v>
      </c>
      <c r="O461" s="350"/>
      <c r="P461" s="377"/>
      <c r="Q461" s="337"/>
    </row>
    <row r="462">
      <c r="E462" s="341"/>
      <c r="F462" s="341"/>
      <c r="G462" s="341"/>
      <c r="H462" s="378" t="s">
        <v>289</v>
      </c>
      <c r="I462" s="346" t="s">
        <v>282</v>
      </c>
      <c r="J462" s="345"/>
      <c r="K462" s="346">
        <f t="shared" ref="K462:M462" si="90">K460/SHARDING(K461)</f>
        <v>128</v>
      </c>
      <c r="L462" s="346">
        <f t="shared" si="90"/>
        <v>8</v>
      </c>
      <c r="M462" s="346">
        <f t="shared" si="90"/>
        <v>7168</v>
      </c>
      <c r="N462" s="346" t="s">
        <v>283</v>
      </c>
      <c r="O462" s="355"/>
      <c r="P462" s="509">
        <f>SIZEOF_IN_MIB(J462:M462, O459)</f>
        <v>14</v>
      </c>
      <c r="Q462" s="344"/>
    </row>
    <row r="463">
      <c r="E463" s="341"/>
      <c r="F463" s="341"/>
      <c r="G463" s="352"/>
      <c r="H463" s="376" t="s">
        <v>304</v>
      </c>
      <c r="I463" s="349"/>
      <c r="J463" s="336"/>
      <c r="K463" s="337" t="s">
        <v>196</v>
      </c>
      <c r="L463" s="349"/>
      <c r="M463" s="349"/>
      <c r="N463" s="349"/>
      <c r="O463" s="337"/>
      <c r="P463" s="377"/>
      <c r="Q463" s="337"/>
    </row>
    <row r="464">
      <c r="E464" s="341"/>
      <c r="F464" s="341"/>
      <c r="G464" s="594" t="s">
        <v>306</v>
      </c>
      <c r="H464" s="901" t="str">
        <f>SHARDING(K461)*SHARDING(L461)/HW_SPEC("# of TensorCore per Chip")</f>
        <v>#N/A</v>
      </c>
      <c r="I464" s="346"/>
      <c r="J464" s="345"/>
      <c r="K464" s="346"/>
      <c r="L464" s="346"/>
      <c r="M464" s="346"/>
      <c r="N464" s="346"/>
      <c r="O464" s="344"/>
      <c r="P464" s="509"/>
      <c r="Q464" s="344"/>
    </row>
    <row r="465">
      <c r="E465" s="341"/>
      <c r="F465" s="341"/>
      <c r="G465" s="594" t="s">
        <v>383</v>
      </c>
      <c r="H465" s="888" t="str">
        <f>P460 / H464 / H464  * (H464-1)</f>
        <v>#N/A</v>
      </c>
      <c r="I465" s="349"/>
      <c r="J465" s="336"/>
      <c r="K465" s="349"/>
      <c r="L465" s="349"/>
      <c r="M465" s="349"/>
      <c r="N465" s="349"/>
      <c r="O465" s="337"/>
      <c r="P465" s="377"/>
      <c r="Q465" s="337"/>
    </row>
    <row r="466">
      <c r="E466" s="341"/>
      <c r="F466" s="341"/>
      <c r="G466" s="594" t="s">
        <v>661</v>
      </c>
      <c r="H466" s="901" t="str">
        <f>IFS(H464=1,0,
H464=2, 1,
H464=4, 2,
H464=8, 3)</f>
        <v>#N/A</v>
      </c>
      <c r="I466" s="346"/>
      <c r="J466" s="345"/>
      <c r="K466" s="346"/>
      <c r="L466" s="346"/>
      <c r="M466" s="346"/>
      <c r="N466" s="346"/>
      <c r="O466" s="344"/>
      <c r="P466" s="509"/>
      <c r="Q466" s="344"/>
    </row>
    <row r="467">
      <c r="E467" s="341"/>
      <c r="F467" s="341"/>
      <c r="G467" s="594" t="s">
        <v>662</v>
      </c>
      <c r="H467" s="695" t="str">
        <f>IFS(H464=1,0,
H464=2, 0,
H464=4, 1,
H464=8, 3)</f>
        <v>#N/A</v>
      </c>
      <c r="I467" s="349"/>
      <c r="J467" s="336"/>
      <c r="K467" s="349"/>
      <c r="L467" s="349"/>
      <c r="M467" s="349"/>
      <c r="N467" s="349"/>
      <c r="O467" s="337"/>
      <c r="P467" s="377"/>
      <c r="Q467" s="337"/>
    </row>
    <row r="468">
      <c r="E468" s="341"/>
      <c r="F468" s="341"/>
      <c r="G468" s="594" t="s">
        <v>663</v>
      </c>
      <c r="H468" s="901" t="str">
        <f>IFS(H464=1,0,
H464=2, 0,
H464=4, 0,
H464=8, 1)</f>
        <v>#N/A</v>
      </c>
      <c r="I468" s="346"/>
      <c r="J468" s="345"/>
      <c r="K468" s="346"/>
      <c r="L468" s="346"/>
      <c r="M468" s="346"/>
      <c r="N468" s="346"/>
      <c r="O468" s="344"/>
      <c r="P468" s="509"/>
      <c r="Q468" s="344"/>
    </row>
    <row r="469">
      <c r="E469" s="341"/>
      <c r="F469" s="341"/>
      <c r="G469" s="594" t="s">
        <v>664</v>
      </c>
      <c r="H469" s="695" t="str">
        <f>IFS(H464=1,0,
H464=2, 1,
H464=4, 4,
H464=8, 12)</f>
        <v>#N/A</v>
      </c>
      <c r="I469" s="349"/>
      <c r="J469" s="336"/>
      <c r="K469" s="349"/>
      <c r="L469" s="349"/>
      <c r="M469" s="349"/>
      <c r="N469" s="349"/>
      <c r="O469" s="337"/>
      <c r="P469" s="377"/>
      <c r="Q469" s="337"/>
    </row>
    <row r="470">
      <c r="E470" s="341"/>
      <c r="F470" s="341"/>
      <c r="G470" s="594" t="s">
        <v>616</v>
      </c>
      <c r="H470" s="902" t="str">
        <f>H465*H464*(1*H466+2*H467+3*H468)/H469</f>
        <v>#N/A</v>
      </c>
      <c r="I470" s="346"/>
      <c r="J470" s="345"/>
      <c r="K470" s="346"/>
      <c r="L470" s="346"/>
      <c r="M470" s="346"/>
      <c r="N470" s="346"/>
      <c r="O470" s="344"/>
      <c r="P470" s="509"/>
      <c r="Q470" s="344"/>
    </row>
    <row r="471">
      <c r="E471" s="341"/>
      <c r="F471" s="352"/>
      <c r="G471" s="594" t="s">
        <v>665</v>
      </c>
      <c r="H471" s="643" t="str">
        <f>ALL2ALL_CHIP2CHIP_TIME_MS(H470)</f>
        <v>#N/A</v>
      </c>
      <c r="I471" s="349"/>
      <c r="J471" s="336"/>
      <c r="K471" s="349"/>
      <c r="L471" s="349"/>
      <c r="M471" s="349"/>
      <c r="N471" s="349"/>
      <c r="O471" s="337"/>
      <c r="P471" s="377"/>
      <c r="Q471" s="337"/>
    </row>
    <row r="472">
      <c r="E472" s="341"/>
      <c r="F472" s="702" t="s">
        <v>417</v>
      </c>
      <c r="G472" s="661" t="s">
        <v>169</v>
      </c>
      <c r="H472" s="711" t="s">
        <v>699</v>
      </c>
      <c r="I472" s="345"/>
      <c r="J472" s="344"/>
      <c r="K472" s="344"/>
      <c r="L472" s="344"/>
      <c r="M472" s="344"/>
      <c r="N472" s="346"/>
      <c r="O472" s="344"/>
      <c r="P472" s="509"/>
      <c r="Q472" s="344"/>
    </row>
    <row r="473">
      <c r="E473" s="341"/>
      <c r="F473" s="341"/>
      <c r="G473" s="371" t="s">
        <v>301</v>
      </c>
      <c r="H473" s="531" t="s">
        <v>281</v>
      </c>
      <c r="I473" s="336" t="s">
        <v>282</v>
      </c>
      <c r="J473" s="337"/>
      <c r="K473" s="337" t="s">
        <v>104</v>
      </c>
      <c r="L473" s="337" t="s">
        <v>102</v>
      </c>
      <c r="M473" s="337" t="s">
        <v>178</v>
      </c>
      <c r="N473" s="349"/>
      <c r="O473" s="338" t="str">
        <f>PARAMS("expert_collect_dtype")</f>
        <v>bf16</v>
      </c>
      <c r="P473" s="377"/>
      <c r="Q473" s="337"/>
    </row>
    <row r="474">
      <c r="E474" s="341"/>
      <c r="F474" s="341"/>
      <c r="G474" s="341"/>
      <c r="H474" s="378" t="s">
        <v>285</v>
      </c>
      <c r="I474" s="345" t="s">
        <v>282</v>
      </c>
      <c r="J474" s="346"/>
      <c r="K474" s="345">
        <f t="shared" ref="K474:M474" si="91">PARAMS(K473)</f>
        <v>2048</v>
      </c>
      <c r="L474" s="345">
        <f t="shared" si="91"/>
        <v>1</v>
      </c>
      <c r="M474" s="345">
        <f t="shared" si="91"/>
        <v>7168</v>
      </c>
      <c r="N474" s="346"/>
      <c r="O474" s="347"/>
      <c r="P474" s="509">
        <f>SIZEOF_IN_MIB(J474:M474, O473)</f>
        <v>28</v>
      </c>
      <c r="Q474" s="344"/>
    </row>
    <row r="475">
      <c r="E475" s="341"/>
      <c r="F475" s="341"/>
      <c r="G475" s="341"/>
      <c r="H475" s="602" t="s">
        <v>287</v>
      </c>
      <c r="I475" s="349" t="s">
        <v>282</v>
      </c>
      <c r="J475" s="336"/>
      <c r="K475" s="337"/>
      <c r="L475" s="337"/>
      <c r="M475" s="337" t="s">
        <v>97</v>
      </c>
      <c r="N475" s="349"/>
      <c r="O475" s="350"/>
      <c r="P475" s="377"/>
      <c r="Q475" s="337"/>
    </row>
    <row r="476">
      <c r="E476" s="341"/>
      <c r="F476" s="341"/>
      <c r="G476" s="341"/>
      <c r="H476" s="374" t="s">
        <v>289</v>
      </c>
      <c r="I476" s="363" t="s">
        <v>282</v>
      </c>
      <c r="J476" s="364"/>
      <c r="K476" s="363">
        <f t="shared" ref="K476:M476" si="92">K474/SHARDING(K475)</f>
        <v>2048</v>
      </c>
      <c r="L476" s="363">
        <f t="shared" si="92"/>
        <v>1</v>
      </c>
      <c r="M476" s="363">
        <f t="shared" si="92"/>
        <v>3584</v>
      </c>
      <c r="N476" s="363"/>
      <c r="O476" s="352"/>
      <c r="P476" s="375">
        <f>SIZEOF_IN_MIB(J476:M476, O473)</f>
        <v>14</v>
      </c>
      <c r="Q476" s="273"/>
    </row>
    <row r="477">
      <c r="E477" s="341"/>
      <c r="F477" s="341"/>
      <c r="G477" s="352"/>
      <c r="H477" s="704" t="s">
        <v>419</v>
      </c>
      <c r="I477" s="705"/>
      <c r="J477" s="273"/>
      <c r="K477" s="363"/>
      <c r="L477" s="363"/>
      <c r="M477" s="363"/>
      <c r="N477" s="363"/>
      <c r="O477" s="273"/>
      <c r="P477" s="706"/>
      <c r="Q477" s="273"/>
    </row>
    <row r="478">
      <c r="E478" s="341"/>
      <c r="F478" s="341"/>
      <c r="G478" s="385" t="s">
        <v>306</v>
      </c>
      <c r="H478" s="707">
        <f>SHARDING(J477) * SHARDING(H441)</f>
        <v>8</v>
      </c>
      <c r="I478" s="363"/>
      <c r="J478" s="364"/>
      <c r="K478" s="363"/>
      <c r="L478" s="363"/>
      <c r="M478" s="363"/>
      <c r="N478" s="363"/>
      <c r="O478" s="273"/>
      <c r="P478" s="706"/>
      <c r="Q478" s="273"/>
    </row>
    <row r="479">
      <c r="E479" s="341"/>
      <c r="F479" s="341"/>
      <c r="G479" s="594" t="s">
        <v>383</v>
      </c>
      <c r="H479" s="652">
        <f>P476 / H478 * (H478-1)</f>
        <v>12.25</v>
      </c>
      <c r="I479" s="363"/>
      <c r="J479" s="364"/>
      <c r="K479" s="363"/>
      <c r="L479" s="363"/>
      <c r="M479" s="363"/>
      <c r="N479" s="363"/>
      <c r="O479" s="273"/>
      <c r="P479" s="706"/>
      <c r="Q479" s="273"/>
    </row>
    <row r="480">
      <c r="E480" s="341"/>
      <c r="F480" s="341"/>
      <c r="G480" s="594" t="s">
        <v>384</v>
      </c>
      <c r="H480" s="708">
        <f>H479*H478</f>
        <v>98</v>
      </c>
      <c r="I480" s="601"/>
      <c r="J480" s="364"/>
      <c r="K480" s="363"/>
      <c r="L480" s="363"/>
      <c r="M480" s="363"/>
      <c r="N480" s="363"/>
      <c r="O480" s="273"/>
      <c r="P480" s="706"/>
      <c r="Q480" s="273"/>
    </row>
    <row r="481">
      <c r="E481" s="341"/>
      <c r="F481" s="341"/>
      <c r="G481" s="594" t="s">
        <v>420</v>
      </c>
      <c r="H481" s="709" t="str">
        <f>HW_SPEC("# of TensorCore per Chip")</f>
        <v>#N/A</v>
      </c>
      <c r="I481" s="703" t="s">
        <v>421</v>
      </c>
      <c r="J481" s="336"/>
      <c r="K481" s="349"/>
      <c r="L481" s="349"/>
      <c r="M481" s="349"/>
      <c r="N481" s="349"/>
      <c r="O481" s="337"/>
      <c r="P481" s="710"/>
      <c r="Q481" s="337"/>
    </row>
    <row r="482">
      <c r="E482" s="341"/>
      <c r="F482" s="341"/>
      <c r="G482" s="385" t="s">
        <v>309</v>
      </c>
      <c r="H482" s="410">
        <f>IFS(H478=8,12,
H478=4,4,
H478=2,1,
TRUE,NA())</f>
        <v>12</v>
      </c>
      <c r="I482" s="711"/>
      <c r="J482" s="345"/>
      <c r="K482" s="346"/>
      <c r="L482" s="346"/>
      <c r="M482" s="346"/>
      <c r="N482" s="346"/>
      <c r="O482" s="344"/>
      <c r="P482" s="712"/>
      <c r="Q482" s="344"/>
    </row>
    <row r="483">
      <c r="E483" s="341"/>
      <c r="F483" s="352"/>
      <c r="G483" s="594" t="s">
        <v>423</v>
      </c>
      <c r="H483" s="643" t="str">
        <f>REDUCE_SCATTER_CHIP2CHIP_TIME_MS2(H480*H481,H482)</f>
        <v>#N/A</v>
      </c>
      <c r="I483" s="602"/>
      <c r="J483" s="336"/>
      <c r="K483" s="349"/>
      <c r="L483" s="349"/>
      <c r="M483" s="349"/>
      <c r="N483" s="349"/>
      <c r="O483" s="337"/>
      <c r="P483" s="710"/>
      <c r="Q483" s="337"/>
    </row>
    <row r="484">
      <c r="E484" s="341"/>
      <c r="F484" s="702" t="s">
        <v>119</v>
      </c>
      <c r="G484" s="713" t="s">
        <v>169</v>
      </c>
      <c r="H484" s="398" t="s">
        <v>700</v>
      </c>
      <c r="I484" s="344"/>
      <c r="J484" s="345"/>
      <c r="K484" s="344"/>
      <c r="L484" s="556"/>
      <c r="M484" s="344"/>
      <c r="N484" s="346"/>
      <c r="O484" s="344"/>
      <c r="P484" s="509"/>
      <c r="Q484" s="344"/>
    </row>
    <row r="485">
      <c r="E485" s="341"/>
      <c r="F485" s="341"/>
      <c r="G485" s="609" t="s">
        <v>301</v>
      </c>
      <c r="H485" s="602" t="s">
        <v>281</v>
      </c>
      <c r="I485" s="602"/>
      <c r="J485" s="336"/>
      <c r="K485" s="337" t="s">
        <v>104</v>
      </c>
      <c r="L485" s="499" t="s">
        <v>102</v>
      </c>
      <c r="M485" s="337" t="s">
        <v>178</v>
      </c>
      <c r="N485" s="349"/>
      <c r="O485" s="338" t="str">
        <f>PARAMS("expert_collect_dtype")</f>
        <v>bf16</v>
      </c>
      <c r="P485" s="377"/>
      <c r="Q485" s="337"/>
    </row>
    <row r="486">
      <c r="E486" s="341"/>
      <c r="F486" s="341"/>
      <c r="G486" s="341"/>
      <c r="H486" s="378" t="s">
        <v>285</v>
      </c>
      <c r="I486" s="378"/>
      <c r="J486" s="345"/>
      <c r="K486" s="346">
        <f t="shared" ref="K486:M486" si="93">PARAMS(K485)</f>
        <v>2048</v>
      </c>
      <c r="L486" s="346">
        <f t="shared" si="93"/>
        <v>1</v>
      </c>
      <c r="M486" s="346">
        <f t="shared" si="93"/>
        <v>7168</v>
      </c>
      <c r="N486" s="346"/>
      <c r="O486" s="347"/>
      <c r="P486" s="509">
        <f>SIZEOF_IN_MIB(J486:M486, O485)</f>
        <v>28</v>
      </c>
      <c r="Q486" s="344"/>
    </row>
    <row r="487">
      <c r="E487" s="341"/>
      <c r="F487" s="341"/>
      <c r="G487" s="341"/>
      <c r="H487" s="602" t="s">
        <v>287</v>
      </c>
      <c r="I487" s="602"/>
      <c r="J487" s="336"/>
      <c r="K487" s="337"/>
      <c r="L487" s="337"/>
      <c r="M487" s="337" t="s">
        <v>97</v>
      </c>
      <c r="N487" s="349"/>
      <c r="O487" s="350"/>
      <c r="P487" s="377"/>
      <c r="Q487" s="337"/>
    </row>
    <row r="488">
      <c r="E488" s="341"/>
      <c r="F488" s="341"/>
      <c r="G488" s="341"/>
      <c r="H488" s="517" t="s">
        <v>289</v>
      </c>
      <c r="I488" s="517"/>
      <c r="J488" s="345"/>
      <c r="K488" s="346">
        <f t="shared" ref="K488:M488" si="94">K486/SHARDING(K487)</f>
        <v>2048</v>
      </c>
      <c r="L488" s="346">
        <f t="shared" si="94"/>
        <v>1</v>
      </c>
      <c r="M488" s="346">
        <f t="shared" si="94"/>
        <v>3584</v>
      </c>
      <c r="N488" s="346"/>
      <c r="O488" s="355"/>
      <c r="P488" s="509">
        <f>SIZEOF_IN_MIB(J488:M488, O485)</f>
        <v>14</v>
      </c>
      <c r="Q488" s="344"/>
    </row>
    <row r="489">
      <c r="E489" s="341"/>
      <c r="F489" s="341"/>
      <c r="G489" s="352"/>
      <c r="H489" s="639" t="s">
        <v>419</v>
      </c>
      <c r="I489" s="376"/>
      <c r="J489" s="639"/>
      <c r="K489" s="336"/>
      <c r="L489" s="337"/>
      <c r="M489" s="349"/>
      <c r="N489" s="349"/>
      <c r="O489" s="337"/>
      <c r="P489" s="377"/>
      <c r="Q489" s="337"/>
    </row>
    <row r="490">
      <c r="E490" s="341"/>
      <c r="F490" s="341"/>
      <c r="G490" s="458" t="s">
        <v>425</v>
      </c>
      <c r="H490" s="606" t="s">
        <v>306</v>
      </c>
      <c r="I490" s="379"/>
      <c r="J490" s="595" t="str">
        <f>SHARDING(J489)*SHARDING(H441)/HW_SPEC("# of TensorCore per Chip")</f>
        <v>#N/A</v>
      </c>
      <c r="K490" s="345"/>
      <c r="L490" s="344"/>
      <c r="M490" s="346"/>
      <c r="N490" s="346"/>
      <c r="O490" s="344"/>
      <c r="P490" s="509"/>
      <c r="Q490" s="344"/>
    </row>
    <row r="491">
      <c r="E491" s="341"/>
      <c r="F491" s="341"/>
      <c r="G491" s="341"/>
      <c r="H491" s="639" t="s">
        <v>426</v>
      </c>
      <c r="I491" s="298"/>
      <c r="J491" s="716" t="str">
        <f>P488 / J490 * (J490-1)</f>
        <v>#N/A</v>
      </c>
      <c r="K491" s="336"/>
      <c r="L491" s="337"/>
      <c r="M491" s="349"/>
      <c r="N491" s="349"/>
      <c r="O491" s="337"/>
      <c r="P491" s="377"/>
      <c r="Q491" s="337"/>
    </row>
    <row r="492">
      <c r="E492" s="341"/>
      <c r="F492" s="341"/>
      <c r="G492" s="341"/>
      <c r="H492" s="634" t="s">
        <v>384</v>
      </c>
      <c r="I492" s="379"/>
      <c r="J492" s="715" t="str">
        <f>J491*J490</f>
        <v>#N/A</v>
      </c>
      <c r="K492" s="345"/>
      <c r="L492" s="344"/>
      <c r="M492" s="346"/>
      <c r="N492" s="346"/>
      <c r="O492" s="344"/>
      <c r="P492" s="509"/>
      <c r="Q492" s="344"/>
    </row>
    <row r="493">
      <c r="E493" s="341"/>
      <c r="F493" s="341"/>
      <c r="G493" s="341"/>
      <c r="H493" s="639" t="s">
        <v>309</v>
      </c>
      <c r="I493" s="298"/>
      <c r="J493" s="714" t="str">
        <f>IFS(J490=8,12,
J490=4,4,
J490=2,1,
TRUE,NA())</f>
        <v>#N/A</v>
      </c>
      <c r="K493" s="336"/>
      <c r="L493" s="337"/>
      <c r="M493" s="349"/>
      <c r="N493" s="349"/>
      <c r="O493" s="337"/>
      <c r="P493" s="377"/>
      <c r="Q493" s="337"/>
    </row>
    <row r="494">
      <c r="E494" s="341"/>
      <c r="F494" s="341"/>
      <c r="G494" s="352"/>
      <c r="H494" s="634" t="s">
        <v>311</v>
      </c>
      <c r="I494" s="379"/>
      <c r="J494" s="889" t="str">
        <f>IF(J492=0,0, REDUCE_SCATTER_CHIP2CHIP_TIME_MS2(J492,J493))</f>
        <v>#N/A</v>
      </c>
      <c r="K494" s="345"/>
      <c r="L494" s="344"/>
      <c r="M494" s="346"/>
      <c r="N494" s="346"/>
      <c r="O494" s="344"/>
      <c r="P494" s="509"/>
      <c r="Q494" s="344"/>
    </row>
    <row r="495">
      <c r="E495" s="341"/>
      <c r="F495" s="341"/>
      <c r="G495" s="609" t="s">
        <v>427</v>
      </c>
      <c r="H495" s="416" t="s">
        <v>306</v>
      </c>
      <c r="I495" s="601"/>
      <c r="J495" s="717" t="str">
        <f>HW_SPEC("# of TensorCore per Chip")</f>
        <v>#N/A</v>
      </c>
      <c r="K495" s="364"/>
      <c r="L495" s="273"/>
      <c r="M495" s="363"/>
      <c r="N495" s="363"/>
      <c r="O495" s="273"/>
      <c r="P495" s="375"/>
      <c r="Q495" s="273"/>
    </row>
    <row r="496">
      <c r="E496" s="341"/>
      <c r="F496" s="341"/>
      <c r="G496" s="341"/>
      <c r="H496" s="704" t="s">
        <v>416</v>
      </c>
      <c r="I496" s="11"/>
      <c r="J496" s="718" t="str">
        <f>P488 * (J495-1)/J495</f>
        <v>#N/A</v>
      </c>
      <c r="K496" s="364"/>
      <c r="L496" s="273"/>
      <c r="M496" s="363"/>
      <c r="N496" s="363"/>
      <c r="O496" s="273"/>
      <c r="P496" s="375"/>
      <c r="Q496" s="273"/>
    </row>
    <row r="497">
      <c r="E497" s="341"/>
      <c r="F497" s="341"/>
      <c r="G497" s="341"/>
      <c r="H497" s="704" t="s">
        <v>384</v>
      </c>
      <c r="I497" s="11"/>
      <c r="J497" s="718" t="str">
        <f>J496*J495</f>
        <v>#N/A</v>
      </c>
      <c r="K497" s="364"/>
      <c r="L497" s="273"/>
      <c r="M497" s="363"/>
      <c r="N497" s="363"/>
      <c r="O497" s="273"/>
      <c r="P497" s="375"/>
      <c r="Q497" s="273"/>
    </row>
    <row r="498">
      <c r="E498" s="341"/>
      <c r="F498" s="341"/>
      <c r="G498" s="341"/>
      <c r="H498" s="704" t="s">
        <v>311</v>
      </c>
      <c r="I498" s="11"/>
      <c r="J498" s="719" t="str">
        <f>REDUCE_SCATTER_CORE2CORE_TIME_MS(J497)</f>
        <v>#N/A</v>
      </c>
      <c r="K498" s="364"/>
      <c r="L498" s="273"/>
      <c r="M498" s="363"/>
      <c r="N498" s="363"/>
      <c r="O498" s="273"/>
      <c r="P498" s="375"/>
      <c r="Q498" s="273"/>
    </row>
    <row r="499">
      <c r="E499" s="341"/>
      <c r="F499" s="341"/>
      <c r="G499" s="352"/>
      <c r="H499" s="704" t="s">
        <v>428</v>
      </c>
      <c r="I499" s="11"/>
      <c r="J499" s="719" t="str">
        <f>J498/J490</f>
        <v>#N/A</v>
      </c>
      <c r="K499" s="364"/>
      <c r="L499" s="273"/>
      <c r="M499" s="363"/>
      <c r="N499" s="363"/>
      <c r="O499" s="273"/>
      <c r="P499" s="375"/>
      <c r="Q499" s="273"/>
    </row>
    <row r="500">
      <c r="E500" s="341"/>
      <c r="F500" s="352"/>
      <c r="G500" s="599" t="s">
        <v>429</v>
      </c>
      <c r="H500" s="11" t="str">
        <f>SUM(J494+J499)</f>
        <v>#N/A</v>
      </c>
      <c r="I500" s="719"/>
      <c r="J500" s="364"/>
      <c r="K500" s="364"/>
      <c r="L500" s="273"/>
      <c r="M500" s="363"/>
      <c r="N500" s="363"/>
      <c r="O500" s="273"/>
      <c r="P500" s="375"/>
      <c r="Q500" s="273"/>
    </row>
    <row r="501">
      <c r="E501" s="341"/>
      <c r="F501" s="370" t="s">
        <v>335</v>
      </c>
      <c r="G501" s="720" t="s">
        <v>322</v>
      </c>
      <c r="H501" s="721" t="s">
        <v>417</v>
      </c>
      <c r="I501" s="650"/>
      <c r="J501" s="454"/>
      <c r="K501" s="454"/>
      <c r="L501" s="455"/>
      <c r="M501" s="455"/>
      <c r="N501" s="455"/>
      <c r="O501" s="454"/>
      <c r="P501" s="722"/>
      <c r="Q501" s="11"/>
    </row>
    <row r="502">
      <c r="E502" s="341"/>
      <c r="F502" s="352"/>
      <c r="G502" s="591" t="s">
        <v>340</v>
      </c>
      <c r="H502" s="723" t="str">
        <f>IFS(H501=F459,H471,H501=F472,H483,F484=H501,H500, TRUE,0)</f>
        <v>#N/A</v>
      </c>
      <c r="I502" s="581"/>
      <c r="J502" s="448"/>
      <c r="K502" s="448"/>
      <c r="L502" s="449"/>
      <c r="M502" s="449"/>
      <c r="N502" s="449"/>
      <c r="O502" s="448"/>
      <c r="P502" s="724"/>
      <c r="Q502" s="450"/>
    </row>
    <row r="503">
      <c r="E503" s="341"/>
      <c r="F503" s="713"/>
      <c r="G503" s="452" t="s">
        <v>325</v>
      </c>
      <c r="H503" s="626" t="str">
        <f>IFS(PARAMS("topo")="2x2x2", (2+2+2)/2,
PARAMS("topo")="2x2", (2+2)/2,
TRUE, NA())</f>
        <v>#N/A</v>
      </c>
      <c r="I503" s="650"/>
      <c r="J503" s="454"/>
      <c r="K503" s="454"/>
      <c r="L503" s="455"/>
      <c r="M503" s="455"/>
      <c r="N503" s="455"/>
      <c r="O503" s="454"/>
      <c r="P503" s="722"/>
      <c r="Q503" s="11"/>
    </row>
    <row r="504">
      <c r="E504" s="341"/>
      <c r="F504" s="713"/>
      <c r="G504" s="446" t="s">
        <v>326</v>
      </c>
      <c r="H504" s="447" t="str">
        <f>IF(H501="No Collectives", 0, H503 * HW_SPEC("Chip-to-Chip ICI Latency (ms)"))</f>
        <v>#N/A</v>
      </c>
      <c r="I504" s="648"/>
      <c r="J504" s="448"/>
      <c r="K504" s="448"/>
      <c r="L504" s="449"/>
      <c r="M504" s="449"/>
      <c r="N504" s="449"/>
      <c r="O504" s="448"/>
      <c r="P504" s="724"/>
      <c r="Q504" s="572"/>
    </row>
    <row r="505">
      <c r="E505" s="341"/>
      <c r="F505" s="609" t="s">
        <v>327</v>
      </c>
      <c r="G505" s="601" t="s">
        <v>109</v>
      </c>
      <c r="H505" s="891"/>
      <c r="I505" s="650"/>
      <c r="J505" s="454"/>
      <c r="K505" s="454"/>
      <c r="L505" s="455"/>
      <c r="M505" s="455"/>
      <c r="N505" s="455"/>
      <c r="O505" s="454"/>
      <c r="P505" s="722"/>
      <c r="Q505" s="11"/>
    </row>
    <row r="506">
      <c r="E506" s="341"/>
      <c r="F506" s="341"/>
      <c r="G506" s="601"/>
      <c r="H506" s="663"/>
      <c r="I506" s="460"/>
      <c r="J506" s="454"/>
      <c r="K506" s="454"/>
      <c r="L506" s="455"/>
      <c r="M506" s="455"/>
      <c r="N506" s="455"/>
      <c r="O506" s="454"/>
      <c r="P506" s="722"/>
      <c r="Q506" s="11"/>
    </row>
    <row r="507">
      <c r="E507" s="341"/>
      <c r="F507" s="352"/>
      <c r="G507" s="601"/>
      <c r="H507" s="663"/>
      <c r="I507" s="460"/>
      <c r="J507" s="454"/>
      <c r="K507" s="454"/>
      <c r="L507" s="455"/>
      <c r="M507" s="455"/>
      <c r="N507" s="455"/>
      <c r="O507" s="454"/>
      <c r="P507" s="722"/>
      <c r="Q507" s="11"/>
    </row>
    <row r="508">
      <c r="E508" s="341"/>
      <c r="F508" s="609" t="s">
        <v>331</v>
      </c>
      <c r="G508" s="601" t="s">
        <v>109</v>
      </c>
      <c r="H508" s="663"/>
      <c r="I508" s="460"/>
      <c r="J508" s="454"/>
      <c r="K508" s="454"/>
      <c r="L508" s="455"/>
      <c r="M508" s="455"/>
      <c r="N508" s="455"/>
      <c r="O508" s="454"/>
      <c r="P508" s="722"/>
      <c r="Q508" s="11"/>
    </row>
    <row r="509">
      <c r="E509" s="352"/>
      <c r="F509" s="352"/>
      <c r="G509" s="601"/>
      <c r="H509" s="663"/>
      <c r="I509" s="460"/>
      <c r="J509" s="454"/>
      <c r="K509" s="454"/>
      <c r="L509" s="455"/>
      <c r="M509" s="455"/>
      <c r="N509" s="455"/>
      <c r="O509" s="454"/>
      <c r="P509" s="722"/>
      <c r="Q509" s="11"/>
    </row>
    <row r="510">
      <c r="E510" s="333" t="s">
        <v>430</v>
      </c>
      <c r="F510" s="725" t="s">
        <v>292</v>
      </c>
      <c r="G510" s="335"/>
      <c r="H510" s="531" t="s">
        <v>281</v>
      </c>
      <c r="I510" s="336" t="s">
        <v>282</v>
      </c>
      <c r="J510" s="337"/>
      <c r="K510" s="337" t="s">
        <v>104</v>
      </c>
      <c r="L510" s="337" t="s">
        <v>102</v>
      </c>
      <c r="M510" s="499" t="s">
        <v>178</v>
      </c>
      <c r="N510" s="336" t="s">
        <v>283</v>
      </c>
      <c r="O510" s="338" t="s">
        <v>125</v>
      </c>
      <c r="P510" s="377"/>
      <c r="Q510" s="338" t="b">
        <v>0</v>
      </c>
    </row>
    <row r="511">
      <c r="E511" s="341"/>
      <c r="F511" s="342"/>
      <c r="G511" s="343"/>
      <c r="H511" s="378" t="s">
        <v>285</v>
      </c>
      <c r="I511" s="345" t="s">
        <v>282</v>
      </c>
      <c r="J511" s="346"/>
      <c r="K511" s="345">
        <f t="shared" ref="K511:M511" si="95">PARAMS(K510)</f>
        <v>2048</v>
      </c>
      <c r="L511" s="345">
        <f t="shared" si="95"/>
        <v>1</v>
      </c>
      <c r="M511" s="345">
        <f t="shared" si="95"/>
        <v>7168</v>
      </c>
      <c r="N511" s="345" t="s">
        <v>283</v>
      </c>
      <c r="O511" s="347"/>
      <c r="P511" s="509">
        <f>SIZEOF_IN_MIB(J511:M511, O510)</f>
        <v>14</v>
      </c>
      <c r="Q511" s="347"/>
    </row>
    <row r="512">
      <c r="E512" s="341"/>
      <c r="F512" s="342"/>
      <c r="G512" s="343"/>
      <c r="H512" s="602" t="s">
        <v>287</v>
      </c>
      <c r="I512" s="349" t="s">
        <v>282</v>
      </c>
      <c r="J512" s="336"/>
      <c r="K512" s="337" t="s">
        <v>97</v>
      </c>
      <c r="L512" s="337"/>
      <c r="M512" s="337"/>
      <c r="N512" s="349" t="s">
        <v>283</v>
      </c>
      <c r="O512" s="350"/>
      <c r="P512" s="377"/>
      <c r="Q512" s="350"/>
    </row>
    <row r="513">
      <c r="E513" s="341"/>
      <c r="F513" s="353"/>
      <c r="G513" s="354"/>
      <c r="H513" s="378" t="s">
        <v>289</v>
      </c>
      <c r="I513" s="346" t="s">
        <v>282</v>
      </c>
      <c r="J513" s="345"/>
      <c r="K513" s="346">
        <f t="shared" ref="K513:M513" si="96">K511/SHARDING(K512)</f>
        <v>1024</v>
      </c>
      <c r="L513" s="346">
        <f t="shared" si="96"/>
        <v>1</v>
      </c>
      <c r="M513" s="346">
        <f t="shared" si="96"/>
        <v>7168</v>
      </c>
      <c r="N513" s="346" t="s">
        <v>283</v>
      </c>
      <c r="O513" s="355"/>
      <c r="P513" s="509">
        <f>SIZEOF_IN_MIB(J513:M513, O510)</f>
        <v>7</v>
      </c>
      <c r="Q513" s="355"/>
    </row>
    <row r="514">
      <c r="E514" s="341"/>
      <c r="F514" s="726" t="s">
        <v>296</v>
      </c>
      <c r="G514" s="335"/>
      <c r="H514" s="602" t="s">
        <v>281</v>
      </c>
      <c r="I514" s="349" t="s">
        <v>282</v>
      </c>
      <c r="J514" s="336"/>
      <c r="K514" s="298"/>
      <c r="L514" s="337" t="s">
        <v>178</v>
      </c>
      <c r="M514" s="499" t="s">
        <v>182</v>
      </c>
      <c r="N514" s="349" t="s">
        <v>283</v>
      </c>
      <c r="O514" s="338" t="s">
        <v>180</v>
      </c>
      <c r="P514" s="377"/>
      <c r="Q514" s="338" t="b">
        <v>0</v>
      </c>
    </row>
    <row r="515">
      <c r="E515" s="341"/>
      <c r="F515" s="342"/>
      <c r="G515" s="343"/>
      <c r="H515" s="378" t="s">
        <v>285</v>
      </c>
      <c r="I515" s="346" t="s">
        <v>282</v>
      </c>
      <c r="J515" s="345"/>
      <c r="K515" s="398">
        <v>2.0</v>
      </c>
      <c r="L515" s="346">
        <f t="shared" ref="L515:M515" si="97">PARAMS(L514)</f>
        <v>7168</v>
      </c>
      <c r="M515" s="346">
        <f t="shared" si="97"/>
        <v>2048</v>
      </c>
      <c r="N515" s="346" t="s">
        <v>283</v>
      </c>
      <c r="O515" s="347"/>
      <c r="P515" s="509">
        <f>SIZEOF_IN_MIB(J515:M515, O514)</f>
        <v>14</v>
      </c>
      <c r="Q515" s="347"/>
    </row>
    <row r="516">
      <c r="E516" s="341"/>
      <c r="F516" s="342"/>
      <c r="G516" s="343"/>
      <c r="H516" s="602" t="s">
        <v>287</v>
      </c>
      <c r="I516" s="349" t="s">
        <v>282</v>
      </c>
      <c r="J516" s="336"/>
      <c r="K516" s="298"/>
      <c r="L516" s="337"/>
      <c r="M516" s="337"/>
      <c r="N516" s="349" t="s">
        <v>283</v>
      </c>
      <c r="O516" s="350"/>
      <c r="P516" s="377"/>
      <c r="Q516" s="350"/>
    </row>
    <row r="517">
      <c r="E517" s="341"/>
      <c r="F517" s="353"/>
      <c r="G517" s="354"/>
      <c r="H517" s="517" t="s">
        <v>289</v>
      </c>
      <c r="I517" s="346" t="s">
        <v>282</v>
      </c>
      <c r="J517" s="345"/>
      <c r="K517" s="398">
        <v>2.0</v>
      </c>
      <c r="L517" s="346">
        <f t="shared" ref="L517:M517" si="98">L515/SHARDING(L516)</f>
        <v>7168</v>
      </c>
      <c r="M517" s="346">
        <f t="shared" si="98"/>
        <v>2048</v>
      </c>
      <c r="N517" s="346" t="s">
        <v>283</v>
      </c>
      <c r="O517" s="355"/>
      <c r="P517" s="509">
        <f>SIZEOF_IN_MIB(J517:M517, O514)</f>
        <v>14</v>
      </c>
      <c r="Q517" s="355"/>
    </row>
    <row r="518">
      <c r="E518" s="341"/>
      <c r="F518" s="726" t="s">
        <v>56</v>
      </c>
      <c r="G518" s="335"/>
      <c r="H518" s="602" t="s">
        <v>281</v>
      </c>
      <c r="I518" s="349" t="s">
        <v>282</v>
      </c>
      <c r="J518" s="336"/>
      <c r="K518" s="337" t="s">
        <v>104</v>
      </c>
      <c r="L518" s="337" t="s">
        <v>102</v>
      </c>
      <c r="M518" s="337" t="s">
        <v>182</v>
      </c>
      <c r="N518" s="349" t="s">
        <v>283</v>
      </c>
      <c r="O518" s="727" t="s">
        <v>133</v>
      </c>
      <c r="P518" s="377"/>
      <c r="Q518" s="338" t="b">
        <v>0</v>
      </c>
    </row>
    <row r="519">
      <c r="E519" s="341"/>
      <c r="F519" s="342"/>
      <c r="G519" s="343"/>
      <c r="H519" s="378" t="s">
        <v>285</v>
      </c>
      <c r="I519" s="346" t="s">
        <v>282</v>
      </c>
      <c r="J519" s="344">
        <v>2.0</v>
      </c>
      <c r="K519" s="346">
        <f t="shared" ref="K519:M519" si="99">PARAMS(K518)</f>
        <v>2048</v>
      </c>
      <c r="L519" s="346">
        <f t="shared" si="99"/>
        <v>1</v>
      </c>
      <c r="M519" s="346">
        <f t="shared" si="99"/>
        <v>2048</v>
      </c>
      <c r="N519" s="346" t="s">
        <v>283</v>
      </c>
      <c r="O519" s="347"/>
      <c r="P519" s="509">
        <f>SIZEOF_IN_MIB(J519:M519, O518)</f>
        <v>16</v>
      </c>
      <c r="Q519" s="347"/>
    </row>
    <row r="520">
      <c r="E520" s="341"/>
      <c r="F520" s="342"/>
      <c r="G520" s="343"/>
      <c r="H520" s="602" t="s">
        <v>287</v>
      </c>
      <c r="I520" s="349" t="s">
        <v>282</v>
      </c>
      <c r="J520" s="336"/>
      <c r="K520" s="337" t="s">
        <v>97</v>
      </c>
      <c r="L520" s="337"/>
      <c r="M520" s="349"/>
      <c r="N520" s="349" t="s">
        <v>283</v>
      </c>
      <c r="O520" s="350"/>
      <c r="P520" s="377"/>
      <c r="Q520" s="350"/>
    </row>
    <row r="521">
      <c r="E521" s="341"/>
      <c r="F521" s="353"/>
      <c r="G521" s="354"/>
      <c r="H521" s="517" t="s">
        <v>289</v>
      </c>
      <c r="I521" s="346" t="s">
        <v>282</v>
      </c>
      <c r="J521" s="344">
        <v>2.0</v>
      </c>
      <c r="K521" s="346">
        <f t="shared" ref="K521:M521" si="100">K519/SHARDING(K520)</f>
        <v>1024</v>
      </c>
      <c r="L521" s="346">
        <f t="shared" si="100"/>
        <v>1</v>
      </c>
      <c r="M521" s="346">
        <f t="shared" si="100"/>
        <v>2048</v>
      </c>
      <c r="N521" s="346" t="s">
        <v>283</v>
      </c>
      <c r="O521" s="355"/>
      <c r="P521" s="509">
        <f>SIZEOF_IN_MIB(J521:M521, O518)</f>
        <v>8</v>
      </c>
      <c r="Q521" s="355"/>
    </row>
    <row r="522">
      <c r="E522" s="341"/>
      <c r="F522" s="371" t="s">
        <v>335</v>
      </c>
      <c r="G522" s="601"/>
      <c r="H522" s="728"/>
      <c r="I522" s="336"/>
      <c r="J522" s="336"/>
      <c r="K522" s="336"/>
      <c r="L522" s="349"/>
      <c r="M522" s="349"/>
      <c r="N522" s="349"/>
      <c r="O522" s="336"/>
      <c r="P522" s="377"/>
      <c r="Q522" s="729"/>
    </row>
    <row r="523">
      <c r="E523" s="341"/>
      <c r="F523" s="352"/>
      <c r="G523" s="669" t="s">
        <v>340</v>
      </c>
      <c r="H523" s="730"/>
      <c r="I523" s="493"/>
      <c r="J523" s="345"/>
      <c r="K523" s="345"/>
      <c r="L523" s="346"/>
      <c r="M523" s="346"/>
      <c r="N523" s="346"/>
      <c r="O523" s="345"/>
      <c r="P523" s="509"/>
      <c r="Q523" s="545"/>
    </row>
    <row r="524">
      <c r="E524" s="341"/>
      <c r="F524" s="731" t="s">
        <v>327</v>
      </c>
      <c r="G524" s="601" t="s">
        <v>328</v>
      </c>
      <c r="H524" s="663" t="str">
        <f>VLOOKUP(O510&amp;","&amp;O514,$T$3:$W$12,4, FALSE)</f>
        <v>fp8</v>
      </c>
      <c r="I524" s="460"/>
      <c r="J524" s="454"/>
      <c r="K524" s="454"/>
      <c r="L524" s="455"/>
      <c r="M524" s="455"/>
      <c r="N524" s="455"/>
      <c r="O524" s="454"/>
      <c r="P524" s="468"/>
      <c r="Q524" s="11"/>
    </row>
    <row r="525">
      <c r="E525" s="341"/>
      <c r="F525" s="341"/>
      <c r="G525" s="663" t="s">
        <v>341</v>
      </c>
      <c r="H525" s="667" t="str">
        <f>CALCULATE_FLOPS(J513:M513,J517:M517,M517,L517,H524)</f>
        <v>#N/A</v>
      </c>
      <c r="I525" s="460"/>
      <c r="J525" s="454"/>
      <c r="K525" s="454"/>
      <c r="L525" s="455"/>
      <c r="M525" s="455"/>
      <c r="N525" s="455"/>
      <c r="O525" s="454"/>
      <c r="P525" s="468"/>
      <c r="Q525" s="11"/>
    </row>
    <row r="526">
      <c r="E526" s="341"/>
      <c r="F526" s="352"/>
      <c r="G526" s="669" t="s">
        <v>330</v>
      </c>
      <c r="H526" s="732" t="str">
        <f>COMPUTE_TIME_MS(H525, H524)</f>
        <v>#N/A</v>
      </c>
      <c r="I526" s="464"/>
      <c r="J526" s="465"/>
      <c r="K526" s="465"/>
      <c r="L526" s="466"/>
      <c r="M526" s="466"/>
      <c r="N526" s="466"/>
      <c r="O526" s="465"/>
      <c r="P526" s="671"/>
      <c r="Q526" s="11"/>
    </row>
    <row r="527">
      <c r="E527" s="341"/>
      <c r="F527" s="731" t="s">
        <v>331</v>
      </c>
      <c r="G527" s="663" t="s">
        <v>332</v>
      </c>
      <c r="H527" s="672">
        <f>IF(Q510,0,P513)+IF(Q514,0,P517)+IF(Q518,0,P521)</f>
        <v>29</v>
      </c>
      <c r="I527" s="454"/>
      <c r="J527" s="454"/>
      <c r="K527" s="454"/>
      <c r="L527" s="455"/>
      <c r="M527" s="455"/>
      <c r="N527" s="455"/>
      <c r="O527" s="454"/>
      <c r="P527" s="468"/>
      <c r="Q527" s="11"/>
    </row>
    <row r="528">
      <c r="E528" s="352"/>
      <c r="F528" s="352"/>
      <c r="G528" s="673" t="s">
        <v>333</v>
      </c>
      <c r="H528" s="733" t="str">
        <f>HBM_TIME_MS(H527)</f>
        <v>#N/A</v>
      </c>
      <c r="I528" s="465"/>
      <c r="J528" s="465"/>
      <c r="K528" s="465"/>
      <c r="L528" s="466"/>
      <c r="M528" s="466"/>
      <c r="N528" s="466"/>
      <c r="O528" s="465"/>
      <c r="P528" s="671"/>
      <c r="Q528" s="11"/>
    </row>
    <row r="529">
      <c r="E529" s="333" t="s">
        <v>431</v>
      </c>
      <c r="F529" s="725" t="s">
        <v>292</v>
      </c>
      <c r="G529" s="335"/>
      <c r="H529" s="531" t="s">
        <v>281</v>
      </c>
      <c r="I529" s="336" t="s">
        <v>282</v>
      </c>
      <c r="J529" s="405"/>
      <c r="K529" s="734" t="s">
        <v>104</v>
      </c>
      <c r="L529" s="734" t="s">
        <v>102</v>
      </c>
      <c r="M529" s="735" t="s">
        <v>182</v>
      </c>
      <c r="N529" s="336" t="s">
        <v>283</v>
      </c>
      <c r="O529" s="338" t="s">
        <v>125</v>
      </c>
      <c r="P529" s="377"/>
      <c r="Q529" s="338" t="b">
        <v>0</v>
      </c>
    </row>
    <row r="530">
      <c r="E530" s="341"/>
      <c r="F530" s="342"/>
      <c r="G530" s="343"/>
      <c r="H530" s="378" t="s">
        <v>285</v>
      </c>
      <c r="I530" s="345" t="s">
        <v>282</v>
      </c>
      <c r="J530" s="400"/>
      <c r="K530" s="739">
        <f t="shared" ref="K530:M530" si="101">PARAMS(K529)</f>
        <v>2048</v>
      </c>
      <c r="L530" s="737">
        <f t="shared" si="101"/>
        <v>1</v>
      </c>
      <c r="M530" s="737">
        <f t="shared" si="101"/>
        <v>2048</v>
      </c>
      <c r="N530" s="345" t="s">
        <v>283</v>
      </c>
      <c r="O530" s="347"/>
      <c r="P530" s="509">
        <f>SIZEOF_IN_MIB(J530:M530, O529)</f>
        <v>4</v>
      </c>
      <c r="Q530" s="347"/>
    </row>
    <row r="531">
      <c r="E531" s="341"/>
      <c r="F531" s="342"/>
      <c r="G531" s="343"/>
      <c r="H531" s="602" t="s">
        <v>287</v>
      </c>
      <c r="I531" s="349" t="s">
        <v>282</v>
      </c>
      <c r="J531" s="404"/>
      <c r="K531" s="734" t="s">
        <v>97</v>
      </c>
      <c r="L531" s="405"/>
      <c r="M531" s="405"/>
      <c r="N531" s="349" t="s">
        <v>283</v>
      </c>
      <c r="O531" s="350"/>
      <c r="P531" s="377"/>
      <c r="Q531" s="350"/>
    </row>
    <row r="532">
      <c r="E532" s="341"/>
      <c r="F532" s="353"/>
      <c r="G532" s="354"/>
      <c r="H532" s="378" t="s">
        <v>289</v>
      </c>
      <c r="I532" s="346" t="s">
        <v>282</v>
      </c>
      <c r="J532" s="399"/>
      <c r="K532" s="736">
        <f t="shared" ref="K532:M532" si="102">K530/SHARDING(K531)</f>
        <v>1024</v>
      </c>
      <c r="L532" s="736">
        <f t="shared" si="102"/>
        <v>1</v>
      </c>
      <c r="M532" s="736">
        <f t="shared" si="102"/>
        <v>2048</v>
      </c>
      <c r="N532" s="346" t="s">
        <v>283</v>
      </c>
      <c r="O532" s="355"/>
      <c r="P532" s="509">
        <f>SIZEOF_IN_MIB(J532:M532, O529)</f>
        <v>2</v>
      </c>
      <c r="Q532" s="355"/>
    </row>
    <row r="533">
      <c r="E533" s="341"/>
      <c r="F533" s="726" t="s">
        <v>296</v>
      </c>
      <c r="G533" s="335"/>
      <c r="H533" s="602" t="s">
        <v>281</v>
      </c>
      <c r="I533" s="349" t="s">
        <v>282</v>
      </c>
      <c r="J533" s="404"/>
      <c r="K533" s="391"/>
      <c r="L533" s="734" t="s">
        <v>182</v>
      </c>
      <c r="M533" s="735" t="s">
        <v>178</v>
      </c>
      <c r="N533" s="349" t="s">
        <v>283</v>
      </c>
      <c r="O533" s="338" t="s">
        <v>180</v>
      </c>
      <c r="P533" s="377"/>
      <c r="Q533" s="338" t="b">
        <v>0</v>
      </c>
    </row>
    <row r="534">
      <c r="E534" s="341"/>
      <c r="F534" s="342"/>
      <c r="G534" s="343"/>
      <c r="H534" s="378" t="s">
        <v>285</v>
      </c>
      <c r="I534" s="346" t="s">
        <v>282</v>
      </c>
      <c r="J534" s="399"/>
      <c r="K534" s="388"/>
      <c r="L534" s="736">
        <f t="shared" ref="L534:M534" si="103">PARAMS(L533)</f>
        <v>2048</v>
      </c>
      <c r="M534" s="736">
        <f t="shared" si="103"/>
        <v>7168</v>
      </c>
      <c r="N534" s="346" t="s">
        <v>283</v>
      </c>
      <c r="O534" s="347"/>
      <c r="P534" s="509">
        <f>SIZEOF_IN_MIB(J534:M534, O533)</f>
        <v>7</v>
      </c>
      <c r="Q534" s="347"/>
    </row>
    <row r="535">
      <c r="E535" s="341"/>
      <c r="F535" s="342"/>
      <c r="G535" s="343"/>
      <c r="H535" s="602" t="s">
        <v>287</v>
      </c>
      <c r="I535" s="349" t="s">
        <v>282</v>
      </c>
      <c r="J535" s="404"/>
      <c r="K535" s="391"/>
      <c r="L535" s="405"/>
      <c r="M535" s="405"/>
      <c r="N535" s="349" t="s">
        <v>283</v>
      </c>
      <c r="O535" s="350"/>
      <c r="P535" s="377"/>
      <c r="Q535" s="350"/>
    </row>
    <row r="536">
      <c r="E536" s="341"/>
      <c r="F536" s="353"/>
      <c r="G536" s="354"/>
      <c r="H536" s="517" t="s">
        <v>289</v>
      </c>
      <c r="I536" s="346" t="s">
        <v>282</v>
      </c>
      <c r="J536" s="399"/>
      <c r="K536" s="388"/>
      <c r="L536" s="736">
        <f t="shared" ref="L536:M536" si="104">L534/SHARDING(L535)</f>
        <v>2048</v>
      </c>
      <c r="M536" s="736">
        <f t="shared" si="104"/>
        <v>7168</v>
      </c>
      <c r="N536" s="346" t="s">
        <v>283</v>
      </c>
      <c r="O536" s="355"/>
      <c r="P536" s="509">
        <f>SIZEOF_IN_MIB(J536:M536, O533)</f>
        <v>7</v>
      </c>
      <c r="Q536" s="355"/>
    </row>
    <row r="537">
      <c r="E537" s="341"/>
      <c r="F537" s="726" t="s">
        <v>56</v>
      </c>
      <c r="G537" s="335"/>
      <c r="H537" s="602" t="s">
        <v>281</v>
      </c>
      <c r="I537" s="349" t="s">
        <v>282</v>
      </c>
      <c r="J537" s="404"/>
      <c r="K537" s="734" t="s">
        <v>104</v>
      </c>
      <c r="L537" s="734" t="s">
        <v>102</v>
      </c>
      <c r="M537" s="734" t="s">
        <v>178</v>
      </c>
      <c r="N537" s="349" t="s">
        <v>283</v>
      </c>
      <c r="O537" s="727" t="s">
        <v>133</v>
      </c>
      <c r="P537" s="377"/>
      <c r="Q537" s="338" t="b">
        <v>0</v>
      </c>
    </row>
    <row r="538">
      <c r="E538" s="341"/>
      <c r="F538" s="342"/>
      <c r="G538" s="343"/>
      <c r="H538" s="378" t="s">
        <v>285</v>
      </c>
      <c r="I538" s="346" t="s">
        <v>282</v>
      </c>
      <c r="J538" s="400"/>
      <c r="K538" s="739">
        <f t="shared" ref="K538:M538" si="105">PARAMS(K537)</f>
        <v>2048</v>
      </c>
      <c r="L538" s="736">
        <f t="shared" si="105"/>
        <v>1</v>
      </c>
      <c r="M538" s="736">
        <f t="shared" si="105"/>
        <v>7168</v>
      </c>
      <c r="N538" s="346" t="s">
        <v>283</v>
      </c>
      <c r="O538" s="347"/>
      <c r="P538" s="509">
        <f>SIZEOF_IN_MIB(J538:M538, O537)</f>
        <v>28</v>
      </c>
      <c r="Q538" s="347"/>
    </row>
    <row r="539">
      <c r="E539" s="341"/>
      <c r="F539" s="342"/>
      <c r="G539" s="343"/>
      <c r="H539" s="602" t="s">
        <v>287</v>
      </c>
      <c r="I539" s="349" t="s">
        <v>282</v>
      </c>
      <c r="J539" s="404"/>
      <c r="K539" s="734" t="s">
        <v>97</v>
      </c>
      <c r="L539" s="405"/>
      <c r="M539" s="405"/>
      <c r="N539" s="349" t="s">
        <v>283</v>
      </c>
      <c r="O539" s="350"/>
      <c r="P539" s="377"/>
      <c r="Q539" s="350"/>
    </row>
    <row r="540">
      <c r="E540" s="341"/>
      <c r="F540" s="353"/>
      <c r="G540" s="354"/>
      <c r="H540" s="517" t="s">
        <v>289</v>
      </c>
      <c r="I540" s="346" t="s">
        <v>282</v>
      </c>
      <c r="J540" s="400"/>
      <c r="K540" s="736">
        <f t="shared" ref="K540:M540" si="106">K538/SHARDING(K539)</f>
        <v>1024</v>
      </c>
      <c r="L540" s="736">
        <f t="shared" si="106"/>
        <v>1</v>
      </c>
      <c r="M540" s="736">
        <f t="shared" si="106"/>
        <v>7168</v>
      </c>
      <c r="N540" s="346" t="s">
        <v>283</v>
      </c>
      <c r="O540" s="355"/>
      <c r="P540" s="509">
        <f>SIZEOF_IN_MIB(J540:M540, O537)</f>
        <v>14</v>
      </c>
      <c r="Q540" s="355"/>
    </row>
    <row r="541">
      <c r="E541" s="341"/>
      <c r="F541" s="371" t="s">
        <v>335</v>
      </c>
      <c r="G541" s="601"/>
      <c r="H541" s="728"/>
      <c r="I541" s="336"/>
      <c r="J541" s="336"/>
      <c r="K541" s="336"/>
      <c r="L541" s="349"/>
      <c r="M541" s="349"/>
      <c r="N541" s="349"/>
      <c r="O541" s="336"/>
      <c r="P541" s="377"/>
      <c r="Q541" s="729"/>
    </row>
    <row r="542">
      <c r="E542" s="341"/>
      <c r="F542" s="352"/>
      <c r="G542" s="669" t="s">
        <v>340</v>
      </c>
      <c r="H542" s="730"/>
      <c r="I542" s="493"/>
      <c r="J542" s="345"/>
      <c r="K542" s="345"/>
      <c r="L542" s="346"/>
      <c r="M542" s="346"/>
      <c r="N542" s="346"/>
      <c r="O542" s="345"/>
      <c r="P542" s="509"/>
      <c r="Q542" s="545"/>
    </row>
    <row r="543">
      <c r="E543" s="341"/>
      <c r="F543" s="731" t="s">
        <v>327</v>
      </c>
      <c r="G543" s="601" t="s">
        <v>328</v>
      </c>
      <c r="H543" s="663" t="str">
        <f>VLOOKUP(O529&amp;","&amp;O533,$T$3:$W$12,4, FALSE)</f>
        <v>fp8</v>
      </c>
      <c r="I543" s="460"/>
      <c r="J543" s="454"/>
      <c r="K543" s="454"/>
      <c r="L543" s="455"/>
      <c r="M543" s="455"/>
      <c r="N543" s="455"/>
      <c r="O543" s="454"/>
      <c r="P543" s="468"/>
      <c r="Q543" s="11"/>
    </row>
    <row r="544">
      <c r="E544" s="341"/>
      <c r="F544" s="341"/>
      <c r="G544" s="663" t="s">
        <v>341</v>
      </c>
      <c r="H544" s="667" t="str">
        <f>CALCULATE_FLOPS(J532:M532,J536:M536,M536,L536,H543)</f>
        <v>#N/A</v>
      </c>
      <c r="I544" s="460"/>
      <c r="J544" s="454"/>
      <c r="K544" s="454"/>
      <c r="L544" s="455"/>
      <c r="M544" s="455"/>
      <c r="N544" s="455"/>
      <c r="O544" s="454"/>
      <c r="P544" s="468"/>
      <c r="Q544" s="11"/>
    </row>
    <row r="545">
      <c r="E545" s="341"/>
      <c r="F545" s="352"/>
      <c r="G545" s="669" t="s">
        <v>330</v>
      </c>
      <c r="H545" s="732" t="str">
        <f>COMPUTE_TIME_MS(H544, H543)</f>
        <v>#N/A</v>
      </c>
      <c r="I545" s="464"/>
      <c r="J545" s="465"/>
      <c r="K545" s="465"/>
      <c r="L545" s="466"/>
      <c r="M545" s="466"/>
      <c r="N545" s="466"/>
      <c r="O545" s="465"/>
      <c r="P545" s="671"/>
      <c r="Q545" s="11"/>
    </row>
    <row r="546">
      <c r="E546" s="341"/>
      <c r="F546" s="731" t="s">
        <v>331</v>
      </c>
      <c r="G546" s="663" t="s">
        <v>332</v>
      </c>
      <c r="H546" s="672">
        <f>IF(Q529,0,P532)+IF(Q533,0,P536)+IF(Q537,0,P540)</f>
        <v>23</v>
      </c>
      <c r="I546" s="454"/>
      <c r="J546" s="454"/>
      <c r="K546" s="454"/>
      <c r="L546" s="455"/>
      <c r="M546" s="455"/>
      <c r="N546" s="455"/>
      <c r="O546" s="454"/>
      <c r="P546" s="468"/>
      <c r="Q546" s="11"/>
    </row>
    <row r="547">
      <c r="E547" s="352"/>
      <c r="F547" s="352"/>
      <c r="G547" s="673" t="s">
        <v>333</v>
      </c>
      <c r="H547" s="733" t="str">
        <f>HBM_TIME_MS(H546)</f>
        <v>#N/A</v>
      </c>
      <c r="I547" s="465"/>
      <c r="J547" s="465"/>
      <c r="K547" s="465"/>
      <c r="L547" s="466"/>
      <c r="M547" s="466"/>
      <c r="N547" s="466"/>
      <c r="O547" s="465"/>
      <c r="P547" s="671"/>
      <c r="Q547" s="11"/>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row r="1280">
      <c r="P1280" s="227"/>
    </row>
    <row r="1281">
      <c r="P1281" s="227"/>
    </row>
    <row r="1282">
      <c r="P1282" s="227"/>
    </row>
    <row r="1283">
      <c r="P1283" s="227"/>
    </row>
    <row r="1284">
      <c r="P1284" s="227"/>
    </row>
    <row r="1285">
      <c r="P1285" s="227"/>
    </row>
    <row r="1286">
      <c r="P1286" s="227"/>
    </row>
    <row r="1287">
      <c r="P1287" s="227"/>
    </row>
    <row r="1288">
      <c r="P1288" s="227"/>
    </row>
    <row r="1289">
      <c r="P1289" s="227"/>
    </row>
    <row r="1290">
      <c r="P1290" s="227"/>
    </row>
    <row r="1291">
      <c r="P1291" s="227"/>
    </row>
    <row r="1292">
      <c r="P1292" s="227"/>
    </row>
    <row r="1293">
      <c r="P1293" s="227"/>
    </row>
    <row r="1294">
      <c r="P1294" s="227"/>
    </row>
    <row r="1295">
      <c r="P1295" s="227"/>
    </row>
    <row r="1296">
      <c r="P1296" s="227"/>
    </row>
    <row r="1297">
      <c r="P1297" s="227"/>
    </row>
    <row r="1298">
      <c r="P1298" s="227"/>
    </row>
    <row r="1299">
      <c r="P1299" s="227"/>
    </row>
    <row r="1300">
      <c r="P1300" s="227"/>
    </row>
    <row r="1301">
      <c r="P1301" s="227"/>
    </row>
    <row r="1302">
      <c r="P1302" s="227"/>
    </row>
    <row r="1303">
      <c r="P1303" s="227"/>
    </row>
  </sheetData>
  <mergeCells count="223">
    <mergeCell ref="E510:E528"/>
    <mergeCell ref="E529:E547"/>
    <mergeCell ref="E267:E285"/>
    <mergeCell ref="E286:E309"/>
    <mergeCell ref="E310:E333"/>
    <mergeCell ref="E339:E383"/>
    <mergeCell ref="E384:E428"/>
    <mergeCell ref="E429:E458"/>
    <mergeCell ref="E459:E509"/>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484:F500"/>
    <mergeCell ref="F501:F502"/>
    <mergeCell ref="F505:F507"/>
    <mergeCell ref="F508:F509"/>
    <mergeCell ref="F510:G513"/>
    <mergeCell ref="F514:G517"/>
    <mergeCell ref="F518:G521"/>
    <mergeCell ref="F543:F545"/>
    <mergeCell ref="F546:F547"/>
    <mergeCell ref="F522:F523"/>
    <mergeCell ref="F524:F526"/>
    <mergeCell ref="F527:F528"/>
    <mergeCell ref="F529:G532"/>
    <mergeCell ref="F533:G536"/>
    <mergeCell ref="F537:G540"/>
    <mergeCell ref="F541:F542"/>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8:F423"/>
    <mergeCell ref="G403:G405"/>
    <mergeCell ref="G415:G417"/>
    <mergeCell ref="O349:O353"/>
    <mergeCell ref="O362:O366"/>
    <mergeCell ref="O384:O387"/>
    <mergeCell ref="O388:O391"/>
    <mergeCell ref="O392:O395"/>
    <mergeCell ref="O429:O432"/>
    <mergeCell ref="O433:O436"/>
    <mergeCell ref="O529:O532"/>
    <mergeCell ref="O533:O536"/>
    <mergeCell ref="O537:O540"/>
    <mergeCell ref="O437:O440"/>
    <mergeCell ref="O459:O462"/>
    <mergeCell ref="O473:O476"/>
    <mergeCell ref="O485:O488"/>
    <mergeCell ref="O510:O513"/>
    <mergeCell ref="O514:O517"/>
    <mergeCell ref="O518:O521"/>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4:Q517"/>
    <mergeCell ref="Q518:Q521"/>
    <mergeCell ref="Q529:Q532"/>
    <mergeCell ref="Q533:Q536"/>
    <mergeCell ref="Q537:Q540"/>
    <mergeCell ref="Q384:Q387"/>
    <mergeCell ref="Q388:Q391"/>
    <mergeCell ref="Q392:Q395"/>
    <mergeCell ref="Q429:Q432"/>
    <mergeCell ref="Q433:Q436"/>
    <mergeCell ref="Q437:Q440"/>
    <mergeCell ref="Q510:Q513"/>
    <mergeCell ref="F424:F426"/>
    <mergeCell ref="F427:F428"/>
    <mergeCell ref="F429:G432"/>
    <mergeCell ref="F433:G436"/>
    <mergeCell ref="F437:G440"/>
    <mergeCell ref="F441:F453"/>
    <mergeCell ref="F454:F456"/>
    <mergeCell ref="G459:G463"/>
    <mergeCell ref="F457:F458"/>
    <mergeCell ref="F459:F471"/>
    <mergeCell ref="F472:F483"/>
    <mergeCell ref="G473:G477"/>
    <mergeCell ref="G485:G489"/>
    <mergeCell ref="G490:G494"/>
    <mergeCell ref="G495:G499"/>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3:Q405">
    <cfRule type="expression" dxfId="20" priority="3">
      <formula>NE($H$420,$G$403)</formula>
    </cfRule>
  </conditionalFormatting>
  <conditionalFormatting sqref="G406:Q406">
    <cfRule type="expression" dxfId="20" priority="4">
      <formula>NE($H$420,$G$406)</formula>
    </cfRule>
  </conditionalFormatting>
  <conditionalFormatting sqref="G415:Q417 G482:H482">
    <cfRule type="expression" dxfId="20" priority="5">
      <formula>NE($H$420,$G$415)</formula>
    </cfRule>
  </conditionalFormatting>
  <conditionalFormatting sqref="G418:Q418">
    <cfRule type="expression" dxfId="20" priority="6">
      <formula>NE($H$420,$G$418)</formula>
    </cfRule>
  </conditionalFormatting>
  <conditionalFormatting sqref="F484:Q500">
    <cfRule type="expression" dxfId="19" priority="7">
      <formula>NE($F$484,$H$501)</formula>
    </cfRule>
  </conditionalFormatting>
  <conditionalFormatting sqref="F459:Q471">
    <cfRule type="expression" dxfId="19" priority="8">
      <formula>NE($F$459,$H$501)</formula>
    </cfRule>
  </conditionalFormatting>
  <conditionalFormatting sqref="F472:Q483">
    <cfRule type="expression" dxfId="19" priority="9">
      <formula>NE($F$472,$H$501)</formula>
    </cfRule>
  </conditionalFormatting>
  <conditionalFormatting sqref="G442:Q447">
    <cfRule type="expression" dxfId="19" priority="10">
      <formula>NE($G$442,$H$452)</formula>
    </cfRule>
  </conditionalFormatting>
  <conditionalFormatting sqref="G449:Q450">
    <cfRule type="expression" dxfId="19" priority="11">
      <formula>NE($G$449,$H$452)</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3">
    <cfRule type="cellIs" dxfId="23" priority="33" operator="equal">
      <formula>"fp8"</formula>
    </cfRule>
  </conditionalFormatting>
  <conditionalFormatting sqref="O1:O336 O338:O1303">
    <cfRule type="cellIs" dxfId="24" priority="34" operator="equal">
      <formula>"bf16"</formula>
    </cfRule>
  </conditionalFormatting>
  <conditionalFormatting sqref="O1:O336 O338:O1303">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20">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7 O510 O514 O518 O529 O533 O537">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2">
      <formula1>"Option A: AllReduce,Option B: Do not resolve partial sum yet,Option C: No Collectives"</formula1>
    </dataValidation>
    <dataValidation type="list" allowBlank="1" showErrorMessage="1" sqref="F459 F484 H501">
      <formula1>"Option A: Transposed All-To-All,Option B: Reduce-Scatter,Option C: Hierachical RS"</formula1>
    </dataValidation>
    <dataValidation type="list" allowBlank="1" showErrorMessage="1" sqref="F472">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null!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896" t="s">
        <v>168</v>
      </c>
      <c r="B1" s="209"/>
      <c r="C1" s="209"/>
      <c r="D1" s="210"/>
      <c r="E1" s="211"/>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892"/>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893"/>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3">
        <v>2048.0</v>
      </c>
      <c r="D4" s="893"/>
      <c r="F4" s="230" t="s">
        <v>96</v>
      </c>
      <c r="G4" s="225">
        <v>8.0</v>
      </c>
      <c r="H4" s="226"/>
      <c r="P4" s="227"/>
      <c r="Q4" s="181" t="s">
        <v>125</v>
      </c>
      <c r="R4" s="181">
        <v>1.0</v>
      </c>
      <c r="T4" s="66" t="str">
        <f t="shared" si="1"/>
        <v>fp4,fp8</v>
      </c>
      <c r="U4" s="181" t="s">
        <v>180</v>
      </c>
      <c r="V4" s="181" t="s">
        <v>125</v>
      </c>
      <c r="W4" s="181" t="s">
        <v>125</v>
      </c>
    </row>
    <row r="5">
      <c r="A5" s="223" t="s">
        <v>183</v>
      </c>
      <c r="B5" s="223" t="s">
        <v>184</v>
      </c>
      <c r="C5" s="223">
        <v>256.0</v>
      </c>
      <c r="D5" s="893"/>
      <c r="F5" s="230" t="s">
        <v>97</v>
      </c>
      <c r="G5" s="225">
        <v>2.0</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893"/>
      <c r="F6" s="230" t="s">
        <v>98</v>
      </c>
      <c r="G6" s="225">
        <v>1.0</v>
      </c>
      <c r="H6" s="226"/>
      <c r="P6" s="227"/>
      <c r="T6" s="66" t="str">
        <f t="shared" si="1"/>
        <v>fp8,fp4</v>
      </c>
      <c r="U6" s="181" t="s">
        <v>125</v>
      </c>
      <c r="V6" s="181" t="s">
        <v>180</v>
      </c>
      <c r="W6" s="181" t="s">
        <v>125</v>
      </c>
    </row>
    <row r="7">
      <c r="A7" s="231" t="s">
        <v>188</v>
      </c>
      <c r="B7" s="231" t="s">
        <v>189</v>
      </c>
      <c r="C7" s="231">
        <v>3.0</v>
      </c>
      <c r="D7" s="893"/>
      <c r="F7" s="230" t="s">
        <v>99</v>
      </c>
      <c r="G7" s="225">
        <v>1.0</v>
      </c>
      <c r="H7" s="226" t="s">
        <v>190</v>
      </c>
      <c r="P7" s="227"/>
      <c r="T7" s="66" t="str">
        <f t="shared" si="1"/>
        <v>fp8,fp8</v>
      </c>
      <c r="U7" s="181" t="s">
        <v>125</v>
      </c>
      <c r="V7" s="181" t="s">
        <v>125</v>
      </c>
      <c r="W7" s="181" t="s">
        <v>125</v>
      </c>
      <c r="AR7" s="161"/>
      <c r="AS7" s="161"/>
      <c r="AT7" s="161"/>
    </row>
    <row r="8">
      <c r="A8" s="223" t="s">
        <v>191</v>
      </c>
      <c r="B8" s="223" t="s">
        <v>192</v>
      </c>
      <c r="C8" s="223">
        <v>8.0</v>
      </c>
      <c r="D8" s="893"/>
      <c r="F8" s="219" t="s">
        <v>193</v>
      </c>
      <c r="P8" s="227"/>
      <c r="U8" s="181"/>
      <c r="V8" s="181"/>
      <c r="W8" s="181"/>
      <c r="AB8" s="181"/>
      <c r="AC8" s="181"/>
      <c r="AD8" s="181"/>
      <c r="AE8" s="181"/>
    </row>
    <row r="9">
      <c r="A9" s="232" t="s">
        <v>194</v>
      </c>
      <c r="B9" s="233" t="s">
        <v>195</v>
      </c>
      <c r="C9" s="223">
        <v>1536.0</v>
      </c>
      <c r="D9" s="893"/>
      <c r="F9" s="234" t="s">
        <v>196</v>
      </c>
      <c r="G9" s="235">
        <f>G5*G4</f>
        <v>16</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893"/>
      <c r="F10" s="237" t="s">
        <v>199</v>
      </c>
      <c r="G10" s="238">
        <f>PRODUCT(G3:G6)</f>
        <v>16</v>
      </c>
      <c r="H10" s="239"/>
      <c r="P10" s="227"/>
      <c r="T10" s="66" t="str">
        <f t="shared" si="2"/>
        <v>bf16,fp4</v>
      </c>
      <c r="U10" s="181" t="s">
        <v>133</v>
      </c>
      <c r="V10" s="181" t="s">
        <v>180</v>
      </c>
      <c r="W10" s="181" t="s">
        <v>133</v>
      </c>
      <c r="AP10" s="218"/>
      <c r="AQ10" s="218"/>
      <c r="AT10" s="228"/>
    </row>
    <row r="11">
      <c r="A11" s="232" t="s">
        <v>200</v>
      </c>
      <c r="B11" s="233" t="s">
        <v>201</v>
      </c>
      <c r="C11" s="223">
        <v>128.0</v>
      </c>
      <c r="D11" s="893"/>
      <c r="F11" s="237" t="s">
        <v>202</v>
      </c>
      <c r="G11" s="238" t="str">
        <f>$G$10/$H$18</f>
        <v>#N/A</v>
      </c>
      <c r="H11" s="239"/>
      <c r="P11" s="227"/>
      <c r="T11" s="66" t="str">
        <f t="shared" si="2"/>
        <v>bf16,fp8</v>
      </c>
      <c r="U11" s="181" t="s">
        <v>133</v>
      </c>
      <c r="V11" s="181" t="s">
        <v>125</v>
      </c>
      <c r="W11" s="181" t="s">
        <v>133</v>
      </c>
      <c r="AP11" s="222"/>
    </row>
    <row r="12">
      <c r="A12" s="232" t="s">
        <v>203</v>
      </c>
      <c r="B12" s="233" t="s">
        <v>204</v>
      </c>
      <c r="C12" s="223">
        <v>64.0</v>
      </c>
      <c r="D12" s="893"/>
      <c r="L12" s="844" t="s">
        <v>584</v>
      </c>
      <c r="P12" s="227"/>
      <c r="T12" s="66" t="s">
        <v>205</v>
      </c>
      <c r="U12" s="181" t="s">
        <v>133</v>
      </c>
      <c r="V12" s="181" t="s">
        <v>133</v>
      </c>
      <c r="W12" s="181" t="s">
        <v>133</v>
      </c>
      <c r="AP12" s="218"/>
      <c r="AQ12" s="218"/>
      <c r="AT12" s="228"/>
    </row>
    <row r="13">
      <c r="A13" s="223" t="s">
        <v>206</v>
      </c>
      <c r="B13" s="233" t="s">
        <v>207</v>
      </c>
      <c r="C13" s="223">
        <v>128.0</v>
      </c>
      <c r="D13" s="893"/>
    </row>
    <row r="14">
      <c r="A14" s="241" t="s">
        <v>208</v>
      </c>
      <c r="B14" s="242"/>
      <c r="C14" s="242"/>
      <c r="AG14" s="207"/>
      <c r="AH14" s="207"/>
      <c r="AI14" s="161"/>
      <c r="AJ14" s="2"/>
      <c r="AK14" s="2"/>
      <c r="AL14" s="2"/>
      <c r="AM14" s="2"/>
      <c r="AN14" s="161"/>
      <c r="AO14" s="2"/>
      <c r="AP14" s="207"/>
      <c r="AQ14" s="2"/>
      <c r="AR14" s="2"/>
      <c r="AS14" s="161"/>
      <c r="AT14" s="161"/>
    </row>
    <row r="15">
      <c r="A15" s="244" t="s">
        <v>209</v>
      </c>
      <c r="B15" s="244" t="s">
        <v>209</v>
      </c>
      <c r="C15" s="245">
        <f>$C$11+$C$12</f>
        <v>192</v>
      </c>
      <c r="AG15" s="2"/>
      <c r="AH15" s="2"/>
      <c r="AI15" s="161"/>
      <c r="AJ15" s="2"/>
      <c r="AK15" s="2"/>
      <c r="AL15" s="2"/>
      <c r="AM15" s="2"/>
      <c r="AN15" s="161"/>
      <c r="AO15" s="2"/>
      <c r="AP15" s="247"/>
      <c r="AQ15" s="247"/>
      <c r="AR15" s="2"/>
      <c r="AS15" s="161"/>
      <c r="AT15" s="248"/>
    </row>
    <row r="16">
      <c r="A16" s="244" t="s">
        <v>210</v>
      </c>
      <c r="B16" s="244" t="s">
        <v>210</v>
      </c>
      <c r="C16" s="249">
        <f>$C$10+$C$12</f>
        <v>576</v>
      </c>
      <c r="D16" s="893"/>
      <c r="AG16" s="2"/>
      <c r="AH16" s="2"/>
      <c r="AI16" s="161"/>
      <c r="AJ16" s="2"/>
      <c r="AK16" s="2"/>
      <c r="AL16" s="2"/>
      <c r="AM16" s="2"/>
      <c r="AN16" s="161"/>
      <c r="AO16" s="2"/>
      <c r="AP16" s="247"/>
      <c r="AQ16" s="247"/>
      <c r="AR16" s="2"/>
      <c r="AS16" s="161"/>
      <c r="AT16" s="248"/>
    </row>
    <row r="17">
      <c r="A17" s="249" t="s">
        <v>211</v>
      </c>
      <c r="B17" s="249" t="s">
        <v>212</v>
      </c>
      <c r="C17" s="245">
        <f>C8*$C$25</f>
        <v>8</v>
      </c>
      <c r="F17" s="250" t="s">
        <v>213</v>
      </c>
      <c r="G17" s="251" t="s">
        <v>585</v>
      </c>
      <c r="H17" s="251" t="s">
        <v>586</v>
      </c>
      <c r="AG17" s="2"/>
      <c r="AH17" s="2"/>
      <c r="AI17" s="161"/>
      <c r="AJ17" s="2"/>
      <c r="AK17" s="2"/>
      <c r="AL17" s="2"/>
      <c r="AM17" s="2"/>
      <c r="AN17" s="161"/>
      <c r="AO17" s="2"/>
      <c r="AP17" s="247"/>
      <c r="AQ17" s="247"/>
      <c r="AR17" s="2"/>
      <c r="AS17" s="161"/>
      <c r="AT17" s="248"/>
    </row>
    <row r="18">
      <c r="A18" s="252" t="s">
        <v>173</v>
      </c>
      <c r="B18" s="252" t="s">
        <v>214</v>
      </c>
      <c r="C18" s="253">
        <f>$G$10</f>
        <v>16</v>
      </c>
      <c r="F18" s="185" t="str">
        <f t="array" ref="F18:F31">DB!A2:A15</f>
        <v># of TensorCore per Chip</v>
      </c>
      <c r="G18" s="847">
        <v>1.0</v>
      </c>
      <c r="H18" s="254" t="str">
        <f t="array" ref="H18:H31">xlookup($H$17,DB!1:1,DB!2:15) * G18:G31</f>
        <v>#N/A</v>
      </c>
      <c r="AG18" s="2"/>
      <c r="AH18" s="2"/>
      <c r="AI18" s="161"/>
      <c r="AJ18" s="2"/>
      <c r="AK18" s="2"/>
      <c r="AL18" s="2"/>
      <c r="AM18" s="2"/>
      <c r="AN18" s="161"/>
      <c r="AO18" s="2"/>
      <c r="AP18" s="247"/>
      <c r="AQ18" s="2"/>
      <c r="AR18" s="2"/>
      <c r="AS18" s="161"/>
      <c r="AT18" s="161"/>
    </row>
    <row r="19">
      <c r="A19" s="252" t="s">
        <v>215</v>
      </c>
      <c r="B19" s="252" t="s">
        <v>216</v>
      </c>
      <c r="C19" s="253" t="str">
        <f>$G$11</f>
        <v>#N/A</v>
      </c>
      <c r="F19" s="185" t="s">
        <v>217</v>
      </c>
      <c r="G19" s="847">
        <v>1.0</v>
      </c>
      <c r="H19" s="254" t="e">
        <v>#N/A</v>
      </c>
      <c r="AG19" s="2"/>
      <c r="AH19" s="2"/>
      <c r="AI19" s="161"/>
      <c r="AJ19" s="2"/>
      <c r="AK19" s="2"/>
      <c r="AL19" s="2"/>
      <c r="AM19" s="2"/>
      <c r="AN19" s="161"/>
      <c r="AO19" s="2"/>
      <c r="AP19" s="247"/>
      <c r="AQ19" s="2"/>
      <c r="AR19" s="2"/>
      <c r="AS19" s="161"/>
      <c r="AT19" s="161"/>
    </row>
    <row r="20">
      <c r="A20" s="256" t="s">
        <v>587</v>
      </c>
      <c r="B20" s="256" t="s">
        <v>219</v>
      </c>
      <c r="C20" s="257" t="str">
        <f>IFS(C19=8,"2x2x2",C19=4,"2x2",TRUE,NA)</f>
        <v>#N/A</v>
      </c>
      <c r="D20" s="247"/>
      <c r="F20" s="185" t="s">
        <v>220</v>
      </c>
      <c r="G20" s="847">
        <v>1.0</v>
      </c>
      <c r="H20" s="254" t="e">
        <v>#N/A</v>
      </c>
      <c r="AG20" s="2"/>
      <c r="AH20" s="2"/>
      <c r="AI20" s="161"/>
      <c r="AJ20" s="2"/>
      <c r="AK20" s="2"/>
      <c r="AL20" s="2"/>
      <c r="AM20" s="2"/>
      <c r="AN20" s="161"/>
      <c r="AO20" s="2"/>
      <c r="AP20" s="247"/>
      <c r="AQ20" s="2"/>
      <c r="AR20" s="2"/>
      <c r="AS20" s="161"/>
      <c r="AT20" s="161"/>
    </row>
    <row r="21">
      <c r="A21" s="260" t="s">
        <v>588</v>
      </c>
      <c r="B21" s="260" t="s">
        <v>222</v>
      </c>
      <c r="C21" s="849" t="str">
        <f>IFS(C20="2x2x2",12,C20="2x2",4,TRUE,NA())</f>
        <v>#N/A</v>
      </c>
      <c r="D21" s="80"/>
      <c r="F21" s="185" t="s">
        <v>223</v>
      </c>
      <c r="G21" s="847">
        <v>1.0</v>
      </c>
      <c r="H21" s="254" t="e">
        <v>#N/A</v>
      </c>
      <c r="AG21" s="2"/>
      <c r="AH21" s="2"/>
      <c r="AI21" s="161"/>
      <c r="AJ21" s="2"/>
      <c r="AK21" s="2"/>
      <c r="AL21" s="2"/>
      <c r="AM21" s="2"/>
      <c r="AN21" s="161"/>
      <c r="AO21" s="2"/>
      <c r="AP21" s="247"/>
      <c r="AQ21" s="2"/>
      <c r="AR21" s="2"/>
      <c r="AS21" s="161"/>
      <c r="AT21" s="161"/>
    </row>
    <row r="22">
      <c r="A22" s="253"/>
      <c r="B22" s="253"/>
      <c r="C22" s="253"/>
      <c r="F22" s="185" t="s">
        <v>224</v>
      </c>
      <c r="G22" s="847">
        <v>1.0</v>
      </c>
      <c r="H22" s="254" t="e">
        <v>#N/A</v>
      </c>
      <c r="AG22" s="2"/>
      <c r="AH22" s="2"/>
      <c r="AI22" s="161"/>
      <c r="AJ22" s="2"/>
      <c r="AK22" s="2"/>
      <c r="AL22" s="2"/>
      <c r="AM22" s="2"/>
      <c r="AN22" s="161"/>
      <c r="AO22" s="2"/>
      <c r="AP22" s="247"/>
      <c r="AQ22" s="247"/>
      <c r="AR22" s="2"/>
      <c r="AS22" s="161"/>
      <c r="AT22" s="248"/>
    </row>
    <row r="23">
      <c r="A23" s="262" t="s">
        <v>225</v>
      </c>
      <c r="B23" s="263"/>
      <c r="C23" s="264"/>
      <c r="D23" s="893"/>
      <c r="F23" s="185" t="s">
        <v>226</v>
      </c>
      <c r="G23" s="847">
        <v>0.987</v>
      </c>
      <c r="H23" s="266" t="e">
        <v>#N/A</v>
      </c>
      <c r="AG23" s="2"/>
      <c r="AH23" s="2"/>
      <c r="AI23" s="161"/>
      <c r="AJ23" s="2"/>
      <c r="AK23" s="2"/>
      <c r="AL23" s="2"/>
      <c r="AM23" s="2"/>
      <c r="AN23" s="161"/>
      <c r="AO23" s="2"/>
      <c r="AP23" s="247"/>
      <c r="AQ23" s="247"/>
      <c r="AR23" s="2"/>
      <c r="AS23" s="161"/>
      <c r="AT23" s="248"/>
    </row>
    <row r="24">
      <c r="A24" s="249" t="s">
        <v>227</v>
      </c>
      <c r="B24" s="249" t="s">
        <v>228</v>
      </c>
      <c r="C24" s="249" t="s">
        <v>18</v>
      </c>
      <c r="D24" s="893"/>
      <c r="F24" s="185" t="s">
        <v>229</v>
      </c>
      <c r="G24" s="847">
        <v>0.8</v>
      </c>
      <c r="H24" s="266" t="e">
        <v>#N/A</v>
      </c>
      <c r="AG24" s="2"/>
      <c r="AH24" s="2"/>
      <c r="AI24" s="161"/>
      <c r="AJ24" s="2"/>
      <c r="AK24" s="2"/>
      <c r="AL24" s="2"/>
      <c r="AM24" s="2"/>
      <c r="AN24" s="161"/>
      <c r="AO24" s="2"/>
      <c r="AP24" s="247"/>
      <c r="AQ24" s="247"/>
      <c r="AR24" s="2"/>
      <c r="AS24" s="161"/>
      <c r="AT24" s="248"/>
    </row>
    <row r="25">
      <c r="A25" s="267" t="s">
        <v>101</v>
      </c>
      <c r="B25" s="267" t="s">
        <v>102</v>
      </c>
      <c r="C25" s="267">
        <f>IF(C24="Decode", 1, 2048)</f>
        <v>1</v>
      </c>
      <c r="D25" s="893"/>
      <c r="F25" s="185" t="s">
        <v>230</v>
      </c>
      <c r="G25" s="847">
        <v>1.0</v>
      </c>
      <c r="H25" s="254" t="e">
        <v>#N/A</v>
      </c>
      <c r="AG25" s="2"/>
      <c r="AH25" s="2"/>
      <c r="AI25" s="161"/>
      <c r="AJ25" s="248"/>
      <c r="AK25" s="2"/>
      <c r="AL25" s="2"/>
      <c r="AM25" s="2"/>
    </row>
    <row r="26">
      <c r="A26" s="249" t="s">
        <v>103</v>
      </c>
      <c r="B26" s="249" t="s">
        <v>104</v>
      </c>
      <c r="C26" s="249">
        <v>4096.0</v>
      </c>
      <c r="D26" s="181"/>
      <c r="F26" s="185" t="s">
        <v>231</v>
      </c>
      <c r="G26" s="847">
        <v>1.0</v>
      </c>
      <c r="H26" s="254" t="e">
        <v>#N/A</v>
      </c>
      <c r="AG26" s="207"/>
      <c r="AH26" s="207"/>
      <c r="AI26" s="207"/>
      <c r="AK26" s="2"/>
      <c r="AL26" s="2"/>
      <c r="AM26" s="2"/>
      <c r="AN26" s="161"/>
      <c r="AO26" s="2"/>
      <c r="AP26" s="2"/>
      <c r="AQ26" s="2"/>
      <c r="AR26" s="2"/>
      <c r="AS26" s="161"/>
      <c r="AT26" s="161"/>
    </row>
    <row r="27">
      <c r="A27" s="249" t="s">
        <v>105</v>
      </c>
      <c r="B27" s="252" t="s">
        <v>106</v>
      </c>
      <c r="C27" s="252">
        <f>1024+4096</f>
        <v>5120</v>
      </c>
      <c r="D27" s="893"/>
      <c r="F27" s="185" t="s">
        <v>233</v>
      </c>
      <c r="G27" s="847">
        <v>1.0</v>
      </c>
      <c r="H27" s="254" t="e">
        <v>#N/A</v>
      </c>
      <c r="AG27" s="207"/>
      <c r="AH27" s="207"/>
      <c r="AI27" s="207"/>
      <c r="AK27" s="2"/>
      <c r="AL27" s="2"/>
      <c r="AM27" s="2"/>
      <c r="AN27" s="161"/>
      <c r="AO27" s="2"/>
      <c r="AP27" s="2"/>
      <c r="AQ27" s="2"/>
      <c r="AR27" s="2"/>
      <c r="AS27" s="161"/>
      <c r="AT27" s="161"/>
    </row>
    <row r="28">
      <c r="A28" s="249" t="s">
        <v>110</v>
      </c>
      <c r="B28" s="253"/>
      <c r="C28" s="252">
        <v>0.15</v>
      </c>
      <c r="D28" s="893"/>
      <c r="F28" s="185" t="s">
        <v>234</v>
      </c>
      <c r="G28" s="847">
        <v>0.987</v>
      </c>
      <c r="H28" s="271" t="e">
        <v>#N/A</v>
      </c>
      <c r="AG28" s="207"/>
      <c r="AH28" s="207"/>
      <c r="AI28" s="207"/>
      <c r="AL28" s="2"/>
      <c r="AM28" s="2"/>
      <c r="AN28" s="161"/>
      <c r="AO28" s="2"/>
      <c r="AP28" s="2"/>
      <c r="AQ28" s="2"/>
      <c r="AR28" s="2"/>
      <c r="AS28" s="161"/>
      <c r="AT28" s="161"/>
    </row>
    <row r="29">
      <c r="A29" s="249" t="s">
        <v>111</v>
      </c>
      <c r="B29" s="253"/>
      <c r="C29" s="252">
        <v>1.0</v>
      </c>
      <c r="D29" s="893"/>
      <c r="F29" s="185" t="s">
        <v>235</v>
      </c>
      <c r="G29" s="847">
        <v>0.375</v>
      </c>
      <c r="H29" s="254" t="e">
        <v>#N/A</v>
      </c>
      <c r="AB29" s="181"/>
      <c r="AC29" s="181"/>
      <c r="AD29" s="181"/>
      <c r="AE29" s="181"/>
      <c r="AM29" s="222"/>
      <c r="AN29" s="218"/>
      <c r="AO29" s="222"/>
      <c r="AP29" s="222"/>
      <c r="AQ29" s="272"/>
      <c r="AR29" s="222"/>
      <c r="AS29" s="66"/>
    </row>
    <row r="30">
      <c r="A30" s="249" t="s">
        <v>112</v>
      </c>
      <c r="B30" s="252" t="s">
        <v>113</v>
      </c>
      <c r="C30" s="273" t="b">
        <v>1</v>
      </c>
      <c r="D30" s="894"/>
      <c r="F30" s="11" t="s">
        <v>236</v>
      </c>
      <c r="G30" s="858">
        <v>0.8</v>
      </c>
      <c r="H30" s="275" t="e">
        <v>#N/A</v>
      </c>
      <c r="AB30" s="181"/>
      <c r="AC30" s="181"/>
      <c r="AD30" s="181"/>
      <c r="AE30" s="181"/>
      <c r="AM30" s="222"/>
      <c r="AN30" s="218"/>
      <c r="AO30" s="222"/>
      <c r="AP30" s="222"/>
      <c r="AQ30" s="272"/>
      <c r="AR30" s="222"/>
      <c r="AS30" s="66"/>
    </row>
    <row r="31">
      <c r="A31" s="11"/>
      <c r="B31" s="11"/>
      <c r="C31" s="11"/>
      <c r="F31" s="182" t="s">
        <v>237</v>
      </c>
      <c r="G31" s="185">
        <v>1.0</v>
      </c>
      <c r="H31" s="182" t="e">
        <v>#N/A</v>
      </c>
      <c r="AM31" s="222"/>
      <c r="AN31" s="218"/>
      <c r="AO31" s="218"/>
      <c r="AP31" s="218"/>
      <c r="AQ31" s="218"/>
      <c r="AR31" s="222"/>
      <c r="AT31" s="228"/>
    </row>
    <row r="32">
      <c r="A32" s="262" t="s">
        <v>238</v>
      </c>
      <c r="B32" s="263"/>
      <c r="C32" s="264"/>
      <c r="AM32" s="222"/>
      <c r="AN32" s="218"/>
      <c r="AO32" s="218"/>
      <c r="AP32" s="218"/>
      <c r="AQ32" s="218"/>
      <c r="AR32" s="222"/>
      <c r="AT32" s="228"/>
    </row>
    <row r="33">
      <c r="A33" s="249" t="s">
        <v>126</v>
      </c>
      <c r="B33" s="244" t="s">
        <v>127</v>
      </c>
      <c r="C33" s="277" t="s">
        <v>650</v>
      </c>
      <c r="D33" s="278"/>
      <c r="AM33" s="222"/>
      <c r="AN33" s="218"/>
      <c r="AO33" s="218"/>
      <c r="AP33" s="222"/>
      <c r="AQ33" s="222"/>
      <c r="AR33" s="222"/>
    </row>
    <row r="34">
      <c r="A34" s="249" t="s">
        <v>123</v>
      </c>
      <c r="B34" s="252" t="s">
        <v>124</v>
      </c>
      <c r="C34" s="273" t="s">
        <v>125</v>
      </c>
      <c r="D34" s="278"/>
      <c r="AM34" s="222"/>
      <c r="AN34" s="218"/>
      <c r="AO34" s="218"/>
      <c r="AP34" s="222"/>
      <c r="AQ34" s="222"/>
      <c r="AR34" s="222"/>
    </row>
    <row r="35">
      <c r="A35" s="249" t="s">
        <v>131</v>
      </c>
      <c r="B35" s="244" t="s">
        <v>132</v>
      </c>
      <c r="C35" s="273" t="s">
        <v>133</v>
      </c>
      <c r="D35" s="278"/>
      <c r="F35" s="861" t="s">
        <v>590</v>
      </c>
      <c r="G35" s="862"/>
      <c r="AM35" s="222"/>
      <c r="AN35" s="218"/>
      <c r="AO35" s="218"/>
      <c r="AP35" s="222"/>
      <c r="AQ35" s="222"/>
      <c r="AR35" s="222"/>
    </row>
    <row r="36">
      <c r="A36" s="249" t="s">
        <v>134</v>
      </c>
      <c r="B36" s="244" t="s">
        <v>135</v>
      </c>
      <c r="C36" s="273" t="s">
        <v>133</v>
      </c>
      <c r="D36" s="278"/>
      <c r="F36" s="436" t="s">
        <v>592</v>
      </c>
      <c r="G36" s="863" t="s">
        <v>125</v>
      </c>
      <c r="AM36" s="222"/>
      <c r="AN36" s="218"/>
      <c r="AO36" s="218"/>
      <c r="AP36" s="222"/>
      <c r="AQ36" s="222"/>
      <c r="AR36" s="222"/>
    </row>
    <row r="37">
      <c r="A37" s="9" t="s">
        <v>138</v>
      </c>
      <c r="B37" s="244" t="s">
        <v>139</v>
      </c>
      <c r="C37" s="277" t="s">
        <v>651</v>
      </c>
      <c r="D37" s="278"/>
      <c r="F37" s="864" t="s">
        <v>593</v>
      </c>
      <c r="G37" s="863" t="str">
        <f>C34</f>
        <v>fp8</v>
      </c>
      <c r="AM37" s="222"/>
      <c r="AN37" s="218"/>
      <c r="AO37" s="218"/>
      <c r="AP37" s="222"/>
      <c r="AQ37" s="222"/>
      <c r="AR37" s="222"/>
    </row>
    <row r="38">
      <c r="A38" s="249" t="s">
        <v>136</v>
      </c>
      <c r="B38" s="244" t="s">
        <v>137</v>
      </c>
      <c r="C38" s="273" t="s">
        <v>125</v>
      </c>
      <c r="D38" s="278"/>
      <c r="F38" s="865" t="s">
        <v>594</v>
      </c>
      <c r="G38" s="866" t="s">
        <v>595</v>
      </c>
      <c r="AM38" s="222"/>
      <c r="AN38" s="218"/>
      <c r="AO38" s="218"/>
      <c r="AP38" s="222"/>
      <c r="AQ38" s="222"/>
      <c r="AR38" s="222"/>
    </row>
    <row r="39">
      <c r="A39" s="249" t="s">
        <v>140</v>
      </c>
      <c r="B39" s="244" t="s">
        <v>141</v>
      </c>
      <c r="C39" s="273" t="s">
        <v>133</v>
      </c>
      <c r="D39" s="278"/>
      <c r="F39" s="897"/>
      <c r="G39" s="898"/>
      <c r="AM39" s="222"/>
      <c r="AN39" s="218"/>
      <c r="AO39" s="218"/>
      <c r="AP39" s="222"/>
      <c r="AQ39" s="222"/>
      <c r="AR39" s="222"/>
    </row>
    <row r="40">
      <c r="D40" s="278"/>
      <c r="F40" s="867" t="s">
        <v>596</v>
      </c>
      <c r="G40" s="868">
        <f>671*1000000000</f>
        <v>671000000000</v>
      </c>
      <c r="AM40" s="222"/>
      <c r="AN40" s="218"/>
      <c r="AO40" s="218"/>
      <c r="AP40" s="222"/>
      <c r="AQ40" s="222"/>
      <c r="AR40" s="222"/>
    </row>
    <row r="41">
      <c r="A41" s="181"/>
      <c r="B41" s="278"/>
      <c r="C41" s="278"/>
      <c r="D41" s="278"/>
      <c r="F41" s="436" t="s">
        <v>597</v>
      </c>
      <c r="G41" s="869">
        <f>SUM(PRODUCT(L87:M87), PRODUCT(K142:M142), PRODUCT(K166:M166), PRODUCT(L185:M185), PRODUCT(K291:M291), PRODUCT(K315:M315)) * PARAMS("L")</f>
        <v>11413422080</v>
      </c>
      <c r="AM41" s="222"/>
      <c r="AN41" s="218"/>
      <c r="AO41" s="218"/>
      <c r="AP41" s="222"/>
      <c r="AQ41" s="222"/>
      <c r="AR41" s="222"/>
    </row>
    <row r="42" ht="27.0" customHeight="1">
      <c r="A42" s="281" t="s">
        <v>241</v>
      </c>
      <c r="F42" s="867"/>
      <c r="G42" s="870"/>
      <c r="AG42" s="2"/>
      <c r="AH42" s="2"/>
      <c r="AI42" s="2"/>
      <c r="AJ42" s="2"/>
      <c r="AK42" s="2"/>
      <c r="AL42" s="2"/>
      <c r="AM42" s="247"/>
      <c r="AN42" s="247"/>
      <c r="AO42" s="279"/>
      <c r="AP42" s="222"/>
      <c r="AQ42" s="247"/>
      <c r="AR42" s="247"/>
      <c r="AT42" s="280"/>
    </row>
    <row r="43" ht="30.0" customHeight="1">
      <c r="A43" s="250" t="s">
        <v>242</v>
      </c>
      <c r="B43" s="250" t="str">
        <f> "Value (" &amp; H17 &amp; ")"</f>
        <v>Value (GhostFish)</v>
      </c>
      <c r="C43" s="282" t="s">
        <v>591</v>
      </c>
      <c r="F43" s="867" t="s">
        <v>598</v>
      </c>
      <c r="G43" s="870">
        <f>G40-G41</f>
        <v>659586577920</v>
      </c>
      <c r="P43" s="227"/>
      <c r="AG43" s="2"/>
      <c r="AH43" s="2"/>
      <c r="AI43" s="2"/>
      <c r="AJ43" s="2"/>
      <c r="AK43" s="2"/>
      <c r="AL43" s="2"/>
      <c r="AM43" s="247"/>
      <c r="AN43" s="247"/>
      <c r="AO43" s="279"/>
      <c r="AP43" s="222"/>
      <c r="AQ43" s="247"/>
      <c r="AR43" s="247"/>
      <c r="AT43" s="280"/>
    </row>
    <row r="44" ht="15.0" customHeight="1">
      <c r="A44" s="185" t="s">
        <v>76</v>
      </c>
      <c r="B44" s="271">
        <f>$C26*$C25</f>
        <v>4096</v>
      </c>
      <c r="C44" s="182">
        <f>492*8</f>
        <v>3936</v>
      </c>
      <c r="F44" s="436" t="s">
        <v>599</v>
      </c>
      <c r="G44" s="869">
        <f>SUM(P87, P142, P166, P185, P291, P315) * PARAMS(B6) / 1024</f>
        <v>21.25915527</v>
      </c>
      <c r="P44" s="227"/>
      <c r="AG44" s="2"/>
      <c r="AH44" s="2"/>
      <c r="AI44" s="2"/>
      <c r="AJ44" s="2"/>
      <c r="AK44" s="2"/>
      <c r="AL44" s="2"/>
      <c r="AM44" s="247"/>
      <c r="AN44" s="247"/>
      <c r="AO44" s="279"/>
      <c r="AP44" s="222"/>
      <c r="AQ44" s="247"/>
      <c r="AR44" s="247"/>
      <c r="AT44" s="280"/>
    </row>
    <row r="45" ht="15.0" customHeight="1">
      <c r="A45" s="185" t="s">
        <v>243</v>
      </c>
      <c r="B45" s="288">
        <f>G10</f>
        <v>16</v>
      </c>
      <c r="C45" s="9">
        <v>8.0</v>
      </c>
      <c r="F45" s="867" t="s">
        <v>600</v>
      </c>
      <c r="G45" s="870">
        <f>(G43*  SWITCH(G36, "fp32", 4, "bf16", 2, "fp8", 1, "fp4", 0.5)/1024^3 + G44*G10) + (G10-1) * SUM(P513, P532) * (C6-3)/1024</f>
        <v>972.2761512</v>
      </c>
      <c r="P45" s="227"/>
      <c r="AG45" s="2"/>
      <c r="AH45" s="2"/>
      <c r="AI45" s="2"/>
      <c r="AJ45" s="2"/>
      <c r="AK45" s="2"/>
      <c r="AL45" s="2"/>
      <c r="AM45" s="247"/>
      <c r="AN45" s="247"/>
      <c r="AO45" s="279"/>
      <c r="AP45" s="222"/>
      <c r="AQ45" s="247"/>
      <c r="AR45" s="247"/>
      <c r="AT45" s="280"/>
    </row>
    <row r="46" ht="15.0" customHeight="1">
      <c r="A46" s="185" t="s">
        <v>146</v>
      </c>
      <c r="B46" s="289" t="str">
        <f>$G$73/1000 * $C$6</f>
        <v>#N/A</v>
      </c>
      <c r="C46" s="11">
        <f>0.0734</f>
        <v>0.0734</v>
      </c>
      <c r="F46" s="436" t="s">
        <v>601</v>
      </c>
      <c r="G46" s="869">
        <f>G45/G10</f>
        <v>60.76725945</v>
      </c>
      <c r="P46" s="227"/>
      <c r="AG46" s="2"/>
      <c r="AH46" s="2"/>
      <c r="AI46" s="2"/>
      <c r="AJ46" s="2"/>
      <c r="AK46" s="2"/>
      <c r="AL46" s="2"/>
      <c r="AM46" s="247"/>
      <c r="AN46" s="247"/>
      <c r="AO46" s="279"/>
      <c r="AP46" s="222"/>
      <c r="AQ46" s="247"/>
      <c r="AR46" s="247"/>
      <c r="AT46" s="280"/>
    </row>
    <row r="47" ht="15.0" customHeight="1">
      <c r="A47" s="185" t="s">
        <v>147</v>
      </c>
      <c r="B47" s="271" t="str">
        <f>$B$44/$B$46</f>
        <v>#N/A</v>
      </c>
      <c r="C47" s="193">
        <f>492/0.0733 * C45</f>
        <v>53697.13506</v>
      </c>
      <c r="F47" s="867" t="s">
        <v>602</v>
      </c>
      <c r="G47" s="871">
        <v>0.9</v>
      </c>
      <c r="P47" s="227"/>
      <c r="AG47" s="2"/>
      <c r="AH47" s="2"/>
      <c r="AI47" s="2"/>
      <c r="AJ47" s="2"/>
      <c r="AK47" s="2"/>
      <c r="AL47" s="2"/>
      <c r="AM47" s="247"/>
      <c r="AN47" s="247"/>
      <c r="AO47" s="279"/>
      <c r="AP47" s="222"/>
      <c r="AQ47" s="247"/>
      <c r="AR47" s="247"/>
      <c r="AT47" s="280"/>
    </row>
    <row r="48" ht="15.0" customHeight="1">
      <c r="A48" s="185" t="s">
        <v>148</v>
      </c>
      <c r="B48" s="193" t="str">
        <f>B44/(B46*(1+C28))*C29</f>
        <v>#N/A</v>
      </c>
      <c r="C48" s="193"/>
      <c r="F48" s="436" t="s">
        <v>603</v>
      </c>
      <c r="G48" s="869" t="str">
        <f>(((H28 * G47 - G46)*1024^3) * G9) / (PARAMS(B27) * PAD_128(C10+C12) * SWITCH(PARAMS("kv_dtype"), "fp32", 4, "bf16", 2, "fp8", 1, "fp4", 0.5)*PARAMS(B6))</f>
        <v>#N/A</v>
      </c>
      <c r="P48" s="227"/>
      <c r="AG48" s="2"/>
      <c r="AH48" s="2"/>
      <c r="AI48" s="2"/>
      <c r="AJ48" s="2"/>
      <c r="AK48" s="2"/>
      <c r="AL48" s="2"/>
      <c r="AM48" s="247"/>
      <c r="AN48" s="247"/>
      <c r="AO48" s="279"/>
      <c r="AP48" s="222"/>
      <c r="AQ48" s="247"/>
      <c r="AR48" s="247"/>
      <c r="AT48" s="280"/>
    </row>
    <row r="49" ht="15.0" customHeight="1">
      <c r="A49" s="185" t="s">
        <v>149</v>
      </c>
      <c r="B49" s="193" t="str">
        <f>B48/$G$11</f>
        <v>#N/A</v>
      </c>
      <c r="C49" s="193">
        <f>C47/C45</f>
        <v>6712.141883</v>
      </c>
      <c r="P49" s="227"/>
      <c r="AG49" s="2"/>
      <c r="AH49" s="2"/>
      <c r="AI49" s="2"/>
      <c r="AJ49" s="2"/>
      <c r="AK49" s="2"/>
      <c r="AL49" s="2"/>
      <c r="AM49" s="247"/>
      <c r="AN49" s="247"/>
      <c r="AO49" s="279"/>
      <c r="AP49" s="222"/>
      <c r="AQ49" s="247"/>
      <c r="AR49" s="247"/>
      <c r="AT49" s="280"/>
    </row>
    <row r="50" ht="15.0" customHeight="1">
      <c r="A50" s="899" t="s">
        <v>652</v>
      </c>
      <c r="B50" s="900" t="str">
        <f t="shared" ref="B50:C50" si="3">B49/$C$49</f>
        <v>#N/A</v>
      </c>
      <c r="C50" s="900">
        <f t="shared" si="3"/>
        <v>1</v>
      </c>
      <c r="P50" s="227"/>
      <c r="AG50" s="2"/>
      <c r="AH50" s="2"/>
      <c r="AI50" s="2"/>
      <c r="AJ50" s="2"/>
      <c r="AK50" s="2"/>
      <c r="AL50" s="2"/>
      <c r="AM50" s="247"/>
      <c r="AN50" s="247"/>
      <c r="AO50" s="279"/>
      <c r="AP50" s="222"/>
      <c r="AQ50" s="247"/>
      <c r="AR50" s="247"/>
      <c r="AT50" s="280"/>
    </row>
    <row r="51" ht="15.0" customHeight="1">
      <c r="P51" s="227"/>
      <c r="AG51" s="2"/>
      <c r="AH51" s="2"/>
      <c r="AI51" s="2"/>
      <c r="AJ51" s="2"/>
      <c r="AK51" s="2"/>
      <c r="AL51" s="2"/>
      <c r="AM51" s="247"/>
      <c r="AN51" s="247"/>
      <c r="AO51" s="279"/>
      <c r="AP51" s="222"/>
      <c r="AQ51" s="247"/>
      <c r="AR51" s="247"/>
      <c r="AT51" s="280"/>
    </row>
    <row r="52">
      <c r="A52" s="281"/>
      <c r="B52" s="281"/>
      <c r="D52" s="181"/>
      <c r="E52" s="181"/>
      <c r="F52" s="181"/>
      <c r="G52" s="181"/>
      <c r="AM52" s="222"/>
      <c r="AN52" s="218"/>
      <c r="AO52" s="218"/>
      <c r="AP52" s="218"/>
      <c r="AQ52" s="218"/>
      <c r="AR52" s="222"/>
      <c r="AT52" s="280"/>
    </row>
    <row r="53">
      <c r="A53" s="281" t="s">
        <v>244</v>
      </c>
      <c r="B53" s="281"/>
      <c r="D53" s="181"/>
      <c r="E53" s="181"/>
      <c r="F53" s="181"/>
      <c r="G53" s="181"/>
      <c r="AM53" s="222"/>
      <c r="AN53" s="218"/>
      <c r="AO53" s="218"/>
      <c r="AP53" s="218"/>
      <c r="AQ53" s="218"/>
      <c r="AR53" s="222"/>
      <c r="AT53" s="280"/>
    </row>
    <row r="54">
      <c r="A54" s="290" t="s">
        <v>245</v>
      </c>
      <c r="B54" s="290" t="s">
        <v>246</v>
      </c>
      <c r="C54" s="290" t="s">
        <v>247</v>
      </c>
      <c r="D54" s="290" t="s">
        <v>248</v>
      </c>
      <c r="E54" s="290" t="s">
        <v>249</v>
      </c>
      <c r="F54" s="290" t="s">
        <v>250</v>
      </c>
      <c r="G54" s="290" t="s">
        <v>251</v>
      </c>
      <c r="H54" s="290" t="s">
        <v>252</v>
      </c>
      <c r="I54" s="875"/>
      <c r="J54" s="290" t="s">
        <v>604</v>
      </c>
      <c r="K54" s="903" t="s">
        <v>678</v>
      </c>
      <c r="AG54" s="207"/>
      <c r="AH54" s="207"/>
      <c r="AI54" s="2"/>
      <c r="AJ54" s="2"/>
      <c r="AK54" s="2"/>
      <c r="AL54" s="2"/>
      <c r="AM54" s="247"/>
      <c r="AN54" s="279"/>
      <c r="AO54" s="279"/>
      <c r="AP54" s="292"/>
      <c r="AQ54" s="279"/>
      <c r="AR54" s="247"/>
      <c r="AS54" s="66"/>
      <c r="AT54" s="280"/>
    </row>
    <row r="55">
      <c r="A55" s="293" t="s">
        <v>29</v>
      </c>
      <c r="B55" s="294" t="s">
        <v>255</v>
      </c>
      <c r="C55" s="295" t="str">
        <f>$H$136</f>
        <v>#N/A</v>
      </c>
      <c r="D55" s="295" t="str">
        <f>$H$134</f>
        <v>#N/A</v>
      </c>
      <c r="E55" s="296" t="str">
        <f>$H$131</f>
        <v>#N/A</v>
      </c>
      <c r="F55" s="295" t="str">
        <f>$H$129</f>
        <v>#N/A</v>
      </c>
      <c r="G55" s="295" t="str">
        <f t="shared" ref="G55:G70" si="4">IF(K55,max(C55:F55),
max(C55:D55)+max(E55:F55))</f>
        <v>#N/A</v>
      </c>
      <c r="H55" s="297" t="str">
        <f t="shared" ref="H55:H60" si="5">LET(maxtime, MAX(C55:F55),
 IFS(C55=maxtime, "HBM", D55=maxtime, "Compute", E55=maxtime, "ICI Lt", F55=maxtime, "ICI BW"))</f>
        <v>#N/A</v>
      </c>
      <c r="I55" s="808"/>
      <c r="J55" s="876" t="str">
        <f t="shared" ref="J55:J61" si="6">G55/$G$71</f>
        <v>#N/A</v>
      </c>
      <c r="K55" s="904" t="b">
        <v>1</v>
      </c>
      <c r="P55" s="301"/>
      <c r="AG55" s="2"/>
      <c r="AH55" s="2"/>
      <c r="AI55" s="207"/>
      <c r="AJ55" s="2"/>
      <c r="AK55" s="2"/>
      <c r="AL55" s="2"/>
      <c r="AM55" s="247"/>
      <c r="AN55" s="218"/>
      <c r="AO55" s="218"/>
      <c r="AP55" s="218"/>
      <c r="AQ55" s="218"/>
      <c r="AR55" s="247"/>
      <c r="AT55" s="280"/>
    </row>
    <row r="56">
      <c r="A56" s="293" t="s">
        <v>29</v>
      </c>
      <c r="B56" s="294" t="s">
        <v>32</v>
      </c>
      <c r="C56" s="295" t="str">
        <f>$H$160</f>
        <v>#N/A</v>
      </c>
      <c r="D56" s="295" t="str">
        <f>$H$158</f>
        <v>#N/A</v>
      </c>
      <c r="E56" s="297"/>
      <c r="F56" s="295" t="str">
        <f>H155</f>
        <v>#N/A</v>
      </c>
      <c r="G56" s="295" t="str">
        <f t="shared" si="4"/>
        <v>#N/A</v>
      </c>
      <c r="H56" s="297" t="str">
        <f t="shared" si="5"/>
        <v>#N/A</v>
      </c>
      <c r="I56" s="808"/>
      <c r="J56" s="876" t="str">
        <f t="shared" si="6"/>
        <v>#N/A</v>
      </c>
      <c r="K56" s="904" t="b">
        <v>1</v>
      </c>
      <c r="P56" s="227"/>
      <c r="AG56" s="2"/>
      <c r="AH56" s="2"/>
      <c r="AI56" s="2"/>
      <c r="AJ56" s="2"/>
      <c r="AK56" s="2"/>
      <c r="AL56" s="2"/>
      <c r="AM56" s="247"/>
      <c r="AN56" s="247"/>
      <c r="AO56" s="279"/>
      <c r="AP56" s="222"/>
      <c r="AQ56" s="247"/>
      <c r="AR56" s="247"/>
      <c r="AT56" s="280"/>
    </row>
    <row r="57">
      <c r="A57" s="293" t="s">
        <v>29</v>
      </c>
      <c r="B57" s="294" t="s">
        <v>34</v>
      </c>
      <c r="C57" s="295" t="str">
        <f>$H$179</f>
        <v>#N/A</v>
      </c>
      <c r="D57" s="295" t="str">
        <f>$H$177</f>
        <v>#N/A</v>
      </c>
      <c r="E57" s="297"/>
      <c r="F57" s="295"/>
      <c r="G57" s="295" t="str">
        <f t="shared" si="4"/>
        <v>#N/A</v>
      </c>
      <c r="H57" s="297" t="str">
        <f t="shared" si="5"/>
        <v>#N/A</v>
      </c>
      <c r="I57" s="808"/>
      <c r="J57" s="876" t="str">
        <f t="shared" si="6"/>
        <v>#N/A</v>
      </c>
      <c r="K57" s="904" t="b">
        <v>0</v>
      </c>
      <c r="P57" s="227"/>
      <c r="AG57" s="2"/>
      <c r="AH57" s="2"/>
      <c r="AI57" s="2"/>
      <c r="AJ57" s="2"/>
      <c r="AK57" s="2"/>
      <c r="AL57" s="2"/>
      <c r="AM57" s="247"/>
      <c r="AN57" s="218"/>
      <c r="AO57" s="218"/>
      <c r="AP57" s="218"/>
      <c r="AQ57" s="218"/>
      <c r="AR57" s="247"/>
      <c r="AT57" s="280"/>
    </row>
    <row r="58">
      <c r="A58" s="293" t="s">
        <v>29</v>
      </c>
      <c r="B58" s="294" t="s">
        <v>256</v>
      </c>
      <c r="C58" s="295" t="str">
        <f>$H$198</f>
        <v>#N/A</v>
      </c>
      <c r="D58" s="295" t="str">
        <f>$H$196</f>
        <v>#N/A</v>
      </c>
      <c r="E58" s="297"/>
      <c r="F58" s="295"/>
      <c r="G58" s="295" t="str">
        <f t="shared" si="4"/>
        <v>#N/A</v>
      </c>
      <c r="H58" s="297" t="str">
        <f t="shared" si="5"/>
        <v>#N/A</v>
      </c>
      <c r="I58" s="808"/>
      <c r="J58" s="876" t="str">
        <f t="shared" si="6"/>
        <v>#N/A</v>
      </c>
      <c r="K58" s="808" t="b">
        <v>0</v>
      </c>
      <c r="P58" s="227"/>
      <c r="AM58" s="222"/>
      <c r="AO58" s="222"/>
      <c r="AP58" s="222"/>
      <c r="AQ58" s="222"/>
      <c r="AR58" s="247"/>
      <c r="AS58" s="66"/>
      <c r="AT58" s="280"/>
    </row>
    <row r="59">
      <c r="A59" s="293" t="s">
        <v>29</v>
      </c>
      <c r="B59" s="294" t="s">
        <v>257</v>
      </c>
      <c r="C59" s="295"/>
      <c r="D59" s="295"/>
      <c r="E59" s="297"/>
      <c r="F59" s="295">
        <f>$H$228</f>
        <v>0</v>
      </c>
      <c r="G59" s="295">
        <f t="shared" si="4"/>
        <v>0</v>
      </c>
      <c r="H59" s="297" t="str">
        <f t="shared" si="5"/>
        <v>HBM</v>
      </c>
      <c r="I59" s="808"/>
      <c r="J59" s="876" t="str">
        <f t="shared" si="6"/>
        <v>#N/A</v>
      </c>
      <c r="K59" s="808" t="b">
        <v>0</v>
      </c>
      <c r="P59" s="227"/>
      <c r="R59" s="203"/>
      <c r="S59" s="203"/>
      <c r="T59" s="203"/>
      <c r="U59" s="203"/>
      <c r="V59" s="203"/>
      <c r="W59" s="2"/>
      <c r="AM59" s="222"/>
      <c r="AO59" s="218"/>
      <c r="AP59" s="218"/>
      <c r="AQ59" s="218"/>
      <c r="AR59" s="247"/>
      <c r="AT59" s="280"/>
    </row>
    <row r="60">
      <c r="A60" s="293" t="s">
        <v>29</v>
      </c>
      <c r="B60" s="302" t="s">
        <v>258</v>
      </c>
      <c r="C60" s="295" t="str">
        <f t="shared" ref="C60:D60" si="7">SUM(C62:C64)</f>
        <v>#N/A</v>
      </c>
      <c r="D60" s="295" t="str">
        <f t="shared" si="7"/>
        <v>#N/A</v>
      </c>
      <c r="E60" s="297"/>
      <c r="F60" s="295"/>
      <c r="G60" s="295" t="str">
        <f t="shared" si="4"/>
        <v>#N/A</v>
      </c>
      <c r="H60" s="297" t="str">
        <f t="shared" si="5"/>
        <v>#N/A</v>
      </c>
      <c r="I60" s="808"/>
      <c r="J60" s="876" t="str">
        <f t="shared" si="6"/>
        <v>#N/A</v>
      </c>
      <c r="K60" s="808" t="b">
        <v>0</v>
      </c>
      <c r="P60" s="227"/>
      <c r="R60" s="203"/>
      <c r="S60" s="203"/>
      <c r="T60" s="203"/>
      <c r="U60" s="203"/>
      <c r="V60" s="203"/>
      <c r="W60" s="2"/>
      <c r="AM60" s="222"/>
      <c r="AO60" s="218"/>
      <c r="AP60" s="218"/>
      <c r="AQ60" s="218"/>
      <c r="AR60" s="247"/>
      <c r="AT60" s="280"/>
    </row>
    <row r="61">
      <c r="A61" s="293" t="s">
        <v>29</v>
      </c>
      <c r="B61" s="302" t="s">
        <v>259</v>
      </c>
      <c r="C61" s="295"/>
      <c r="D61" s="295"/>
      <c r="E61" s="297"/>
      <c r="F61" s="295"/>
      <c r="G61" s="295">
        <f t="shared" si="4"/>
        <v>0</v>
      </c>
      <c r="H61" s="297"/>
      <c r="I61" s="808"/>
      <c r="J61" s="876" t="str">
        <f t="shared" si="6"/>
        <v>#N/A</v>
      </c>
      <c r="K61" s="808" t="b">
        <v>0</v>
      </c>
      <c r="P61" s="227"/>
      <c r="R61" s="203"/>
      <c r="S61" s="203"/>
      <c r="T61" s="203"/>
      <c r="U61" s="203"/>
      <c r="V61" s="203"/>
      <c r="W61" s="2"/>
      <c r="AM61" s="222"/>
      <c r="AO61" s="218"/>
      <c r="AP61" s="218"/>
      <c r="AQ61" s="218"/>
      <c r="AR61" s="247"/>
      <c r="AT61" s="280"/>
    </row>
    <row r="62">
      <c r="A62" s="293" t="s">
        <v>29</v>
      </c>
      <c r="B62" s="294" t="s">
        <v>701</v>
      </c>
      <c r="C62" s="295" t="str">
        <f>$H$247</f>
        <v>#N/A</v>
      </c>
      <c r="D62" s="295" t="str">
        <f>$H$245</f>
        <v>#N/A</v>
      </c>
      <c r="E62" s="297"/>
      <c r="F62" s="295"/>
      <c r="G62" s="295" t="str">
        <f t="shared" si="4"/>
        <v>#N/A</v>
      </c>
      <c r="H62" s="297" t="str">
        <f t="shared" ref="H62:H70" si="8">LET(maxtime, MAX(C62:F62),
 IFS(C62=maxtime, "HBM", D62=maxtime, "Compute", E62=maxtime, "ICI Lt", F62=maxtime, "ICI BW"))</f>
        <v>#N/A</v>
      </c>
      <c r="I62" s="808"/>
      <c r="J62" s="876"/>
      <c r="K62" s="808" t="b">
        <v>0</v>
      </c>
      <c r="P62" s="227"/>
      <c r="R62" s="203"/>
      <c r="S62" s="203"/>
      <c r="T62" s="203"/>
      <c r="U62" s="203"/>
      <c r="V62" s="203"/>
      <c r="W62" s="2"/>
      <c r="AM62" s="222"/>
      <c r="AO62" s="218"/>
      <c r="AP62" s="218"/>
      <c r="AQ62" s="218"/>
      <c r="AR62" s="247"/>
      <c r="AT62" s="280"/>
    </row>
    <row r="63">
      <c r="A63" s="293" t="s">
        <v>29</v>
      </c>
      <c r="B63" s="294" t="s">
        <v>702</v>
      </c>
      <c r="C63" s="295" t="str">
        <f>$H$266</f>
        <v>#N/A</v>
      </c>
      <c r="D63" s="295" t="str">
        <f>$H$264</f>
        <v>#N/A</v>
      </c>
      <c r="E63" s="297"/>
      <c r="F63" s="295"/>
      <c r="G63" s="295" t="str">
        <f t="shared" si="4"/>
        <v>#N/A</v>
      </c>
      <c r="H63" s="297" t="str">
        <f t="shared" si="8"/>
        <v>#N/A</v>
      </c>
      <c r="I63" s="808"/>
      <c r="J63" s="876"/>
      <c r="K63" s="808" t="b">
        <v>0</v>
      </c>
      <c r="P63" s="227"/>
      <c r="R63" s="303"/>
      <c r="S63" s="303"/>
      <c r="T63" s="303"/>
      <c r="U63" s="303"/>
      <c r="V63" s="303"/>
      <c r="W63" s="2"/>
      <c r="AM63" s="222"/>
      <c r="AN63" s="218"/>
      <c r="AO63" s="222"/>
      <c r="AP63" s="222"/>
      <c r="AQ63" s="218"/>
      <c r="AR63" s="247"/>
      <c r="AT63" s="280"/>
    </row>
    <row r="64">
      <c r="A64" s="293" t="s">
        <v>29</v>
      </c>
      <c r="B64" s="294" t="s">
        <v>703</v>
      </c>
      <c r="C64" s="295" t="str">
        <f>$H$285</f>
        <v>#N/A</v>
      </c>
      <c r="D64" s="295" t="str">
        <f>$H$283</f>
        <v>#N/A</v>
      </c>
      <c r="E64" s="297"/>
      <c r="F64" s="295"/>
      <c r="G64" s="295" t="str">
        <f t="shared" si="4"/>
        <v>#N/A</v>
      </c>
      <c r="H64" s="297" t="str">
        <f t="shared" si="8"/>
        <v>#N/A</v>
      </c>
      <c r="I64" s="808"/>
      <c r="J64" s="876"/>
      <c r="K64" s="808" t="b">
        <v>0</v>
      </c>
      <c r="P64" s="227"/>
      <c r="R64" s="303"/>
      <c r="S64" s="303"/>
      <c r="T64" s="303"/>
      <c r="U64" s="303"/>
      <c r="V64" s="303"/>
      <c r="W64" s="2"/>
      <c r="AM64" s="222"/>
      <c r="AN64" s="218"/>
      <c r="AO64" s="218"/>
      <c r="AP64" s="218"/>
      <c r="AQ64" s="218"/>
      <c r="AR64" s="247"/>
      <c r="AT64" s="280"/>
    </row>
    <row r="65">
      <c r="A65" s="293" t="s">
        <v>29</v>
      </c>
      <c r="B65" s="294" t="s">
        <v>38</v>
      </c>
      <c r="C65" s="295" t="str">
        <f>H309</f>
        <v>#N/A</v>
      </c>
      <c r="D65" s="295" t="str">
        <f>H307</f>
        <v>#N/A</v>
      </c>
      <c r="E65" s="297"/>
      <c r="F65" s="295" t="str">
        <f>H304</f>
        <v>#N/A</v>
      </c>
      <c r="G65" s="295" t="str">
        <f t="shared" si="4"/>
        <v>#N/A</v>
      </c>
      <c r="H65" s="297" t="str">
        <f t="shared" si="8"/>
        <v>#N/A</v>
      </c>
      <c r="I65" s="808"/>
      <c r="J65" s="876" t="str">
        <f t="shared" ref="J65:J71" si="9">G65/$G$71</f>
        <v>#N/A</v>
      </c>
      <c r="K65" s="904" t="b">
        <v>1</v>
      </c>
      <c r="P65" s="227"/>
      <c r="R65" s="303"/>
      <c r="S65" s="303"/>
      <c r="T65" s="303"/>
      <c r="U65" s="303"/>
      <c r="V65" s="303"/>
      <c r="W65" s="304"/>
      <c r="AK65" s="280"/>
      <c r="AM65" s="222"/>
      <c r="AN65" s="218"/>
      <c r="AO65" s="218"/>
      <c r="AP65" s="218"/>
      <c r="AQ65" s="218"/>
      <c r="AR65" s="247"/>
      <c r="AT65" s="280"/>
    </row>
    <row r="66">
      <c r="A66" s="293" t="s">
        <v>29</v>
      </c>
      <c r="B66" s="294" t="s">
        <v>40</v>
      </c>
      <c r="C66" s="295" t="str">
        <f>H333</f>
        <v>#N/A</v>
      </c>
      <c r="D66" s="295" t="str">
        <f>H331</f>
        <v>#N/A</v>
      </c>
      <c r="E66" s="297"/>
      <c r="F66" s="295" t="str">
        <f>$H$328</f>
        <v>#N/A</v>
      </c>
      <c r="G66" s="295" t="str">
        <f t="shared" si="4"/>
        <v>#N/A</v>
      </c>
      <c r="H66" s="297" t="str">
        <f t="shared" si="8"/>
        <v>#N/A</v>
      </c>
      <c r="I66" s="808"/>
      <c r="J66" s="876" t="str">
        <f t="shared" si="9"/>
        <v>#N/A</v>
      </c>
      <c r="K66" s="904" t="b">
        <v>1</v>
      </c>
      <c r="P66" s="227"/>
      <c r="R66" s="303"/>
      <c r="S66" s="303"/>
      <c r="T66" s="303"/>
      <c r="U66" s="305"/>
      <c r="V66" s="305"/>
      <c r="W66" s="2"/>
      <c r="AK66" s="306"/>
      <c r="AL66" s="307"/>
      <c r="AM66" s="247"/>
      <c r="AN66" s="218"/>
      <c r="AO66" s="218"/>
      <c r="AP66" s="218"/>
      <c r="AQ66" s="218"/>
      <c r="AR66" s="247"/>
      <c r="AT66" s="280"/>
    </row>
    <row r="67">
      <c r="A67" s="293" t="s">
        <v>264</v>
      </c>
      <c r="B67" s="308" t="s">
        <v>44</v>
      </c>
      <c r="C67" s="295"/>
      <c r="D67" s="295"/>
      <c r="E67" s="296" t="str">
        <f>$H$383</f>
        <v>#N/A</v>
      </c>
      <c r="F67" s="295" t="str">
        <f>$H$381</f>
        <v>#N/A</v>
      </c>
      <c r="G67" s="295" t="str">
        <f t="shared" si="4"/>
        <v>#N/A</v>
      </c>
      <c r="H67" s="297" t="str">
        <f t="shared" si="8"/>
        <v>#N/A</v>
      </c>
      <c r="I67" s="808"/>
      <c r="J67" s="876" t="str">
        <f t="shared" si="9"/>
        <v>#N/A</v>
      </c>
      <c r="K67" s="808" t="b">
        <v>0</v>
      </c>
      <c r="P67" s="227"/>
      <c r="R67" s="2"/>
      <c r="S67" s="2"/>
      <c r="T67" s="2"/>
      <c r="U67" s="2"/>
      <c r="V67" s="2"/>
      <c r="W67" s="2"/>
      <c r="AM67" s="222"/>
      <c r="AN67" s="218"/>
      <c r="AO67" s="222"/>
      <c r="AP67" s="222"/>
      <c r="AQ67" s="272"/>
      <c r="AR67" s="222"/>
    </row>
    <row r="68">
      <c r="A68" s="293" t="s">
        <v>264</v>
      </c>
      <c r="B68" s="308" t="s">
        <v>46</v>
      </c>
      <c r="C68" s="295" t="str">
        <f>$H$426</f>
        <v>#N/A</v>
      </c>
      <c r="D68" s="295" t="str">
        <f>$H$424</f>
        <v>#N/A</v>
      </c>
      <c r="E68" s="297"/>
      <c r="F68" s="295" t="str">
        <f>$H$421</f>
        <v>#N/A</v>
      </c>
      <c r="G68" s="295" t="str">
        <f t="shared" si="4"/>
        <v>#N/A</v>
      </c>
      <c r="H68" s="297" t="str">
        <f t="shared" si="8"/>
        <v>#N/A</v>
      </c>
      <c r="I68" s="808"/>
      <c r="J68" s="876" t="str">
        <f t="shared" si="9"/>
        <v>#N/A</v>
      </c>
      <c r="K68" s="904" t="b">
        <v>1</v>
      </c>
      <c r="P68" s="227"/>
      <c r="R68" s="2"/>
      <c r="S68" s="2"/>
      <c r="T68" s="2"/>
      <c r="U68" s="2"/>
      <c r="V68" s="2"/>
      <c r="W68" s="309"/>
      <c r="AM68" s="222"/>
      <c r="AN68" s="218"/>
      <c r="AO68" s="218"/>
      <c r="AP68" s="218"/>
      <c r="AQ68" s="218"/>
      <c r="AR68" s="222"/>
      <c r="AT68" s="228"/>
    </row>
    <row r="69">
      <c r="A69" s="293" t="s">
        <v>264</v>
      </c>
      <c r="B69" s="308" t="s">
        <v>48</v>
      </c>
      <c r="C69" s="295" t="str">
        <f>$H$456</f>
        <v>#N/A</v>
      </c>
      <c r="D69" s="295" t="str">
        <f>$H$454</f>
        <v>#N/A</v>
      </c>
      <c r="E69" s="297"/>
      <c r="F69" s="295">
        <f>$H$451</f>
        <v>0</v>
      </c>
      <c r="G69" s="295" t="str">
        <f t="shared" si="4"/>
        <v>#N/A</v>
      </c>
      <c r="H69" s="297" t="str">
        <f t="shared" si="8"/>
        <v>#N/A</v>
      </c>
      <c r="I69" s="808"/>
      <c r="J69" s="876" t="str">
        <f t="shared" si="9"/>
        <v>#N/A</v>
      </c>
      <c r="K69" s="904" t="b">
        <v>1</v>
      </c>
      <c r="P69" s="227"/>
      <c r="R69" s="2"/>
      <c r="S69" s="2"/>
      <c r="T69" s="2"/>
      <c r="U69" s="2"/>
      <c r="V69" s="2"/>
      <c r="W69" s="309"/>
      <c r="AM69" s="222"/>
      <c r="AN69" s="218"/>
      <c r="AO69" s="218"/>
      <c r="AP69" s="222"/>
      <c r="AQ69" s="222"/>
      <c r="AR69" s="222"/>
    </row>
    <row r="70">
      <c r="A70" s="293" t="s">
        <v>264</v>
      </c>
      <c r="B70" s="308" t="s">
        <v>52</v>
      </c>
      <c r="C70" s="295"/>
      <c r="D70" s="295"/>
      <c r="E70" s="296" t="str">
        <f>$H$502</f>
        <v>#N/A</v>
      </c>
      <c r="F70" s="295" t="str">
        <f>$H$500</f>
        <v>#N/A</v>
      </c>
      <c r="G70" s="295" t="str">
        <f t="shared" si="4"/>
        <v>#N/A</v>
      </c>
      <c r="H70" s="297" t="str">
        <f t="shared" si="8"/>
        <v>#N/A</v>
      </c>
      <c r="I70" s="808"/>
      <c r="J70" s="876" t="str">
        <f t="shared" si="9"/>
        <v>#N/A</v>
      </c>
      <c r="K70" s="808" t="b">
        <v>0</v>
      </c>
      <c r="P70" s="227"/>
      <c r="AM70" s="222"/>
      <c r="AN70" s="218"/>
      <c r="AO70" s="218"/>
      <c r="AP70" s="218"/>
      <c r="AQ70" s="218"/>
      <c r="AR70" s="222"/>
      <c r="AT70" s="280"/>
    </row>
    <row r="71">
      <c r="A71" s="310"/>
      <c r="B71" s="311"/>
      <c r="C71" s="311"/>
      <c r="D71" s="311"/>
      <c r="E71" s="310" t="s">
        <v>265</v>
      </c>
      <c r="F71" s="312" t="s">
        <v>121</v>
      </c>
      <c r="G71" s="311" t="str">
        <f>SUM(G55:G61,G65:G70)</f>
        <v>#N/A</v>
      </c>
      <c r="H71" s="311"/>
      <c r="I71" s="314"/>
      <c r="J71" s="315" t="str">
        <f t="shared" si="9"/>
        <v>#N/A</v>
      </c>
      <c r="K71" s="904"/>
      <c r="P71" s="227"/>
      <c r="AG71" s="207"/>
      <c r="AH71" s="207"/>
      <c r="AI71" s="2"/>
      <c r="AJ71" s="2"/>
      <c r="AK71" s="2"/>
      <c r="AL71" s="2"/>
      <c r="AM71" s="247"/>
      <c r="AN71" s="279"/>
      <c r="AO71" s="279"/>
      <c r="AP71" s="292"/>
      <c r="AQ71" s="279"/>
      <c r="AR71" s="247"/>
      <c r="AT71" s="280"/>
    </row>
    <row r="72">
      <c r="A72" s="316"/>
      <c r="B72" s="311"/>
      <c r="C72" s="311"/>
      <c r="D72" s="311"/>
      <c r="E72" s="316"/>
      <c r="F72" s="312" t="s">
        <v>266</v>
      </c>
      <c r="G72" s="879" t="str">
        <f>SUM(G55:G61,G65:G66)+MAX(G67:G68)+MAX(G69:G70)</f>
        <v>#N/A</v>
      </c>
      <c r="H72" s="311"/>
      <c r="I72" s="314"/>
      <c r="J72" s="315"/>
      <c r="K72" s="808"/>
      <c r="P72" s="227"/>
      <c r="AG72" s="207"/>
      <c r="AH72" s="207"/>
      <c r="AI72" s="2"/>
      <c r="AJ72" s="2"/>
      <c r="AK72" s="2"/>
      <c r="AL72" s="2"/>
      <c r="AM72" s="247"/>
      <c r="AN72" s="279"/>
      <c r="AO72" s="279"/>
      <c r="AP72" s="292"/>
      <c r="AQ72" s="279"/>
      <c r="AR72" s="247"/>
      <c r="AT72" s="280"/>
    </row>
    <row r="73">
      <c r="A73" s="318" t="s">
        <v>267</v>
      </c>
      <c r="B73" s="319"/>
      <c r="C73" s="319"/>
      <c r="D73" s="319"/>
      <c r="E73" s="318" t="s">
        <v>268</v>
      </c>
      <c r="F73" s="320" t="s">
        <v>121</v>
      </c>
      <c r="G73" s="880" t="str">
        <f>IF(F73=F71,G71,G72)</f>
        <v>#N/A</v>
      </c>
      <c r="H73" s="319"/>
      <c r="I73" s="322"/>
      <c r="J73" s="322"/>
      <c r="K73" s="905"/>
      <c r="P73" s="227"/>
      <c r="AG73" s="2"/>
      <c r="AH73" s="2"/>
      <c r="AI73" s="2"/>
      <c r="AJ73" s="2"/>
      <c r="AK73" s="2"/>
      <c r="AL73" s="2"/>
      <c r="AM73" s="247"/>
      <c r="AN73" s="247"/>
      <c r="AO73" s="279"/>
      <c r="AP73" s="222"/>
      <c r="AQ73" s="247"/>
      <c r="AR73" s="247"/>
      <c r="AT73" s="280"/>
    </row>
    <row r="74" ht="15.0" customHeight="1">
      <c r="P74" s="227"/>
      <c r="AG74" s="2"/>
      <c r="AH74" s="2"/>
      <c r="AI74" s="2"/>
      <c r="AJ74" s="2"/>
      <c r="AK74" s="2"/>
      <c r="AL74" s="2"/>
      <c r="AM74" s="247"/>
      <c r="AN74" s="247"/>
      <c r="AO74" s="279"/>
      <c r="AP74" s="222"/>
      <c r="AQ74" s="247"/>
      <c r="AR74" s="247"/>
      <c r="AT74" s="280"/>
    </row>
    <row r="75">
      <c r="P75" s="227"/>
      <c r="AG75" s="2"/>
      <c r="AH75" s="2"/>
      <c r="AI75" s="2"/>
      <c r="AJ75" s="2"/>
      <c r="AK75" s="2"/>
      <c r="AL75" s="2"/>
      <c r="AM75" s="247"/>
      <c r="AN75" s="247"/>
      <c r="AO75" s="279"/>
      <c r="AP75" s="222"/>
      <c r="AQ75" s="247"/>
      <c r="AR75" s="247"/>
      <c r="AT75" s="280"/>
    </row>
    <row r="76">
      <c r="A76" s="323" t="s">
        <v>269</v>
      </c>
      <c r="E76" s="281" t="s">
        <v>270</v>
      </c>
      <c r="P76" s="227"/>
      <c r="AG76" s="2"/>
      <c r="AH76" s="2"/>
      <c r="AI76" s="2"/>
      <c r="AJ76" s="2"/>
      <c r="AK76" s="2"/>
      <c r="AL76" s="2"/>
      <c r="AM76" s="247"/>
      <c r="AN76" s="218"/>
      <c r="AO76" s="218"/>
      <c r="AP76" s="218"/>
      <c r="AQ76" s="218"/>
      <c r="AR76" s="247"/>
      <c r="AT76" s="280"/>
    </row>
    <row r="77">
      <c r="A77" s="183" t="s">
        <v>271</v>
      </c>
      <c r="B77" s="183" t="s">
        <v>171</v>
      </c>
      <c r="C77" s="183" t="s">
        <v>174</v>
      </c>
      <c r="E77" s="324" t="s">
        <v>272</v>
      </c>
      <c r="F77" s="325" t="s">
        <v>273</v>
      </c>
      <c r="G77" s="326"/>
      <c r="H77" s="327"/>
      <c r="I77" s="325" t="s">
        <v>274</v>
      </c>
      <c r="J77" s="326"/>
      <c r="K77" s="326"/>
      <c r="L77" s="326"/>
      <c r="M77" s="326"/>
      <c r="N77" s="327"/>
      <c r="O77" s="328" t="s">
        <v>275</v>
      </c>
      <c r="P77" s="329" t="s">
        <v>276</v>
      </c>
      <c r="Q77" s="330" t="s">
        <v>277</v>
      </c>
      <c r="AM77" s="222"/>
      <c r="AO77" s="222"/>
      <c r="AP77" s="222"/>
      <c r="AQ77" s="222"/>
      <c r="AR77" s="247"/>
      <c r="AT77" s="280"/>
    </row>
    <row r="78">
      <c r="A78" s="185" t="s">
        <v>278</v>
      </c>
      <c r="B78" s="331">
        <f>SUM(P87,P142,P166,P185,P291,P315) * PARAMS("L") / 1024</f>
        <v>21.25915527</v>
      </c>
      <c r="C78" s="332"/>
      <c r="D78" s="2"/>
      <c r="E78" s="333" t="s">
        <v>279</v>
      </c>
      <c r="F78" s="334" t="s">
        <v>280</v>
      </c>
      <c r="G78" s="335"/>
      <c r="H78" s="336" t="s">
        <v>281</v>
      </c>
      <c r="I78" s="336" t="s">
        <v>282</v>
      </c>
      <c r="J78" s="336"/>
      <c r="K78" s="337" t="s">
        <v>104</v>
      </c>
      <c r="L78" s="337" t="s">
        <v>102</v>
      </c>
      <c r="M78" s="336" t="s">
        <v>178</v>
      </c>
      <c r="N78" s="336" t="s">
        <v>283</v>
      </c>
      <c r="O78" s="338" t="s">
        <v>125</v>
      </c>
      <c r="P78" s="339"/>
      <c r="Q78" s="337"/>
      <c r="AM78" s="222"/>
      <c r="AO78" s="218"/>
      <c r="AP78" s="218"/>
      <c r="AQ78" s="218"/>
      <c r="AR78" s="247"/>
      <c r="AT78" s="280"/>
    </row>
    <row r="79">
      <c r="A79" s="185" t="s">
        <v>284</v>
      </c>
      <c r="B79" s="340">
        <f>SUM($P$341,$P$432) * PARAMS("L") / 1024</f>
        <v>120.09375</v>
      </c>
      <c r="C79" s="11"/>
      <c r="D79" s="2"/>
      <c r="E79" s="341"/>
      <c r="F79" s="342"/>
      <c r="G79" s="343"/>
      <c r="H79" s="344" t="s">
        <v>285</v>
      </c>
      <c r="I79" s="345" t="s">
        <v>282</v>
      </c>
      <c r="J79" s="346"/>
      <c r="K79" s="345">
        <f t="shared" ref="K79:M79" si="10">PARAMS(K78)</f>
        <v>4096</v>
      </c>
      <c r="L79" s="345">
        <f t="shared" si="10"/>
        <v>1</v>
      </c>
      <c r="M79" s="345">
        <f t="shared" si="10"/>
        <v>7168</v>
      </c>
      <c r="N79" s="345" t="s">
        <v>283</v>
      </c>
      <c r="O79" s="347"/>
      <c r="P79" s="348">
        <f>SIZEOF_IN_MIB(J79:M79, $O78)</f>
        <v>28</v>
      </c>
      <c r="Q79" s="344"/>
      <c r="AM79" s="222"/>
      <c r="AN79" s="218"/>
      <c r="AO79" s="222"/>
      <c r="AP79" s="222"/>
      <c r="AQ79" s="218"/>
      <c r="AR79" s="247"/>
      <c r="AT79" s="280"/>
    </row>
    <row r="80">
      <c r="A80" s="9" t="s">
        <v>286</v>
      </c>
      <c r="B80" s="11"/>
      <c r="C80" s="11"/>
      <c r="D80" s="2"/>
      <c r="E80" s="341"/>
      <c r="F80" s="342"/>
      <c r="G80" s="343"/>
      <c r="H80" s="349" t="s">
        <v>287</v>
      </c>
      <c r="I80" s="349" t="s">
        <v>282</v>
      </c>
      <c r="J80" s="336"/>
      <c r="K80" s="337" t="s">
        <v>96</v>
      </c>
      <c r="L80" s="337"/>
      <c r="M80" s="337" t="s">
        <v>97</v>
      </c>
      <c r="N80" s="349" t="s">
        <v>283</v>
      </c>
      <c r="O80" s="350"/>
      <c r="P80" s="351"/>
      <c r="Q80" s="337"/>
      <c r="AM80" s="222"/>
      <c r="AN80" s="218"/>
      <c r="AO80" s="218"/>
      <c r="AP80" s="218"/>
      <c r="AQ80" s="218"/>
      <c r="AR80" s="247"/>
      <c r="AT80" s="280"/>
    </row>
    <row r="81">
      <c r="A81" s="185" t="s">
        <v>288</v>
      </c>
      <c r="B81" s="340">
        <f>SIZEOF_IN_MIB(PARAMS("B")*PARAMS("S")*PARAMS("L")*(PARAMS("c_kv")+PARAMS("h_rope")), PARAMS("kv_dtype"))/1024</f>
        <v>686.25</v>
      </c>
      <c r="C81" s="11"/>
      <c r="D81" s="2"/>
      <c r="E81" s="352"/>
      <c r="F81" s="353"/>
      <c r="G81" s="354"/>
      <c r="H81" s="344" t="s">
        <v>289</v>
      </c>
      <c r="I81" s="346" t="s">
        <v>282</v>
      </c>
      <c r="J81" s="345"/>
      <c r="K81" s="346">
        <f t="shared" ref="K81:M81" si="11">K79/SHARDING(K80)</f>
        <v>512</v>
      </c>
      <c r="L81" s="346">
        <f t="shared" si="11"/>
        <v>1</v>
      </c>
      <c r="M81" s="346">
        <f t="shared" si="11"/>
        <v>3584</v>
      </c>
      <c r="N81" s="346" t="s">
        <v>283</v>
      </c>
      <c r="O81" s="355"/>
      <c r="P81" s="348">
        <f>SIZEOF_IN_MIB(J81:M81, $O78)</f>
        <v>1.75</v>
      </c>
      <c r="Q81" s="344"/>
      <c r="AG81" s="181"/>
      <c r="AK81" s="280"/>
      <c r="AM81" s="222"/>
      <c r="AN81" s="218"/>
      <c r="AO81" s="218"/>
      <c r="AP81" s="218"/>
      <c r="AQ81" s="218"/>
      <c r="AR81" s="247"/>
      <c r="AT81" s="280"/>
    </row>
    <row r="82">
      <c r="A82" s="9" t="s">
        <v>290</v>
      </c>
      <c r="B82" s="356">
        <f>MAX(P87,P106,P134,P158,P177,P196,P245,P264,P283,P304,P347,P396,P469,P488)/1024</f>
        <v>0.0205078125</v>
      </c>
      <c r="C82" s="9"/>
      <c r="D82" s="2"/>
      <c r="E82" s="333" t="s">
        <v>291</v>
      </c>
      <c r="F82" s="357" t="s">
        <v>292</v>
      </c>
      <c r="G82" s="335"/>
      <c r="H82" s="336" t="s">
        <v>281</v>
      </c>
      <c r="I82" s="336" t="s">
        <v>282</v>
      </c>
      <c r="J82" s="336"/>
      <c r="K82" s="337" t="s">
        <v>104</v>
      </c>
      <c r="L82" s="337" t="s">
        <v>102</v>
      </c>
      <c r="M82" s="358" t="s">
        <v>178</v>
      </c>
      <c r="N82" s="336" t="s">
        <v>283</v>
      </c>
      <c r="O82" s="338" t="str">
        <f>EXTRACT_ACTIVATION_DTYPE(PARAMS("attn_proj_dtype"))</f>
        <v>bf16</v>
      </c>
      <c r="P82" s="339"/>
      <c r="Q82" s="338" t="b">
        <v>0</v>
      </c>
      <c r="AG82" s="181"/>
      <c r="AK82" s="306"/>
      <c r="AL82" s="307"/>
      <c r="AM82" s="247"/>
      <c r="AN82" s="218"/>
      <c r="AO82" s="218"/>
      <c r="AP82" s="218"/>
      <c r="AQ82" s="218"/>
      <c r="AR82" s="247"/>
      <c r="AT82" s="280"/>
    </row>
    <row r="83">
      <c r="A83" s="8" t="s">
        <v>293</v>
      </c>
      <c r="B83" s="359">
        <f>SUM(B78:B81)</f>
        <v>827.6029053</v>
      </c>
      <c r="C83" s="8" t="str">
        <f>"&lt;=" &amp; ($H$28 * PARAMS("num_devices")) &amp; " (Capacity)?"</f>
        <v>#N/A</v>
      </c>
      <c r="D83" s="2"/>
      <c r="E83" s="341"/>
      <c r="F83" s="342"/>
      <c r="G83" s="343"/>
      <c r="H83" s="344" t="s">
        <v>285</v>
      </c>
      <c r="I83" s="345" t="s">
        <v>282</v>
      </c>
      <c r="J83" s="346"/>
      <c r="K83" s="345">
        <f t="shared" ref="K83:M83" si="12">PARAMS(K82)</f>
        <v>4096</v>
      </c>
      <c r="L83" s="345">
        <f t="shared" si="12"/>
        <v>1</v>
      </c>
      <c r="M83" s="345">
        <f t="shared" si="12"/>
        <v>7168</v>
      </c>
      <c r="N83" s="345" t="s">
        <v>283</v>
      </c>
      <c r="O83" s="347"/>
      <c r="P83" s="348">
        <f>SIZEOF_IN_MIB(J83:M83, $O82)</f>
        <v>56</v>
      </c>
      <c r="Q83" s="347"/>
      <c r="AG83" s="181"/>
      <c r="AM83" s="2"/>
      <c r="AR83" s="2"/>
    </row>
    <row r="84">
      <c r="A84" s="11"/>
      <c r="B84" s="11"/>
      <c r="C84" s="11"/>
      <c r="D84" s="161"/>
      <c r="E84" s="341"/>
      <c r="F84" s="342"/>
      <c r="G84" s="343"/>
      <c r="H84" s="349" t="s">
        <v>287</v>
      </c>
      <c r="I84" s="349" t="s">
        <v>282</v>
      </c>
      <c r="J84" s="336"/>
      <c r="K84" s="337" t="s">
        <v>96</v>
      </c>
      <c r="L84" s="337"/>
      <c r="M84" s="337" t="s">
        <v>97</v>
      </c>
      <c r="N84" s="349" t="s">
        <v>283</v>
      </c>
      <c r="O84" s="350"/>
      <c r="P84" s="351"/>
      <c r="Q84" s="350"/>
    </row>
    <row r="85">
      <c r="A85" s="185" t="s">
        <v>294</v>
      </c>
      <c r="B85" s="331">
        <f>SUM(P89,P144,P168,P187,P293,P317) * PARAMS("L") / 1024</f>
        <v>11.81726074</v>
      </c>
      <c r="C85" s="332"/>
      <c r="D85" s="161"/>
      <c r="E85" s="341"/>
      <c r="F85" s="353"/>
      <c r="G85" s="354"/>
      <c r="H85" s="344" t="s">
        <v>289</v>
      </c>
      <c r="I85" s="346" t="s">
        <v>282</v>
      </c>
      <c r="J85" s="345"/>
      <c r="K85" s="346">
        <f t="shared" ref="K85:M85" si="13">K83/SHARDING(K84)</f>
        <v>512</v>
      </c>
      <c r="L85" s="346">
        <f t="shared" si="13"/>
        <v>1</v>
      </c>
      <c r="M85" s="346">
        <f t="shared" si="13"/>
        <v>3584</v>
      </c>
      <c r="N85" s="346" t="s">
        <v>283</v>
      </c>
      <c r="O85" s="355"/>
      <c r="P85" s="348">
        <f>SIZEOF_IN_MIB(J85:M85, $O82)</f>
        <v>3.5</v>
      </c>
      <c r="Q85" s="355"/>
      <c r="AG85" s="181"/>
    </row>
    <row r="86">
      <c r="A86" s="185" t="s">
        <v>295</v>
      </c>
      <c r="B86" s="340">
        <f>SUM(P391,P434) * PARAMS("L") / 1024</f>
        <v>20.015625</v>
      </c>
      <c r="C86" s="332"/>
      <c r="D86" s="161"/>
      <c r="E86" s="341"/>
      <c r="F86" s="334" t="s">
        <v>296</v>
      </c>
      <c r="G86" s="335"/>
      <c r="H86" s="349" t="s">
        <v>281</v>
      </c>
      <c r="I86" s="349" t="s">
        <v>282</v>
      </c>
      <c r="J86" s="336"/>
      <c r="K86" s="336"/>
      <c r="L86" s="360" t="s">
        <v>178</v>
      </c>
      <c r="M86" s="337" t="s">
        <v>195</v>
      </c>
      <c r="N86" s="349" t="s">
        <v>283</v>
      </c>
      <c r="O86" s="338" t="str">
        <f>EXTRACT_WEIGHT_DTYPE(PARAMS("attn_proj_dtype"))</f>
        <v>bf16</v>
      </c>
      <c r="P86" s="351"/>
      <c r="Q86" s="338" t="b">
        <v>0</v>
      </c>
      <c r="AP86" s="218"/>
      <c r="AQ86" s="218"/>
      <c r="AT86" s="228"/>
    </row>
    <row r="87">
      <c r="A87" s="9" t="s">
        <v>286</v>
      </c>
      <c r="B87" s="11"/>
      <c r="C87" s="332"/>
      <c r="D87" s="161"/>
      <c r="E87" s="341"/>
      <c r="F87" s="342"/>
      <c r="G87" s="343"/>
      <c r="H87" s="344" t="s">
        <v>285</v>
      </c>
      <c r="I87" s="346" t="s">
        <v>282</v>
      </c>
      <c r="J87" s="345"/>
      <c r="K87" s="345"/>
      <c r="L87" s="346">
        <f t="shared" ref="L87:M87" si="14">PARAMS(L86)</f>
        <v>7168</v>
      </c>
      <c r="M87" s="346">
        <f t="shared" si="14"/>
        <v>1536</v>
      </c>
      <c r="N87" s="346" t="s">
        <v>283</v>
      </c>
      <c r="O87" s="347"/>
      <c r="P87" s="348">
        <f>SIZEOF_IN_MIB(J87:M87, $O86)</f>
        <v>21</v>
      </c>
      <c r="Q87" s="347"/>
      <c r="AP87" s="222"/>
    </row>
    <row r="88">
      <c r="A88" s="185" t="s">
        <v>297</v>
      </c>
      <c r="B88" s="340">
        <f>B81/PARAMS("num_devices")</f>
        <v>42.890625</v>
      </c>
      <c r="C88" s="332"/>
      <c r="D88" s="161"/>
      <c r="E88" s="341"/>
      <c r="F88" s="342"/>
      <c r="G88" s="343"/>
      <c r="H88" s="349" t="s">
        <v>287</v>
      </c>
      <c r="I88" s="349" t="s">
        <v>282</v>
      </c>
      <c r="J88" s="336"/>
      <c r="K88" s="336"/>
      <c r="L88" s="337"/>
      <c r="M88" s="337" t="s">
        <v>97</v>
      </c>
      <c r="N88" s="349" t="s">
        <v>283</v>
      </c>
      <c r="O88" s="350"/>
      <c r="P88" s="351"/>
      <c r="Q88" s="350"/>
      <c r="AP88" s="218"/>
      <c r="AQ88" s="218"/>
      <c r="AT88" s="228"/>
    </row>
    <row r="89">
      <c r="A89" s="185" t="s">
        <v>298</v>
      </c>
      <c r="B89" s="340">
        <f>MAX(P89,P108,P136,P160,P179,P198,P247,P266,P285,P306,P349,P398,P471,P490)/1024</f>
        <v>0.01025390625</v>
      </c>
      <c r="C89" s="332"/>
      <c r="D89" s="161"/>
      <c r="E89" s="341"/>
      <c r="F89" s="353"/>
      <c r="G89" s="354"/>
      <c r="H89" s="346" t="s">
        <v>289</v>
      </c>
      <c r="I89" s="346" t="s">
        <v>282</v>
      </c>
      <c r="J89" s="345"/>
      <c r="K89" s="345"/>
      <c r="L89" s="346">
        <f t="shared" ref="L89:M89" si="15">L87/SHARDING(L88)</f>
        <v>7168</v>
      </c>
      <c r="M89" s="346">
        <f t="shared" si="15"/>
        <v>768</v>
      </c>
      <c r="N89" s="346" t="s">
        <v>283</v>
      </c>
      <c r="O89" s="355"/>
      <c r="P89" s="348">
        <f>SIZEOF_IN_MIB(J89:M89, $O86)</f>
        <v>10.5</v>
      </c>
      <c r="Q89" s="355"/>
    </row>
    <row r="90">
      <c r="A90" s="199" t="s">
        <v>299</v>
      </c>
      <c r="B90" s="361">
        <f>SUM(B85:B88)</f>
        <v>74.72351074</v>
      </c>
      <c r="C90" s="362" t="str">
        <f>"&lt;=" &amp; ($H$28) &amp; " (Capacity)?"</f>
        <v>#N/A</v>
      </c>
      <c r="D90" s="161"/>
      <c r="E90" s="341"/>
      <c r="F90" s="334" t="s">
        <v>56</v>
      </c>
      <c r="G90" s="335"/>
      <c r="H90" s="363" t="s">
        <v>281</v>
      </c>
      <c r="I90" s="363" t="s">
        <v>282</v>
      </c>
      <c r="J90" s="364"/>
      <c r="K90" s="273" t="s">
        <v>104</v>
      </c>
      <c r="L90" s="273" t="s">
        <v>102</v>
      </c>
      <c r="M90" s="273" t="s">
        <v>195</v>
      </c>
      <c r="N90" s="363" t="s">
        <v>283</v>
      </c>
      <c r="O90" s="365" t="s">
        <v>133</v>
      </c>
      <c r="P90" s="366"/>
      <c r="Q90" s="365" t="b">
        <v>0</v>
      </c>
    </row>
    <row r="91">
      <c r="A91" s="161"/>
      <c r="B91" s="161"/>
      <c r="C91" s="161"/>
      <c r="D91" s="161"/>
      <c r="E91" s="341"/>
      <c r="F91" s="342"/>
      <c r="G91" s="343"/>
      <c r="H91" s="273" t="s">
        <v>285</v>
      </c>
      <c r="I91" s="363" t="s">
        <v>282</v>
      </c>
      <c r="J91" s="364"/>
      <c r="K91" s="363">
        <f t="shared" ref="K91:M91" si="16">PARAMS(K90)</f>
        <v>4096</v>
      </c>
      <c r="L91" s="364">
        <f t="shared" si="16"/>
        <v>1</v>
      </c>
      <c r="M91" s="363">
        <f t="shared" si="16"/>
        <v>1536</v>
      </c>
      <c r="N91" s="363" t="s">
        <v>283</v>
      </c>
      <c r="O91" s="341"/>
      <c r="P91" s="366">
        <f>SIZEOF_IN_MIB(K91:M91, $O90)</f>
        <v>12</v>
      </c>
      <c r="Q91" s="341"/>
    </row>
    <row r="92">
      <c r="A92" s="161"/>
      <c r="B92" s="161"/>
      <c r="C92" s="161"/>
      <c r="D92" s="161"/>
      <c r="E92" s="341"/>
      <c r="F92" s="342"/>
      <c r="G92" s="343"/>
      <c r="H92" s="363" t="s">
        <v>287</v>
      </c>
      <c r="I92" s="363" t="s">
        <v>282</v>
      </c>
      <c r="J92" s="364"/>
      <c r="K92" s="273" t="s">
        <v>96</v>
      </c>
      <c r="L92" s="273"/>
      <c r="M92" s="273" t="s">
        <v>97</v>
      </c>
      <c r="N92" s="363" t="s">
        <v>283</v>
      </c>
      <c r="O92" s="341"/>
      <c r="P92" s="366"/>
      <c r="Q92" s="341"/>
    </row>
    <row r="93">
      <c r="A93" s="161"/>
      <c r="B93" s="161"/>
      <c r="C93" s="161"/>
      <c r="D93" s="161"/>
      <c r="E93" s="341"/>
      <c r="F93" s="353"/>
      <c r="G93" s="354"/>
      <c r="H93" s="363" t="s">
        <v>289</v>
      </c>
      <c r="I93" s="363" t="s">
        <v>282</v>
      </c>
      <c r="J93" s="364"/>
      <c r="K93" s="363">
        <f t="shared" ref="K93:M93" si="17">K91/SHARDING(K92)</f>
        <v>512</v>
      </c>
      <c r="L93" s="363">
        <f t="shared" si="17"/>
        <v>1</v>
      </c>
      <c r="M93" s="363">
        <f t="shared" si="17"/>
        <v>768</v>
      </c>
      <c r="N93" s="363" t="s">
        <v>283</v>
      </c>
      <c r="O93" s="352"/>
      <c r="P93" s="366">
        <f>SIZEOF_IN_MIB(K93:M93, $O90)</f>
        <v>0.75</v>
      </c>
      <c r="Q93" s="352"/>
    </row>
    <row r="94">
      <c r="A94" s="161"/>
      <c r="B94" s="161"/>
      <c r="C94" s="161"/>
      <c r="E94" s="341"/>
      <c r="F94" s="370" t="s">
        <v>300</v>
      </c>
      <c r="G94" s="371" t="s">
        <v>301</v>
      </c>
      <c r="H94" s="372" t="s">
        <v>281</v>
      </c>
      <c r="I94" s="364" t="s">
        <v>282</v>
      </c>
      <c r="J94" s="364" t="str">
        <f t="array" ref="J94:M97">J78:M81</f>
        <v/>
      </c>
      <c r="K94" s="273" t="s">
        <v>104</v>
      </c>
      <c r="L94" s="273" t="s">
        <v>102</v>
      </c>
      <c r="M94" s="373" t="s">
        <v>178</v>
      </c>
      <c r="N94" s="364" t="s">
        <v>283</v>
      </c>
      <c r="O94" s="365" t="str">
        <f>O82</f>
        <v>bf16</v>
      </c>
      <c r="P94" s="364"/>
      <c r="Q94" s="365"/>
    </row>
    <row r="95">
      <c r="A95" s="161"/>
      <c r="B95" s="161"/>
      <c r="C95" s="161"/>
      <c r="E95" s="341"/>
      <c r="F95" s="341"/>
      <c r="G95" s="341"/>
      <c r="H95" s="374" t="s">
        <v>285</v>
      </c>
      <c r="I95" s="364" t="s">
        <v>282</v>
      </c>
      <c r="J95" s="363"/>
      <c r="K95" s="364">
        <v>4096.0</v>
      </c>
      <c r="L95" s="364">
        <v>1.0</v>
      </c>
      <c r="M95" s="364">
        <v>7168.0</v>
      </c>
      <c r="N95" s="364" t="s">
        <v>283</v>
      </c>
      <c r="O95" s="341"/>
      <c r="P95" s="375">
        <f>SIZEOF_IN_MIB(J95:M95, O94)</f>
        <v>56</v>
      </c>
      <c r="Q95" s="341"/>
    </row>
    <row r="96">
      <c r="A96" s="161"/>
      <c r="B96" s="161"/>
      <c r="C96" s="161"/>
      <c r="E96" s="341"/>
      <c r="F96" s="341"/>
      <c r="G96" s="341"/>
      <c r="H96" s="374" t="s">
        <v>302</v>
      </c>
      <c r="I96" s="363" t="s">
        <v>282</v>
      </c>
      <c r="J96" s="364"/>
      <c r="K96" s="273" t="s">
        <v>96</v>
      </c>
      <c r="L96" s="273"/>
      <c r="M96" s="273" t="s">
        <v>97</v>
      </c>
      <c r="N96" s="363" t="s">
        <v>283</v>
      </c>
      <c r="O96" s="341"/>
      <c r="P96" s="375"/>
      <c r="Q96" s="341"/>
    </row>
    <row r="97">
      <c r="A97" s="161"/>
      <c r="B97" s="161"/>
      <c r="C97" s="161"/>
      <c r="E97" s="341"/>
      <c r="F97" s="341"/>
      <c r="G97" s="341"/>
      <c r="H97" s="376" t="s">
        <v>303</v>
      </c>
      <c r="I97" s="349" t="s">
        <v>282</v>
      </c>
      <c r="J97" s="336"/>
      <c r="K97" s="349">
        <v>512.0</v>
      </c>
      <c r="L97" s="349">
        <v>1.0</v>
      </c>
      <c r="M97" s="349">
        <v>3584.0</v>
      </c>
      <c r="N97" s="337" t="s">
        <v>283</v>
      </c>
      <c r="O97" s="350"/>
      <c r="P97" s="377">
        <f>SIZEOF_IN_MIB(J97:M97, O94)</f>
        <v>3.5</v>
      </c>
      <c r="Q97" s="350"/>
    </row>
    <row r="98">
      <c r="A98" s="161"/>
      <c r="B98" s="161"/>
      <c r="C98" s="161"/>
      <c r="E98" s="341"/>
      <c r="F98" s="341"/>
      <c r="G98" s="352"/>
      <c r="H98" s="378" t="s">
        <v>304</v>
      </c>
      <c r="I98" s="346" t="s">
        <v>282</v>
      </c>
      <c r="J98" s="345"/>
      <c r="K98" s="344" t="s">
        <v>96</v>
      </c>
      <c r="L98" s="344"/>
      <c r="M98" s="344"/>
      <c r="N98" s="346" t="s">
        <v>283</v>
      </c>
      <c r="O98" s="355"/>
      <c r="P98" s="379"/>
      <c r="Q98" s="355"/>
      <c r="R98" s="2"/>
      <c r="S98" s="2"/>
      <c r="AG98" s="2"/>
      <c r="AH98" s="2"/>
      <c r="AI98" s="2"/>
      <c r="AJ98" s="2"/>
      <c r="AK98" s="2"/>
      <c r="AL98" s="2"/>
      <c r="AM98" s="2"/>
      <c r="AN98" s="2"/>
      <c r="AO98" s="2"/>
      <c r="AP98" s="2"/>
      <c r="AQ98" s="2"/>
      <c r="AR98" s="2"/>
      <c r="AS98" s="2"/>
      <c r="AT98" s="2"/>
    </row>
    <row r="99">
      <c r="A99" s="161"/>
      <c r="B99" s="161"/>
      <c r="C99" s="161"/>
      <c r="E99" s="341"/>
      <c r="F99" s="341"/>
      <c r="G99" s="380" t="s">
        <v>305</v>
      </c>
      <c r="H99" s="381"/>
      <c r="I99" s="382"/>
      <c r="J99" s="382"/>
      <c r="K99" s="382"/>
      <c r="L99" s="383"/>
      <c r="M99" s="383"/>
      <c r="N99" s="383"/>
      <c r="O99" s="382"/>
      <c r="P99" s="384"/>
      <c r="Q99" s="382"/>
      <c r="R99" s="2"/>
      <c r="S99" s="2"/>
      <c r="AG99" s="2"/>
      <c r="AH99" s="2"/>
      <c r="AI99" s="2"/>
      <c r="AJ99" s="2"/>
      <c r="AK99" s="2"/>
      <c r="AL99" s="2"/>
      <c r="AM99" s="2"/>
      <c r="AN99" s="2"/>
      <c r="AO99" s="2"/>
      <c r="AP99" s="2"/>
      <c r="AQ99" s="2"/>
      <c r="AR99" s="2"/>
      <c r="AS99" s="2"/>
      <c r="AT99" s="2"/>
    </row>
    <row r="100">
      <c r="A100" s="161"/>
      <c r="B100" s="161"/>
      <c r="C100" s="161"/>
      <c r="E100" s="341"/>
      <c r="F100" s="341"/>
      <c r="G100" s="385" t="s">
        <v>306</v>
      </c>
      <c r="H100" s="386">
        <f>SHARDING(K96)*SHARDING(L96)*SHARDING(M96)</f>
        <v>16</v>
      </c>
      <c r="I100" s="387"/>
      <c r="J100" s="387"/>
      <c r="K100" s="387"/>
      <c r="L100" s="388"/>
      <c r="M100" s="388"/>
      <c r="N100" s="388"/>
      <c r="O100" s="387"/>
      <c r="P100" s="389"/>
      <c r="Q100" s="387"/>
      <c r="R100" s="2"/>
      <c r="S100" s="2"/>
      <c r="AG100" s="2"/>
      <c r="AH100" s="2"/>
      <c r="AI100" s="2"/>
      <c r="AJ100" s="2"/>
      <c r="AK100" s="2"/>
      <c r="AL100" s="2"/>
      <c r="AM100" s="2"/>
      <c r="AN100" s="2"/>
      <c r="AO100" s="2"/>
      <c r="AP100" s="2"/>
      <c r="AQ100" s="2"/>
      <c r="AR100" s="2"/>
      <c r="AS100" s="2"/>
      <c r="AT100" s="2"/>
    </row>
    <row r="101">
      <c r="A101" s="161"/>
      <c r="B101" s="161"/>
      <c r="C101" s="161"/>
      <c r="E101" s="341"/>
      <c r="F101" s="341"/>
      <c r="G101" s="385" t="s">
        <v>307</v>
      </c>
      <c r="H101" s="390">
        <f>P97 * (H100-1)</f>
        <v>52.5</v>
      </c>
      <c r="I101" s="298"/>
      <c r="J101" s="391"/>
      <c r="K101" s="391"/>
      <c r="L101" s="392"/>
      <c r="M101" s="392"/>
      <c r="N101" s="392"/>
      <c r="O101" s="391"/>
      <c r="P101" s="393"/>
      <c r="Q101" s="391"/>
      <c r="R101" s="2"/>
      <c r="S101" s="2"/>
      <c r="AG101" s="2"/>
      <c r="AH101" s="2"/>
      <c r="AI101" s="2"/>
      <c r="AJ101" s="2"/>
      <c r="AK101" s="2"/>
      <c r="AL101" s="2"/>
      <c r="AM101" s="2"/>
      <c r="AN101" s="2"/>
      <c r="AO101" s="2"/>
      <c r="AP101" s="2"/>
      <c r="AQ101" s="2"/>
      <c r="AR101" s="2"/>
      <c r="AS101" s="2"/>
      <c r="AT101" s="2"/>
    </row>
    <row r="102">
      <c r="A102" s="161"/>
      <c r="B102" s="161"/>
      <c r="C102" s="161"/>
      <c r="E102" s="341"/>
      <c r="F102" s="341"/>
      <c r="G102" s="394" t="s">
        <v>308</v>
      </c>
      <c r="H102" s="395">
        <f>H101*H100</f>
        <v>840</v>
      </c>
      <c r="I102" s="387"/>
      <c r="J102" s="379"/>
      <c r="K102" s="379"/>
      <c r="L102" s="388"/>
      <c r="M102" s="388"/>
      <c r="N102" s="388"/>
      <c r="O102" s="387"/>
      <c r="P102" s="389"/>
      <c r="Q102" s="387"/>
      <c r="R102" s="2"/>
      <c r="S102" s="2"/>
      <c r="AG102" s="2"/>
      <c r="AH102" s="2"/>
      <c r="AI102" s="2"/>
      <c r="AJ102" s="2"/>
      <c r="AK102" s="2"/>
      <c r="AL102" s="2"/>
      <c r="AM102" s="2"/>
      <c r="AN102" s="2"/>
      <c r="AO102" s="2"/>
      <c r="AP102" s="2"/>
      <c r="AQ102" s="2"/>
      <c r="AR102" s="2"/>
      <c r="AS102" s="2"/>
      <c r="AT102" s="2"/>
    </row>
    <row r="103">
      <c r="A103" s="161"/>
      <c r="B103" s="161"/>
      <c r="C103" s="161"/>
      <c r="E103" s="341"/>
      <c r="F103" s="341"/>
      <c r="G103" s="396" t="s">
        <v>309</v>
      </c>
      <c r="H103" s="397" t="str">
        <f>IFS(H100=8,12,
H100=4,4,
H100=2,1,
H100=1,0,
TRUE,NA())</f>
        <v>#N/A</v>
      </c>
      <c r="I103" s="391"/>
      <c r="J103" s="391"/>
      <c r="K103" s="391"/>
      <c r="L103" s="392"/>
      <c r="M103" s="392"/>
      <c r="N103" s="392"/>
      <c r="O103" s="391"/>
      <c r="P103" s="393"/>
      <c r="Q103" s="391"/>
      <c r="R103" s="2"/>
      <c r="S103" s="2"/>
      <c r="AG103" s="2"/>
      <c r="AH103" s="2"/>
      <c r="AI103" s="2"/>
      <c r="AJ103" s="2"/>
      <c r="AK103" s="2"/>
      <c r="AL103" s="2"/>
      <c r="AM103" s="2"/>
      <c r="AN103" s="2"/>
      <c r="AO103" s="2"/>
      <c r="AP103" s="2"/>
      <c r="AQ103" s="2"/>
      <c r="AR103" s="2"/>
      <c r="AS103" s="2"/>
      <c r="AT103" s="2"/>
    </row>
    <row r="104">
      <c r="A104" s="161"/>
      <c r="B104" s="161"/>
      <c r="C104" s="161"/>
      <c r="E104" s="341"/>
      <c r="F104" s="341"/>
      <c r="G104" s="9" t="s">
        <v>310</v>
      </c>
      <c r="H104" s="398">
        <v>1.0</v>
      </c>
      <c r="I104" s="399"/>
      <c r="J104" s="399"/>
      <c r="K104" s="399"/>
      <c r="L104" s="400"/>
      <c r="M104" s="400"/>
      <c r="N104" s="400"/>
      <c r="O104" s="399"/>
      <c r="P104" s="401"/>
      <c r="Q104" s="399"/>
      <c r="R104" s="2"/>
      <c r="S104" s="2"/>
      <c r="AG104" s="2"/>
      <c r="AH104" s="2"/>
      <c r="AI104" s="2"/>
      <c r="AJ104" s="2"/>
      <c r="AK104" s="2"/>
      <c r="AL104" s="2"/>
      <c r="AM104" s="2"/>
      <c r="AN104" s="2"/>
      <c r="AO104" s="2"/>
      <c r="AP104" s="2"/>
      <c r="AQ104" s="2"/>
      <c r="AR104" s="2"/>
      <c r="AS104" s="2"/>
      <c r="AT104" s="2"/>
    </row>
    <row r="105">
      <c r="A105" s="161"/>
      <c r="B105" s="161"/>
      <c r="C105" s="161"/>
      <c r="E105" s="341"/>
      <c r="F105" s="341"/>
      <c r="G105" s="402" t="s">
        <v>311</v>
      </c>
      <c r="H105" s="403" t="str">
        <f>ALL_GATHER_CHIP2CHIP_TIME_MS2(H102 * H104, H103)</f>
        <v>#N/A</v>
      </c>
      <c r="I105" s="404"/>
      <c r="J105" s="404"/>
      <c r="K105" s="404"/>
      <c r="L105" s="405"/>
      <c r="M105" s="405"/>
      <c r="N105" s="405"/>
      <c r="O105" s="404"/>
      <c r="P105" s="406"/>
      <c r="Q105" s="404"/>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4"/>
      <c r="H106" s="407"/>
      <c r="I106" s="399"/>
      <c r="J106" s="399"/>
      <c r="K106" s="399"/>
      <c r="L106" s="400"/>
      <c r="M106" s="400"/>
      <c r="N106" s="400"/>
      <c r="O106" s="399"/>
      <c r="P106" s="401"/>
      <c r="Q106" s="399"/>
      <c r="R106" s="2"/>
      <c r="S106" s="2"/>
      <c r="AG106" s="2"/>
      <c r="AH106" s="2"/>
      <c r="AI106" s="2"/>
      <c r="AJ106" s="2"/>
      <c r="AK106" s="2"/>
      <c r="AL106" s="2"/>
      <c r="AM106" s="2"/>
      <c r="AN106" s="2"/>
      <c r="AO106" s="2"/>
      <c r="AP106" s="2"/>
      <c r="AQ106" s="2"/>
      <c r="AR106" s="2"/>
      <c r="AS106" s="2"/>
      <c r="AT106" s="2"/>
    </row>
    <row r="107">
      <c r="A107" s="161"/>
      <c r="B107" s="161"/>
      <c r="C107" s="161"/>
      <c r="E107" s="341"/>
      <c r="F107" s="341"/>
      <c r="G107" s="380" t="s">
        <v>312</v>
      </c>
      <c r="H107" s="381"/>
      <c r="I107" s="382"/>
      <c r="J107" s="382"/>
      <c r="K107" s="382"/>
      <c r="L107" s="383"/>
      <c r="M107" s="383"/>
      <c r="N107" s="383"/>
      <c r="O107" s="382"/>
      <c r="P107" s="384"/>
      <c r="Q107" s="382"/>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8" t="s">
        <v>313</v>
      </c>
      <c r="H108" s="409" t="s">
        <v>306</v>
      </c>
      <c r="I108" s="379"/>
      <c r="J108" s="410" t="str">
        <f>SHARDING(K96)*SHARDING(L96)*SHARDING(M96)/HW_SPEC("# of TensorCore per Chip")</f>
        <v>#N/A</v>
      </c>
      <c r="K108" s="399"/>
      <c r="L108" s="400"/>
      <c r="M108" s="400"/>
      <c r="N108" s="400"/>
      <c r="O108" s="399"/>
      <c r="P108" s="401"/>
      <c r="Q108" s="399"/>
      <c r="R108" s="2"/>
      <c r="S108" s="2"/>
      <c r="AG108" s="2"/>
      <c r="AH108" s="2"/>
      <c r="AI108" s="2"/>
      <c r="AJ108" s="2"/>
      <c r="AK108" s="2"/>
      <c r="AL108" s="2"/>
      <c r="AM108" s="2"/>
      <c r="AN108" s="2"/>
      <c r="AO108" s="2"/>
      <c r="AP108" s="2"/>
      <c r="AQ108" s="2"/>
      <c r="AR108" s="2"/>
      <c r="AS108" s="2"/>
      <c r="AT108" s="2"/>
    </row>
    <row r="109">
      <c r="A109" s="161"/>
      <c r="B109" s="161"/>
      <c r="C109" s="161"/>
      <c r="E109" s="341"/>
      <c r="F109" s="341"/>
      <c r="G109" s="341"/>
      <c r="H109" s="385" t="s">
        <v>307</v>
      </c>
      <c r="I109" s="11"/>
      <c r="J109" s="411" t="str">
        <f>P97 * HW_SPEC("# of TensorCore per Chip") * (J108-1)</f>
        <v>#N/A</v>
      </c>
      <c r="K109" s="412"/>
      <c r="L109" s="413"/>
      <c r="M109" s="413"/>
      <c r="N109" s="413"/>
      <c r="O109" s="412"/>
      <c r="P109" s="414"/>
      <c r="Q109" s="412"/>
      <c r="R109" s="2"/>
      <c r="S109" s="2"/>
      <c r="AG109" s="2"/>
      <c r="AH109" s="2"/>
      <c r="AI109" s="2"/>
      <c r="AJ109" s="2"/>
      <c r="AK109" s="2"/>
      <c r="AL109" s="2"/>
      <c r="AM109" s="2"/>
      <c r="AN109" s="2"/>
      <c r="AO109" s="2"/>
      <c r="AP109" s="2"/>
      <c r="AQ109" s="2"/>
      <c r="AR109" s="2"/>
      <c r="AS109" s="2"/>
      <c r="AT109" s="2"/>
    </row>
    <row r="110">
      <c r="A110" s="161"/>
      <c r="B110" s="161"/>
      <c r="C110" s="161"/>
      <c r="E110" s="341"/>
      <c r="F110" s="341"/>
      <c r="G110" s="341"/>
      <c r="H110" s="394" t="s">
        <v>308</v>
      </c>
      <c r="I110" s="11"/>
      <c r="J110" s="411" t="str">
        <f>J109*J108</f>
        <v>#N/A</v>
      </c>
      <c r="K110" s="412"/>
      <c r="L110" s="413"/>
      <c r="M110" s="413"/>
      <c r="N110" s="413"/>
      <c r="O110" s="412"/>
      <c r="P110" s="414"/>
      <c r="Q110" s="412"/>
      <c r="R110" s="2"/>
      <c r="S110" s="2"/>
      <c r="AG110" s="2"/>
      <c r="AH110" s="2"/>
      <c r="AI110" s="2"/>
      <c r="AJ110" s="2"/>
      <c r="AK110" s="2"/>
      <c r="AL110" s="2"/>
      <c r="AM110" s="2"/>
      <c r="AN110" s="2"/>
      <c r="AO110" s="2"/>
      <c r="AP110" s="2"/>
      <c r="AQ110" s="2"/>
      <c r="AR110" s="2"/>
      <c r="AS110" s="2"/>
      <c r="AT110" s="2"/>
    </row>
    <row r="111">
      <c r="A111" s="161"/>
      <c r="B111" s="161"/>
      <c r="C111" s="161"/>
      <c r="E111" s="341"/>
      <c r="F111" s="341"/>
      <c r="G111" s="341"/>
      <c r="H111" s="396" t="s">
        <v>309</v>
      </c>
      <c r="I111" s="11"/>
      <c r="J111" s="415" t="str">
        <f>IFS(J108=8,12,
J108=4,4,
J108=2,1,
J108=1,0,
TRUE,NA())</f>
        <v>#N/A</v>
      </c>
      <c r="K111" s="412"/>
      <c r="L111" s="413"/>
      <c r="M111" s="413"/>
      <c r="N111" s="413"/>
      <c r="O111" s="412"/>
      <c r="P111" s="414"/>
      <c r="Q111" s="412"/>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9" t="s">
        <v>310</v>
      </c>
      <c r="I112" s="11"/>
      <c r="J112" s="416">
        <v>2.0</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52"/>
      <c r="H113" s="385" t="s">
        <v>311</v>
      </c>
      <c r="I113" s="11"/>
      <c r="J113" s="417" t="str">
        <f>ALL_GATHER_CHIP2CHIP_TIME_MS2(J110 * J112, J111)</f>
        <v>#N/A</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408" t="s">
        <v>314</v>
      </c>
      <c r="H114" s="396" t="s">
        <v>306</v>
      </c>
      <c r="I114" s="418"/>
      <c r="J114" s="419" t="str">
        <f>HW_SPEC("# of TensorCore per Chip")</f>
        <v>#N/A</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6" t="s">
        <v>307</v>
      </c>
      <c r="I115" s="418"/>
      <c r="J115" s="411" t="str">
        <f>P81 / J114 * (J114-1)</f>
        <v>#N/A</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308</v>
      </c>
      <c r="I116" s="418"/>
      <c r="J116" s="411" t="str">
        <f>J115*J114</f>
        <v>#N/A</v>
      </c>
      <c r="K116" s="412"/>
      <c r="L116" s="413"/>
      <c r="M116" s="413"/>
      <c r="N116" s="413"/>
      <c r="O116" s="412"/>
      <c r="P116" s="414"/>
      <c r="Q116" s="412"/>
      <c r="R116" s="420"/>
      <c r="S116" s="420"/>
      <c r="AG116" s="2"/>
      <c r="AH116" s="2"/>
      <c r="AI116" s="2"/>
      <c r="AJ116" s="2"/>
      <c r="AK116" s="2"/>
      <c r="AL116" s="2"/>
      <c r="AM116" s="2"/>
      <c r="AN116" s="2"/>
      <c r="AO116" s="2"/>
      <c r="AP116" s="2"/>
      <c r="AQ116" s="2"/>
      <c r="AR116" s="2"/>
      <c r="AS116" s="2"/>
      <c r="AT116" s="2"/>
    </row>
    <row r="117">
      <c r="A117" s="161"/>
      <c r="B117" s="161"/>
      <c r="C117" s="161"/>
      <c r="E117" s="341"/>
      <c r="F117" s="341"/>
      <c r="G117" s="341"/>
      <c r="H117" s="396" t="s">
        <v>311</v>
      </c>
      <c r="I117" s="418"/>
      <c r="J117" s="421" t="str">
        <f>ALL_GATHER_CORE2CORE_TIME_MS(J116)</f>
        <v>#N/A</v>
      </c>
      <c r="K117" s="412"/>
      <c r="L117" s="413"/>
      <c r="M117" s="413"/>
      <c r="N117" s="413"/>
      <c r="O117" s="412"/>
      <c r="P117" s="414"/>
      <c r="Q117" s="412"/>
      <c r="R117" s="420"/>
      <c r="S117" s="420"/>
      <c r="AG117" s="2"/>
      <c r="AH117" s="2"/>
      <c r="AI117" s="2"/>
      <c r="AJ117" s="2"/>
      <c r="AK117" s="2"/>
      <c r="AL117" s="2"/>
      <c r="AM117" s="2"/>
      <c r="AN117" s="2"/>
      <c r="AO117" s="2"/>
      <c r="AP117" s="2"/>
      <c r="AQ117" s="2"/>
      <c r="AR117" s="2"/>
      <c r="AS117" s="2"/>
      <c r="AT117" s="2"/>
    </row>
    <row r="118">
      <c r="A118" s="161"/>
      <c r="B118" s="161"/>
      <c r="C118" s="161"/>
      <c r="E118" s="341"/>
      <c r="F118" s="341"/>
      <c r="G118" s="352"/>
      <c r="H118" s="394" t="s">
        <v>315</v>
      </c>
      <c r="I118" s="11"/>
      <c r="J118" s="421" t="str">
        <f>J117/J108</f>
        <v>#N/A</v>
      </c>
      <c r="K118" s="412"/>
      <c r="L118" s="413"/>
      <c r="M118" s="413"/>
      <c r="N118" s="413"/>
      <c r="O118" s="412"/>
      <c r="P118" s="414"/>
      <c r="Q118" s="412"/>
      <c r="R118" s="420"/>
      <c r="S118" s="420"/>
      <c r="AG118" s="2"/>
      <c r="AH118" s="2"/>
      <c r="AI118" s="2"/>
      <c r="AJ118" s="2"/>
      <c r="AK118" s="2"/>
      <c r="AL118" s="2"/>
      <c r="AM118" s="2"/>
      <c r="AN118" s="2"/>
      <c r="AO118" s="2"/>
      <c r="AP118" s="2"/>
      <c r="AQ118" s="2"/>
      <c r="AR118" s="2"/>
      <c r="AS118" s="2"/>
      <c r="AT118" s="2"/>
    </row>
    <row r="119">
      <c r="A119" s="161"/>
      <c r="B119" s="161"/>
      <c r="C119" s="161"/>
      <c r="E119" s="341"/>
      <c r="F119" s="341"/>
      <c r="G119" s="402" t="s">
        <v>316</v>
      </c>
      <c r="H119" s="422" t="str">
        <f>J113+J118</f>
        <v>#N/A</v>
      </c>
      <c r="I119" s="11"/>
      <c r="J119" s="417"/>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94"/>
      <c r="H120" s="422"/>
      <c r="I120" s="11"/>
      <c r="J120" s="417"/>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394"/>
      <c r="H121" s="422"/>
      <c r="I121" s="11"/>
      <c r="J121" s="417"/>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551" t="s">
        <v>682</v>
      </c>
      <c r="H122" s="906" t="s">
        <v>318</v>
      </c>
      <c r="I122" s="572"/>
      <c r="J122" s="381"/>
      <c r="K122" s="787"/>
      <c r="L122" s="907"/>
      <c r="M122" s="907"/>
      <c r="N122" s="907"/>
      <c r="O122" s="787"/>
      <c r="P122" s="908"/>
      <c r="Q122" s="787"/>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272" t="s">
        <v>319</v>
      </c>
      <c r="H123" s="909" t="str">
        <f>M80</f>
        <v>data</v>
      </c>
      <c r="I123" s="11"/>
      <c r="J123" s="417"/>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58" t="s">
        <v>320</v>
      </c>
      <c r="H124" s="396" t="s">
        <v>306</v>
      </c>
      <c r="I124" s="418"/>
      <c r="J124" s="419" t="str">
        <f>HW_SPEC("# of TensorCore per Chip")</f>
        <v>#N/A</v>
      </c>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41"/>
      <c r="H125" s="396" t="s">
        <v>307</v>
      </c>
      <c r="I125" s="418"/>
      <c r="J125" s="411" t="str">
        <f>P85 * (J124-1)</f>
        <v>#N/A</v>
      </c>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341"/>
      <c r="H126" s="396" t="s">
        <v>308</v>
      </c>
      <c r="I126" s="418"/>
      <c r="J126" s="411" t="str">
        <f>J125*J124</f>
        <v>#N/A</v>
      </c>
      <c r="K126" s="412"/>
      <c r="L126" s="413"/>
      <c r="M126" s="413"/>
      <c r="N126" s="413"/>
      <c r="O126" s="412"/>
      <c r="P126" s="414"/>
      <c r="Q126" s="412"/>
      <c r="R126" s="420"/>
      <c r="S126" s="420"/>
      <c r="AG126" s="2"/>
      <c r="AH126" s="2"/>
      <c r="AI126" s="2"/>
      <c r="AJ126" s="2"/>
      <c r="AK126" s="2"/>
      <c r="AL126" s="2"/>
      <c r="AM126" s="2"/>
      <c r="AN126" s="2"/>
      <c r="AO126" s="2"/>
      <c r="AP126" s="2"/>
      <c r="AQ126" s="2"/>
      <c r="AR126" s="2"/>
      <c r="AS126" s="2"/>
      <c r="AT126" s="2"/>
    </row>
    <row r="127">
      <c r="A127" s="161"/>
      <c r="B127" s="161"/>
      <c r="C127" s="161"/>
      <c r="E127" s="341"/>
      <c r="F127" s="341"/>
      <c r="G127" s="352"/>
      <c r="H127" s="396" t="s">
        <v>311</v>
      </c>
      <c r="I127" s="418"/>
      <c r="J127" s="421" t="str">
        <f>ALL_GATHER_CORE2CORE_TIME_MS(J126)</f>
        <v>#N/A</v>
      </c>
      <c r="K127" s="412"/>
      <c r="L127" s="413"/>
      <c r="M127" s="413"/>
      <c r="N127" s="413"/>
      <c r="O127" s="412"/>
      <c r="P127" s="414"/>
      <c r="Q127" s="412"/>
      <c r="R127" s="420"/>
      <c r="S127" s="420"/>
      <c r="AG127" s="2"/>
      <c r="AH127" s="2"/>
      <c r="AI127" s="2"/>
      <c r="AJ127" s="2"/>
      <c r="AK127" s="2"/>
      <c r="AL127" s="2"/>
      <c r="AM127" s="2"/>
      <c r="AN127" s="2"/>
      <c r="AO127" s="2"/>
      <c r="AP127" s="2"/>
      <c r="AQ127" s="2"/>
      <c r="AR127" s="2"/>
      <c r="AS127" s="2"/>
      <c r="AT127" s="2"/>
    </row>
    <row r="128">
      <c r="A128" s="161"/>
      <c r="B128" s="161"/>
      <c r="C128" s="161"/>
      <c r="E128" s="341"/>
      <c r="F128" s="341"/>
      <c r="G128" s="443" t="s">
        <v>322</v>
      </c>
      <c r="H128" s="623" t="s">
        <v>682</v>
      </c>
      <c r="I128" s="445"/>
      <c r="J128" s="445"/>
      <c r="K128" s="382"/>
      <c r="L128" s="383"/>
      <c r="M128" s="383"/>
      <c r="N128" s="383"/>
      <c r="O128" s="382"/>
      <c r="P128" s="384"/>
      <c r="Q128" s="382"/>
      <c r="R128" s="420"/>
      <c r="S128" s="420"/>
      <c r="AG128" s="2"/>
      <c r="AH128" s="2"/>
      <c r="AI128" s="2"/>
      <c r="AJ128" s="2"/>
      <c r="AK128" s="2"/>
      <c r="AL128" s="2"/>
      <c r="AM128" s="2"/>
      <c r="AN128" s="2"/>
      <c r="AO128" s="2"/>
      <c r="AP128" s="2"/>
      <c r="AQ128" s="2"/>
      <c r="AR128" s="2"/>
      <c r="AS128" s="2"/>
      <c r="AT128" s="2"/>
    </row>
    <row r="129">
      <c r="A129" s="161"/>
      <c r="B129" s="161"/>
      <c r="C129" s="161"/>
      <c r="E129" s="341"/>
      <c r="F129" s="341"/>
      <c r="G129" s="446" t="s">
        <v>324</v>
      </c>
      <c r="H129" s="447" t="str">
        <f>IFS(H128=G99,H105,
H128=G107, H119,
H128=G122,J127,
TRUE,0)</f>
        <v>#N/A</v>
      </c>
      <c r="I129" s="448"/>
      <c r="J129" s="448"/>
      <c r="K129" s="448"/>
      <c r="L129" s="449"/>
      <c r="M129" s="449"/>
      <c r="N129" s="449"/>
      <c r="O129" s="450"/>
      <c r="P129" s="451"/>
      <c r="Q129" s="450"/>
      <c r="AG129" s="2"/>
      <c r="AH129" s="2"/>
      <c r="AI129" s="2"/>
      <c r="AJ129" s="2"/>
      <c r="AK129" s="2"/>
      <c r="AL129" s="2"/>
      <c r="AM129" s="2"/>
      <c r="AN129" s="2"/>
      <c r="AO129" s="2"/>
      <c r="AP129" s="2"/>
      <c r="AQ129" s="2"/>
      <c r="AR129" s="2"/>
      <c r="AS129" s="2"/>
      <c r="AT129" s="2"/>
    </row>
    <row r="130">
      <c r="A130" s="161"/>
      <c r="B130" s="161"/>
      <c r="C130" s="161"/>
      <c r="E130" s="341"/>
      <c r="F130" s="341"/>
      <c r="G130" s="452" t="s">
        <v>325</v>
      </c>
      <c r="H130" s="452">
        <v>1.0</v>
      </c>
      <c r="I130" s="454"/>
      <c r="J130" s="454"/>
      <c r="K130" s="454"/>
      <c r="L130" s="455"/>
      <c r="M130" s="455"/>
      <c r="N130" s="455"/>
      <c r="O130" s="456"/>
      <c r="P130" s="457"/>
      <c r="Q130" s="456"/>
      <c r="AG130" s="2"/>
      <c r="AH130" s="2"/>
      <c r="AI130" s="2"/>
      <c r="AJ130" s="2"/>
      <c r="AK130" s="2"/>
      <c r="AL130" s="2"/>
      <c r="AM130" s="2"/>
      <c r="AN130" s="2"/>
      <c r="AO130" s="2"/>
      <c r="AP130" s="2"/>
      <c r="AQ130" s="2"/>
      <c r="AR130" s="2"/>
      <c r="AS130" s="2"/>
      <c r="AT130" s="2"/>
    </row>
    <row r="131">
      <c r="A131" s="161"/>
      <c r="B131" s="161"/>
      <c r="C131" s="161"/>
      <c r="E131" s="341"/>
      <c r="F131" s="352"/>
      <c r="G131" s="446" t="s">
        <v>326</v>
      </c>
      <c r="H131" s="447" t="str">
        <f>IF(H128="No Collectives", 0, H130 * HW_SPEC("Chip-to-Chip ICI Latency (ms)"))</f>
        <v>#N/A</v>
      </c>
      <c r="I131" s="448"/>
      <c r="J131" s="448"/>
      <c r="K131" s="448"/>
      <c r="L131" s="449"/>
      <c r="M131" s="449"/>
      <c r="N131" s="449"/>
      <c r="O131" s="450"/>
      <c r="P131" s="451"/>
      <c r="Q131" s="450"/>
      <c r="AG131" s="2"/>
      <c r="AH131" s="2"/>
      <c r="AI131" s="2"/>
      <c r="AJ131" s="2"/>
      <c r="AK131" s="2"/>
      <c r="AL131" s="2"/>
      <c r="AM131" s="2"/>
      <c r="AN131" s="2"/>
      <c r="AO131" s="2"/>
      <c r="AP131" s="2"/>
      <c r="AQ131" s="2"/>
      <c r="AR131" s="2"/>
      <c r="AS131" s="2"/>
      <c r="AT131" s="2"/>
    </row>
    <row r="132">
      <c r="A132" s="161"/>
      <c r="B132" s="161"/>
      <c r="C132" s="161"/>
      <c r="E132" s="341"/>
      <c r="F132" s="458" t="s">
        <v>327</v>
      </c>
      <c r="G132" s="459" t="s">
        <v>328</v>
      </c>
      <c r="H132" s="455" t="str">
        <f>VLOOKUP(O82&amp;","&amp;O86,$T$3:$W$12,4, FALSE)</f>
        <v>bf16</v>
      </c>
      <c r="I132" s="460"/>
      <c r="J132" s="454"/>
      <c r="K132" s="454"/>
      <c r="L132" s="455"/>
      <c r="M132" s="455"/>
      <c r="N132" s="455"/>
      <c r="O132" s="454"/>
      <c r="P132" s="457"/>
      <c r="Q132" s="11"/>
      <c r="AG132" s="2"/>
      <c r="AH132" s="2"/>
      <c r="AI132" s="2"/>
      <c r="AJ132" s="2"/>
      <c r="AK132" s="2"/>
      <c r="AL132" s="2"/>
      <c r="AM132" s="2"/>
      <c r="AN132" s="2"/>
      <c r="AO132" s="2"/>
      <c r="AP132" s="2"/>
      <c r="AQ132" s="2"/>
      <c r="AR132" s="2"/>
      <c r="AS132" s="2"/>
      <c r="AT132" s="2"/>
    </row>
    <row r="133">
      <c r="A133" s="161"/>
      <c r="B133" s="161"/>
      <c r="C133" s="161"/>
      <c r="E133" s="341"/>
      <c r="F133" s="341"/>
      <c r="G133" s="459" t="s">
        <v>329</v>
      </c>
      <c r="H133" s="461" t="str">
        <f>CALCULATE_FLOPS(J85:M85,J89:M89,L89,1,H132)</f>
        <v>#N/A</v>
      </c>
      <c r="I133" s="460"/>
      <c r="J133" s="454"/>
      <c r="K133" s="454"/>
      <c r="L133" s="455"/>
      <c r="M133" s="455"/>
      <c r="N133" s="455"/>
      <c r="O133" s="454"/>
      <c r="P133" s="457"/>
      <c r="Q133" s="11"/>
      <c r="AG133" s="2"/>
      <c r="AH133" s="2"/>
      <c r="AI133" s="2"/>
      <c r="AJ133" s="2"/>
      <c r="AK133" s="2"/>
      <c r="AL133" s="2"/>
      <c r="AM133" s="2"/>
      <c r="AN133" s="2"/>
      <c r="AO133" s="2"/>
      <c r="AP133" s="2"/>
      <c r="AQ133" s="2"/>
      <c r="AR133" s="2"/>
      <c r="AS133" s="2"/>
      <c r="AT133" s="2"/>
    </row>
    <row r="134">
      <c r="A134" s="161"/>
      <c r="B134" s="161"/>
      <c r="C134" s="161"/>
      <c r="E134" s="341"/>
      <c r="F134" s="352"/>
      <c r="G134" s="462" t="s">
        <v>330</v>
      </c>
      <c r="H134" s="463" t="str">
        <f>COMPUTE_TIME_MS(H133, H132)</f>
        <v>#N/A</v>
      </c>
      <c r="I134" s="464"/>
      <c r="J134" s="465"/>
      <c r="K134" s="465"/>
      <c r="L134" s="466"/>
      <c r="M134" s="466"/>
      <c r="N134" s="466"/>
      <c r="O134" s="465"/>
      <c r="P134" s="467"/>
      <c r="Q134" s="11"/>
      <c r="AG134" s="2"/>
      <c r="AH134" s="2"/>
      <c r="AI134" s="2"/>
      <c r="AJ134" s="2"/>
      <c r="AK134" s="2"/>
      <c r="AL134" s="2"/>
      <c r="AM134" s="2"/>
      <c r="AN134" s="2"/>
      <c r="AO134" s="2"/>
      <c r="AP134" s="2"/>
      <c r="AQ134" s="2"/>
      <c r="AR134" s="2"/>
      <c r="AS134" s="2"/>
      <c r="AT134" s="2"/>
    </row>
    <row r="135">
      <c r="A135" s="161"/>
      <c r="B135" s="161"/>
      <c r="C135" s="161"/>
      <c r="E135" s="341"/>
      <c r="F135" s="458" t="s">
        <v>331</v>
      </c>
      <c r="G135" s="455" t="s">
        <v>332</v>
      </c>
      <c r="H135" s="468">
        <f>IF(Q82,0,P85)+IF(Q86,0,P89)+IF(Q90,0,P93)</f>
        <v>14.75</v>
      </c>
      <c r="I135" s="454"/>
      <c r="J135" s="454"/>
      <c r="K135" s="454"/>
      <c r="L135" s="455"/>
      <c r="M135" s="455"/>
      <c r="N135" s="455"/>
      <c r="O135" s="454"/>
      <c r="P135" s="457"/>
      <c r="Q135" s="11"/>
      <c r="AG135" s="2"/>
      <c r="AH135" s="2"/>
      <c r="AI135" s="2"/>
      <c r="AJ135" s="2"/>
      <c r="AK135" s="2"/>
      <c r="AL135" s="2"/>
      <c r="AM135" s="2"/>
      <c r="AN135" s="2"/>
      <c r="AO135" s="2"/>
      <c r="AP135" s="2"/>
      <c r="AQ135" s="2"/>
      <c r="AR135" s="2"/>
      <c r="AS135" s="2"/>
      <c r="AT135" s="2"/>
    </row>
    <row r="136">
      <c r="A136" s="161"/>
      <c r="B136" s="161"/>
      <c r="C136" s="161"/>
      <c r="E136" s="352"/>
      <c r="F136" s="352"/>
      <c r="G136" s="469" t="s">
        <v>333</v>
      </c>
      <c r="H136" s="470" t="str">
        <f>HBM_TIME_MS(H135)</f>
        <v>#N/A</v>
      </c>
      <c r="I136" s="465"/>
      <c r="J136" s="465"/>
      <c r="K136" s="465"/>
      <c r="L136" s="466"/>
      <c r="M136" s="466"/>
      <c r="N136" s="466"/>
      <c r="O136" s="465"/>
      <c r="P136" s="467"/>
      <c r="Q136" s="11"/>
      <c r="AH136" s="471"/>
      <c r="AI136" s="471"/>
      <c r="AJ136" s="471"/>
      <c r="AK136" s="2"/>
      <c r="AL136" s="2"/>
      <c r="AM136" s="2"/>
      <c r="AN136" s="2"/>
      <c r="AO136" s="2"/>
      <c r="AP136" s="2"/>
      <c r="AQ136" s="2"/>
      <c r="AR136" s="2"/>
      <c r="AS136" s="2"/>
      <c r="AT136" s="2"/>
    </row>
    <row r="137">
      <c r="E137" s="333" t="s">
        <v>334</v>
      </c>
      <c r="F137" s="357" t="s">
        <v>292</v>
      </c>
      <c r="G137" s="335"/>
      <c r="H137" s="364" t="s">
        <v>281</v>
      </c>
      <c r="I137" s="364" t="s">
        <v>282</v>
      </c>
      <c r="J137" s="364"/>
      <c r="K137" s="273" t="s">
        <v>104</v>
      </c>
      <c r="L137" s="273" t="s">
        <v>102</v>
      </c>
      <c r="M137" s="472" t="s">
        <v>195</v>
      </c>
      <c r="N137" s="364" t="s">
        <v>283</v>
      </c>
      <c r="O137" s="365" t="str">
        <f>EXTRACT_ACTIVATION_DTYPE(PARAMS("attn_proj_dtype"))</f>
        <v>bf16</v>
      </c>
      <c r="P137" s="366"/>
      <c r="Q137" s="365" t="b">
        <v>0</v>
      </c>
      <c r="R137" s="2"/>
      <c r="S137" s="2"/>
      <c r="AH137" s="471"/>
      <c r="AI137" s="471"/>
      <c r="AJ137" s="471"/>
      <c r="AK137" s="2"/>
      <c r="AL137" s="2"/>
      <c r="AM137" s="2"/>
      <c r="AN137" s="2"/>
      <c r="AO137" s="2"/>
      <c r="AP137" s="2"/>
      <c r="AQ137" s="2"/>
      <c r="AR137" s="2"/>
      <c r="AS137" s="2"/>
      <c r="AT137" s="2"/>
    </row>
    <row r="138">
      <c r="E138" s="341"/>
      <c r="F138" s="342"/>
      <c r="G138" s="343"/>
      <c r="H138" s="273" t="s">
        <v>285</v>
      </c>
      <c r="I138" s="364" t="s">
        <v>282</v>
      </c>
      <c r="J138" s="363"/>
      <c r="K138" s="363">
        <f t="shared" ref="K138:M138" si="18">PARAMS(K137)</f>
        <v>4096</v>
      </c>
      <c r="L138" s="364">
        <f t="shared" si="18"/>
        <v>1</v>
      </c>
      <c r="M138" s="364">
        <f t="shared" si="18"/>
        <v>1536</v>
      </c>
      <c r="N138" s="364" t="s">
        <v>283</v>
      </c>
      <c r="O138" s="341"/>
      <c r="P138" s="366">
        <f>SIZEOF_IN_MIB(J138:M138, $O137)</f>
        <v>12</v>
      </c>
      <c r="Q138" s="341"/>
      <c r="R138" s="2"/>
      <c r="S138" s="2"/>
      <c r="AH138" s="471"/>
      <c r="AI138" s="471"/>
      <c r="AJ138" s="471"/>
      <c r="AK138" s="2"/>
      <c r="AL138" s="2"/>
      <c r="AM138" s="2"/>
      <c r="AN138" s="2"/>
      <c r="AO138" s="2"/>
      <c r="AP138" s="2"/>
      <c r="AQ138" s="2"/>
      <c r="AR138" s="2"/>
      <c r="AS138" s="2"/>
      <c r="AT138" s="2"/>
    </row>
    <row r="139">
      <c r="E139" s="341"/>
      <c r="F139" s="342"/>
      <c r="G139" s="343"/>
      <c r="H139" s="363" t="s">
        <v>287</v>
      </c>
      <c r="I139" s="363" t="s">
        <v>282</v>
      </c>
      <c r="J139" s="364"/>
      <c r="K139" s="273" t="s">
        <v>96</v>
      </c>
      <c r="L139" s="273"/>
      <c r="M139" s="273" t="s">
        <v>97</v>
      </c>
      <c r="N139" s="363" t="s">
        <v>283</v>
      </c>
      <c r="O139" s="341"/>
      <c r="P139" s="366"/>
      <c r="Q139" s="341"/>
      <c r="R139" s="2"/>
      <c r="S139" s="2"/>
      <c r="AH139" s="471"/>
      <c r="AI139" s="471"/>
      <c r="AJ139" s="471"/>
      <c r="AK139" s="2"/>
      <c r="AL139" s="2"/>
      <c r="AM139" s="2"/>
      <c r="AN139" s="2"/>
      <c r="AO139" s="2"/>
      <c r="AP139" s="2"/>
      <c r="AQ139" s="2"/>
      <c r="AR139" s="2"/>
      <c r="AS139" s="2"/>
      <c r="AT139" s="2"/>
    </row>
    <row r="140">
      <c r="E140" s="341"/>
      <c r="F140" s="353"/>
      <c r="G140" s="354"/>
      <c r="H140" s="273" t="s">
        <v>289</v>
      </c>
      <c r="I140" s="363" t="s">
        <v>282</v>
      </c>
      <c r="J140" s="364"/>
      <c r="K140" s="363">
        <f t="shared" ref="K140:M140" si="19">K138/SHARDING(K139)</f>
        <v>512</v>
      </c>
      <c r="L140" s="363">
        <f t="shared" si="19"/>
        <v>1</v>
      </c>
      <c r="M140" s="363">
        <f t="shared" si="19"/>
        <v>768</v>
      </c>
      <c r="N140" s="363" t="s">
        <v>283</v>
      </c>
      <c r="O140" s="352"/>
      <c r="P140" s="366">
        <f>SIZEOF_IN_MIB(J140:M140, $O137)</f>
        <v>0.75</v>
      </c>
      <c r="Q140" s="352"/>
      <c r="R140" s="2"/>
      <c r="S140" s="2"/>
      <c r="AK140" s="2"/>
      <c r="AL140" s="2"/>
      <c r="AM140" s="2"/>
      <c r="AN140" s="2"/>
      <c r="AO140" s="2"/>
      <c r="AP140" s="2"/>
      <c r="AQ140" s="2"/>
      <c r="AR140" s="2"/>
      <c r="AS140" s="2"/>
      <c r="AT140" s="2"/>
    </row>
    <row r="141">
      <c r="E141" s="341"/>
      <c r="F141" s="334" t="s">
        <v>296</v>
      </c>
      <c r="G141" s="335"/>
      <c r="H141" s="363" t="s">
        <v>281</v>
      </c>
      <c r="I141" s="363" t="s">
        <v>282</v>
      </c>
      <c r="J141" s="364"/>
      <c r="K141" s="472" t="s">
        <v>195</v>
      </c>
      <c r="L141" s="273" t="s">
        <v>207</v>
      </c>
      <c r="M141" s="273" t="s">
        <v>209</v>
      </c>
      <c r="N141" s="363" t="s">
        <v>283</v>
      </c>
      <c r="O141" s="365" t="str">
        <f>EXTRACT_WEIGHT_DTYPE(PARAMS("attn_proj_dtype"))</f>
        <v>bf16</v>
      </c>
      <c r="P141" s="366"/>
      <c r="Q141" s="365" t="b">
        <v>0</v>
      </c>
      <c r="R141" s="2"/>
      <c r="S141" s="2"/>
      <c r="AK141" s="2"/>
      <c r="AL141" s="2"/>
      <c r="AM141" s="2"/>
      <c r="AN141" s="2"/>
      <c r="AO141" s="2"/>
      <c r="AP141" s="2"/>
      <c r="AQ141" s="2"/>
      <c r="AR141" s="2"/>
      <c r="AS141" s="2"/>
      <c r="AT141" s="2"/>
    </row>
    <row r="142">
      <c r="E142" s="341"/>
      <c r="F142" s="342"/>
      <c r="G142" s="343"/>
      <c r="H142" s="273" t="s">
        <v>285</v>
      </c>
      <c r="I142" s="363" t="s">
        <v>282</v>
      </c>
      <c r="J142" s="364"/>
      <c r="K142" s="363">
        <f t="shared" ref="K142:M142" si="20">PARAMS(K141)</f>
        <v>1536</v>
      </c>
      <c r="L142" s="363">
        <f t="shared" si="20"/>
        <v>128</v>
      </c>
      <c r="M142" s="363">
        <f t="shared" si="20"/>
        <v>192</v>
      </c>
      <c r="N142" s="363" t="s">
        <v>283</v>
      </c>
      <c r="O142" s="341"/>
      <c r="P142" s="366">
        <f>SIZEOF_IN_MIB(J142:M142, $O141)</f>
        <v>72</v>
      </c>
      <c r="Q142" s="341"/>
      <c r="R142" s="2"/>
      <c r="S142" s="2"/>
      <c r="AK142" s="2"/>
      <c r="AL142" s="2"/>
      <c r="AM142" s="2"/>
      <c r="AN142" s="2"/>
      <c r="AO142" s="2"/>
      <c r="AP142" s="2"/>
      <c r="AQ142" s="2"/>
      <c r="AR142" s="2"/>
      <c r="AS142" s="2"/>
      <c r="AT142" s="2"/>
    </row>
    <row r="143">
      <c r="E143" s="341"/>
      <c r="F143" s="342"/>
      <c r="G143" s="343"/>
      <c r="H143" s="363" t="s">
        <v>287</v>
      </c>
      <c r="I143" s="363" t="s">
        <v>282</v>
      </c>
      <c r="J143" s="364"/>
      <c r="K143" s="273" t="s">
        <v>97</v>
      </c>
      <c r="L143" s="363"/>
      <c r="M143" s="363"/>
      <c r="N143" s="363" t="s">
        <v>283</v>
      </c>
      <c r="O143" s="341"/>
      <c r="P143" s="366"/>
      <c r="Q143" s="341"/>
      <c r="R143" s="2"/>
      <c r="S143" s="2"/>
      <c r="AK143" s="2"/>
      <c r="AL143" s="2"/>
      <c r="AM143" s="2"/>
      <c r="AN143" s="2"/>
      <c r="AO143" s="2"/>
      <c r="AP143" s="2"/>
      <c r="AQ143" s="2"/>
      <c r="AR143" s="2"/>
      <c r="AS143" s="2"/>
      <c r="AT143" s="2"/>
    </row>
    <row r="144">
      <c r="E144" s="341"/>
      <c r="F144" s="353"/>
      <c r="G144" s="354"/>
      <c r="H144" s="349" t="s">
        <v>289</v>
      </c>
      <c r="I144" s="349" t="s">
        <v>282</v>
      </c>
      <c r="J144" s="336"/>
      <c r="K144" s="349">
        <f t="shared" ref="K144:M144" si="21">K142/SHARDING(K143)</f>
        <v>768</v>
      </c>
      <c r="L144" s="349">
        <f t="shared" si="21"/>
        <v>128</v>
      </c>
      <c r="M144" s="349">
        <f t="shared" si="21"/>
        <v>192</v>
      </c>
      <c r="N144" s="349" t="s">
        <v>283</v>
      </c>
      <c r="O144" s="316"/>
      <c r="P144" s="351">
        <f>SIZEOF_IN_MIB(J144:M144, $O141)</f>
        <v>36</v>
      </c>
      <c r="Q144" s="316"/>
      <c r="R144" s="2"/>
      <c r="S144" s="2"/>
      <c r="AK144" s="2"/>
      <c r="AL144" s="2"/>
      <c r="AM144" s="2"/>
      <c r="AN144" s="2"/>
      <c r="AO144" s="2"/>
      <c r="AP144" s="2"/>
      <c r="AQ144" s="2"/>
      <c r="AR144" s="2"/>
      <c r="AS144" s="2"/>
      <c r="AT144" s="2"/>
    </row>
    <row r="145">
      <c r="E145" s="341"/>
      <c r="F145" s="334" t="s">
        <v>56</v>
      </c>
      <c r="G145" s="335"/>
      <c r="H145" s="346" t="s">
        <v>281</v>
      </c>
      <c r="I145" s="346" t="s">
        <v>282</v>
      </c>
      <c r="J145" s="344" t="s">
        <v>104</v>
      </c>
      <c r="K145" s="344" t="s">
        <v>102</v>
      </c>
      <c r="L145" s="344" t="s">
        <v>207</v>
      </c>
      <c r="M145" s="344" t="s">
        <v>209</v>
      </c>
      <c r="N145" s="346" t="s">
        <v>283</v>
      </c>
      <c r="O145" s="473" t="s">
        <v>133</v>
      </c>
      <c r="P145" s="348"/>
      <c r="Q145" s="473" t="b">
        <v>0</v>
      </c>
      <c r="R145" s="2"/>
      <c r="S145" s="2"/>
      <c r="AK145" s="2"/>
      <c r="AL145" s="2"/>
      <c r="AM145" s="2"/>
      <c r="AN145" s="2"/>
      <c r="AO145" s="2"/>
      <c r="AP145" s="2"/>
      <c r="AQ145" s="2"/>
      <c r="AR145" s="2"/>
      <c r="AS145" s="2"/>
      <c r="AT145" s="2"/>
    </row>
    <row r="146">
      <c r="E146" s="341"/>
      <c r="F146" s="342"/>
      <c r="G146" s="343"/>
      <c r="H146" s="337" t="s">
        <v>285</v>
      </c>
      <c r="I146" s="349" t="s">
        <v>282</v>
      </c>
      <c r="J146" s="349">
        <f t="shared" ref="J146:M146" si="22">PARAMS(J145)</f>
        <v>4096</v>
      </c>
      <c r="K146" s="349">
        <f t="shared" si="22"/>
        <v>1</v>
      </c>
      <c r="L146" s="349">
        <f t="shared" si="22"/>
        <v>128</v>
      </c>
      <c r="M146" s="349">
        <f t="shared" si="22"/>
        <v>192</v>
      </c>
      <c r="N146" s="349" t="s">
        <v>283</v>
      </c>
      <c r="O146" s="350"/>
      <c r="P146" s="351">
        <f>SIZEOF_IN_MIB(J146:M146, $O145)</f>
        <v>192</v>
      </c>
      <c r="Q146" s="350"/>
      <c r="R146" s="2"/>
      <c r="S146" s="2"/>
      <c r="AK146" s="2"/>
      <c r="AL146" s="2"/>
      <c r="AM146" s="2"/>
      <c r="AN146" s="2"/>
      <c r="AO146" s="2"/>
      <c r="AP146" s="2"/>
      <c r="AQ146" s="2"/>
      <c r="AR146" s="2"/>
      <c r="AS146" s="2"/>
      <c r="AT146" s="2"/>
    </row>
    <row r="147">
      <c r="E147" s="341"/>
      <c r="F147" s="342"/>
      <c r="G147" s="343"/>
      <c r="H147" s="346" t="s">
        <v>287</v>
      </c>
      <c r="I147" s="346" t="s">
        <v>282</v>
      </c>
      <c r="J147" s="344" t="s">
        <v>196</v>
      </c>
      <c r="K147" s="344"/>
      <c r="L147" s="344"/>
      <c r="M147" s="346"/>
      <c r="N147" s="346" t="s">
        <v>283</v>
      </c>
      <c r="O147" s="347"/>
      <c r="P147" s="348"/>
      <c r="Q147" s="347"/>
      <c r="R147" s="2"/>
      <c r="S147" s="2"/>
      <c r="AK147" s="2"/>
      <c r="AL147" s="2"/>
      <c r="AM147" s="2"/>
      <c r="AN147" s="2"/>
      <c r="AO147" s="2"/>
      <c r="AP147" s="2"/>
      <c r="AQ147" s="2"/>
      <c r="AR147" s="2"/>
      <c r="AS147" s="2"/>
      <c r="AT147" s="2"/>
    </row>
    <row r="148">
      <c r="E148" s="341"/>
      <c r="F148" s="353"/>
      <c r="G148" s="354"/>
      <c r="H148" s="349" t="s">
        <v>289</v>
      </c>
      <c r="I148" s="349" t="s">
        <v>282</v>
      </c>
      <c r="J148" s="349">
        <f t="shared" ref="J148:M148" si="23">J146/SHARDING(J147)</f>
        <v>256</v>
      </c>
      <c r="K148" s="349">
        <f t="shared" si="23"/>
        <v>1</v>
      </c>
      <c r="L148" s="349">
        <f t="shared" si="23"/>
        <v>128</v>
      </c>
      <c r="M148" s="349">
        <f t="shared" si="23"/>
        <v>192</v>
      </c>
      <c r="N148" s="349" t="s">
        <v>283</v>
      </c>
      <c r="O148" s="316"/>
      <c r="P148" s="351">
        <f>SIZEOF_IN_MIB(J148:M148, $O145)</f>
        <v>12</v>
      </c>
      <c r="Q148" s="316"/>
      <c r="R148" s="2"/>
      <c r="S148" s="2"/>
      <c r="AK148" s="2"/>
      <c r="AL148" s="2"/>
      <c r="AM148" s="2"/>
      <c r="AN148" s="2"/>
      <c r="AO148" s="2"/>
      <c r="AP148" s="2"/>
      <c r="AQ148" s="2"/>
      <c r="AR148" s="2"/>
      <c r="AS148" s="2"/>
      <c r="AT148" s="2"/>
    </row>
    <row r="149">
      <c r="E149" s="341"/>
      <c r="F149" s="474" t="s">
        <v>335</v>
      </c>
      <c r="G149" s="551" t="s">
        <v>683</v>
      </c>
      <c r="H149" s="910"/>
      <c r="I149" s="911" t="s">
        <v>684</v>
      </c>
      <c r="J149" s="381"/>
      <c r="K149" s="787"/>
      <c r="L149" s="907"/>
      <c r="M149" s="907"/>
      <c r="N149" s="907"/>
      <c r="O149" s="787"/>
      <c r="P149" s="908"/>
      <c r="Q149" s="787"/>
      <c r="R149" s="2"/>
      <c r="S149" s="2"/>
      <c r="AK149" s="2"/>
      <c r="AL149" s="2"/>
      <c r="AM149" s="2"/>
      <c r="AN149" s="2"/>
      <c r="AO149" s="2"/>
      <c r="AP149" s="2"/>
      <c r="AQ149" s="2"/>
      <c r="AR149" s="2"/>
      <c r="AS149" s="2"/>
      <c r="AT149" s="2"/>
    </row>
    <row r="150">
      <c r="E150" s="341"/>
      <c r="F150" s="341"/>
      <c r="G150" s="458" t="s">
        <v>338</v>
      </c>
      <c r="H150" s="605" t="str">
        <f>K143</f>
        <v>data</v>
      </c>
      <c r="I150" s="298"/>
      <c r="J150" s="478"/>
      <c r="K150" s="336"/>
      <c r="L150" s="349"/>
      <c r="M150" s="349"/>
      <c r="N150" s="349"/>
      <c r="O150" s="336"/>
      <c r="P150" s="351"/>
      <c r="Q150" s="298"/>
      <c r="R150" s="2"/>
      <c r="S150" s="2"/>
      <c r="AK150" s="2"/>
      <c r="AL150" s="2"/>
      <c r="AM150" s="2"/>
      <c r="AN150" s="2"/>
      <c r="AO150" s="2"/>
      <c r="AP150" s="2"/>
      <c r="AQ150" s="2"/>
      <c r="AR150" s="2"/>
      <c r="AS150" s="2"/>
      <c r="AT150" s="2"/>
    </row>
    <row r="151">
      <c r="E151" s="341"/>
      <c r="F151" s="341"/>
      <c r="G151" s="458" t="s">
        <v>339</v>
      </c>
      <c r="H151" s="481" t="s">
        <v>306</v>
      </c>
      <c r="I151" s="387"/>
      <c r="J151" s="912">
        <v>2.0</v>
      </c>
      <c r="K151" s="345"/>
      <c r="L151" s="346"/>
      <c r="M151" s="346"/>
      <c r="N151" s="346"/>
      <c r="O151" s="345"/>
      <c r="P151" s="348"/>
      <c r="Q151" s="379"/>
      <c r="R151" s="2"/>
      <c r="S151" s="2"/>
      <c r="AK151" s="2"/>
      <c r="AL151" s="2"/>
      <c r="AM151" s="2"/>
      <c r="AN151" s="2"/>
      <c r="AO151" s="2"/>
      <c r="AP151" s="2"/>
      <c r="AQ151" s="2"/>
      <c r="AR151" s="2"/>
      <c r="AS151" s="2"/>
      <c r="AT151" s="2"/>
    </row>
    <row r="152">
      <c r="E152" s="341"/>
      <c r="F152" s="341"/>
      <c r="G152" s="341"/>
      <c r="H152" s="485" t="s">
        <v>307</v>
      </c>
      <c r="I152" s="391"/>
      <c r="J152" s="390">
        <f>P148/J151 * (J151-1)</f>
        <v>6</v>
      </c>
      <c r="K152" s="336"/>
      <c r="L152" s="349"/>
      <c r="M152" s="349"/>
      <c r="N152" s="349"/>
      <c r="O152" s="336"/>
      <c r="P152" s="351"/>
      <c r="Q152" s="298"/>
      <c r="R152" s="2"/>
      <c r="S152" s="2"/>
      <c r="AK152" s="2"/>
      <c r="AL152" s="2"/>
      <c r="AM152" s="2"/>
      <c r="AN152" s="2"/>
      <c r="AO152" s="2"/>
      <c r="AP152" s="2"/>
      <c r="AQ152" s="2"/>
      <c r="AR152" s="2"/>
      <c r="AS152" s="2"/>
      <c r="AT152" s="2"/>
    </row>
    <row r="153">
      <c r="E153" s="341"/>
      <c r="F153" s="341"/>
      <c r="G153" s="341"/>
      <c r="H153" s="481" t="s">
        <v>308</v>
      </c>
      <c r="I153" s="387"/>
      <c r="J153" s="395">
        <f>J152*J151</f>
        <v>12</v>
      </c>
      <c r="K153" s="345"/>
      <c r="L153" s="346"/>
      <c r="M153" s="346"/>
      <c r="N153" s="346"/>
      <c r="O153" s="345"/>
      <c r="P153" s="348"/>
      <c r="Q153" s="379"/>
      <c r="R153" s="2"/>
      <c r="S153" s="2"/>
      <c r="AK153" s="2"/>
      <c r="AL153" s="2"/>
      <c r="AM153" s="2"/>
      <c r="AN153" s="2"/>
      <c r="AO153" s="2"/>
      <c r="AP153" s="2"/>
      <c r="AQ153" s="2"/>
      <c r="AR153" s="2"/>
      <c r="AS153" s="2"/>
      <c r="AT153" s="2"/>
    </row>
    <row r="154">
      <c r="E154" s="341"/>
      <c r="F154" s="341"/>
      <c r="G154" s="352"/>
      <c r="H154" s="485" t="s">
        <v>311</v>
      </c>
      <c r="I154" s="391"/>
      <c r="J154" s="486" t="str">
        <f>ALL_GATHER_CORE2CORE_TIME_MS(J153)</f>
        <v>#N/A</v>
      </c>
      <c r="K154" s="336"/>
      <c r="L154" s="349"/>
      <c r="M154" s="349"/>
      <c r="N154" s="349"/>
      <c r="O154" s="336"/>
      <c r="P154" s="351"/>
      <c r="Q154" s="298"/>
      <c r="R154" s="2"/>
      <c r="S154" s="2"/>
      <c r="AK154" s="2"/>
      <c r="AL154" s="2"/>
      <c r="AM154" s="2"/>
      <c r="AN154" s="2"/>
      <c r="AO154" s="2"/>
      <c r="AP154" s="2"/>
      <c r="AQ154" s="2"/>
      <c r="AR154" s="2"/>
      <c r="AS154" s="2"/>
      <c r="AT154" s="2"/>
    </row>
    <row r="155">
      <c r="E155" s="341"/>
      <c r="F155" s="352"/>
      <c r="G155" s="462" t="s">
        <v>340</v>
      </c>
      <c r="H155" s="495" t="str">
        <f>J154</f>
        <v>#N/A</v>
      </c>
      <c r="I155" s="493"/>
      <c r="J155" s="345"/>
      <c r="K155" s="345"/>
      <c r="L155" s="346"/>
      <c r="M155" s="346"/>
      <c r="N155" s="346"/>
      <c r="O155" s="345"/>
      <c r="P155" s="348"/>
      <c r="Q155" s="379"/>
      <c r="R155" s="2"/>
      <c r="S155" s="2"/>
      <c r="AK155" s="2"/>
      <c r="AL155" s="2"/>
      <c r="AM155" s="2"/>
      <c r="AN155" s="2"/>
      <c r="AO155" s="2"/>
      <c r="AP155" s="2"/>
      <c r="AQ155" s="2"/>
      <c r="AR155" s="2"/>
      <c r="AS155" s="2"/>
      <c r="AT155" s="2"/>
    </row>
    <row r="156">
      <c r="E156" s="341"/>
      <c r="F156" s="458" t="s">
        <v>327</v>
      </c>
      <c r="G156" s="459" t="s">
        <v>328</v>
      </c>
      <c r="H156" s="349" t="str">
        <f>VLOOKUP(O137&amp;","&amp;O141,$T$3:$W$12,4, FALSE)</f>
        <v>bf16</v>
      </c>
      <c r="I156" s="492"/>
      <c r="J156" s="336"/>
      <c r="K156" s="336"/>
      <c r="L156" s="349"/>
      <c r="M156" s="349"/>
      <c r="N156" s="349"/>
      <c r="O156" s="336"/>
      <c r="P156" s="351"/>
      <c r="Q156" s="298"/>
      <c r="R156" s="2"/>
      <c r="S156" s="2"/>
      <c r="AK156" s="2"/>
      <c r="AL156" s="2"/>
      <c r="AM156" s="2"/>
      <c r="AN156" s="2"/>
      <c r="AO156" s="2"/>
      <c r="AP156" s="2"/>
      <c r="AQ156" s="2"/>
      <c r="AR156" s="2"/>
      <c r="AS156" s="2"/>
      <c r="AT156" s="2"/>
    </row>
    <row r="157">
      <c r="E157" s="341"/>
      <c r="F157" s="341"/>
      <c r="G157" s="455" t="s">
        <v>341</v>
      </c>
      <c r="H157" s="550" t="str">
        <f>CALCULATE_FLOPS(K140:M140,K144:M144,K144,1,H156)</f>
        <v>#N/A</v>
      </c>
      <c r="I157" s="493"/>
      <c r="J157" s="345"/>
      <c r="K157" s="345"/>
      <c r="L157" s="346"/>
      <c r="M157" s="346"/>
      <c r="N157" s="346"/>
      <c r="O157" s="345"/>
      <c r="P157" s="348"/>
      <c r="Q157" s="379"/>
      <c r="R157" s="2"/>
      <c r="S157" s="2"/>
      <c r="AK157" s="2"/>
      <c r="AL157" s="2"/>
      <c r="AM157" s="2"/>
      <c r="AN157" s="2"/>
      <c r="AO157" s="2"/>
      <c r="AP157" s="2"/>
      <c r="AQ157" s="2"/>
      <c r="AR157" s="2"/>
      <c r="AS157" s="2"/>
      <c r="AT157" s="2"/>
    </row>
    <row r="158">
      <c r="A158" s="207"/>
      <c r="B158" s="2"/>
      <c r="C158" s="2"/>
      <c r="D158" s="2"/>
      <c r="E158" s="341"/>
      <c r="F158" s="352"/>
      <c r="G158" s="462" t="s">
        <v>330</v>
      </c>
      <c r="H158" s="495" t="str">
        <f>COMPUTE_TIME_MS(H157, H156)</f>
        <v>#N/A</v>
      </c>
      <c r="I158" s="464"/>
      <c r="J158" s="465"/>
      <c r="K158" s="465"/>
      <c r="L158" s="466"/>
      <c r="M158" s="466"/>
      <c r="N158" s="466"/>
      <c r="O158" s="465"/>
      <c r="P158" s="467"/>
      <c r="Q158" s="298"/>
      <c r="R158" s="2"/>
      <c r="S158" s="2"/>
      <c r="AK158" s="2"/>
      <c r="AL158" s="2"/>
      <c r="AM158" s="2"/>
      <c r="AN158" s="2"/>
      <c r="AO158" s="2"/>
      <c r="AP158" s="2"/>
      <c r="AQ158" s="2"/>
      <c r="AR158" s="2"/>
      <c r="AS158" s="2"/>
      <c r="AT158" s="2"/>
    </row>
    <row r="159">
      <c r="A159" s="207"/>
      <c r="B159" s="2"/>
      <c r="C159" s="2"/>
      <c r="D159" s="2"/>
      <c r="E159" s="341"/>
      <c r="F159" s="458" t="s">
        <v>331</v>
      </c>
      <c r="G159" s="455" t="s">
        <v>332</v>
      </c>
      <c r="H159" s="509">
        <f>IF(Q137,0,P140)+IF(Q141,0,P144)+IF(Q145,0,P148)</f>
        <v>48.75</v>
      </c>
      <c r="I159" s="345"/>
      <c r="J159" s="345"/>
      <c r="K159" s="345"/>
      <c r="L159" s="346"/>
      <c r="M159" s="346"/>
      <c r="N159" s="346"/>
      <c r="O159" s="345"/>
      <c r="P159" s="348"/>
      <c r="Q159" s="379"/>
      <c r="R159" s="2"/>
      <c r="S159" s="2"/>
      <c r="AK159" s="2"/>
      <c r="AL159" s="2"/>
      <c r="AM159" s="2"/>
      <c r="AN159" s="2"/>
      <c r="AO159" s="2"/>
      <c r="AP159" s="2"/>
      <c r="AQ159" s="2"/>
      <c r="AR159" s="2"/>
      <c r="AS159" s="2"/>
      <c r="AT159" s="2"/>
    </row>
    <row r="160">
      <c r="A160" s="2"/>
      <c r="B160" s="2"/>
      <c r="C160" s="2"/>
      <c r="D160" s="2"/>
      <c r="E160" s="352"/>
      <c r="F160" s="352"/>
      <c r="G160" s="469" t="s">
        <v>333</v>
      </c>
      <c r="H160" s="496" t="str">
        <f>HBM_TIME_MS(H159)</f>
        <v>#N/A</v>
      </c>
      <c r="I160" s="465"/>
      <c r="J160" s="465"/>
      <c r="K160" s="465"/>
      <c r="L160" s="466"/>
      <c r="M160" s="466"/>
      <c r="N160" s="466"/>
      <c r="O160" s="465"/>
      <c r="P160" s="467"/>
      <c r="Q160" s="298"/>
      <c r="R160" s="2"/>
      <c r="S160" s="2"/>
      <c r="AK160" s="2"/>
      <c r="AL160" s="2"/>
      <c r="AM160" s="2"/>
      <c r="AN160" s="2"/>
      <c r="AO160" s="2"/>
      <c r="AP160" s="2"/>
      <c r="AQ160" s="2"/>
      <c r="AR160" s="2"/>
      <c r="AS160" s="2"/>
      <c r="AT160" s="2"/>
    </row>
    <row r="161">
      <c r="A161" s="161"/>
      <c r="B161" s="161"/>
      <c r="C161" s="161"/>
      <c r="D161" s="161"/>
      <c r="E161" s="333" t="s">
        <v>342</v>
      </c>
      <c r="F161" s="357" t="s">
        <v>292</v>
      </c>
      <c r="G161" s="335"/>
      <c r="H161" s="364" t="s">
        <v>281</v>
      </c>
      <c r="I161" s="364" t="s">
        <v>282</v>
      </c>
      <c r="J161" s="273" t="s">
        <v>104</v>
      </c>
      <c r="K161" s="273" t="s">
        <v>102</v>
      </c>
      <c r="L161" s="273" t="s">
        <v>207</v>
      </c>
      <c r="M161" s="472" t="s">
        <v>201</v>
      </c>
      <c r="N161" s="364" t="s">
        <v>283</v>
      </c>
      <c r="O161" s="365" t="str">
        <f>EXTRACT_ACTIVATION_DTYPE(PARAMS("attn_proj_dtype"))</f>
        <v>bf16</v>
      </c>
      <c r="P161" s="366"/>
      <c r="Q161" s="365" t="b">
        <v>0</v>
      </c>
      <c r="R161" s="2"/>
      <c r="S161" s="2"/>
      <c r="AK161" s="2"/>
      <c r="AL161" s="2"/>
      <c r="AM161" s="2"/>
      <c r="AN161" s="2"/>
      <c r="AO161" s="2"/>
      <c r="AP161" s="2"/>
      <c r="AQ161" s="2"/>
      <c r="AR161" s="2"/>
      <c r="AS161" s="2"/>
      <c r="AT161" s="2"/>
    </row>
    <row r="162">
      <c r="A162" s="161"/>
      <c r="B162" s="161"/>
      <c r="C162" s="161"/>
      <c r="D162" s="161"/>
      <c r="E162" s="341"/>
      <c r="F162" s="342"/>
      <c r="G162" s="343"/>
      <c r="H162" s="273" t="s">
        <v>285</v>
      </c>
      <c r="I162" s="364" t="s">
        <v>282</v>
      </c>
      <c r="J162" s="363">
        <f t="shared" ref="J162:M162" si="24">PARAMS(J161)</f>
        <v>4096</v>
      </c>
      <c r="K162" s="364">
        <f t="shared" si="24"/>
        <v>1</v>
      </c>
      <c r="L162" s="364">
        <f t="shared" si="24"/>
        <v>128</v>
      </c>
      <c r="M162" s="364">
        <f t="shared" si="24"/>
        <v>128</v>
      </c>
      <c r="N162" s="364" t="s">
        <v>283</v>
      </c>
      <c r="O162" s="341"/>
      <c r="P162" s="366">
        <f>SIZEOF_IN_MIB(J162:M162, $O161)</f>
        <v>128</v>
      </c>
      <c r="Q162" s="341"/>
      <c r="R162" s="2"/>
      <c r="S162" s="2"/>
      <c r="AK162" s="2"/>
      <c r="AL162" s="2"/>
      <c r="AM162" s="2"/>
      <c r="AN162" s="2"/>
      <c r="AO162" s="2"/>
      <c r="AP162" s="2"/>
      <c r="AQ162" s="2"/>
      <c r="AR162" s="2"/>
      <c r="AS162" s="2"/>
      <c r="AT162" s="2"/>
    </row>
    <row r="163">
      <c r="A163" s="161"/>
      <c r="B163" s="161"/>
      <c r="C163" s="161"/>
      <c r="D163" s="161"/>
      <c r="E163" s="341"/>
      <c r="F163" s="342"/>
      <c r="G163" s="343"/>
      <c r="H163" s="363" t="s">
        <v>287</v>
      </c>
      <c r="I163" s="363" t="s">
        <v>282</v>
      </c>
      <c r="J163" s="273" t="s">
        <v>196</v>
      </c>
      <c r="K163" s="273"/>
      <c r="L163" s="273"/>
      <c r="M163" s="363"/>
      <c r="N163" s="363" t="s">
        <v>283</v>
      </c>
      <c r="O163" s="341"/>
      <c r="P163" s="366"/>
      <c r="Q163" s="341"/>
      <c r="R163" s="2"/>
      <c r="S163" s="2"/>
      <c r="AG163" s="2"/>
      <c r="AH163" s="2"/>
      <c r="AI163" s="2"/>
      <c r="AJ163" s="2"/>
      <c r="AK163" s="2"/>
      <c r="AL163" s="2"/>
      <c r="AM163" s="2"/>
      <c r="AN163" s="2"/>
      <c r="AO163" s="2"/>
      <c r="AP163" s="2"/>
      <c r="AQ163" s="2"/>
      <c r="AR163" s="2"/>
      <c r="AS163" s="2"/>
      <c r="AT163" s="2"/>
    </row>
    <row r="164">
      <c r="A164" s="161"/>
      <c r="B164" s="161"/>
      <c r="C164" s="161"/>
      <c r="D164" s="161"/>
      <c r="E164" s="341"/>
      <c r="F164" s="353"/>
      <c r="G164" s="354"/>
      <c r="H164" s="273" t="s">
        <v>289</v>
      </c>
      <c r="I164" s="363" t="s">
        <v>282</v>
      </c>
      <c r="J164" s="363">
        <f t="shared" ref="J164:M164" si="25">J162/SHARDING(J163)</f>
        <v>256</v>
      </c>
      <c r="K164" s="363">
        <f t="shared" si="25"/>
        <v>1</v>
      </c>
      <c r="L164" s="363">
        <f t="shared" si="25"/>
        <v>128</v>
      </c>
      <c r="M164" s="363">
        <f t="shared" si="25"/>
        <v>128</v>
      </c>
      <c r="N164" s="363" t="s">
        <v>283</v>
      </c>
      <c r="O164" s="352"/>
      <c r="P164" s="366">
        <f>SIZEOF_IN_MIB(J164:M164, $O161)</f>
        <v>8</v>
      </c>
      <c r="Q164" s="352"/>
      <c r="R164" s="2"/>
      <c r="S164" s="2"/>
      <c r="AG164" s="2"/>
      <c r="AH164" s="2"/>
      <c r="AI164" s="2"/>
      <c r="AJ164" s="2"/>
      <c r="AK164" s="2"/>
      <c r="AL164" s="2"/>
      <c r="AM164" s="2"/>
      <c r="AN164" s="2"/>
      <c r="AO164" s="2"/>
      <c r="AP164" s="2"/>
      <c r="AQ164" s="2"/>
      <c r="AR164" s="2"/>
      <c r="AS164" s="2"/>
      <c r="AT164" s="2"/>
    </row>
    <row r="165">
      <c r="A165" s="161"/>
      <c r="B165" s="161"/>
      <c r="C165" s="161"/>
      <c r="D165" s="161"/>
      <c r="E165" s="341"/>
      <c r="F165" s="334" t="s">
        <v>296</v>
      </c>
      <c r="G165" s="335"/>
      <c r="H165" s="363" t="s">
        <v>281</v>
      </c>
      <c r="I165" s="363" t="s">
        <v>282</v>
      </c>
      <c r="J165" s="364"/>
      <c r="K165" s="273" t="s">
        <v>207</v>
      </c>
      <c r="L165" s="472" t="s">
        <v>201</v>
      </c>
      <c r="M165" s="273" t="s">
        <v>198</v>
      </c>
      <c r="N165" s="363" t="s">
        <v>283</v>
      </c>
      <c r="O165" s="365" t="str">
        <f>EXTRACT_WEIGHT_DTYPE(PARAMS("attn_proj_dtype"))</f>
        <v>bf16</v>
      </c>
      <c r="P165" s="366"/>
      <c r="Q165" s="365" t="b">
        <v>0</v>
      </c>
      <c r="R165" s="2"/>
      <c r="S165" s="2"/>
      <c r="AG165" s="2"/>
      <c r="AH165" s="2"/>
      <c r="AI165" s="2"/>
      <c r="AJ165" s="2"/>
      <c r="AK165" s="2"/>
      <c r="AL165" s="2"/>
      <c r="AM165" s="2"/>
      <c r="AN165" s="2"/>
      <c r="AO165" s="2"/>
      <c r="AP165" s="2"/>
      <c r="AQ165" s="2"/>
      <c r="AR165" s="2"/>
      <c r="AS165" s="2"/>
      <c r="AT165" s="2"/>
    </row>
    <row r="166">
      <c r="A166" s="161"/>
      <c r="B166" s="161"/>
      <c r="C166" s="161"/>
      <c r="D166" s="161"/>
      <c r="E166" s="341"/>
      <c r="F166" s="342"/>
      <c r="G166" s="343"/>
      <c r="H166" s="273" t="s">
        <v>285</v>
      </c>
      <c r="I166" s="363" t="s">
        <v>282</v>
      </c>
      <c r="J166" s="364"/>
      <c r="K166" s="363">
        <f t="shared" ref="K166:M166" si="26">PARAMS(K165)</f>
        <v>128</v>
      </c>
      <c r="L166" s="363">
        <f t="shared" si="26"/>
        <v>128</v>
      </c>
      <c r="M166" s="363">
        <f t="shared" si="26"/>
        <v>512</v>
      </c>
      <c r="N166" s="363" t="s">
        <v>283</v>
      </c>
      <c r="O166" s="341"/>
      <c r="P166" s="366">
        <f>SIZEOF_IN_MIB(J166:M166, $O165)</f>
        <v>16</v>
      </c>
      <c r="Q166" s="341"/>
      <c r="R166" s="2"/>
      <c r="S166" s="2"/>
      <c r="AG166" s="2"/>
      <c r="AH166" s="2"/>
      <c r="AI166" s="2"/>
      <c r="AJ166" s="2"/>
      <c r="AK166" s="2"/>
      <c r="AL166" s="2"/>
      <c r="AM166" s="2"/>
      <c r="AN166" s="2"/>
      <c r="AO166" s="2"/>
      <c r="AP166" s="2"/>
      <c r="AQ166" s="2"/>
      <c r="AR166" s="2"/>
      <c r="AS166" s="2"/>
      <c r="AT166" s="2"/>
    </row>
    <row r="167">
      <c r="A167" s="161"/>
      <c r="B167" s="161"/>
      <c r="C167" s="161"/>
      <c r="D167" s="161"/>
      <c r="E167" s="341"/>
      <c r="F167" s="342"/>
      <c r="G167" s="343"/>
      <c r="H167" s="363" t="s">
        <v>287</v>
      </c>
      <c r="I167" s="363" t="s">
        <v>282</v>
      </c>
      <c r="J167" s="364"/>
      <c r="K167" s="364"/>
      <c r="L167" s="363"/>
      <c r="M167" s="363"/>
      <c r="N167" s="363" t="s">
        <v>283</v>
      </c>
      <c r="O167" s="341"/>
      <c r="P167" s="366"/>
      <c r="Q167" s="341"/>
      <c r="R167" s="2"/>
      <c r="S167" s="2"/>
      <c r="AG167" s="2"/>
      <c r="AH167" s="2"/>
      <c r="AI167" s="2"/>
      <c r="AJ167" s="2"/>
      <c r="AK167" s="2"/>
      <c r="AL167" s="2"/>
      <c r="AM167" s="2"/>
      <c r="AN167" s="2"/>
      <c r="AO167" s="2"/>
      <c r="AP167" s="2"/>
      <c r="AQ167" s="2"/>
      <c r="AR167" s="2"/>
      <c r="AS167" s="2"/>
      <c r="AT167" s="2"/>
    </row>
    <row r="168">
      <c r="A168" s="161"/>
      <c r="B168" s="161"/>
      <c r="C168" s="161"/>
      <c r="D168" s="161"/>
      <c r="E168" s="341"/>
      <c r="F168" s="353"/>
      <c r="G168" s="354"/>
      <c r="H168" s="349" t="s">
        <v>289</v>
      </c>
      <c r="I168" s="349" t="s">
        <v>282</v>
      </c>
      <c r="J168" s="336"/>
      <c r="K168" s="349">
        <f t="shared" ref="K168:M168" si="27">K166/SHARDING(K167)</f>
        <v>128</v>
      </c>
      <c r="L168" s="349">
        <f t="shared" si="27"/>
        <v>128</v>
      </c>
      <c r="M168" s="349">
        <f t="shared" si="27"/>
        <v>512</v>
      </c>
      <c r="N168" s="349" t="s">
        <v>283</v>
      </c>
      <c r="O168" s="316"/>
      <c r="P168" s="351">
        <f>SIZEOF_IN_MIB(J168:M168, $O165)</f>
        <v>16</v>
      </c>
      <c r="Q168" s="316"/>
      <c r="R168" s="2"/>
      <c r="S168" s="2"/>
      <c r="T168" s="284"/>
      <c r="U168" s="284"/>
      <c r="V168" s="284"/>
      <c r="W168" s="284"/>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161"/>
      <c r="B169" s="161"/>
      <c r="C169" s="161"/>
      <c r="D169" s="161"/>
      <c r="E169" s="341"/>
      <c r="F169" s="334" t="s">
        <v>56</v>
      </c>
      <c r="G169" s="335"/>
      <c r="H169" s="346" t="s">
        <v>281</v>
      </c>
      <c r="I169" s="346" t="s">
        <v>282</v>
      </c>
      <c r="J169" s="344" t="s">
        <v>104</v>
      </c>
      <c r="K169" s="344" t="s">
        <v>102</v>
      </c>
      <c r="L169" s="344" t="s">
        <v>207</v>
      </c>
      <c r="M169" s="344" t="s">
        <v>198</v>
      </c>
      <c r="N169" s="346" t="s">
        <v>283</v>
      </c>
      <c r="O169" s="473" t="s">
        <v>133</v>
      </c>
      <c r="P169" s="348"/>
      <c r="Q169" s="473" t="b">
        <v>0</v>
      </c>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41"/>
      <c r="F170" s="342"/>
      <c r="G170" s="343"/>
      <c r="H170" s="337" t="s">
        <v>285</v>
      </c>
      <c r="I170" s="349" t="s">
        <v>282</v>
      </c>
      <c r="J170" s="349">
        <f t="shared" ref="J170:M170" si="28">PARAMS(J169)</f>
        <v>4096</v>
      </c>
      <c r="K170" s="349">
        <f t="shared" si="28"/>
        <v>1</v>
      </c>
      <c r="L170" s="349">
        <f t="shared" si="28"/>
        <v>128</v>
      </c>
      <c r="M170" s="349">
        <f t="shared" si="28"/>
        <v>512</v>
      </c>
      <c r="N170" s="349" t="s">
        <v>283</v>
      </c>
      <c r="O170" s="350"/>
      <c r="P170" s="351">
        <f>SIZEOF_IN_MIB(J170:M170, $O169)</f>
        <v>512</v>
      </c>
      <c r="Q170" s="350"/>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41"/>
      <c r="F171" s="342"/>
      <c r="G171" s="343"/>
      <c r="H171" s="346" t="s">
        <v>287</v>
      </c>
      <c r="I171" s="346" t="s">
        <v>282</v>
      </c>
      <c r="J171" s="344" t="s">
        <v>196</v>
      </c>
      <c r="K171" s="344"/>
      <c r="L171" s="344"/>
      <c r="M171" s="346"/>
      <c r="N171" s="346" t="s">
        <v>283</v>
      </c>
      <c r="O171" s="347"/>
      <c r="P171" s="348"/>
      <c r="Q171" s="347"/>
      <c r="R171" s="2"/>
      <c r="S171" s="2"/>
      <c r="T171" s="284"/>
      <c r="U171" s="284"/>
      <c r="V171" s="284"/>
      <c r="W171" s="284"/>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53"/>
      <c r="G172" s="354"/>
      <c r="H172" s="349" t="s">
        <v>289</v>
      </c>
      <c r="I172" s="349" t="s">
        <v>282</v>
      </c>
      <c r="J172" s="349">
        <f t="shared" ref="J172:M172" si="29">J170/SHARDING(J171)</f>
        <v>256</v>
      </c>
      <c r="K172" s="349">
        <f t="shared" si="29"/>
        <v>1</v>
      </c>
      <c r="L172" s="349">
        <f t="shared" si="29"/>
        <v>128</v>
      </c>
      <c r="M172" s="349">
        <f t="shared" si="29"/>
        <v>512</v>
      </c>
      <c r="N172" s="349" t="s">
        <v>283</v>
      </c>
      <c r="O172" s="316"/>
      <c r="P172" s="351">
        <f>SIZEOF_IN_MIB(J172:M172, $O169)</f>
        <v>32</v>
      </c>
      <c r="Q172" s="316"/>
      <c r="R172" s="2"/>
      <c r="S172" s="2"/>
      <c r="T172" s="284"/>
      <c r="U172" s="284"/>
      <c r="V172" s="284"/>
      <c r="W172" s="284"/>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474" t="s">
        <v>335</v>
      </c>
      <c r="G173" s="459" t="s">
        <v>109</v>
      </c>
      <c r="H173" s="497"/>
      <c r="I173" s="498"/>
      <c r="J173" s="345"/>
      <c r="K173" s="345"/>
      <c r="L173" s="346"/>
      <c r="M173" s="346"/>
      <c r="N173" s="346"/>
      <c r="O173" s="345"/>
      <c r="P173" s="348"/>
      <c r="Q173" s="379"/>
      <c r="T173" s="4"/>
      <c r="U173" s="4"/>
      <c r="V173" s="4"/>
      <c r="W173" s="4"/>
    </row>
    <row r="174">
      <c r="A174" s="161"/>
      <c r="B174" s="2"/>
      <c r="C174" s="2"/>
      <c r="D174" s="2"/>
      <c r="E174" s="341"/>
      <c r="F174" s="352"/>
      <c r="G174" s="459"/>
      <c r="H174" s="349"/>
      <c r="I174" s="492"/>
      <c r="J174" s="336"/>
      <c r="K174" s="336"/>
      <c r="L174" s="349"/>
      <c r="M174" s="349"/>
      <c r="N174" s="349"/>
      <c r="O174" s="336"/>
      <c r="P174" s="351"/>
      <c r="Q174" s="298"/>
      <c r="T174" s="4"/>
      <c r="U174" s="4"/>
      <c r="V174" s="4"/>
      <c r="W174" s="4"/>
    </row>
    <row r="175">
      <c r="A175" s="2"/>
      <c r="B175" s="2"/>
      <c r="C175" s="2"/>
      <c r="D175" s="2"/>
      <c r="E175" s="341"/>
      <c r="F175" s="458" t="s">
        <v>327</v>
      </c>
      <c r="G175" s="459" t="s">
        <v>328</v>
      </c>
      <c r="H175" s="346" t="str">
        <f>VLOOKUP(O161&amp;","&amp;O165,$T$3:$W$12,4, FALSE)</f>
        <v>bf16</v>
      </c>
      <c r="I175" s="493"/>
      <c r="J175" s="345"/>
      <c r="K175" s="345"/>
      <c r="L175" s="346"/>
      <c r="M175" s="346"/>
      <c r="N175" s="346"/>
      <c r="O175" s="345"/>
      <c r="P175" s="348"/>
      <c r="Q175" s="379"/>
      <c r="T175" s="4"/>
      <c r="U175" s="4"/>
      <c r="V175" s="4"/>
      <c r="W175" s="4"/>
    </row>
    <row r="176">
      <c r="A176" s="161"/>
      <c r="B176" s="161"/>
      <c r="C176" s="161"/>
      <c r="D176" s="161"/>
      <c r="E176" s="341"/>
      <c r="F176" s="341"/>
      <c r="G176" s="455" t="s">
        <v>341</v>
      </c>
      <c r="H176" s="494" t="str">
        <f>CALCULATE_FLOPS(J164:M164,J168:M168,L168,K168,H175)</f>
        <v>#N/A</v>
      </c>
      <c r="I176" s="492"/>
      <c r="J176" s="336"/>
      <c r="K176" s="336"/>
      <c r="L176" s="349"/>
      <c r="M176" s="349"/>
      <c r="N176" s="349"/>
      <c r="O176" s="336"/>
      <c r="P176" s="351"/>
      <c r="Q176" s="298"/>
      <c r="T176" s="4"/>
      <c r="U176" s="4"/>
      <c r="V176" s="4"/>
      <c r="W176" s="4"/>
    </row>
    <row r="177">
      <c r="A177" s="161"/>
      <c r="B177" s="161"/>
      <c r="C177" s="161"/>
      <c r="D177" s="161"/>
      <c r="E177" s="341"/>
      <c r="F177" s="352"/>
      <c r="G177" s="462" t="s">
        <v>330</v>
      </c>
      <c r="H177" s="463" t="str">
        <f>COMPUTE_TIME_MS(H176, H175)</f>
        <v>#N/A</v>
      </c>
      <c r="I177" s="464"/>
      <c r="J177" s="465"/>
      <c r="K177" s="465"/>
      <c r="L177" s="466"/>
      <c r="M177" s="466"/>
      <c r="N177" s="466"/>
      <c r="O177" s="465"/>
      <c r="P177" s="467"/>
      <c r="Q177" s="379"/>
      <c r="T177" s="4"/>
      <c r="U177" s="4"/>
      <c r="V177" s="4"/>
      <c r="W177" s="4"/>
    </row>
    <row r="178">
      <c r="A178" s="161"/>
      <c r="B178" s="161"/>
      <c r="C178" s="161"/>
      <c r="D178" s="161"/>
      <c r="E178" s="341"/>
      <c r="F178" s="458" t="s">
        <v>331</v>
      </c>
      <c r="G178" s="455" t="s">
        <v>332</v>
      </c>
      <c r="H178" s="377">
        <f>IF(Q161,0,P164)+IF(Q165,0,P168)+IF(Q169,0,P172)</f>
        <v>56</v>
      </c>
      <c r="I178" s="336"/>
      <c r="J178" s="336"/>
      <c r="K178" s="336"/>
      <c r="L178" s="349"/>
      <c r="M178" s="349"/>
      <c r="N178" s="349"/>
      <c r="O178" s="336"/>
      <c r="P178" s="351"/>
      <c r="Q178" s="298"/>
      <c r="R178" s="2"/>
      <c r="S178" s="2"/>
      <c r="T178" s="284"/>
      <c r="U178" s="284"/>
      <c r="V178" s="284"/>
      <c r="W178" s="284"/>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61"/>
      <c r="B179" s="161"/>
      <c r="C179" s="161"/>
      <c r="D179" s="161"/>
      <c r="E179" s="352"/>
      <c r="F179" s="352"/>
      <c r="G179" s="469" t="s">
        <v>333</v>
      </c>
      <c r="H179" s="496" t="str">
        <f>HBM_TIME_MS(H178)</f>
        <v>#N/A</v>
      </c>
      <c r="I179" s="465"/>
      <c r="J179" s="465"/>
      <c r="K179" s="465"/>
      <c r="L179" s="466"/>
      <c r="M179" s="466"/>
      <c r="N179" s="466"/>
      <c r="O179" s="465"/>
      <c r="P179" s="467"/>
      <c r="Q179" s="379"/>
      <c r="R179" s="2"/>
      <c r="S179" s="2"/>
      <c r="T179" s="284"/>
      <c r="U179" s="284"/>
      <c r="V179" s="284"/>
      <c r="W179" s="284"/>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61"/>
      <c r="B180" s="161"/>
      <c r="C180" s="161"/>
      <c r="D180" s="161"/>
      <c r="E180" s="333" t="s">
        <v>343</v>
      </c>
      <c r="F180" s="357" t="s">
        <v>292</v>
      </c>
      <c r="G180" s="335"/>
      <c r="H180" s="336" t="s">
        <v>281</v>
      </c>
      <c r="I180" s="336" t="s">
        <v>282</v>
      </c>
      <c r="J180" s="337"/>
      <c r="K180" s="337" t="s">
        <v>104</v>
      </c>
      <c r="L180" s="337" t="s">
        <v>102</v>
      </c>
      <c r="M180" s="499" t="s">
        <v>178</v>
      </c>
      <c r="N180" s="336" t="s">
        <v>283</v>
      </c>
      <c r="O180" s="338" t="str">
        <f>EXTRACT_ACTIVATION_DTYPE(PARAMS("attn_proj_dtype"))</f>
        <v>bf16</v>
      </c>
      <c r="P180" s="351"/>
      <c r="Q180" s="338" t="b">
        <v>0</v>
      </c>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61"/>
      <c r="B181" s="161"/>
      <c r="C181" s="161"/>
      <c r="D181" s="161"/>
      <c r="E181" s="341"/>
      <c r="F181" s="342"/>
      <c r="G181" s="343"/>
      <c r="H181" s="273" t="s">
        <v>285</v>
      </c>
      <c r="I181" s="364" t="s">
        <v>282</v>
      </c>
      <c r="J181" s="363"/>
      <c r="K181" s="363">
        <f t="shared" ref="K181:M181" si="30">PARAMS(K180)</f>
        <v>4096</v>
      </c>
      <c r="L181" s="364">
        <f t="shared" si="30"/>
        <v>1</v>
      </c>
      <c r="M181" s="364">
        <f t="shared" si="30"/>
        <v>7168</v>
      </c>
      <c r="N181" s="364" t="s">
        <v>283</v>
      </c>
      <c r="O181" s="341"/>
      <c r="P181" s="366">
        <f>SIZEOF_IN_MIB(J181:M181, $O180)</f>
        <v>56</v>
      </c>
      <c r="Q181" s="341"/>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 r="A182" s="161"/>
      <c r="B182" s="161"/>
      <c r="C182" s="161"/>
      <c r="D182" s="161"/>
      <c r="E182" s="341"/>
      <c r="F182" s="342"/>
      <c r="G182" s="343"/>
      <c r="H182" s="363" t="s">
        <v>287</v>
      </c>
      <c r="I182" s="363" t="s">
        <v>282</v>
      </c>
      <c r="J182" s="364"/>
      <c r="K182" s="273" t="s">
        <v>196</v>
      </c>
      <c r="L182" s="273"/>
      <c r="M182" s="363"/>
      <c r="N182" s="363" t="s">
        <v>283</v>
      </c>
      <c r="O182" s="341"/>
      <c r="P182" s="366"/>
      <c r="Q182" s="341"/>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 r="A183" s="161"/>
      <c r="B183" s="161"/>
      <c r="C183" s="161"/>
      <c r="D183" s="161"/>
      <c r="E183" s="341"/>
      <c r="F183" s="353"/>
      <c r="G183" s="354"/>
      <c r="H183" s="273" t="s">
        <v>289</v>
      </c>
      <c r="I183" s="363" t="s">
        <v>282</v>
      </c>
      <c r="J183" s="364"/>
      <c r="K183" s="363">
        <f t="shared" ref="K183:M183" si="31">K181/SHARDING(K182)</f>
        <v>256</v>
      </c>
      <c r="L183" s="363">
        <f t="shared" si="31"/>
        <v>1</v>
      </c>
      <c r="M183" s="363">
        <f t="shared" si="31"/>
        <v>7168</v>
      </c>
      <c r="N183" s="363" t="s">
        <v>283</v>
      </c>
      <c r="O183" s="352"/>
      <c r="P183" s="366">
        <f>SIZEOF_IN_MIB(J183:M183, $O180)</f>
        <v>3.5</v>
      </c>
      <c r="Q183" s="35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 r="A184" s="161"/>
      <c r="B184" s="161"/>
      <c r="C184" s="161"/>
      <c r="D184" s="161"/>
      <c r="E184" s="341"/>
      <c r="F184" s="334" t="s">
        <v>296</v>
      </c>
      <c r="G184" s="335"/>
      <c r="H184" s="363" t="s">
        <v>281</v>
      </c>
      <c r="I184" s="363" t="s">
        <v>282</v>
      </c>
      <c r="J184" s="364"/>
      <c r="K184" s="273"/>
      <c r="L184" s="472" t="s">
        <v>178</v>
      </c>
      <c r="M184" s="273" t="s">
        <v>210</v>
      </c>
      <c r="N184" s="363" t="s">
        <v>283</v>
      </c>
      <c r="O184" s="365" t="str">
        <f>EXTRACT_WEIGHT_DTYPE(PARAMS("attn_proj_dtype"))</f>
        <v>bf16</v>
      </c>
      <c r="P184" s="366"/>
      <c r="Q184" s="365" t="b">
        <v>0</v>
      </c>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 r="A185" s="161"/>
      <c r="B185" s="161"/>
      <c r="C185" s="161"/>
      <c r="D185" s="161"/>
      <c r="E185" s="341"/>
      <c r="F185" s="342"/>
      <c r="G185" s="343"/>
      <c r="H185" s="273" t="s">
        <v>285</v>
      </c>
      <c r="I185" s="363" t="s">
        <v>282</v>
      </c>
      <c r="J185" s="364"/>
      <c r="K185" s="363"/>
      <c r="L185" s="363">
        <f t="shared" ref="L185:M185" si="32">PARAMS(L184)</f>
        <v>7168</v>
      </c>
      <c r="M185" s="363">
        <f t="shared" si="32"/>
        <v>576</v>
      </c>
      <c r="N185" s="363" t="s">
        <v>283</v>
      </c>
      <c r="O185" s="341"/>
      <c r="P185" s="366">
        <f>SIZEOF_IN_MIB(J185:M185, $O184)</f>
        <v>7.875</v>
      </c>
      <c r="Q185" s="341"/>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 r="A186" s="161"/>
      <c r="B186" s="161"/>
      <c r="C186" s="161"/>
      <c r="D186" s="161"/>
      <c r="E186" s="341"/>
      <c r="F186" s="342"/>
      <c r="G186" s="343"/>
      <c r="H186" s="363" t="s">
        <v>287</v>
      </c>
      <c r="I186" s="363" t="s">
        <v>282</v>
      </c>
      <c r="J186" s="364"/>
      <c r="K186" s="364"/>
      <c r="L186" s="363"/>
      <c r="M186" s="363"/>
      <c r="N186" s="363" t="s">
        <v>283</v>
      </c>
      <c r="O186" s="341"/>
      <c r="P186" s="366"/>
      <c r="Q186" s="341"/>
    </row>
    <row r="187">
      <c r="A187" s="161"/>
      <c r="B187" s="161"/>
      <c r="C187" s="161"/>
      <c r="D187" s="161"/>
      <c r="E187" s="341"/>
      <c r="F187" s="353"/>
      <c r="G187" s="354"/>
      <c r="H187" s="349" t="s">
        <v>289</v>
      </c>
      <c r="I187" s="349" t="s">
        <v>282</v>
      </c>
      <c r="J187" s="336"/>
      <c r="K187" s="349"/>
      <c r="L187" s="349">
        <f t="shared" ref="L187:M187" si="33">L185/SHARDING(L186)</f>
        <v>7168</v>
      </c>
      <c r="M187" s="349">
        <f t="shared" si="33"/>
        <v>576</v>
      </c>
      <c r="N187" s="349" t="s">
        <v>283</v>
      </c>
      <c r="O187" s="316"/>
      <c r="P187" s="351">
        <f>SIZEOF_IN_MIB(J187:M187, $O184)</f>
        <v>7.875</v>
      </c>
      <c r="Q187" s="316"/>
    </row>
    <row r="188">
      <c r="A188" s="161"/>
      <c r="B188" s="161"/>
      <c r="C188" s="161"/>
      <c r="D188" s="161"/>
      <c r="E188" s="341"/>
      <c r="F188" s="334" t="s">
        <v>56</v>
      </c>
      <c r="G188" s="335"/>
      <c r="H188" s="346" t="s">
        <v>281</v>
      </c>
      <c r="I188" s="346" t="s">
        <v>282</v>
      </c>
      <c r="J188" s="345"/>
      <c r="K188" s="344" t="s">
        <v>104</v>
      </c>
      <c r="L188" s="344" t="s">
        <v>102</v>
      </c>
      <c r="M188" s="344" t="s">
        <v>210</v>
      </c>
      <c r="N188" s="346" t="s">
        <v>283</v>
      </c>
      <c r="O188" s="473" t="s">
        <v>133</v>
      </c>
      <c r="P188" s="348"/>
      <c r="Q188" s="473" t="b">
        <v>0</v>
      </c>
    </row>
    <row r="189">
      <c r="A189" s="161"/>
      <c r="B189" s="2"/>
      <c r="C189" s="2"/>
      <c r="D189" s="2"/>
      <c r="E189" s="341"/>
      <c r="F189" s="342"/>
      <c r="G189" s="343"/>
      <c r="H189" s="337" t="s">
        <v>285</v>
      </c>
      <c r="I189" s="349" t="s">
        <v>282</v>
      </c>
      <c r="J189" s="336"/>
      <c r="K189" s="349">
        <f t="shared" ref="K189:M189" si="34">PARAMS(K188)</f>
        <v>4096</v>
      </c>
      <c r="L189" s="349">
        <f t="shared" si="34"/>
        <v>1</v>
      </c>
      <c r="M189" s="349">
        <f t="shared" si="34"/>
        <v>576</v>
      </c>
      <c r="N189" s="349" t="s">
        <v>283</v>
      </c>
      <c r="O189" s="350"/>
      <c r="P189" s="351">
        <f>SIZEOF_IN_MIB(K189:M189, $O188)</f>
        <v>4.5</v>
      </c>
      <c r="Q189" s="350"/>
    </row>
    <row r="190">
      <c r="A190" s="2"/>
      <c r="B190" s="2"/>
      <c r="C190" s="2"/>
      <c r="D190" s="2"/>
      <c r="E190" s="341"/>
      <c r="F190" s="342"/>
      <c r="G190" s="343"/>
      <c r="H190" s="346" t="s">
        <v>287</v>
      </c>
      <c r="I190" s="346" t="s">
        <v>282</v>
      </c>
      <c r="J190" s="345"/>
      <c r="K190" s="344" t="s">
        <v>196</v>
      </c>
      <c r="L190" s="344"/>
      <c r="M190" s="346"/>
      <c r="N190" s="346" t="s">
        <v>283</v>
      </c>
      <c r="O190" s="347"/>
      <c r="P190" s="348"/>
      <c r="Q190" s="347"/>
    </row>
    <row r="191">
      <c r="A191" s="161"/>
      <c r="B191" s="161"/>
      <c r="C191" s="161"/>
      <c r="D191" s="161"/>
      <c r="E191" s="341"/>
      <c r="F191" s="353"/>
      <c r="G191" s="354"/>
      <c r="H191" s="349" t="s">
        <v>289</v>
      </c>
      <c r="I191" s="349" t="s">
        <v>282</v>
      </c>
      <c r="J191" s="349"/>
      <c r="K191" s="349">
        <f t="shared" ref="K191:M191" si="35">K189/SHARDING(K190)</f>
        <v>256</v>
      </c>
      <c r="L191" s="349">
        <f t="shared" si="35"/>
        <v>1</v>
      </c>
      <c r="M191" s="349">
        <f t="shared" si="35"/>
        <v>576</v>
      </c>
      <c r="N191" s="349" t="s">
        <v>283</v>
      </c>
      <c r="O191" s="316"/>
      <c r="P191" s="351">
        <f>SIZEOF_IN_MIB(K191:M191, $O188)</f>
        <v>0.28125</v>
      </c>
      <c r="Q191" s="316"/>
    </row>
    <row r="192">
      <c r="A192" s="161"/>
      <c r="B192" s="161"/>
      <c r="C192" s="161"/>
      <c r="D192" s="161"/>
      <c r="E192" s="341"/>
      <c r="F192" s="474" t="s">
        <v>335</v>
      </c>
      <c r="G192" s="459" t="s">
        <v>109</v>
      </c>
      <c r="H192" s="497"/>
      <c r="I192" s="498"/>
      <c r="J192" s="345"/>
      <c r="K192" s="345"/>
      <c r="L192" s="346"/>
      <c r="M192" s="346"/>
      <c r="N192" s="346"/>
      <c r="O192" s="345"/>
      <c r="P192" s="348"/>
      <c r="Q192" s="379"/>
    </row>
    <row r="193">
      <c r="A193" s="161"/>
      <c r="B193" s="161"/>
      <c r="C193" s="161"/>
      <c r="D193" s="161"/>
      <c r="E193" s="341"/>
      <c r="F193" s="352"/>
      <c r="G193" s="459"/>
      <c r="H193" s="349"/>
      <c r="I193" s="492"/>
      <c r="J193" s="336"/>
      <c r="K193" s="336"/>
      <c r="L193" s="349"/>
      <c r="M193" s="349"/>
      <c r="N193" s="349"/>
      <c r="O193" s="336"/>
      <c r="P193" s="351"/>
      <c r="Q193" s="298"/>
    </row>
    <row r="194">
      <c r="A194" s="161"/>
      <c r="B194" s="161"/>
      <c r="C194" s="161"/>
      <c r="D194" s="161"/>
      <c r="E194" s="341"/>
      <c r="F194" s="458" t="s">
        <v>327</v>
      </c>
      <c r="G194" s="459" t="s">
        <v>328</v>
      </c>
      <c r="H194" s="346" t="str">
        <f>VLOOKUP(O180&amp;","&amp;O184,$T$3:$W$12,4, FALSE)</f>
        <v>bf16</v>
      </c>
      <c r="I194" s="493"/>
      <c r="J194" s="345"/>
      <c r="K194" s="345"/>
      <c r="L194" s="346"/>
      <c r="M194" s="346"/>
      <c r="N194" s="346"/>
      <c r="O194" s="345"/>
      <c r="P194" s="348"/>
      <c r="Q194" s="379"/>
    </row>
    <row r="195">
      <c r="A195" s="161"/>
      <c r="B195" s="161"/>
      <c r="C195" s="161"/>
      <c r="D195" s="161"/>
      <c r="E195" s="341"/>
      <c r="F195" s="341"/>
      <c r="G195" s="455" t="s">
        <v>341</v>
      </c>
      <c r="H195" s="494" t="str">
        <f>CALCULATE_FLOPS(J164:M164,J168:M168,L168,K168,H175)</f>
        <v>#N/A</v>
      </c>
      <c r="I195" s="492"/>
      <c r="J195" s="336"/>
      <c r="K195" s="336"/>
      <c r="L195" s="349"/>
      <c r="M195" s="349"/>
      <c r="N195" s="349"/>
      <c r="O195" s="336"/>
      <c r="P195" s="351"/>
      <c r="Q195" s="298"/>
    </row>
    <row r="196">
      <c r="A196" s="161"/>
      <c r="B196" s="161"/>
      <c r="C196" s="161"/>
      <c r="D196" s="161"/>
      <c r="E196" s="341"/>
      <c r="F196" s="352"/>
      <c r="G196" s="462" t="s">
        <v>330</v>
      </c>
      <c r="H196" s="495" t="str">
        <f>COMPUTE_TIME_MS(H195, H194)</f>
        <v>#N/A</v>
      </c>
      <c r="I196" s="464"/>
      <c r="J196" s="465"/>
      <c r="K196" s="465"/>
      <c r="L196" s="466"/>
      <c r="M196" s="466"/>
      <c r="N196" s="466"/>
      <c r="O196" s="465"/>
      <c r="P196" s="467"/>
      <c r="Q196" s="379"/>
    </row>
    <row r="197">
      <c r="A197" s="161"/>
      <c r="B197" s="161"/>
      <c r="C197" s="161"/>
      <c r="D197" s="161"/>
      <c r="E197" s="341"/>
      <c r="F197" s="458" t="s">
        <v>331</v>
      </c>
      <c r="G197" s="455" t="s">
        <v>332</v>
      </c>
      <c r="H197" s="377">
        <f>IF(Q180,0,P183)+IF(Q184,0,P187)+IF(Q188,0,P191)</f>
        <v>11.65625</v>
      </c>
      <c r="I197" s="336"/>
      <c r="J197" s="336"/>
      <c r="K197" s="336"/>
      <c r="L197" s="349"/>
      <c r="M197" s="349"/>
      <c r="N197" s="349"/>
      <c r="O197" s="336"/>
      <c r="P197" s="351"/>
      <c r="Q197" s="298"/>
    </row>
    <row r="198">
      <c r="A198" s="161"/>
      <c r="B198" s="161"/>
      <c r="C198" s="161"/>
      <c r="D198" s="161"/>
      <c r="E198" s="352"/>
      <c r="F198" s="352"/>
      <c r="G198" s="469" t="s">
        <v>333</v>
      </c>
      <c r="H198" s="500" t="str">
        <f>HBM_TIME_MS(H197)</f>
        <v>#N/A</v>
      </c>
      <c r="I198" s="465"/>
      <c r="J198" s="465"/>
      <c r="K198" s="465"/>
      <c r="L198" s="466"/>
      <c r="M198" s="466"/>
      <c r="N198" s="466"/>
      <c r="O198" s="465"/>
      <c r="P198" s="467"/>
      <c r="Q198" s="379"/>
    </row>
    <row r="199">
      <c r="A199" s="161"/>
      <c r="B199" s="161"/>
      <c r="C199" s="161"/>
      <c r="D199" s="161"/>
      <c r="E199" s="501" t="s">
        <v>344</v>
      </c>
      <c r="F199" s="474" t="s">
        <v>345</v>
      </c>
      <c r="G199" s="502" t="s">
        <v>301</v>
      </c>
      <c r="H199" s="503" t="s">
        <v>281</v>
      </c>
      <c r="I199" s="336" t="s">
        <v>282</v>
      </c>
      <c r="J199" s="504" t="str">
        <f t="array" ref="J199:M202">J188:M191</f>
        <v/>
      </c>
      <c r="K199" s="337" t="s">
        <v>104</v>
      </c>
      <c r="L199" s="337" t="s">
        <v>102</v>
      </c>
      <c r="M199" s="337" t="s">
        <v>210</v>
      </c>
      <c r="N199" s="349" t="s">
        <v>283</v>
      </c>
      <c r="O199" s="338" t="s">
        <v>125</v>
      </c>
      <c r="P199" s="505"/>
      <c r="Q199" s="506"/>
    </row>
    <row r="200">
      <c r="A200" s="161"/>
      <c r="B200" s="161"/>
      <c r="C200" s="161"/>
      <c r="D200" s="161"/>
      <c r="E200" s="341"/>
      <c r="F200" s="341"/>
      <c r="G200" s="341"/>
      <c r="H200" s="507" t="s">
        <v>285</v>
      </c>
      <c r="I200" s="345" t="s">
        <v>282</v>
      </c>
      <c r="J200" s="508"/>
      <c r="K200" s="345">
        <v>4096.0</v>
      </c>
      <c r="L200" s="346">
        <v>1.0</v>
      </c>
      <c r="M200" s="346">
        <v>576.0</v>
      </c>
      <c r="N200" s="346" t="s">
        <v>283</v>
      </c>
      <c r="O200" s="347"/>
      <c r="P200" s="509">
        <f>SIZEOF_IN_MIB(J200:M200, O199)</f>
        <v>2.25</v>
      </c>
      <c r="Q200" s="347"/>
    </row>
    <row r="201">
      <c r="A201" s="161"/>
      <c r="B201" s="161"/>
      <c r="C201" s="161"/>
      <c r="D201" s="161"/>
      <c r="E201" s="341"/>
      <c r="F201" s="341"/>
      <c r="G201" s="341"/>
      <c r="H201" s="503" t="s">
        <v>302</v>
      </c>
      <c r="I201" s="336" t="s">
        <v>282</v>
      </c>
      <c r="J201" s="504"/>
      <c r="K201" s="504" t="s">
        <v>196</v>
      </c>
      <c r="L201" s="349"/>
      <c r="M201" s="510"/>
      <c r="N201" s="349" t="s">
        <v>283</v>
      </c>
      <c r="O201" s="350"/>
      <c r="P201" s="511"/>
      <c r="Q201" s="350"/>
    </row>
    <row r="202">
      <c r="A202" s="161"/>
      <c r="B202" s="161"/>
      <c r="C202" s="161"/>
      <c r="D202" s="161"/>
      <c r="E202" s="341"/>
      <c r="F202" s="341"/>
      <c r="G202" s="341"/>
      <c r="H202" s="507" t="s">
        <v>303</v>
      </c>
      <c r="I202" s="345" t="s">
        <v>282</v>
      </c>
      <c r="J202" s="508"/>
      <c r="K202" s="346">
        <v>256.0</v>
      </c>
      <c r="L202" s="346">
        <v>1.0</v>
      </c>
      <c r="M202" s="346">
        <v>576.0</v>
      </c>
      <c r="N202" s="346" t="s">
        <v>283</v>
      </c>
      <c r="O202" s="347"/>
      <c r="P202" s="509">
        <f>SIZEOF_IN_MIB(J202:M202, O199)</f>
        <v>0.140625</v>
      </c>
      <c r="Q202" s="347"/>
    </row>
    <row r="203">
      <c r="A203" s="161"/>
      <c r="B203" s="161"/>
      <c r="C203" s="161"/>
      <c r="D203" s="161"/>
      <c r="E203" s="341"/>
      <c r="F203" s="341"/>
      <c r="G203" s="341"/>
      <c r="H203" s="503" t="s">
        <v>304</v>
      </c>
      <c r="I203" s="336" t="s">
        <v>282</v>
      </c>
      <c r="J203" s="504"/>
      <c r="K203" s="504"/>
      <c r="L203" s="510"/>
      <c r="M203" s="510"/>
      <c r="N203" s="349" t="s">
        <v>283</v>
      </c>
      <c r="O203" s="350"/>
      <c r="P203" s="505"/>
      <c r="Q203" s="350"/>
    </row>
    <row r="204">
      <c r="A204" s="161"/>
      <c r="B204" s="161"/>
      <c r="C204" s="161"/>
      <c r="D204" s="161"/>
      <c r="E204" s="341"/>
      <c r="F204" s="341"/>
      <c r="G204" s="352"/>
      <c r="H204" s="507" t="s">
        <v>303</v>
      </c>
      <c r="I204" s="345" t="s">
        <v>282</v>
      </c>
      <c r="J204" s="508"/>
      <c r="K204" s="346">
        <f t="shared" ref="K204:M204" si="36">K200/SHARDING(K203)</f>
        <v>4096</v>
      </c>
      <c r="L204" s="346">
        <f t="shared" si="36"/>
        <v>1</v>
      </c>
      <c r="M204" s="346">
        <f t="shared" si="36"/>
        <v>576</v>
      </c>
      <c r="N204" s="346" t="s">
        <v>283</v>
      </c>
      <c r="O204" s="355"/>
      <c r="P204" s="509">
        <f>SIZEOF_IN_MIB(J204:M204, O199)</f>
        <v>2.25</v>
      </c>
      <c r="Q204" s="355"/>
    </row>
    <row r="205">
      <c r="A205" s="161"/>
      <c r="B205" s="161"/>
      <c r="C205" s="161"/>
      <c r="D205" s="161"/>
      <c r="E205" s="341"/>
      <c r="F205" s="341"/>
      <c r="G205" s="512" t="s">
        <v>305</v>
      </c>
      <c r="H205" s="513"/>
      <c r="I205" s="445"/>
      <c r="J205" s="445"/>
      <c r="K205" s="445"/>
      <c r="L205" s="514"/>
      <c r="M205" s="514"/>
      <c r="N205" s="514"/>
      <c r="O205" s="445"/>
      <c r="P205" s="515"/>
      <c r="Q205" s="445"/>
    </row>
    <row r="206">
      <c r="A206" s="161"/>
      <c r="B206" s="161"/>
      <c r="C206" s="161"/>
      <c r="D206" s="161"/>
      <c r="E206" s="341"/>
      <c r="F206" s="341"/>
      <c r="G206" s="516" t="s">
        <v>306</v>
      </c>
      <c r="H206" s="517">
        <f>SHARDING(K201)*SHARDING(L201)*SHARDING(M201)</f>
        <v>16</v>
      </c>
      <c r="I206" s="508"/>
      <c r="J206" s="508"/>
      <c r="K206" s="508"/>
      <c r="L206" s="518"/>
      <c r="M206" s="518"/>
      <c r="N206" s="518"/>
      <c r="O206" s="508"/>
      <c r="P206" s="519"/>
      <c r="Q206" s="508"/>
    </row>
    <row r="207">
      <c r="A207" s="161"/>
      <c r="B207" s="161"/>
      <c r="C207" s="161"/>
      <c r="D207" s="161"/>
      <c r="E207" s="341"/>
      <c r="F207" s="341"/>
      <c r="G207" s="516" t="s">
        <v>307</v>
      </c>
      <c r="H207" s="520">
        <f>P202 * (H206-1)</f>
        <v>2.109375</v>
      </c>
      <c r="I207" s="504"/>
      <c r="J207" s="504"/>
      <c r="K207" s="504"/>
      <c r="L207" s="510"/>
      <c r="M207" s="510"/>
      <c r="N207" s="510"/>
      <c r="O207" s="504"/>
      <c r="P207" s="511"/>
      <c r="Q207" s="504"/>
    </row>
    <row r="208">
      <c r="A208" s="161"/>
      <c r="B208" s="161"/>
      <c r="C208" s="161"/>
      <c r="D208" s="161"/>
      <c r="E208" s="341"/>
      <c r="F208" s="341"/>
      <c r="G208" s="516" t="s">
        <v>308</v>
      </c>
      <c r="H208" s="521">
        <f>H207*H206</f>
        <v>33.75</v>
      </c>
      <c r="I208" s="508"/>
      <c r="J208" s="508"/>
      <c r="K208" s="508"/>
      <c r="L208" s="518"/>
      <c r="M208" s="518"/>
      <c r="N208" s="518"/>
      <c r="O208" s="508"/>
      <c r="P208" s="519"/>
      <c r="Q208" s="508"/>
    </row>
    <row r="209">
      <c r="A209" s="161"/>
      <c r="B209" s="161"/>
      <c r="C209" s="161"/>
      <c r="D209" s="161"/>
      <c r="E209" s="341"/>
      <c r="F209" s="341"/>
      <c r="G209" s="516" t="s">
        <v>309</v>
      </c>
      <c r="H209" s="503" t="str">
        <f>IFS(H206=8,12,
H206=4,4,
H206=2,1,
H206=1,0,
TRUE,NA())</f>
        <v>#N/A</v>
      </c>
      <c r="I209" s="504"/>
      <c r="J209" s="504"/>
      <c r="K209" s="504"/>
      <c r="L209" s="510"/>
      <c r="M209" s="510"/>
      <c r="N209" s="510"/>
      <c r="O209" s="504"/>
      <c r="P209" s="511"/>
      <c r="Q209" s="504"/>
    </row>
    <row r="210">
      <c r="A210" s="161"/>
      <c r="B210" s="161"/>
      <c r="C210" s="161"/>
      <c r="D210" s="161"/>
      <c r="E210" s="341"/>
      <c r="F210" s="341"/>
      <c r="G210" s="522" t="s">
        <v>310</v>
      </c>
      <c r="H210" s="523">
        <v>1.0</v>
      </c>
      <c r="I210" s="508"/>
      <c r="J210" s="508"/>
      <c r="K210" s="508"/>
      <c r="L210" s="518"/>
      <c r="M210" s="518"/>
      <c r="N210" s="518"/>
      <c r="O210" s="508"/>
      <c r="P210" s="519"/>
      <c r="Q210" s="508"/>
    </row>
    <row r="211">
      <c r="A211" s="161"/>
      <c r="B211" s="161"/>
      <c r="C211" s="161"/>
      <c r="D211" s="161"/>
      <c r="E211" s="341"/>
      <c r="F211" s="341"/>
      <c r="G211" s="524" t="s">
        <v>311</v>
      </c>
      <c r="H211" s="525" t="str">
        <f>ALL_GATHER_CHIP2CHIP_TIME_MS2(H208 * H210, H209)</f>
        <v>#N/A</v>
      </c>
      <c r="I211" s="504"/>
      <c r="J211" s="504"/>
      <c r="K211" s="504"/>
      <c r="L211" s="510"/>
      <c r="M211" s="510"/>
      <c r="N211" s="510"/>
      <c r="O211" s="504"/>
      <c r="P211" s="511"/>
      <c r="Q211" s="504"/>
    </row>
    <row r="212">
      <c r="A212" s="161"/>
      <c r="B212" s="161"/>
      <c r="C212" s="161"/>
      <c r="D212" s="161"/>
      <c r="E212" s="341"/>
      <c r="F212" s="341"/>
      <c r="G212" s="522"/>
      <c r="H212" s="526"/>
      <c r="I212" s="508"/>
      <c r="J212" s="508"/>
      <c r="K212" s="508"/>
      <c r="L212" s="518"/>
      <c r="M212" s="518"/>
      <c r="N212" s="518"/>
      <c r="O212" s="508"/>
      <c r="P212" s="519"/>
      <c r="Q212" s="508"/>
    </row>
    <row r="213">
      <c r="A213" s="161"/>
      <c r="B213" s="161"/>
      <c r="C213" s="161"/>
      <c r="D213" s="161"/>
      <c r="E213" s="341"/>
      <c r="F213" s="341"/>
      <c r="G213" s="512" t="s">
        <v>312</v>
      </c>
      <c r="H213" s="513"/>
      <c r="I213" s="445"/>
      <c r="J213" s="445"/>
      <c r="K213" s="445"/>
      <c r="L213" s="514"/>
      <c r="M213" s="514"/>
      <c r="N213" s="514"/>
      <c r="O213" s="445"/>
      <c r="P213" s="515"/>
      <c r="Q213" s="445"/>
    </row>
    <row r="214">
      <c r="A214" s="161"/>
      <c r="B214" s="161"/>
      <c r="C214" s="161"/>
      <c r="D214" s="161"/>
      <c r="E214" s="341"/>
      <c r="F214" s="341"/>
      <c r="G214" s="527" t="s">
        <v>313</v>
      </c>
      <c r="H214" s="528" t="s">
        <v>306</v>
      </c>
      <c r="I214" s="508"/>
      <c r="J214" s="529" t="str">
        <f>SHARDING(K201)*SHARDING(L201)*SHARDING(M201)/HW_SPEC("# of TensorCore per Chip")</f>
        <v>#N/A</v>
      </c>
      <c r="K214" s="508"/>
      <c r="L214" s="518"/>
      <c r="M214" s="518"/>
      <c r="N214" s="518"/>
      <c r="O214" s="508"/>
      <c r="P214" s="519"/>
      <c r="Q214" s="508"/>
    </row>
    <row r="215">
      <c r="A215" s="161"/>
      <c r="B215" s="161"/>
      <c r="C215" s="161"/>
      <c r="D215" s="161"/>
      <c r="E215" s="341"/>
      <c r="F215" s="341"/>
      <c r="G215" s="341"/>
      <c r="H215" s="530" t="s">
        <v>307</v>
      </c>
      <c r="I215" s="504"/>
      <c r="J215" s="520" t="str">
        <f>P202 * HW_SPEC("# of TensorCore per Chip") * (J214-1)</f>
        <v>#N/A</v>
      </c>
      <c r="K215" s="504"/>
      <c r="L215" s="510"/>
      <c r="M215" s="510"/>
      <c r="N215" s="510"/>
      <c r="O215" s="504"/>
      <c r="P215" s="511"/>
      <c r="Q215" s="504"/>
    </row>
    <row r="216">
      <c r="A216" s="161"/>
      <c r="B216" s="161"/>
      <c r="C216" s="161"/>
      <c r="D216" s="161"/>
      <c r="E216" s="341"/>
      <c r="F216" s="341"/>
      <c r="G216" s="341"/>
      <c r="H216" s="528" t="s">
        <v>308</v>
      </c>
      <c r="I216" s="508"/>
      <c r="J216" s="521" t="str">
        <f>J215*J214</f>
        <v>#N/A</v>
      </c>
      <c r="K216" s="508"/>
      <c r="L216" s="518"/>
      <c r="M216" s="518"/>
      <c r="N216" s="518"/>
      <c r="O216" s="508"/>
      <c r="P216" s="519"/>
      <c r="Q216" s="508"/>
    </row>
    <row r="217">
      <c r="A217" s="161"/>
      <c r="B217" s="161"/>
      <c r="C217" s="161"/>
      <c r="D217" s="161"/>
      <c r="E217" s="341"/>
      <c r="F217" s="341"/>
      <c r="G217" s="341"/>
      <c r="H217" s="530" t="s">
        <v>309</v>
      </c>
      <c r="I217" s="504"/>
      <c r="J217" s="531" t="str">
        <f>IFS(J214=8,12,
J214=4,4,
J214=2,1,
J214=1,0,
TRUE,NA())</f>
        <v>#N/A</v>
      </c>
      <c r="K217" s="504"/>
      <c r="L217" s="510"/>
      <c r="M217" s="510"/>
      <c r="N217" s="510"/>
      <c r="O217" s="504"/>
      <c r="P217" s="511"/>
      <c r="Q217" s="504"/>
    </row>
    <row r="218">
      <c r="A218" s="161"/>
      <c r="B218" s="161"/>
      <c r="C218" s="161"/>
      <c r="D218" s="161"/>
      <c r="E218" s="341"/>
      <c r="F218" s="341"/>
      <c r="G218" s="341"/>
      <c r="H218" s="526" t="s">
        <v>310</v>
      </c>
      <c r="I218" s="508"/>
      <c r="J218" s="345">
        <v>2.0</v>
      </c>
      <c r="K218" s="508"/>
      <c r="L218" s="518"/>
      <c r="M218" s="518"/>
      <c r="N218" s="518"/>
      <c r="O218" s="508"/>
      <c r="P218" s="519"/>
      <c r="Q218" s="508"/>
    </row>
    <row r="219">
      <c r="A219" s="161"/>
      <c r="B219" s="161"/>
      <c r="C219" s="161"/>
      <c r="D219" s="161"/>
      <c r="E219" s="341"/>
      <c r="F219" s="341"/>
      <c r="G219" s="352"/>
      <c r="H219" s="530" t="s">
        <v>311</v>
      </c>
      <c r="I219" s="504"/>
      <c r="J219" s="532" t="str">
        <f>ALL_GATHER_CHIP2CHIP_TIME_MS2(J216 * J218, J217)</f>
        <v>#N/A</v>
      </c>
      <c r="K219" s="504"/>
      <c r="L219" s="510"/>
      <c r="M219" s="510"/>
      <c r="N219" s="510"/>
      <c r="O219" s="504"/>
      <c r="P219" s="511"/>
      <c r="Q219" s="504"/>
    </row>
    <row r="220">
      <c r="A220" s="161"/>
      <c r="B220" s="161"/>
      <c r="C220" s="161"/>
      <c r="D220" s="161"/>
      <c r="E220" s="341"/>
      <c r="F220" s="341"/>
      <c r="G220" s="527" t="s">
        <v>314</v>
      </c>
      <c r="H220" s="528" t="s">
        <v>306</v>
      </c>
      <c r="I220" s="508"/>
      <c r="J220" s="533" t="str">
        <f>HW_SPEC("# of TensorCore per Chip")</f>
        <v>#N/A</v>
      </c>
      <c r="K220" s="508"/>
      <c r="L220" s="518"/>
      <c r="M220" s="518"/>
      <c r="N220" s="518"/>
      <c r="O220" s="508"/>
      <c r="P220" s="519"/>
      <c r="Q220" s="508"/>
    </row>
    <row r="221">
      <c r="A221" s="161"/>
      <c r="B221" s="161"/>
      <c r="C221" s="161"/>
      <c r="D221" s="161"/>
      <c r="E221" s="341"/>
      <c r="F221" s="341"/>
      <c r="G221" s="341"/>
      <c r="H221" s="530" t="s">
        <v>307</v>
      </c>
      <c r="I221" s="504"/>
      <c r="J221" s="520" t="str">
        <f>P202*J214 * (J220-1)</f>
        <v>#N/A</v>
      </c>
      <c r="K221" s="504"/>
      <c r="L221" s="510"/>
      <c r="M221" s="510"/>
      <c r="N221" s="510"/>
      <c r="O221" s="504"/>
      <c r="P221" s="511"/>
      <c r="Q221" s="504"/>
    </row>
    <row r="222">
      <c r="A222" s="161"/>
      <c r="B222" s="161"/>
      <c r="C222" s="161"/>
      <c r="D222" s="161"/>
      <c r="E222" s="341"/>
      <c r="F222" s="341"/>
      <c r="G222" s="341"/>
      <c r="H222" s="528" t="s">
        <v>308</v>
      </c>
      <c r="I222" s="508"/>
      <c r="J222" s="521" t="str">
        <f>J221*J220</f>
        <v>#N/A</v>
      </c>
      <c r="K222" s="508"/>
      <c r="L222" s="518"/>
      <c r="M222" s="518"/>
      <c r="N222" s="518"/>
      <c r="O222" s="508"/>
      <c r="P222" s="519"/>
      <c r="Q222" s="508"/>
    </row>
    <row r="223">
      <c r="A223" s="161"/>
      <c r="B223" s="161"/>
      <c r="C223" s="161"/>
      <c r="D223" s="161"/>
      <c r="E223" s="341"/>
      <c r="F223" s="341"/>
      <c r="G223" s="341"/>
      <c r="H223" s="530" t="s">
        <v>311</v>
      </c>
      <c r="I223" s="504"/>
      <c r="J223" s="534" t="str">
        <f>ALL_GATHER_CORE2CORE_TIME_MS(J222)</f>
        <v>#N/A</v>
      </c>
      <c r="K223" s="504"/>
      <c r="L223" s="510"/>
      <c r="M223" s="510"/>
      <c r="N223" s="510"/>
      <c r="O223" s="504"/>
      <c r="P223" s="511"/>
      <c r="Q223" s="504"/>
    </row>
    <row r="224">
      <c r="A224" s="161"/>
      <c r="B224" s="161"/>
      <c r="C224" s="161"/>
      <c r="D224" s="161"/>
      <c r="E224" s="341"/>
      <c r="F224" s="341"/>
      <c r="G224" s="352"/>
      <c r="H224" s="535" t="s">
        <v>346</v>
      </c>
      <c r="I224" s="508"/>
      <c r="J224" s="536" t="str">
        <f>J223/J214</f>
        <v>#N/A</v>
      </c>
      <c r="K224" s="508"/>
      <c r="L224" s="518"/>
      <c r="M224" s="518"/>
      <c r="N224" s="518"/>
      <c r="O224" s="508"/>
      <c r="P224" s="519"/>
      <c r="Q224" s="508"/>
    </row>
    <row r="225">
      <c r="A225" s="161"/>
      <c r="B225" s="161"/>
      <c r="C225" s="161"/>
      <c r="D225" s="161"/>
      <c r="E225" s="341"/>
      <c r="F225" s="341"/>
      <c r="G225" s="524" t="s">
        <v>316</v>
      </c>
      <c r="H225" s="537" t="str">
        <f>J219+J224</f>
        <v>#N/A</v>
      </c>
      <c r="I225" s="504"/>
      <c r="J225" s="538"/>
      <c r="K225" s="504"/>
      <c r="L225" s="510"/>
      <c r="M225" s="510"/>
      <c r="N225" s="510"/>
      <c r="O225" s="504"/>
      <c r="P225" s="511"/>
      <c r="Q225" s="504"/>
    </row>
    <row r="226">
      <c r="A226" s="161"/>
      <c r="B226" s="161"/>
      <c r="C226" s="161"/>
      <c r="D226" s="161"/>
      <c r="E226" s="341"/>
      <c r="F226" s="341"/>
      <c r="G226" s="522"/>
      <c r="H226" s="539"/>
      <c r="I226" s="508"/>
      <c r="J226" s="540"/>
      <c r="K226" s="508"/>
      <c r="L226" s="518"/>
      <c r="M226" s="518"/>
      <c r="N226" s="518"/>
      <c r="O226" s="508"/>
      <c r="P226" s="519"/>
      <c r="Q226" s="508"/>
    </row>
    <row r="227">
      <c r="A227" s="161"/>
      <c r="B227" s="161"/>
      <c r="C227" s="161"/>
      <c r="D227" s="161"/>
      <c r="E227" s="341"/>
      <c r="F227" s="341"/>
      <c r="G227" s="541" t="s">
        <v>322</v>
      </c>
      <c r="H227" s="444" t="s">
        <v>323</v>
      </c>
      <c r="I227" s="445"/>
      <c r="J227" s="445"/>
      <c r="K227" s="445"/>
      <c r="L227" s="514"/>
      <c r="M227" s="514"/>
      <c r="N227" s="514"/>
      <c r="O227" s="445"/>
      <c r="P227" s="515"/>
      <c r="Q227" s="445"/>
    </row>
    <row r="228">
      <c r="A228" s="161"/>
      <c r="B228" s="161"/>
      <c r="C228" s="161"/>
      <c r="D228" s="161"/>
      <c r="E228" s="341"/>
      <c r="F228" s="341"/>
      <c r="G228" s="541" t="s">
        <v>340</v>
      </c>
      <c r="H228" s="542">
        <f>IFS(H227=G205,H211,
H227=G213,H225 ,
TRUE,0)</f>
        <v>0</v>
      </c>
      <c r="I228" s="445"/>
      <c r="J228" s="445"/>
      <c r="K228" s="445"/>
      <c r="L228" s="514"/>
      <c r="M228" s="514"/>
      <c r="N228" s="514"/>
      <c r="O228" s="445"/>
      <c r="P228" s="543"/>
      <c r="Q228" s="445"/>
    </row>
    <row r="229">
      <c r="A229" s="161"/>
      <c r="B229" s="161"/>
      <c r="C229" s="161"/>
      <c r="D229" s="161"/>
      <c r="E229" s="333" t="s">
        <v>347</v>
      </c>
      <c r="F229" s="357" t="s">
        <v>292</v>
      </c>
      <c r="G229" s="335"/>
      <c r="H229" s="364" t="s">
        <v>281</v>
      </c>
      <c r="I229" s="364" t="s">
        <v>282</v>
      </c>
      <c r="J229" s="273" t="s">
        <v>104</v>
      </c>
      <c r="K229" s="273" t="s">
        <v>102</v>
      </c>
      <c r="L229" s="273" t="s">
        <v>207</v>
      </c>
      <c r="M229" s="472" t="s">
        <v>198</v>
      </c>
      <c r="N229" s="364" t="s">
        <v>283</v>
      </c>
      <c r="O229" s="365" t="str">
        <f>PARAMS("attn_kv_k_dtype")</f>
        <v>bf16</v>
      </c>
      <c r="P229" s="366"/>
      <c r="Q229" s="365" t="b">
        <v>0</v>
      </c>
    </row>
    <row r="230">
      <c r="A230" s="161"/>
      <c r="B230" s="161"/>
      <c r="C230" s="161"/>
      <c r="D230" s="161"/>
      <c r="E230" s="341"/>
      <c r="F230" s="342"/>
      <c r="G230" s="343"/>
      <c r="H230" s="273" t="s">
        <v>285</v>
      </c>
      <c r="I230" s="364" t="s">
        <v>282</v>
      </c>
      <c r="J230" s="363">
        <f t="shared" ref="J230:M230" si="37">PARAMS(J229)</f>
        <v>4096</v>
      </c>
      <c r="K230" s="364">
        <f t="shared" si="37"/>
        <v>1</v>
      </c>
      <c r="L230" s="364">
        <f t="shared" si="37"/>
        <v>128</v>
      </c>
      <c r="M230" s="364">
        <f t="shared" si="37"/>
        <v>512</v>
      </c>
      <c r="N230" s="364" t="s">
        <v>283</v>
      </c>
      <c r="O230" s="341"/>
      <c r="P230" s="366">
        <f>SIZEOF_IN_MIB(J230:M230, $O229)</f>
        <v>512</v>
      </c>
      <c r="Q230" s="341"/>
    </row>
    <row r="231">
      <c r="A231" s="161"/>
      <c r="B231" s="161"/>
      <c r="C231" s="161"/>
      <c r="D231" s="161"/>
      <c r="E231" s="341"/>
      <c r="F231" s="342"/>
      <c r="G231" s="343"/>
      <c r="H231" s="363" t="s">
        <v>287</v>
      </c>
      <c r="I231" s="363" t="s">
        <v>282</v>
      </c>
      <c r="J231" s="273" t="s">
        <v>196</v>
      </c>
      <c r="K231" s="273"/>
      <c r="L231" s="273"/>
      <c r="M231" s="363"/>
      <c r="N231" s="363" t="s">
        <v>283</v>
      </c>
      <c r="O231" s="341"/>
      <c r="P231" s="366"/>
      <c r="Q231" s="341"/>
    </row>
    <row r="232">
      <c r="A232" s="161"/>
      <c r="B232" s="161"/>
      <c r="C232" s="161"/>
      <c r="D232" s="161"/>
      <c r="E232" s="341"/>
      <c r="F232" s="353"/>
      <c r="G232" s="354"/>
      <c r="H232" s="273" t="s">
        <v>289</v>
      </c>
      <c r="I232" s="363" t="s">
        <v>282</v>
      </c>
      <c r="J232" s="363">
        <f t="shared" ref="J232:M232" si="38">J230/SHARDING(J231)</f>
        <v>256</v>
      </c>
      <c r="K232" s="363">
        <f t="shared" si="38"/>
        <v>1</v>
      </c>
      <c r="L232" s="363">
        <f t="shared" si="38"/>
        <v>128</v>
      </c>
      <c r="M232" s="363">
        <f t="shared" si="38"/>
        <v>512</v>
      </c>
      <c r="N232" s="363" t="s">
        <v>283</v>
      </c>
      <c r="O232" s="352"/>
      <c r="P232" s="366">
        <f>SIZEOF_IN_MIB(J232:M232, $O229)</f>
        <v>32</v>
      </c>
      <c r="Q232" s="352"/>
    </row>
    <row r="233">
      <c r="A233" s="161"/>
      <c r="B233" s="161"/>
      <c r="C233" s="161"/>
      <c r="D233" s="161"/>
      <c r="E233" s="341"/>
      <c r="F233" s="334" t="s">
        <v>296</v>
      </c>
      <c r="G233" s="335"/>
      <c r="H233" s="363" t="s">
        <v>281</v>
      </c>
      <c r="I233" s="363" t="s">
        <v>282</v>
      </c>
      <c r="J233" s="364"/>
      <c r="K233" s="273" t="s">
        <v>104</v>
      </c>
      <c r="L233" s="273" t="s">
        <v>106</v>
      </c>
      <c r="M233" s="472" t="s">
        <v>198</v>
      </c>
      <c r="N233" s="363" t="s">
        <v>283</v>
      </c>
      <c r="O233" s="365" t="str">
        <f>PARAMS("kv_dtype")</f>
        <v>fp8</v>
      </c>
      <c r="P233" s="366"/>
      <c r="Q233" s="365" t="b">
        <v>0</v>
      </c>
    </row>
    <row r="234">
      <c r="E234" s="341"/>
      <c r="F234" s="342"/>
      <c r="G234" s="343"/>
      <c r="H234" s="273" t="s">
        <v>285</v>
      </c>
      <c r="I234" s="363" t="s">
        <v>282</v>
      </c>
      <c r="J234" s="364"/>
      <c r="K234" s="363">
        <f t="shared" ref="K234:M234" si="39">PARAMS(K233)</f>
        <v>4096</v>
      </c>
      <c r="L234" s="363">
        <f t="shared" si="39"/>
        <v>5120</v>
      </c>
      <c r="M234" s="363">
        <f t="shared" si="39"/>
        <v>512</v>
      </c>
      <c r="N234" s="363" t="s">
        <v>283</v>
      </c>
      <c r="O234" s="341"/>
      <c r="P234" s="366">
        <f>SIZEOF_IN_MIB(J234:M234, $O233)</f>
        <v>10240</v>
      </c>
      <c r="Q234" s="341"/>
    </row>
    <row r="235">
      <c r="E235" s="341"/>
      <c r="F235" s="342"/>
      <c r="G235" s="343"/>
      <c r="H235" s="363" t="s">
        <v>287</v>
      </c>
      <c r="I235" s="363" t="s">
        <v>282</v>
      </c>
      <c r="J235" s="364"/>
      <c r="K235" s="273" t="s">
        <v>196</v>
      </c>
      <c r="L235" s="363"/>
      <c r="M235" s="363"/>
      <c r="N235" s="363" t="s">
        <v>283</v>
      </c>
      <c r="O235" s="341"/>
      <c r="P235" s="366"/>
      <c r="Q235" s="341"/>
    </row>
    <row r="236">
      <c r="E236" s="341"/>
      <c r="F236" s="353"/>
      <c r="G236" s="354"/>
      <c r="H236" s="349" t="s">
        <v>289</v>
      </c>
      <c r="I236" s="349" t="s">
        <v>282</v>
      </c>
      <c r="J236" s="336"/>
      <c r="K236" s="349">
        <f t="shared" ref="K236:M236" si="40">K234/SHARDING(K235)</f>
        <v>256</v>
      </c>
      <c r="L236" s="349">
        <f t="shared" si="40"/>
        <v>5120</v>
      </c>
      <c r="M236" s="349">
        <f t="shared" si="40"/>
        <v>512</v>
      </c>
      <c r="N236" s="349" t="s">
        <v>283</v>
      </c>
      <c r="O236" s="316"/>
      <c r="P236" s="351">
        <f>SIZEOF_IN_MIB(J236:M236, $O233)</f>
        <v>640</v>
      </c>
      <c r="Q236" s="316"/>
    </row>
    <row r="237">
      <c r="E237" s="341"/>
      <c r="F237" s="334" t="s">
        <v>56</v>
      </c>
      <c r="G237" s="335"/>
      <c r="H237" s="346" t="s">
        <v>281</v>
      </c>
      <c r="I237" s="346" t="s">
        <v>282</v>
      </c>
      <c r="J237" s="344" t="s">
        <v>104</v>
      </c>
      <c r="K237" s="344" t="s">
        <v>102</v>
      </c>
      <c r="L237" s="344" t="s">
        <v>106</v>
      </c>
      <c r="M237" s="344" t="s">
        <v>207</v>
      </c>
      <c r="N237" s="346" t="s">
        <v>283</v>
      </c>
      <c r="O237" s="473" t="s">
        <v>133</v>
      </c>
      <c r="P237" s="348"/>
      <c r="Q237" s="473" t="b">
        <v>1</v>
      </c>
    </row>
    <row r="238">
      <c r="E238" s="341"/>
      <c r="F238" s="342"/>
      <c r="G238" s="343"/>
      <c r="H238" s="337" t="s">
        <v>285</v>
      </c>
      <c r="I238" s="349" t="s">
        <v>282</v>
      </c>
      <c r="J238" s="349">
        <f t="shared" ref="J238:M238" si="41">PARAMS(J237)</f>
        <v>4096</v>
      </c>
      <c r="K238" s="349">
        <f t="shared" si="41"/>
        <v>1</v>
      </c>
      <c r="L238" s="349">
        <f t="shared" si="41"/>
        <v>5120</v>
      </c>
      <c r="M238" s="349">
        <f t="shared" si="41"/>
        <v>128</v>
      </c>
      <c r="N238" s="349" t="s">
        <v>283</v>
      </c>
      <c r="O238" s="350"/>
      <c r="P238" s="351">
        <f>SIZEOF_IN_MIB(J238:M238, $O237)</f>
        <v>5120</v>
      </c>
      <c r="Q238" s="350"/>
    </row>
    <row r="239">
      <c r="E239" s="341"/>
      <c r="F239" s="342"/>
      <c r="G239" s="343"/>
      <c r="H239" s="346" t="s">
        <v>287</v>
      </c>
      <c r="I239" s="346" t="s">
        <v>282</v>
      </c>
      <c r="J239" s="344" t="s">
        <v>196</v>
      </c>
      <c r="K239" s="344"/>
      <c r="L239" s="344"/>
      <c r="M239" s="346"/>
      <c r="N239" s="346" t="s">
        <v>283</v>
      </c>
      <c r="O239" s="347"/>
      <c r="P239" s="348"/>
      <c r="Q239" s="347"/>
    </row>
    <row r="240">
      <c r="E240" s="341"/>
      <c r="F240" s="353"/>
      <c r="G240" s="354"/>
      <c r="H240" s="349" t="s">
        <v>289</v>
      </c>
      <c r="I240" s="349" t="s">
        <v>282</v>
      </c>
      <c r="J240" s="349">
        <f t="shared" ref="J240:M240" si="42">J238/SHARDING(J239)</f>
        <v>256</v>
      </c>
      <c r="K240" s="349">
        <f t="shared" si="42"/>
        <v>1</v>
      </c>
      <c r="L240" s="349">
        <f t="shared" si="42"/>
        <v>5120</v>
      </c>
      <c r="M240" s="349">
        <f t="shared" si="42"/>
        <v>128</v>
      </c>
      <c r="N240" s="349" t="s">
        <v>283</v>
      </c>
      <c r="O240" s="316"/>
      <c r="P240" s="351">
        <f>SIZEOF_IN_MIB(J240:M240, $O237)</f>
        <v>320</v>
      </c>
      <c r="Q240" s="316"/>
    </row>
    <row r="241">
      <c r="E241" s="341"/>
      <c r="F241" s="474" t="s">
        <v>335</v>
      </c>
      <c r="G241" s="459" t="s">
        <v>109</v>
      </c>
      <c r="H241" s="544" t="s">
        <v>348</v>
      </c>
      <c r="I241" s="345"/>
      <c r="J241" s="345"/>
      <c r="K241" s="345"/>
      <c r="L241" s="346"/>
      <c r="M241" s="346"/>
      <c r="N241" s="346"/>
      <c r="O241" s="545"/>
      <c r="P241" s="348"/>
      <c r="Q241" s="545"/>
    </row>
    <row r="242">
      <c r="E242" s="341"/>
      <c r="F242" s="352"/>
      <c r="G242" s="459"/>
      <c r="H242" s="349"/>
      <c r="I242" s="492"/>
      <c r="J242" s="336"/>
      <c r="K242" s="336"/>
      <c r="L242" s="349"/>
      <c r="M242" s="349"/>
      <c r="N242" s="349"/>
      <c r="O242" s="336"/>
      <c r="P242" s="351"/>
      <c r="Q242" s="298"/>
    </row>
    <row r="243">
      <c r="E243" s="341"/>
      <c r="F243" s="458" t="s">
        <v>327</v>
      </c>
      <c r="G243" s="459" t="s">
        <v>328</v>
      </c>
      <c r="H243" s="346" t="str">
        <f>VLOOKUP(O229&amp;","&amp;O233,$T$3:$W$12,4, FALSE)</f>
        <v>bf16</v>
      </c>
      <c r="I243" s="493"/>
      <c r="J243" s="345"/>
      <c r="K243" s="345"/>
      <c r="L243" s="346"/>
      <c r="M243" s="346"/>
      <c r="N243" s="346"/>
      <c r="O243" s="345"/>
      <c r="P243" s="348"/>
      <c r="Q243" s="379"/>
    </row>
    <row r="244">
      <c r="E244" s="341"/>
      <c r="F244" s="341"/>
      <c r="G244" s="455" t="s">
        <v>341</v>
      </c>
      <c r="H244" s="494" t="str">
        <f>CALCULATE_FLOPS(J232:M232,J236:M236,M236,K236,H243)</f>
        <v>#N/A</v>
      </c>
      <c r="I244" s="492"/>
      <c r="J244" s="336"/>
      <c r="K244" s="336"/>
      <c r="L244" s="349"/>
      <c r="M244" s="349"/>
      <c r="N244" s="349"/>
      <c r="O244" s="336"/>
      <c r="P244" s="351"/>
      <c r="Q244" s="298"/>
    </row>
    <row r="245">
      <c r="E245" s="341"/>
      <c r="F245" s="352"/>
      <c r="G245" s="462" t="s">
        <v>330</v>
      </c>
      <c r="H245" s="463" t="str">
        <f>COMPUTE_TIME_MS(H244, H243)</f>
        <v>#N/A</v>
      </c>
      <c r="I245" s="464"/>
      <c r="J245" s="465"/>
      <c r="K245" s="465"/>
      <c r="L245" s="466"/>
      <c r="M245" s="466"/>
      <c r="N245" s="466"/>
      <c r="O245" s="465"/>
      <c r="P245" s="467"/>
      <c r="Q245" s="379"/>
    </row>
    <row r="246">
      <c r="E246" s="341"/>
      <c r="F246" s="458" t="s">
        <v>331</v>
      </c>
      <c r="G246" s="455" t="s">
        <v>332</v>
      </c>
      <c r="H246" s="377">
        <f>IF(Q229,0,P232)+IF(Q233,0,P236)+IF(Q237,0,P240)</f>
        <v>672</v>
      </c>
      <c r="I246" s="336"/>
      <c r="J246" s="336"/>
      <c r="K246" s="336"/>
      <c r="L246" s="349"/>
      <c r="M246" s="349"/>
      <c r="N246" s="349"/>
      <c r="O246" s="336"/>
      <c r="P246" s="351"/>
      <c r="Q246" s="298"/>
    </row>
    <row r="247">
      <c r="E247" s="352"/>
      <c r="F247" s="352"/>
      <c r="G247" s="469" t="s">
        <v>333</v>
      </c>
      <c r="H247" s="500" t="str">
        <f>HBM_TIME_MS(H246)</f>
        <v>#N/A</v>
      </c>
      <c r="I247" s="465"/>
      <c r="J247" s="465"/>
      <c r="K247" s="465"/>
      <c r="L247" s="466"/>
      <c r="M247" s="466"/>
      <c r="N247" s="466"/>
      <c r="O247" s="465"/>
      <c r="P247" s="467"/>
      <c r="Q247" s="379"/>
    </row>
    <row r="248">
      <c r="E248" s="333" t="s">
        <v>349</v>
      </c>
      <c r="F248" s="357" t="s">
        <v>292</v>
      </c>
      <c r="G248" s="335"/>
      <c r="H248" s="364" t="s">
        <v>281</v>
      </c>
      <c r="I248" s="364" t="s">
        <v>282</v>
      </c>
      <c r="J248" s="273" t="s">
        <v>104</v>
      </c>
      <c r="K248" s="273" t="s">
        <v>102</v>
      </c>
      <c r="L248" s="273" t="s">
        <v>207</v>
      </c>
      <c r="M248" s="472" t="s">
        <v>204</v>
      </c>
      <c r="N248" s="364" t="s">
        <v>283</v>
      </c>
      <c r="O248" s="365" t="str">
        <f>PARAMS("attn_kv_k_dtype")</f>
        <v>bf16</v>
      </c>
      <c r="P248" s="366"/>
      <c r="Q248" s="365" t="b">
        <v>0</v>
      </c>
    </row>
    <row r="249">
      <c r="E249" s="341"/>
      <c r="F249" s="342"/>
      <c r="G249" s="343"/>
      <c r="H249" s="273" t="s">
        <v>285</v>
      </c>
      <c r="I249" s="364" t="s">
        <v>282</v>
      </c>
      <c r="J249" s="363">
        <f t="shared" ref="J249:M249" si="43">PARAMS(J248)</f>
        <v>4096</v>
      </c>
      <c r="K249" s="364">
        <f t="shared" si="43"/>
        <v>1</v>
      </c>
      <c r="L249" s="364">
        <f t="shared" si="43"/>
        <v>128</v>
      </c>
      <c r="M249" s="364">
        <f t="shared" si="43"/>
        <v>64</v>
      </c>
      <c r="N249" s="364" t="s">
        <v>283</v>
      </c>
      <c r="O249" s="341"/>
      <c r="P249" s="366">
        <f>SIZEOF_IN_MIB(J249:M249, $O248)</f>
        <v>64</v>
      </c>
      <c r="Q249" s="341"/>
    </row>
    <row r="250">
      <c r="E250" s="341"/>
      <c r="F250" s="342"/>
      <c r="G250" s="343"/>
      <c r="H250" s="363" t="s">
        <v>287</v>
      </c>
      <c r="I250" s="363" t="s">
        <v>282</v>
      </c>
      <c r="J250" s="273" t="s">
        <v>196</v>
      </c>
      <c r="K250" s="273"/>
      <c r="L250" s="273"/>
      <c r="M250" s="363"/>
      <c r="N250" s="363" t="s">
        <v>283</v>
      </c>
      <c r="O250" s="341"/>
      <c r="P250" s="366"/>
      <c r="Q250" s="341"/>
    </row>
    <row r="251">
      <c r="E251" s="341"/>
      <c r="F251" s="353"/>
      <c r="G251" s="354"/>
      <c r="H251" s="273" t="s">
        <v>289</v>
      </c>
      <c r="I251" s="363" t="s">
        <v>282</v>
      </c>
      <c r="J251" s="363">
        <f t="shared" ref="J251:M251" si="44">J249/SHARDING(J250)</f>
        <v>256</v>
      </c>
      <c r="K251" s="363">
        <f t="shared" si="44"/>
        <v>1</v>
      </c>
      <c r="L251" s="363">
        <f t="shared" si="44"/>
        <v>128</v>
      </c>
      <c r="M251" s="363">
        <f t="shared" si="44"/>
        <v>64</v>
      </c>
      <c r="N251" s="363" t="s">
        <v>283</v>
      </c>
      <c r="O251" s="352"/>
      <c r="P251" s="366">
        <f>SIZEOF_IN_MIB(J251:M251, $O248)</f>
        <v>4</v>
      </c>
      <c r="Q251" s="352"/>
    </row>
    <row r="252">
      <c r="E252" s="341"/>
      <c r="F252" s="334" t="s">
        <v>296</v>
      </c>
      <c r="G252" s="335"/>
      <c r="H252" s="363" t="s">
        <v>281</v>
      </c>
      <c r="I252" s="363" t="s">
        <v>282</v>
      </c>
      <c r="J252" s="364"/>
      <c r="K252" s="273" t="s">
        <v>104</v>
      </c>
      <c r="L252" s="273" t="s">
        <v>106</v>
      </c>
      <c r="M252" s="472" t="s">
        <v>204</v>
      </c>
      <c r="N252" s="363" t="s">
        <v>283</v>
      </c>
      <c r="O252" s="365" t="str">
        <f>PARAMS("kv_dtype")</f>
        <v>fp8</v>
      </c>
      <c r="P252" s="366"/>
      <c r="Q252" s="365" t="b">
        <v>0</v>
      </c>
    </row>
    <row r="253">
      <c r="E253" s="341"/>
      <c r="F253" s="342"/>
      <c r="G253" s="343"/>
      <c r="H253" s="273" t="s">
        <v>285</v>
      </c>
      <c r="I253" s="363" t="s">
        <v>282</v>
      </c>
      <c r="J253" s="364"/>
      <c r="K253" s="363">
        <f t="shared" ref="K253:M253" si="45">PARAMS(K252)</f>
        <v>4096</v>
      </c>
      <c r="L253" s="363">
        <f t="shared" si="45"/>
        <v>5120</v>
      </c>
      <c r="M253" s="363">
        <f t="shared" si="45"/>
        <v>64</v>
      </c>
      <c r="N253" s="363" t="s">
        <v>283</v>
      </c>
      <c r="O253" s="341"/>
      <c r="P253" s="366">
        <f>SIZEOF_IN_MIB(J253:M253, $O252)</f>
        <v>1280</v>
      </c>
      <c r="Q253" s="341"/>
    </row>
    <row r="254">
      <c r="E254" s="341"/>
      <c r="F254" s="342"/>
      <c r="G254" s="343"/>
      <c r="H254" s="363" t="s">
        <v>287</v>
      </c>
      <c r="I254" s="363" t="s">
        <v>282</v>
      </c>
      <c r="J254" s="364"/>
      <c r="K254" s="273" t="s">
        <v>196</v>
      </c>
      <c r="L254" s="363"/>
      <c r="M254" s="363"/>
      <c r="N254" s="363" t="s">
        <v>283</v>
      </c>
      <c r="O254" s="341"/>
      <c r="P254" s="366"/>
      <c r="Q254" s="341"/>
    </row>
    <row r="255">
      <c r="E255" s="341"/>
      <c r="F255" s="353"/>
      <c r="G255" s="354"/>
      <c r="H255" s="349" t="s">
        <v>289</v>
      </c>
      <c r="I255" s="349" t="s">
        <v>282</v>
      </c>
      <c r="J255" s="336"/>
      <c r="K255" s="349">
        <f t="shared" ref="K255:M255" si="46">K253/SHARDING(K254)</f>
        <v>256</v>
      </c>
      <c r="L255" s="349">
        <f t="shared" si="46"/>
        <v>5120</v>
      </c>
      <c r="M255" s="349">
        <f t="shared" si="46"/>
        <v>64</v>
      </c>
      <c r="N255" s="349" t="s">
        <v>283</v>
      </c>
      <c r="O255" s="316"/>
      <c r="P255" s="351">
        <f>SIZEOF_IN_MIB(J255:M255, $O252)</f>
        <v>80</v>
      </c>
      <c r="Q255" s="316"/>
    </row>
    <row r="256">
      <c r="E256" s="341"/>
      <c r="F256" s="334" t="s">
        <v>56</v>
      </c>
      <c r="G256" s="335"/>
      <c r="H256" s="346" t="s">
        <v>281</v>
      </c>
      <c r="I256" s="346" t="s">
        <v>282</v>
      </c>
      <c r="J256" s="344" t="s">
        <v>104</v>
      </c>
      <c r="K256" s="344" t="s">
        <v>102</v>
      </c>
      <c r="L256" s="344" t="s">
        <v>106</v>
      </c>
      <c r="M256" s="344" t="s">
        <v>207</v>
      </c>
      <c r="N256" s="346" t="s">
        <v>283</v>
      </c>
      <c r="O256" s="546" t="s">
        <v>133</v>
      </c>
      <c r="P256" s="348"/>
      <c r="Q256" s="473" t="b">
        <v>1</v>
      </c>
    </row>
    <row r="257">
      <c r="E257" s="341"/>
      <c r="F257" s="342"/>
      <c r="G257" s="343"/>
      <c r="H257" s="337" t="s">
        <v>285</v>
      </c>
      <c r="I257" s="349" t="s">
        <v>282</v>
      </c>
      <c r="J257" s="349">
        <f t="shared" ref="J257:M257" si="47">PARAMS(J256)</f>
        <v>4096</v>
      </c>
      <c r="K257" s="349">
        <f t="shared" si="47"/>
        <v>1</v>
      </c>
      <c r="L257" s="349">
        <f t="shared" si="47"/>
        <v>5120</v>
      </c>
      <c r="M257" s="349">
        <f t="shared" si="47"/>
        <v>128</v>
      </c>
      <c r="N257" s="349" t="s">
        <v>283</v>
      </c>
      <c r="O257" s="350"/>
      <c r="P257" s="351">
        <f>SIZEOF_IN_MIB(J257:M257, $O256)</f>
        <v>5120</v>
      </c>
      <c r="Q257" s="350"/>
    </row>
    <row r="258">
      <c r="E258" s="341"/>
      <c r="F258" s="342"/>
      <c r="G258" s="343"/>
      <c r="H258" s="346" t="s">
        <v>287</v>
      </c>
      <c r="I258" s="346" t="s">
        <v>282</v>
      </c>
      <c r="J258" s="344" t="s">
        <v>196</v>
      </c>
      <c r="K258" s="344"/>
      <c r="L258" s="344"/>
      <c r="M258" s="346"/>
      <c r="N258" s="346" t="s">
        <v>283</v>
      </c>
      <c r="O258" s="347"/>
      <c r="P258" s="348"/>
      <c r="Q258" s="347"/>
    </row>
    <row r="259">
      <c r="E259" s="341"/>
      <c r="F259" s="353"/>
      <c r="G259" s="354"/>
      <c r="H259" s="349" t="s">
        <v>289</v>
      </c>
      <c r="I259" s="349" t="s">
        <v>282</v>
      </c>
      <c r="J259" s="349">
        <f t="shared" ref="J259:M259" si="48">J257/SHARDING(J258)</f>
        <v>256</v>
      </c>
      <c r="K259" s="349">
        <f t="shared" si="48"/>
        <v>1</v>
      </c>
      <c r="L259" s="349">
        <f t="shared" si="48"/>
        <v>5120</v>
      </c>
      <c r="M259" s="349">
        <f t="shared" si="48"/>
        <v>128</v>
      </c>
      <c r="N259" s="349" t="s">
        <v>283</v>
      </c>
      <c r="O259" s="316"/>
      <c r="P259" s="351">
        <f>SIZEOF_IN_MIB(J259:M259, $O256)</f>
        <v>320</v>
      </c>
      <c r="Q259" s="316"/>
    </row>
    <row r="260">
      <c r="E260" s="341"/>
      <c r="F260" s="474" t="s">
        <v>335</v>
      </c>
      <c r="G260" s="459" t="s">
        <v>109</v>
      </c>
      <c r="H260" s="497"/>
      <c r="I260" s="498"/>
      <c r="J260" s="345"/>
      <c r="K260" s="345"/>
      <c r="L260" s="346"/>
      <c r="M260" s="346"/>
      <c r="N260" s="346"/>
      <c r="O260" s="345"/>
      <c r="P260" s="348"/>
      <c r="Q260" s="379"/>
    </row>
    <row r="261">
      <c r="E261" s="341"/>
      <c r="F261" s="352"/>
      <c r="G261" s="459"/>
      <c r="H261" s="349"/>
      <c r="I261" s="492"/>
      <c r="J261" s="336"/>
      <c r="K261" s="336"/>
      <c r="L261" s="349"/>
      <c r="M261" s="349"/>
      <c r="N261" s="349"/>
      <c r="O261" s="336"/>
      <c r="P261" s="351"/>
      <c r="Q261" s="298"/>
    </row>
    <row r="262">
      <c r="E262" s="341"/>
      <c r="F262" s="458" t="s">
        <v>327</v>
      </c>
      <c r="G262" s="459" t="s">
        <v>328</v>
      </c>
      <c r="H262" s="346" t="str">
        <f>VLOOKUP(O248&amp;","&amp;O252,$T$3:$W$12,4, FALSE)</f>
        <v>bf16</v>
      </c>
      <c r="I262" s="493"/>
      <c r="J262" s="345"/>
      <c r="K262" s="345"/>
      <c r="L262" s="346"/>
      <c r="M262" s="346"/>
      <c r="N262" s="346"/>
      <c r="O262" s="345"/>
      <c r="P262" s="348"/>
      <c r="Q262" s="379"/>
    </row>
    <row r="263">
      <c r="E263" s="341"/>
      <c r="F263" s="341"/>
      <c r="G263" s="455" t="s">
        <v>341</v>
      </c>
      <c r="H263" s="494" t="str">
        <f>CALCULATE_FLOPS(J251:M251,J255:M255,M255,K255,H262)</f>
        <v>#N/A</v>
      </c>
      <c r="I263" s="492"/>
      <c r="J263" s="336"/>
      <c r="K263" s="336"/>
      <c r="L263" s="349"/>
      <c r="M263" s="349"/>
      <c r="N263" s="349"/>
      <c r="O263" s="336"/>
      <c r="P263" s="351"/>
      <c r="Q263" s="298"/>
    </row>
    <row r="264">
      <c r="E264" s="341"/>
      <c r="F264" s="352"/>
      <c r="G264" s="462" t="s">
        <v>330</v>
      </c>
      <c r="H264" s="495" t="str">
        <f>COMPUTE_TIME_MS(H263, H262)</f>
        <v>#N/A</v>
      </c>
      <c r="I264" s="464"/>
      <c r="J264" s="465"/>
      <c r="K264" s="465"/>
      <c r="L264" s="466"/>
      <c r="M264" s="466"/>
      <c r="N264" s="466"/>
      <c r="O264" s="465"/>
      <c r="P264" s="467"/>
      <c r="Q264" s="379"/>
    </row>
    <row r="265">
      <c r="E265" s="341"/>
      <c r="F265" s="458" t="s">
        <v>331</v>
      </c>
      <c r="G265" s="455" t="s">
        <v>332</v>
      </c>
      <c r="H265" s="377">
        <f>IF(Q248,0,P251)+IF(Q252,0,P255)+IF(Q256,0,P259)</f>
        <v>84</v>
      </c>
      <c r="I265" s="336"/>
      <c r="J265" s="336"/>
      <c r="K265" s="336"/>
      <c r="L265" s="349"/>
      <c r="M265" s="349"/>
      <c r="N265" s="349"/>
      <c r="O265" s="336"/>
      <c r="P265" s="351"/>
      <c r="Q265" s="298"/>
    </row>
    <row r="266">
      <c r="E266" s="352"/>
      <c r="F266" s="352"/>
      <c r="G266" s="469" t="s">
        <v>333</v>
      </c>
      <c r="H266" s="500" t="str">
        <f>HBM_TIME_MS(H265)</f>
        <v>#N/A</v>
      </c>
      <c r="I266" s="465"/>
      <c r="J266" s="465"/>
      <c r="K266" s="465"/>
      <c r="L266" s="466"/>
      <c r="M266" s="466"/>
      <c r="N266" s="466"/>
      <c r="O266" s="465"/>
      <c r="P266" s="467"/>
      <c r="Q266" s="379"/>
    </row>
    <row r="267">
      <c r="E267" s="333" t="s">
        <v>350</v>
      </c>
      <c r="F267" s="357" t="s">
        <v>292</v>
      </c>
      <c r="G267" s="335"/>
      <c r="H267" s="364" t="s">
        <v>281</v>
      </c>
      <c r="I267" s="364" t="s">
        <v>282</v>
      </c>
      <c r="J267" s="273" t="s">
        <v>104</v>
      </c>
      <c r="K267" s="273" t="s">
        <v>102</v>
      </c>
      <c r="L267" s="472" t="s">
        <v>106</v>
      </c>
      <c r="M267" s="273" t="s">
        <v>207</v>
      </c>
      <c r="N267" s="364" t="s">
        <v>283</v>
      </c>
      <c r="O267" s="365" t="str">
        <f>PARAMS("attn_av_a_dtype")</f>
        <v>bf16</v>
      </c>
      <c r="P267" s="366"/>
      <c r="Q267" s="365" t="b">
        <v>1</v>
      </c>
    </row>
    <row r="268">
      <c r="E268" s="341"/>
      <c r="F268" s="342"/>
      <c r="G268" s="343"/>
      <c r="H268" s="273" t="s">
        <v>285</v>
      </c>
      <c r="I268" s="364" t="s">
        <v>282</v>
      </c>
      <c r="J268" s="363">
        <f t="shared" ref="J268:M268" si="49">PARAMS(J267)</f>
        <v>4096</v>
      </c>
      <c r="K268" s="364">
        <f t="shared" si="49"/>
        <v>1</v>
      </c>
      <c r="L268" s="364">
        <f t="shared" si="49"/>
        <v>5120</v>
      </c>
      <c r="M268" s="364">
        <f t="shared" si="49"/>
        <v>128</v>
      </c>
      <c r="N268" s="364" t="s">
        <v>283</v>
      </c>
      <c r="O268" s="341"/>
      <c r="P268" s="366">
        <f>SIZEOF_IN_MIB(J268:M268, $O267)</f>
        <v>5120</v>
      </c>
      <c r="Q268" s="341"/>
    </row>
    <row r="269">
      <c r="E269" s="341"/>
      <c r="F269" s="342"/>
      <c r="G269" s="343"/>
      <c r="H269" s="363" t="s">
        <v>287</v>
      </c>
      <c r="I269" s="363" t="s">
        <v>282</v>
      </c>
      <c r="J269" s="273" t="s">
        <v>196</v>
      </c>
      <c r="K269" s="273"/>
      <c r="L269" s="273"/>
      <c r="M269" s="363"/>
      <c r="N269" s="363" t="s">
        <v>283</v>
      </c>
      <c r="O269" s="341"/>
      <c r="P269" s="366"/>
      <c r="Q269" s="341"/>
    </row>
    <row r="270">
      <c r="E270" s="341"/>
      <c r="F270" s="353"/>
      <c r="G270" s="354"/>
      <c r="H270" s="273" t="s">
        <v>289</v>
      </c>
      <c r="I270" s="363" t="s">
        <v>282</v>
      </c>
      <c r="J270" s="363">
        <f t="shared" ref="J270:M270" si="50">J268/SHARDING(J269)</f>
        <v>256</v>
      </c>
      <c r="K270" s="363">
        <f t="shared" si="50"/>
        <v>1</v>
      </c>
      <c r="L270" s="363">
        <f t="shared" si="50"/>
        <v>5120</v>
      </c>
      <c r="M270" s="363">
        <f t="shared" si="50"/>
        <v>128</v>
      </c>
      <c r="N270" s="363" t="s">
        <v>283</v>
      </c>
      <c r="O270" s="352"/>
      <c r="P270" s="366">
        <f>SIZEOF_IN_MIB(J270:M270, $O267)</f>
        <v>320</v>
      </c>
      <c r="Q270" s="352"/>
    </row>
    <row r="271">
      <c r="E271" s="341"/>
      <c r="F271" s="334" t="s">
        <v>296</v>
      </c>
      <c r="G271" s="335"/>
      <c r="H271" s="363" t="s">
        <v>281</v>
      </c>
      <c r="I271" s="363" t="s">
        <v>282</v>
      </c>
      <c r="J271" s="273" t="s">
        <v>104</v>
      </c>
      <c r="K271" s="273"/>
      <c r="L271" s="472" t="s">
        <v>106</v>
      </c>
      <c r="M271" s="273" t="s">
        <v>198</v>
      </c>
      <c r="N271" s="363" t="s">
        <v>283</v>
      </c>
      <c r="O271" s="365" t="str">
        <f>PARAMS("kv_dtype")</f>
        <v>fp8</v>
      </c>
      <c r="P271" s="366"/>
      <c r="Q271" s="365" t="b">
        <v>1</v>
      </c>
    </row>
    <row r="272">
      <c r="E272" s="341"/>
      <c r="F272" s="342"/>
      <c r="G272" s="343"/>
      <c r="H272" s="273" t="s">
        <v>285</v>
      </c>
      <c r="I272" s="363" t="s">
        <v>282</v>
      </c>
      <c r="J272" s="363">
        <f>PARAMS(J271)</f>
        <v>4096</v>
      </c>
      <c r="K272" s="363"/>
      <c r="L272" s="363">
        <f t="shared" ref="L272:M272" si="51">PARAMS(L271)</f>
        <v>5120</v>
      </c>
      <c r="M272" s="363">
        <f t="shared" si="51"/>
        <v>512</v>
      </c>
      <c r="N272" s="363" t="s">
        <v>283</v>
      </c>
      <c r="O272" s="341"/>
      <c r="P272" s="366">
        <f>SIZEOF_IN_MIB(J272:M272, $O271)</f>
        <v>10240</v>
      </c>
      <c r="Q272" s="341"/>
    </row>
    <row r="273">
      <c r="E273" s="341"/>
      <c r="F273" s="342"/>
      <c r="G273" s="343"/>
      <c r="H273" s="363" t="s">
        <v>287</v>
      </c>
      <c r="I273" s="363" t="s">
        <v>282</v>
      </c>
      <c r="J273" s="273" t="s">
        <v>196</v>
      </c>
      <c r="K273" s="364"/>
      <c r="L273" s="363"/>
      <c r="M273" s="273"/>
      <c r="N273" s="363" t="s">
        <v>283</v>
      </c>
      <c r="O273" s="341"/>
      <c r="P273" s="366"/>
      <c r="Q273" s="341"/>
    </row>
    <row r="274">
      <c r="E274" s="341"/>
      <c r="F274" s="353"/>
      <c r="G274" s="354"/>
      <c r="H274" s="349" t="s">
        <v>289</v>
      </c>
      <c r="I274" s="349" t="s">
        <v>282</v>
      </c>
      <c r="J274" s="349">
        <f>J272/SHARDING(J273)</f>
        <v>256</v>
      </c>
      <c r="K274" s="349"/>
      <c r="L274" s="349">
        <f t="shared" ref="L274:M274" si="52">L272/SHARDING(L273)</f>
        <v>5120</v>
      </c>
      <c r="M274" s="349">
        <f t="shared" si="52"/>
        <v>512</v>
      </c>
      <c r="N274" s="349" t="s">
        <v>283</v>
      </c>
      <c r="O274" s="316"/>
      <c r="P274" s="351">
        <f>SIZEOF_IN_MIB(J274:M274, $O271)</f>
        <v>640</v>
      </c>
      <c r="Q274" s="316"/>
    </row>
    <row r="275">
      <c r="E275" s="341"/>
      <c r="F275" s="334" t="s">
        <v>56</v>
      </c>
      <c r="G275" s="335"/>
      <c r="H275" s="346" t="s">
        <v>281</v>
      </c>
      <c r="I275" s="346" t="s">
        <v>282</v>
      </c>
      <c r="J275" s="344" t="s">
        <v>104</v>
      </c>
      <c r="K275" s="344" t="s">
        <v>102</v>
      </c>
      <c r="L275" s="344" t="s">
        <v>207</v>
      </c>
      <c r="M275" s="344" t="s">
        <v>198</v>
      </c>
      <c r="N275" s="346" t="s">
        <v>283</v>
      </c>
      <c r="O275" s="546" t="s">
        <v>133</v>
      </c>
      <c r="P275" s="348"/>
      <c r="Q275" s="473" t="b">
        <v>0</v>
      </c>
    </row>
    <row r="276">
      <c r="E276" s="341"/>
      <c r="F276" s="342"/>
      <c r="G276" s="343"/>
      <c r="H276" s="337" t="s">
        <v>285</v>
      </c>
      <c r="I276" s="349" t="s">
        <v>282</v>
      </c>
      <c r="J276" s="349">
        <f t="shared" ref="J276:M276" si="53">PARAMS(J275)</f>
        <v>4096</v>
      </c>
      <c r="K276" s="349">
        <f t="shared" si="53"/>
        <v>1</v>
      </c>
      <c r="L276" s="349">
        <f t="shared" si="53"/>
        <v>128</v>
      </c>
      <c r="M276" s="349">
        <f t="shared" si="53"/>
        <v>512</v>
      </c>
      <c r="N276" s="349" t="s">
        <v>283</v>
      </c>
      <c r="O276" s="350"/>
      <c r="P276" s="351">
        <f>SIZEOF_IN_MIB(J276:M276, $O275)</f>
        <v>512</v>
      </c>
      <c r="Q276" s="350"/>
    </row>
    <row r="277">
      <c r="E277" s="341"/>
      <c r="F277" s="342"/>
      <c r="G277" s="343"/>
      <c r="H277" s="346" t="s">
        <v>287</v>
      </c>
      <c r="I277" s="346" t="s">
        <v>282</v>
      </c>
      <c r="J277" s="344" t="s">
        <v>196</v>
      </c>
      <c r="K277" s="344"/>
      <c r="L277" s="344"/>
      <c r="M277" s="344"/>
      <c r="N277" s="346" t="s">
        <v>283</v>
      </c>
      <c r="O277" s="347"/>
      <c r="P277" s="348"/>
      <c r="Q277" s="347"/>
    </row>
    <row r="278">
      <c r="E278" s="341"/>
      <c r="F278" s="353"/>
      <c r="G278" s="354"/>
      <c r="H278" s="349" t="s">
        <v>289</v>
      </c>
      <c r="I278" s="349" t="s">
        <v>282</v>
      </c>
      <c r="J278" s="349">
        <f t="shared" ref="J278:M278" si="54">J276/SHARDING(J277)</f>
        <v>256</v>
      </c>
      <c r="K278" s="349">
        <f t="shared" si="54"/>
        <v>1</v>
      </c>
      <c r="L278" s="349">
        <f t="shared" si="54"/>
        <v>128</v>
      </c>
      <c r="M278" s="349">
        <f t="shared" si="54"/>
        <v>512</v>
      </c>
      <c r="N278" s="349" t="s">
        <v>283</v>
      </c>
      <c r="O278" s="316"/>
      <c r="P278" s="351">
        <f>SIZEOF_IN_MIB(J278:M278, $O275)</f>
        <v>32</v>
      </c>
      <c r="Q278" s="316"/>
    </row>
    <row r="279">
      <c r="E279" s="341"/>
      <c r="F279" s="474" t="s">
        <v>335</v>
      </c>
      <c r="G279" s="459" t="s">
        <v>109</v>
      </c>
      <c r="H279" s="497"/>
      <c r="I279" s="498"/>
      <c r="J279" s="345"/>
      <c r="K279" s="345"/>
      <c r="L279" s="346"/>
      <c r="M279" s="346"/>
      <c r="N279" s="346"/>
      <c r="O279" s="345"/>
      <c r="P279" s="348"/>
      <c r="Q279" s="379"/>
    </row>
    <row r="280">
      <c r="E280" s="341"/>
      <c r="F280" s="352"/>
      <c r="G280" s="459"/>
      <c r="H280" s="349"/>
      <c r="I280" s="492"/>
      <c r="J280" s="336"/>
      <c r="K280" s="336"/>
      <c r="L280" s="349"/>
      <c r="M280" s="349"/>
      <c r="N280" s="349"/>
      <c r="O280" s="336"/>
      <c r="P280" s="351"/>
      <c r="Q280" s="298"/>
    </row>
    <row r="281">
      <c r="E281" s="341"/>
      <c r="F281" s="458" t="s">
        <v>327</v>
      </c>
      <c r="G281" s="459" t="s">
        <v>328</v>
      </c>
      <c r="H281" s="346" t="str">
        <f>VLOOKUP(O267&amp;","&amp;O271,$T$3:$W$12,4, FALSE)</f>
        <v>bf16</v>
      </c>
      <c r="I281" s="493"/>
      <c r="J281" s="345"/>
      <c r="K281" s="345"/>
      <c r="L281" s="346"/>
      <c r="M281" s="346"/>
      <c r="N281" s="346"/>
      <c r="O281" s="345"/>
      <c r="P281" s="348"/>
      <c r="Q281" s="379"/>
    </row>
    <row r="282">
      <c r="E282" s="341"/>
      <c r="F282" s="341"/>
      <c r="G282" s="455" t="s">
        <v>341</v>
      </c>
      <c r="H282" s="494" t="str">
        <f>CALCULATE_FLOPS(J270:M270,J274:M274,L274,J274,H281)</f>
        <v>#N/A</v>
      </c>
      <c r="I282" s="492"/>
      <c r="J282" s="336"/>
      <c r="K282" s="336"/>
      <c r="L282" s="349"/>
      <c r="M282" s="349"/>
      <c r="N282" s="349"/>
      <c r="O282" s="336"/>
      <c r="P282" s="351"/>
      <c r="Q282" s="298"/>
    </row>
    <row r="283">
      <c r="E283" s="341"/>
      <c r="F283" s="352"/>
      <c r="G283" s="462" t="s">
        <v>330</v>
      </c>
      <c r="H283" s="495" t="str">
        <f>COMPUTE_TIME_MS(H282, H281)</f>
        <v>#N/A</v>
      </c>
      <c r="I283" s="464"/>
      <c r="J283" s="465"/>
      <c r="K283" s="465"/>
      <c r="L283" s="466"/>
      <c r="M283" s="466"/>
      <c r="N283" s="466"/>
      <c r="O283" s="465"/>
      <c r="P283" s="467"/>
      <c r="Q283" s="379"/>
    </row>
    <row r="284">
      <c r="E284" s="341"/>
      <c r="F284" s="458" t="s">
        <v>331</v>
      </c>
      <c r="G284" s="455" t="s">
        <v>332</v>
      </c>
      <c r="H284" s="377">
        <f>IF(Q267,0,P270)+IF(Q271,0,P274)+IF(Q275,0,P278)</f>
        <v>32</v>
      </c>
      <c r="I284" s="336"/>
      <c r="J284" s="336"/>
      <c r="K284" s="336"/>
      <c r="L284" s="349"/>
      <c r="M284" s="349"/>
      <c r="N284" s="349"/>
      <c r="O284" s="336"/>
      <c r="P284" s="351"/>
      <c r="Q284" s="298"/>
    </row>
    <row r="285">
      <c r="E285" s="352"/>
      <c r="F285" s="352"/>
      <c r="G285" s="469" t="s">
        <v>333</v>
      </c>
      <c r="H285" s="547" t="str">
        <f>HBM_TIME_MS(H284)</f>
        <v>#N/A</v>
      </c>
      <c r="I285" s="465"/>
      <c r="J285" s="465"/>
      <c r="K285" s="465"/>
      <c r="L285" s="466"/>
      <c r="M285" s="466"/>
      <c r="N285" s="466"/>
      <c r="O285" s="465"/>
      <c r="P285" s="467"/>
      <c r="Q285" s="379"/>
    </row>
    <row r="286">
      <c r="E286" s="333" t="s">
        <v>351</v>
      </c>
      <c r="F286" s="357" t="s">
        <v>292</v>
      </c>
      <c r="G286" s="335"/>
      <c r="H286" s="336" t="s">
        <v>281</v>
      </c>
      <c r="I286" s="336" t="s">
        <v>282</v>
      </c>
      <c r="J286" s="337" t="s">
        <v>104</v>
      </c>
      <c r="K286" s="337" t="s">
        <v>102</v>
      </c>
      <c r="L286" s="337" t="s">
        <v>207</v>
      </c>
      <c r="M286" s="499" t="s">
        <v>198</v>
      </c>
      <c r="N286" s="336" t="s">
        <v>283</v>
      </c>
      <c r="O286" s="338" t="str">
        <f>EXTRACT_ACTIVATION_DTYPE(PARAMS("attn_proj_dtype"))</f>
        <v>bf16</v>
      </c>
      <c r="P286" s="351"/>
      <c r="Q286" s="338" t="b">
        <v>0</v>
      </c>
    </row>
    <row r="287">
      <c r="E287" s="341"/>
      <c r="F287" s="342"/>
      <c r="G287" s="343"/>
      <c r="H287" s="344" t="s">
        <v>285</v>
      </c>
      <c r="I287" s="345" t="s">
        <v>282</v>
      </c>
      <c r="J287" s="346">
        <f t="shared" ref="J287:M287" si="55">PARAMS(J286)</f>
        <v>4096</v>
      </c>
      <c r="K287" s="345">
        <f t="shared" si="55"/>
        <v>1</v>
      </c>
      <c r="L287" s="345">
        <f t="shared" si="55"/>
        <v>128</v>
      </c>
      <c r="M287" s="345">
        <f t="shared" si="55"/>
        <v>512</v>
      </c>
      <c r="N287" s="345" t="s">
        <v>283</v>
      </c>
      <c r="O287" s="347"/>
      <c r="P287" s="348">
        <f>SIZEOF_IN_MIB(J287:M287, $O286)</f>
        <v>512</v>
      </c>
      <c r="Q287" s="347"/>
    </row>
    <row r="288">
      <c r="E288" s="341"/>
      <c r="F288" s="342"/>
      <c r="G288" s="343"/>
      <c r="H288" s="349" t="s">
        <v>287</v>
      </c>
      <c r="I288" s="349" t="s">
        <v>282</v>
      </c>
      <c r="J288" s="337" t="s">
        <v>196</v>
      </c>
      <c r="K288" s="337"/>
      <c r="L288" s="337"/>
      <c r="M288" s="337"/>
      <c r="N288" s="349" t="s">
        <v>283</v>
      </c>
      <c r="O288" s="350"/>
      <c r="P288" s="351"/>
      <c r="Q288" s="350"/>
    </row>
    <row r="289">
      <c r="E289" s="341"/>
      <c r="F289" s="353"/>
      <c r="G289" s="354"/>
      <c r="H289" s="344" t="s">
        <v>289</v>
      </c>
      <c r="I289" s="346" t="s">
        <v>282</v>
      </c>
      <c r="J289" s="346">
        <f t="shared" ref="J289:M289" si="56">J287/SHARDING(J288)</f>
        <v>256</v>
      </c>
      <c r="K289" s="346">
        <f t="shared" si="56"/>
        <v>1</v>
      </c>
      <c r="L289" s="346">
        <f t="shared" si="56"/>
        <v>128</v>
      </c>
      <c r="M289" s="346">
        <f t="shared" si="56"/>
        <v>512</v>
      </c>
      <c r="N289" s="346" t="s">
        <v>283</v>
      </c>
      <c r="O289" s="355"/>
      <c r="P289" s="348">
        <f>SIZEOF_IN_MIB(J289:M289, $O286)</f>
        <v>32</v>
      </c>
      <c r="Q289" s="355"/>
    </row>
    <row r="290">
      <c r="E290" s="341"/>
      <c r="F290" s="334" t="s">
        <v>296</v>
      </c>
      <c r="G290" s="335"/>
      <c r="H290" s="349" t="s">
        <v>281</v>
      </c>
      <c r="I290" s="349" t="s">
        <v>282</v>
      </c>
      <c r="J290" s="336"/>
      <c r="K290" s="337" t="s">
        <v>207</v>
      </c>
      <c r="L290" s="337" t="s">
        <v>201</v>
      </c>
      <c r="M290" s="499" t="s">
        <v>198</v>
      </c>
      <c r="N290" s="349" t="s">
        <v>283</v>
      </c>
      <c r="O290" s="338" t="str">
        <f>EXTRACT_WEIGHT_DTYPE(PARAMS("attn_proj_dtype"))</f>
        <v>bf16</v>
      </c>
      <c r="P290" s="351"/>
      <c r="Q290" s="338" t="b">
        <v>0</v>
      </c>
    </row>
    <row r="291">
      <c r="E291" s="341"/>
      <c r="F291" s="342"/>
      <c r="G291" s="343"/>
      <c r="H291" s="344" t="s">
        <v>285</v>
      </c>
      <c r="I291" s="346" t="s">
        <v>282</v>
      </c>
      <c r="J291" s="345"/>
      <c r="K291" s="346">
        <f t="shared" ref="K291:M291" si="57">PARAMS(K290)</f>
        <v>128</v>
      </c>
      <c r="L291" s="346">
        <f t="shared" si="57"/>
        <v>128</v>
      </c>
      <c r="M291" s="346">
        <f t="shared" si="57"/>
        <v>512</v>
      </c>
      <c r="N291" s="346" t="s">
        <v>283</v>
      </c>
      <c r="O291" s="347"/>
      <c r="P291" s="348">
        <f>SIZEOF_IN_MIB(J291:M291, $O290)</f>
        <v>16</v>
      </c>
      <c r="Q291" s="347"/>
    </row>
    <row r="292">
      <c r="E292" s="341"/>
      <c r="F292" s="342"/>
      <c r="G292" s="343"/>
      <c r="H292" s="349" t="s">
        <v>287</v>
      </c>
      <c r="I292" s="349" t="s">
        <v>282</v>
      </c>
      <c r="J292" s="336"/>
      <c r="K292" s="336"/>
      <c r="L292" s="337"/>
      <c r="M292" s="337"/>
      <c r="N292" s="349" t="s">
        <v>283</v>
      </c>
      <c r="O292" s="350"/>
      <c r="P292" s="351"/>
      <c r="Q292" s="350"/>
    </row>
    <row r="293">
      <c r="E293" s="341"/>
      <c r="F293" s="353"/>
      <c r="G293" s="354"/>
      <c r="H293" s="346" t="s">
        <v>289</v>
      </c>
      <c r="I293" s="346" t="s">
        <v>282</v>
      </c>
      <c r="J293" s="345"/>
      <c r="K293" s="346">
        <f t="shared" ref="K293:M293" si="58">K291/SHARDING(K292)</f>
        <v>128</v>
      </c>
      <c r="L293" s="346">
        <f t="shared" si="58"/>
        <v>128</v>
      </c>
      <c r="M293" s="346">
        <f t="shared" si="58"/>
        <v>512</v>
      </c>
      <c r="N293" s="346" t="s">
        <v>283</v>
      </c>
      <c r="O293" s="355"/>
      <c r="P293" s="348">
        <f>SIZEOF_IN_MIB(J293:M293, $O290)</f>
        <v>16</v>
      </c>
      <c r="Q293" s="355"/>
    </row>
    <row r="294">
      <c r="E294" s="341"/>
      <c r="F294" s="334" t="s">
        <v>56</v>
      </c>
      <c r="G294" s="335"/>
      <c r="H294" s="349" t="s">
        <v>281</v>
      </c>
      <c r="I294" s="349" t="s">
        <v>282</v>
      </c>
      <c r="J294" s="337" t="s">
        <v>104</v>
      </c>
      <c r="K294" s="337" t="s">
        <v>102</v>
      </c>
      <c r="L294" s="337" t="s">
        <v>207</v>
      </c>
      <c r="M294" s="337" t="s">
        <v>201</v>
      </c>
      <c r="N294" s="349" t="s">
        <v>283</v>
      </c>
      <c r="O294" s="338" t="s">
        <v>133</v>
      </c>
      <c r="P294" s="351"/>
      <c r="Q294" s="338" t="b">
        <v>0</v>
      </c>
    </row>
    <row r="295">
      <c r="E295" s="341"/>
      <c r="F295" s="342"/>
      <c r="G295" s="343"/>
      <c r="H295" s="344" t="s">
        <v>285</v>
      </c>
      <c r="I295" s="346" t="s">
        <v>282</v>
      </c>
      <c r="J295" s="346">
        <f t="shared" ref="J295:M295" si="59">PARAMS(J294)</f>
        <v>4096</v>
      </c>
      <c r="K295" s="346">
        <f t="shared" si="59"/>
        <v>1</v>
      </c>
      <c r="L295" s="346">
        <f t="shared" si="59"/>
        <v>128</v>
      </c>
      <c r="M295" s="346">
        <f t="shared" si="59"/>
        <v>128</v>
      </c>
      <c r="N295" s="346" t="s">
        <v>283</v>
      </c>
      <c r="O295" s="347"/>
      <c r="P295" s="348">
        <f>SIZEOF_IN_MIB(J295:M295, $O294)</f>
        <v>128</v>
      </c>
      <c r="Q295" s="347"/>
    </row>
    <row r="296">
      <c r="E296" s="341"/>
      <c r="F296" s="342"/>
      <c r="G296" s="343"/>
      <c r="H296" s="349" t="s">
        <v>287</v>
      </c>
      <c r="I296" s="349" t="s">
        <v>282</v>
      </c>
      <c r="J296" s="337" t="s">
        <v>96</v>
      </c>
      <c r="K296" s="337"/>
      <c r="L296" s="337"/>
      <c r="M296" s="337" t="s">
        <v>97</v>
      </c>
      <c r="N296" s="349" t="s">
        <v>283</v>
      </c>
      <c r="O296" s="350"/>
      <c r="P296" s="351"/>
      <c r="Q296" s="350"/>
    </row>
    <row r="297">
      <c r="E297" s="341"/>
      <c r="F297" s="353"/>
      <c r="G297" s="354"/>
      <c r="H297" s="346" t="s">
        <v>289</v>
      </c>
      <c r="I297" s="346" t="s">
        <v>282</v>
      </c>
      <c r="J297" s="346">
        <f t="shared" ref="J297:M297" si="60">J295/SHARDING(J296)</f>
        <v>512</v>
      </c>
      <c r="K297" s="346">
        <f t="shared" si="60"/>
        <v>1</v>
      </c>
      <c r="L297" s="346">
        <f t="shared" si="60"/>
        <v>128</v>
      </c>
      <c r="M297" s="346">
        <f t="shared" si="60"/>
        <v>64</v>
      </c>
      <c r="N297" s="346" t="s">
        <v>283</v>
      </c>
      <c r="O297" s="355"/>
      <c r="P297" s="348">
        <f>SIZEOF_IN_MIB(J297:M297, $O294)</f>
        <v>8</v>
      </c>
      <c r="Q297" s="355"/>
    </row>
    <row r="298">
      <c r="E298" s="341"/>
      <c r="F298" s="474" t="s">
        <v>335</v>
      </c>
      <c r="G298" s="551"/>
      <c r="H298" s="906"/>
      <c r="I298" s="572"/>
      <c r="J298" s="381"/>
      <c r="K298" s="787"/>
      <c r="L298" s="907"/>
      <c r="M298" s="907"/>
      <c r="N298" s="907"/>
      <c r="O298" s="787"/>
      <c r="P298" s="908"/>
      <c r="Q298" s="787"/>
    </row>
    <row r="299">
      <c r="E299" s="341"/>
      <c r="F299" s="341"/>
      <c r="G299" s="272"/>
      <c r="H299" s="913"/>
      <c r="I299" s="379"/>
      <c r="J299" s="914"/>
      <c r="K299" s="399"/>
      <c r="L299" s="400"/>
      <c r="M299" s="400"/>
      <c r="N299" s="400"/>
      <c r="O299" s="399"/>
      <c r="P299" s="401"/>
      <c r="Q299" s="399"/>
    </row>
    <row r="300">
      <c r="E300" s="341"/>
      <c r="F300" s="341"/>
      <c r="G300" s="458"/>
      <c r="H300" s="485"/>
      <c r="I300" s="391"/>
      <c r="J300" s="558"/>
      <c r="K300" s="404"/>
      <c r="L300" s="405"/>
      <c r="M300" s="405"/>
      <c r="N300" s="405"/>
      <c r="O300" s="404"/>
      <c r="P300" s="406"/>
      <c r="Q300" s="404"/>
      <c r="S300" s="181" t="s">
        <v>685</v>
      </c>
    </row>
    <row r="301">
      <c r="E301" s="341"/>
      <c r="F301" s="341"/>
      <c r="G301" s="341"/>
      <c r="H301" s="481"/>
      <c r="I301" s="387"/>
      <c r="J301" s="395"/>
      <c r="K301" s="399"/>
      <c r="L301" s="400"/>
      <c r="M301" s="400"/>
      <c r="N301" s="400"/>
      <c r="O301" s="399"/>
      <c r="P301" s="401"/>
      <c r="Q301" s="399"/>
    </row>
    <row r="302">
      <c r="E302" s="341"/>
      <c r="F302" s="341"/>
      <c r="G302" s="341"/>
      <c r="H302" s="485"/>
      <c r="I302" s="391"/>
      <c r="J302" s="390"/>
      <c r="K302" s="404"/>
      <c r="L302" s="405"/>
      <c r="M302" s="405"/>
      <c r="N302" s="405"/>
      <c r="O302" s="404"/>
      <c r="P302" s="406"/>
      <c r="Q302" s="404"/>
    </row>
    <row r="303">
      <c r="E303" s="341"/>
      <c r="F303" s="341"/>
      <c r="G303" s="352"/>
      <c r="H303" s="481"/>
      <c r="I303" s="387"/>
      <c r="J303" s="560" t="str">
        <f>ALL_GATHER_CORE2CORE_TIME_MS(J302)</f>
        <v>#N/A</v>
      </c>
      <c r="K303" s="399"/>
      <c r="L303" s="400"/>
      <c r="M303" s="400"/>
      <c r="N303" s="400"/>
      <c r="O303" s="399"/>
      <c r="P303" s="401"/>
      <c r="Q303" s="399"/>
    </row>
    <row r="304">
      <c r="E304" s="341"/>
      <c r="F304" s="352"/>
      <c r="G304" s="462" t="s">
        <v>340</v>
      </c>
      <c r="H304" s="495" t="str">
        <f>J303</f>
        <v>#N/A</v>
      </c>
      <c r="I304" s="492"/>
      <c r="J304" s="336"/>
      <c r="K304" s="336"/>
      <c r="L304" s="349"/>
      <c r="M304" s="349"/>
      <c r="N304" s="349"/>
      <c r="O304" s="336"/>
      <c r="P304" s="351"/>
      <c r="Q304" s="298"/>
    </row>
    <row r="305">
      <c r="E305" s="341"/>
      <c r="F305" s="458" t="s">
        <v>327</v>
      </c>
      <c r="G305" s="459" t="s">
        <v>328</v>
      </c>
      <c r="H305" s="346" t="str">
        <f>VLOOKUP(O286&amp;","&amp;O290,$T$3:$W$12,4, FALSE)</f>
        <v>bf16</v>
      </c>
      <c r="I305" s="493"/>
      <c r="J305" s="345"/>
      <c r="K305" s="345"/>
      <c r="L305" s="346"/>
      <c r="M305" s="346"/>
      <c r="N305" s="346"/>
      <c r="O305" s="345"/>
      <c r="P305" s="348"/>
      <c r="Q305" s="379"/>
    </row>
    <row r="306">
      <c r="E306" s="341"/>
      <c r="F306" s="341"/>
      <c r="G306" s="455" t="s">
        <v>341</v>
      </c>
      <c r="H306" s="494" t="str">
        <f>CALCULATE_FLOPS(J289:M289,J293:M293,M293,K293,H305)</f>
        <v>#N/A</v>
      </c>
      <c r="I306" s="492"/>
      <c r="J306" s="336"/>
      <c r="K306" s="336"/>
      <c r="L306" s="349"/>
      <c r="M306" s="349"/>
      <c r="N306" s="349"/>
      <c r="O306" s="336"/>
      <c r="P306" s="351"/>
      <c r="Q306" s="298"/>
    </row>
    <row r="307">
      <c r="E307" s="341"/>
      <c r="F307" s="352"/>
      <c r="G307" s="462" t="s">
        <v>330</v>
      </c>
      <c r="H307" s="495" t="str">
        <f>COMPUTE_TIME_MS(H306, H305)</f>
        <v>#N/A</v>
      </c>
      <c r="I307" s="464"/>
      <c r="J307" s="465"/>
      <c r="K307" s="465"/>
      <c r="L307" s="466"/>
      <c r="M307" s="466"/>
      <c r="N307" s="466"/>
      <c r="O307" s="465"/>
      <c r="P307" s="467"/>
      <c r="Q307" s="379"/>
    </row>
    <row r="308">
      <c r="E308" s="341"/>
      <c r="F308" s="458" t="s">
        <v>331</v>
      </c>
      <c r="G308" s="455" t="s">
        <v>332</v>
      </c>
      <c r="H308" s="377">
        <f>IF(Q286,0,P289)+IF(Q290,0,P293)+IF(Q294,0,P297)</f>
        <v>56</v>
      </c>
      <c r="I308" s="336"/>
      <c r="J308" s="336"/>
      <c r="K308" s="336"/>
      <c r="L308" s="349"/>
      <c r="M308" s="349"/>
      <c r="N308" s="349"/>
      <c r="O308" s="336"/>
      <c r="P308" s="351"/>
      <c r="Q308" s="298"/>
    </row>
    <row r="309">
      <c r="E309" s="352"/>
      <c r="F309" s="352"/>
      <c r="G309" s="469" t="s">
        <v>333</v>
      </c>
      <c r="H309" s="500" t="str">
        <f>HBM_TIME_MS(H308)</f>
        <v>#N/A</v>
      </c>
      <c r="I309" s="465"/>
      <c r="J309" s="465"/>
      <c r="K309" s="465"/>
      <c r="L309" s="466"/>
      <c r="M309" s="466"/>
      <c r="N309" s="466"/>
      <c r="O309" s="465"/>
      <c r="P309" s="467"/>
      <c r="Q309" s="379"/>
    </row>
    <row r="310">
      <c r="E310" s="333" t="s">
        <v>355</v>
      </c>
      <c r="F310" s="357" t="s">
        <v>292</v>
      </c>
      <c r="G310" s="335"/>
      <c r="H310" s="336" t="s">
        <v>281</v>
      </c>
      <c r="I310" s="336" t="s">
        <v>282</v>
      </c>
      <c r="J310" s="337" t="s">
        <v>104</v>
      </c>
      <c r="K310" s="337" t="s">
        <v>102</v>
      </c>
      <c r="L310" s="499" t="s">
        <v>207</v>
      </c>
      <c r="M310" s="499" t="s">
        <v>201</v>
      </c>
      <c r="N310" s="336" t="s">
        <v>283</v>
      </c>
      <c r="O310" s="338" t="str">
        <f>EXTRACT_ACTIVATION_DTYPE(PARAMS("attn_proj_dtype"))</f>
        <v>bf16</v>
      </c>
      <c r="P310" s="351"/>
      <c r="Q310" s="338" t="b">
        <v>0</v>
      </c>
    </row>
    <row r="311">
      <c r="E311" s="341"/>
      <c r="F311" s="342"/>
      <c r="G311" s="343"/>
      <c r="H311" s="344" t="s">
        <v>285</v>
      </c>
      <c r="I311" s="345" t="s">
        <v>282</v>
      </c>
      <c r="J311" s="346">
        <f t="shared" ref="J311:M311" si="61">PARAMS(J310)</f>
        <v>4096</v>
      </c>
      <c r="K311" s="345">
        <f t="shared" si="61"/>
        <v>1</v>
      </c>
      <c r="L311" s="345">
        <f t="shared" si="61"/>
        <v>128</v>
      </c>
      <c r="M311" s="345">
        <f t="shared" si="61"/>
        <v>128</v>
      </c>
      <c r="N311" s="345" t="s">
        <v>283</v>
      </c>
      <c r="O311" s="347"/>
      <c r="P311" s="348">
        <f>SIZEOF_IN_MIB(J311:M311, $O310)</f>
        <v>128</v>
      </c>
      <c r="Q311" s="347"/>
    </row>
    <row r="312">
      <c r="E312" s="341"/>
      <c r="F312" s="342"/>
      <c r="G312" s="343"/>
      <c r="H312" s="349" t="s">
        <v>287</v>
      </c>
      <c r="I312" s="349" t="s">
        <v>282</v>
      </c>
      <c r="J312" s="337" t="s">
        <v>96</v>
      </c>
      <c r="K312" s="337"/>
      <c r="L312" s="337"/>
      <c r="M312" s="337" t="s">
        <v>97</v>
      </c>
      <c r="N312" s="349" t="s">
        <v>283</v>
      </c>
      <c r="O312" s="350"/>
      <c r="P312" s="351"/>
      <c r="Q312" s="350"/>
    </row>
    <row r="313">
      <c r="E313" s="341"/>
      <c r="F313" s="353"/>
      <c r="G313" s="354"/>
      <c r="H313" s="344" t="s">
        <v>289</v>
      </c>
      <c r="I313" s="346" t="s">
        <v>282</v>
      </c>
      <c r="J313" s="346">
        <f t="shared" ref="J313:M313" si="62">J311/SHARDING(J312)</f>
        <v>512</v>
      </c>
      <c r="K313" s="346">
        <f t="shared" si="62"/>
        <v>1</v>
      </c>
      <c r="L313" s="346">
        <f t="shared" si="62"/>
        <v>128</v>
      </c>
      <c r="M313" s="346">
        <f t="shared" si="62"/>
        <v>64</v>
      </c>
      <c r="N313" s="346" t="s">
        <v>283</v>
      </c>
      <c r="O313" s="355"/>
      <c r="P313" s="348">
        <f>SIZEOF_IN_MIB(J313:M313, $O310)</f>
        <v>8</v>
      </c>
      <c r="Q313" s="355"/>
    </row>
    <row r="314">
      <c r="E314" s="341"/>
      <c r="F314" s="334" t="s">
        <v>296</v>
      </c>
      <c r="G314" s="335"/>
      <c r="H314" s="349" t="s">
        <v>281</v>
      </c>
      <c r="I314" s="349" t="s">
        <v>282</v>
      </c>
      <c r="J314" s="336"/>
      <c r="K314" s="499" t="s">
        <v>207</v>
      </c>
      <c r="L314" s="499" t="s">
        <v>201</v>
      </c>
      <c r="M314" s="337" t="s">
        <v>178</v>
      </c>
      <c r="N314" s="349" t="s">
        <v>283</v>
      </c>
      <c r="O314" s="338" t="str">
        <f>EXTRACT_WEIGHT_DTYPE(PARAMS("attn_proj_dtype"))</f>
        <v>bf16</v>
      </c>
      <c r="P314" s="351"/>
      <c r="Q314" s="338" t="b">
        <v>0</v>
      </c>
    </row>
    <row r="315">
      <c r="E315" s="341"/>
      <c r="F315" s="342"/>
      <c r="G315" s="343"/>
      <c r="H315" s="344" t="s">
        <v>285</v>
      </c>
      <c r="I315" s="346" t="s">
        <v>282</v>
      </c>
      <c r="J315" s="345"/>
      <c r="K315" s="346">
        <f t="shared" ref="K315:M315" si="63">PARAMS(K314)</f>
        <v>128</v>
      </c>
      <c r="L315" s="346">
        <f t="shared" si="63"/>
        <v>128</v>
      </c>
      <c r="M315" s="346">
        <f t="shared" si="63"/>
        <v>7168</v>
      </c>
      <c r="N315" s="346" t="s">
        <v>283</v>
      </c>
      <c r="O315" s="347"/>
      <c r="P315" s="348">
        <f>SIZEOF_IN_MIB(J315:M315, $O314)</f>
        <v>224</v>
      </c>
      <c r="Q315" s="347"/>
    </row>
    <row r="316">
      <c r="E316" s="341"/>
      <c r="F316" s="342"/>
      <c r="G316" s="343"/>
      <c r="H316" s="349" t="s">
        <v>287</v>
      </c>
      <c r="I316" s="349" t="s">
        <v>282</v>
      </c>
      <c r="J316" s="336"/>
      <c r="K316" s="336"/>
      <c r="L316" s="337"/>
      <c r="M316" s="337" t="s">
        <v>97</v>
      </c>
      <c r="N316" s="349" t="s">
        <v>283</v>
      </c>
      <c r="O316" s="350"/>
      <c r="P316" s="351"/>
      <c r="Q316" s="350"/>
    </row>
    <row r="317">
      <c r="E317" s="341"/>
      <c r="F317" s="353"/>
      <c r="G317" s="354"/>
      <c r="H317" s="346" t="s">
        <v>289</v>
      </c>
      <c r="I317" s="346" t="s">
        <v>282</v>
      </c>
      <c r="J317" s="345"/>
      <c r="K317" s="346">
        <f t="shared" ref="K317:M317" si="64">K315/SHARDING(K316)</f>
        <v>128</v>
      </c>
      <c r="L317" s="346">
        <f t="shared" si="64"/>
        <v>128</v>
      </c>
      <c r="M317" s="346">
        <f t="shared" si="64"/>
        <v>3584</v>
      </c>
      <c r="N317" s="346" t="s">
        <v>283</v>
      </c>
      <c r="O317" s="355"/>
      <c r="P317" s="348">
        <f>SIZEOF_IN_MIB(J317:M317, $O314)</f>
        <v>112</v>
      </c>
      <c r="Q317" s="355"/>
    </row>
    <row r="318">
      <c r="E318" s="341"/>
      <c r="F318" s="334" t="s">
        <v>56</v>
      </c>
      <c r="G318" s="335"/>
      <c r="H318" s="349" t="s">
        <v>281</v>
      </c>
      <c r="I318" s="349" t="s">
        <v>282</v>
      </c>
      <c r="J318" s="336"/>
      <c r="K318" s="337" t="s">
        <v>104</v>
      </c>
      <c r="L318" s="337" t="s">
        <v>102</v>
      </c>
      <c r="M318" s="337" t="s">
        <v>178</v>
      </c>
      <c r="N318" s="349" t="s">
        <v>283</v>
      </c>
      <c r="O318" s="338" t="s">
        <v>133</v>
      </c>
      <c r="P318" s="351"/>
      <c r="Q318" s="338" t="b">
        <v>0</v>
      </c>
    </row>
    <row r="319">
      <c r="E319" s="341"/>
      <c r="F319" s="342"/>
      <c r="G319" s="343"/>
      <c r="H319" s="344" t="s">
        <v>285</v>
      </c>
      <c r="I319" s="346" t="s">
        <v>282</v>
      </c>
      <c r="J319" s="345"/>
      <c r="K319" s="346">
        <f t="shared" ref="K319:M319" si="65">PARAMS(K318)</f>
        <v>4096</v>
      </c>
      <c r="L319" s="346">
        <f t="shared" si="65"/>
        <v>1</v>
      </c>
      <c r="M319" s="346">
        <f t="shared" si="65"/>
        <v>7168</v>
      </c>
      <c r="N319" s="346" t="s">
        <v>283</v>
      </c>
      <c r="O319" s="347"/>
      <c r="P319" s="348">
        <f>SIZEOF_IN_MIB(K319:M319, $O318)</f>
        <v>56</v>
      </c>
      <c r="Q319" s="347"/>
    </row>
    <row r="320">
      <c r="E320" s="341"/>
      <c r="F320" s="342"/>
      <c r="G320" s="343"/>
      <c r="H320" s="349" t="s">
        <v>287</v>
      </c>
      <c r="I320" s="349" t="s">
        <v>282</v>
      </c>
      <c r="J320" s="336"/>
      <c r="K320" s="337" t="s">
        <v>96</v>
      </c>
      <c r="L320" s="337"/>
      <c r="M320" s="337" t="s">
        <v>97</v>
      </c>
      <c r="N320" s="349" t="s">
        <v>283</v>
      </c>
      <c r="O320" s="350"/>
      <c r="P320" s="351"/>
      <c r="Q320" s="350"/>
    </row>
    <row r="321">
      <c r="E321" s="341"/>
      <c r="F321" s="353"/>
      <c r="G321" s="354"/>
      <c r="H321" s="346" t="s">
        <v>289</v>
      </c>
      <c r="I321" s="346" t="s">
        <v>282</v>
      </c>
      <c r="J321" s="346"/>
      <c r="K321" s="346">
        <f t="shared" ref="K321:M321" si="66">K319/SHARDING(K320)</f>
        <v>512</v>
      </c>
      <c r="L321" s="346">
        <f t="shared" si="66"/>
        <v>1</v>
      </c>
      <c r="M321" s="346">
        <f t="shared" si="66"/>
        <v>3584</v>
      </c>
      <c r="N321" s="346" t="s">
        <v>283</v>
      </c>
      <c r="O321" s="355"/>
      <c r="P321" s="348">
        <f>SIZEOF_IN_MIB(K321:M321, $O318)</f>
        <v>3.5</v>
      </c>
      <c r="Q321" s="355"/>
    </row>
    <row r="322">
      <c r="E322" s="341"/>
      <c r="F322" s="474" t="s">
        <v>335</v>
      </c>
      <c r="G322" s="551" t="s">
        <v>686</v>
      </c>
      <c r="H322" s="906" t="s">
        <v>687</v>
      </c>
      <c r="I322" s="572"/>
      <c r="J322" s="381"/>
      <c r="K322" s="787"/>
      <c r="L322" s="907"/>
      <c r="M322" s="907"/>
      <c r="N322" s="907"/>
      <c r="O322" s="787"/>
      <c r="P322" s="908"/>
      <c r="Q322" s="787"/>
    </row>
    <row r="323">
      <c r="E323" s="341"/>
      <c r="F323" s="341"/>
      <c r="G323" s="272" t="s">
        <v>319</v>
      </c>
      <c r="H323" s="913" t="str">
        <f>M312</f>
        <v>data</v>
      </c>
      <c r="I323" s="379"/>
      <c r="J323" s="914"/>
      <c r="K323" s="399"/>
      <c r="L323" s="400"/>
      <c r="M323" s="400"/>
      <c r="N323" s="400"/>
      <c r="O323" s="399"/>
      <c r="P323" s="401"/>
      <c r="Q323" s="399"/>
    </row>
    <row r="324">
      <c r="E324" s="341"/>
      <c r="F324" s="341"/>
      <c r="G324" s="458" t="s">
        <v>320</v>
      </c>
      <c r="H324" s="485" t="s">
        <v>306</v>
      </c>
      <c r="I324" s="391"/>
      <c r="J324" s="558" t="str">
        <f>HW_SPEC("# of TensorCore per Chip")</f>
        <v>#N/A</v>
      </c>
      <c r="K324" s="404"/>
      <c r="L324" s="405"/>
      <c r="M324" s="405"/>
      <c r="N324" s="405"/>
      <c r="O324" s="404"/>
      <c r="P324" s="406"/>
      <c r="Q324" s="404"/>
    </row>
    <row r="325">
      <c r="E325" s="341"/>
      <c r="F325" s="341"/>
      <c r="G325" s="341"/>
      <c r="H325" s="481" t="s">
        <v>307</v>
      </c>
      <c r="I325" s="387"/>
      <c r="J325" s="395" t="str">
        <f>P313 * (J324-1)</f>
        <v>#N/A</v>
      </c>
      <c r="K325" s="399"/>
      <c r="L325" s="400"/>
      <c r="M325" s="400"/>
      <c r="N325" s="400"/>
      <c r="O325" s="399"/>
      <c r="P325" s="401"/>
      <c r="Q325" s="399"/>
    </row>
    <row r="326">
      <c r="E326" s="341"/>
      <c r="F326" s="341"/>
      <c r="G326" s="341"/>
      <c r="H326" s="485" t="s">
        <v>308</v>
      </c>
      <c r="I326" s="391"/>
      <c r="J326" s="390" t="str">
        <f>J325*J324</f>
        <v>#N/A</v>
      </c>
      <c r="K326" s="404"/>
      <c r="L326" s="405"/>
      <c r="M326" s="405"/>
      <c r="N326" s="405"/>
      <c r="O326" s="404"/>
      <c r="P326" s="406"/>
      <c r="Q326" s="404"/>
    </row>
    <row r="327">
      <c r="E327" s="341"/>
      <c r="F327" s="341"/>
      <c r="G327" s="352"/>
      <c r="H327" s="481" t="s">
        <v>311</v>
      </c>
      <c r="I327" s="387"/>
      <c r="J327" s="560" t="str">
        <f>ALL_GATHER_CORE2CORE_TIME_MS(J326)</f>
        <v>#N/A</v>
      </c>
      <c r="K327" s="399"/>
      <c r="L327" s="400"/>
      <c r="M327" s="400"/>
      <c r="N327" s="400"/>
      <c r="O327" s="399"/>
      <c r="P327" s="401"/>
      <c r="Q327" s="399"/>
    </row>
    <row r="328">
      <c r="E328" s="341"/>
      <c r="F328" s="352"/>
      <c r="G328" s="462" t="s">
        <v>340</v>
      </c>
      <c r="H328" s="495" t="str">
        <f>J327</f>
        <v>#N/A</v>
      </c>
      <c r="I328" s="492"/>
      <c r="J328" s="336"/>
      <c r="K328" s="336"/>
      <c r="L328" s="349"/>
      <c r="M328" s="349"/>
      <c r="N328" s="349"/>
      <c r="O328" s="336"/>
      <c r="P328" s="351"/>
      <c r="Q328" s="298"/>
    </row>
    <row r="329">
      <c r="E329" s="341"/>
      <c r="F329" s="458" t="s">
        <v>327</v>
      </c>
      <c r="G329" s="459" t="s">
        <v>328</v>
      </c>
      <c r="H329" s="346" t="str">
        <f>VLOOKUP(O310&amp;","&amp;O314,$T$3:$W$12,4, FALSE)</f>
        <v>bf16</v>
      </c>
      <c r="I329" s="493"/>
      <c r="J329" s="345"/>
      <c r="K329" s="345"/>
      <c r="L329" s="346"/>
      <c r="M329" s="346"/>
      <c r="N329" s="346"/>
      <c r="O329" s="345"/>
      <c r="P329" s="578"/>
      <c r="Q329" s="379"/>
    </row>
    <row r="330">
      <c r="E330" s="341"/>
      <c r="F330" s="341"/>
      <c r="G330" s="455" t="s">
        <v>341</v>
      </c>
      <c r="H330" s="494" t="str">
        <f>CALCULATE_FLOPS(J313:M313,J317:M317,K317:L317,1,H329)</f>
        <v>#N/A</v>
      </c>
      <c r="I330" s="883" t="s">
        <v>359</v>
      </c>
      <c r="J330" s="336"/>
      <c r="K330" s="336"/>
      <c r="L330" s="349"/>
      <c r="M330" s="349"/>
      <c r="N330" s="349"/>
      <c r="O330" s="336"/>
      <c r="P330" s="339"/>
      <c r="Q330" s="298"/>
    </row>
    <row r="331">
      <c r="E331" s="341"/>
      <c r="F331" s="352"/>
      <c r="G331" s="462" t="s">
        <v>330</v>
      </c>
      <c r="H331" s="585" t="str">
        <f>COMPUTE_TIME_MS(H330, H329)</f>
        <v>#N/A</v>
      </c>
      <c r="I331" s="464"/>
      <c r="J331" s="465"/>
      <c r="K331" s="465"/>
      <c r="L331" s="466"/>
      <c r="M331" s="466"/>
      <c r="N331" s="466"/>
      <c r="O331" s="465"/>
      <c r="P331" s="586"/>
      <c r="Q331" s="379"/>
    </row>
    <row r="332">
      <c r="E332" s="341"/>
      <c r="F332" s="458" t="s">
        <v>331</v>
      </c>
      <c r="G332" s="455" t="s">
        <v>332</v>
      </c>
      <c r="H332" s="377">
        <f>IF(Q310,0,P313)+IF(Q314,0,P317)+IF(Q318,0,P321)</f>
        <v>123.5</v>
      </c>
      <c r="I332" s="336"/>
      <c r="J332" s="336"/>
      <c r="K332" s="336"/>
      <c r="L332" s="349"/>
      <c r="M332" s="349"/>
      <c r="N332" s="349"/>
      <c r="O332" s="336"/>
      <c r="P332" s="339"/>
      <c r="Q332" s="298"/>
    </row>
    <row r="333">
      <c r="E333" s="352"/>
      <c r="F333" s="352"/>
      <c r="G333" s="469" t="s">
        <v>333</v>
      </c>
      <c r="H333" s="547" t="str">
        <f>HBM_TIME_MS(H332)</f>
        <v>#N/A</v>
      </c>
      <c r="I333" s="465"/>
      <c r="J333" s="465"/>
      <c r="K333" s="465"/>
      <c r="L333" s="466"/>
      <c r="M333" s="466"/>
      <c r="N333" s="466"/>
      <c r="O333" s="465"/>
      <c r="P333" s="586"/>
      <c r="Q333" s="11"/>
    </row>
    <row r="337">
      <c r="E337" s="281" t="s">
        <v>360</v>
      </c>
    </row>
    <row r="338">
      <c r="E338" s="324" t="s">
        <v>272</v>
      </c>
      <c r="F338" s="587" t="s">
        <v>273</v>
      </c>
      <c r="G338" s="326"/>
      <c r="H338" s="588"/>
      <c r="I338" s="325" t="s">
        <v>274</v>
      </c>
      <c r="J338" s="589"/>
      <c r="K338" s="589"/>
      <c r="L338" s="589"/>
      <c r="M338" s="589"/>
      <c r="N338" s="588"/>
      <c r="O338" s="328" t="s">
        <v>275</v>
      </c>
      <c r="P338" s="328" t="s">
        <v>361</v>
      </c>
      <c r="Q338" s="330" t="s">
        <v>277</v>
      </c>
    </row>
    <row r="339">
      <c r="E339" s="333" t="s">
        <v>362</v>
      </c>
      <c r="F339" s="590" t="s">
        <v>335</v>
      </c>
      <c r="G339" s="591" t="s">
        <v>363</v>
      </c>
      <c r="H339" s="592" t="s">
        <v>364</v>
      </c>
      <c r="I339" s="448"/>
      <c r="J339" s="448"/>
      <c r="K339" s="553"/>
      <c r="L339" s="553"/>
      <c r="M339" s="593"/>
      <c r="N339" s="448"/>
      <c r="O339" s="553"/>
      <c r="P339" s="448"/>
      <c r="Q339" s="553"/>
    </row>
    <row r="340">
      <c r="E340" s="341"/>
      <c r="F340" s="341"/>
      <c r="G340" s="371" t="s">
        <v>301</v>
      </c>
      <c r="H340" s="531" t="s">
        <v>281</v>
      </c>
      <c r="I340" s="336" t="s">
        <v>282</v>
      </c>
      <c r="J340" s="336"/>
      <c r="K340" s="337" t="s">
        <v>104</v>
      </c>
      <c r="L340" s="337" t="s">
        <v>212</v>
      </c>
      <c r="M340" s="358" t="s">
        <v>178</v>
      </c>
      <c r="N340" s="336" t="s">
        <v>283</v>
      </c>
      <c r="O340" s="338" t="str">
        <f>PARAMS("expert_dispatch_dtype")</f>
        <v>fp8</v>
      </c>
      <c r="P340" s="336"/>
      <c r="Q340" s="338"/>
    </row>
    <row r="341">
      <c r="E341" s="341"/>
      <c r="F341" s="341"/>
      <c r="G341" s="341"/>
      <c r="H341" s="378" t="s">
        <v>285</v>
      </c>
      <c r="I341" s="345" t="s">
        <v>282</v>
      </c>
      <c r="J341" s="346"/>
      <c r="K341" s="345">
        <f t="shared" ref="K341:M341" si="67">PARAMS(K340)</f>
        <v>4096</v>
      </c>
      <c r="L341" s="345">
        <f t="shared" si="67"/>
        <v>8</v>
      </c>
      <c r="M341" s="345">
        <f t="shared" si="67"/>
        <v>7168</v>
      </c>
      <c r="N341" s="345" t="s">
        <v>283</v>
      </c>
      <c r="O341" s="347"/>
      <c r="P341" s="509">
        <f>SIZEOF_IN_MIB(J341:M341, O340)</f>
        <v>224</v>
      </c>
      <c r="Q341" s="347"/>
    </row>
    <row r="342">
      <c r="E342" s="341"/>
      <c r="F342" s="341"/>
      <c r="G342" s="341"/>
      <c r="H342" s="376" t="s">
        <v>302</v>
      </c>
      <c r="I342" s="349" t="s">
        <v>282</v>
      </c>
      <c r="J342" s="336"/>
      <c r="K342" s="337" t="s">
        <v>196</v>
      </c>
      <c r="L342" s="337"/>
      <c r="M342" s="337"/>
      <c r="N342" s="349" t="s">
        <v>283</v>
      </c>
      <c r="O342" s="350"/>
      <c r="P342" s="377"/>
      <c r="Q342" s="350"/>
    </row>
    <row r="343">
      <c r="E343" s="341"/>
      <c r="F343" s="341"/>
      <c r="G343" s="341"/>
      <c r="H343" s="378" t="s">
        <v>303</v>
      </c>
      <c r="I343" s="346" t="s">
        <v>282</v>
      </c>
      <c r="J343" s="345"/>
      <c r="K343" s="346">
        <f t="shared" ref="K343:M343" si="68">K341/SHARDING(K342)</f>
        <v>256</v>
      </c>
      <c r="L343" s="346">
        <f t="shared" si="68"/>
        <v>8</v>
      </c>
      <c r="M343" s="346">
        <f t="shared" si="68"/>
        <v>7168</v>
      </c>
      <c r="N343" s="344" t="s">
        <v>283</v>
      </c>
      <c r="O343" s="347"/>
      <c r="P343" s="509"/>
      <c r="Q343" s="347"/>
    </row>
    <row r="344">
      <c r="E344" s="341"/>
      <c r="F344" s="341"/>
      <c r="G344" s="352"/>
      <c r="H344" s="376" t="s">
        <v>304</v>
      </c>
      <c r="I344" s="349" t="s">
        <v>282</v>
      </c>
      <c r="J344" s="336"/>
      <c r="K344" s="337" t="s">
        <v>196</v>
      </c>
      <c r="L344" s="337"/>
      <c r="M344" s="337"/>
      <c r="N344" s="349" t="s">
        <v>283</v>
      </c>
      <c r="O344" s="316"/>
      <c r="P344" s="377">
        <f>SIZEOF_IN_MIB(J343:M343, O340)</f>
        <v>14</v>
      </c>
      <c r="Q344" s="316"/>
    </row>
    <row r="345">
      <c r="E345" s="341"/>
      <c r="F345" s="341"/>
      <c r="G345" s="594" t="s">
        <v>608</v>
      </c>
      <c r="H345" s="715">
        <f>P341</f>
        <v>224</v>
      </c>
      <c r="I345" s="379"/>
      <c r="J345" s="379"/>
      <c r="K345" s="379"/>
      <c r="L345" s="379"/>
      <c r="M345" s="379"/>
      <c r="N345" s="379"/>
      <c r="O345" s="379"/>
      <c r="P345" s="596"/>
      <c r="Q345" s="379"/>
    </row>
    <row r="346">
      <c r="E346" s="341"/>
      <c r="F346" s="341"/>
      <c r="G346" s="599" t="s">
        <v>609</v>
      </c>
      <c r="H346" s="885" t="str">
        <f>ALL2ALL_CHIP2CHIP_TIME_MS(H345)</f>
        <v>#N/A</v>
      </c>
      <c r="I346" s="298"/>
      <c r="J346" s="298"/>
      <c r="K346" s="298"/>
      <c r="L346" s="298"/>
      <c r="M346" s="298"/>
      <c r="N346" s="298"/>
      <c r="O346" s="298"/>
      <c r="P346" s="598"/>
      <c r="Q346" s="298"/>
    </row>
    <row r="347">
      <c r="E347" s="341"/>
      <c r="F347" s="341"/>
      <c r="G347" s="601"/>
      <c r="H347" s="517"/>
      <c r="I347" s="346"/>
      <c r="J347" s="345"/>
      <c r="K347" s="344"/>
      <c r="L347" s="556"/>
      <c r="M347" s="344"/>
      <c r="N347" s="346"/>
      <c r="O347" s="344"/>
      <c r="P347" s="509"/>
      <c r="Q347" s="344"/>
    </row>
    <row r="348">
      <c r="E348" s="341"/>
      <c r="F348" s="341"/>
      <c r="G348" s="591" t="s">
        <v>368</v>
      </c>
      <c r="H348" s="603" t="s">
        <v>704</v>
      </c>
      <c r="I348" s="449"/>
      <c r="J348" s="448"/>
      <c r="K348" s="553"/>
      <c r="L348" s="446"/>
      <c r="M348" s="553"/>
      <c r="N348" s="449"/>
      <c r="O348" s="553"/>
      <c r="P348" s="604"/>
      <c r="Q348" s="553"/>
    </row>
    <row r="349">
      <c r="E349" s="341"/>
      <c r="F349" s="341"/>
      <c r="G349" s="371" t="s">
        <v>301</v>
      </c>
      <c r="H349" s="517" t="s">
        <v>281</v>
      </c>
      <c r="I349" s="346" t="s">
        <v>282</v>
      </c>
      <c r="J349" s="345"/>
      <c r="K349" s="344" t="s">
        <v>104</v>
      </c>
      <c r="L349" s="556" t="s">
        <v>102</v>
      </c>
      <c r="M349" s="344" t="s">
        <v>178</v>
      </c>
      <c r="N349" s="346" t="s">
        <v>283</v>
      </c>
      <c r="O349" s="473" t="str">
        <f>PARAMS("expert_dispatch_dtype")</f>
        <v>fp8</v>
      </c>
      <c r="P349" s="509"/>
      <c r="Q349" s="473"/>
    </row>
    <row r="350">
      <c r="E350" s="341"/>
      <c r="F350" s="341"/>
      <c r="G350" s="341"/>
      <c r="H350" s="376" t="s">
        <v>285</v>
      </c>
      <c r="I350" s="349" t="s">
        <v>282</v>
      </c>
      <c r="J350" s="336"/>
      <c r="K350" s="349">
        <f t="shared" ref="K350:M350" si="69">PARAMS(K349)</f>
        <v>4096</v>
      </c>
      <c r="L350" s="349">
        <f t="shared" si="69"/>
        <v>1</v>
      </c>
      <c r="M350" s="349">
        <f t="shared" si="69"/>
        <v>7168</v>
      </c>
      <c r="N350" s="349" t="s">
        <v>283</v>
      </c>
      <c r="O350" s="350"/>
      <c r="P350" s="377">
        <f>SIZEOF_IN_MIB(J350:M350, O349)</f>
        <v>28</v>
      </c>
      <c r="Q350" s="350"/>
    </row>
    <row r="351">
      <c r="E351" s="341"/>
      <c r="F351" s="341"/>
      <c r="G351" s="341"/>
      <c r="H351" s="378" t="s">
        <v>302</v>
      </c>
      <c r="I351" s="346" t="s">
        <v>282</v>
      </c>
      <c r="J351" s="345"/>
      <c r="K351" s="344" t="s">
        <v>96</v>
      </c>
      <c r="L351" s="344"/>
      <c r="M351" s="344" t="s">
        <v>97</v>
      </c>
      <c r="N351" s="346" t="s">
        <v>283</v>
      </c>
      <c r="O351" s="347"/>
      <c r="P351" s="509"/>
      <c r="Q351" s="347"/>
    </row>
    <row r="352">
      <c r="E352" s="341"/>
      <c r="F352" s="341"/>
      <c r="G352" s="341"/>
      <c r="H352" s="602" t="s">
        <v>289</v>
      </c>
      <c r="I352" s="349" t="s">
        <v>282</v>
      </c>
      <c r="J352" s="336"/>
      <c r="K352" s="349">
        <f t="shared" ref="K352:M352" si="70">K350/SHARDING(K351)</f>
        <v>512</v>
      </c>
      <c r="L352" s="349">
        <f t="shared" si="70"/>
        <v>1</v>
      </c>
      <c r="M352" s="349">
        <f t="shared" si="70"/>
        <v>3584</v>
      </c>
      <c r="N352" s="349" t="s">
        <v>283</v>
      </c>
      <c r="O352" s="350"/>
      <c r="P352" s="377">
        <f>SIZEOF_IN_MIB(J352:M352, O349)</f>
        <v>1.75</v>
      </c>
      <c r="Q352" s="316"/>
    </row>
    <row r="353">
      <c r="E353" s="341"/>
      <c r="F353" s="341"/>
      <c r="G353" s="352"/>
      <c r="H353" s="610" t="s">
        <v>304</v>
      </c>
      <c r="I353" s="346" t="s">
        <v>282</v>
      </c>
      <c r="J353" s="379"/>
      <c r="K353" s="379"/>
      <c r="L353" s="379"/>
      <c r="M353" s="344" t="s">
        <v>97</v>
      </c>
      <c r="N353" s="346" t="s">
        <v>283</v>
      </c>
      <c r="O353" s="355"/>
      <c r="P353" s="596"/>
      <c r="Q353" s="379"/>
    </row>
    <row r="354">
      <c r="E354" s="341"/>
      <c r="F354" s="341"/>
      <c r="G354" s="385" t="s">
        <v>306</v>
      </c>
      <c r="H354" s="886">
        <f>SHARDING(K351)*SHARDING(L351)</f>
        <v>8</v>
      </c>
      <c r="I354" s="298"/>
      <c r="J354" s="298"/>
      <c r="K354" s="298"/>
      <c r="L354" s="298"/>
      <c r="M354" s="298"/>
      <c r="N354" s="298"/>
      <c r="O354" s="298"/>
      <c r="P354" s="598"/>
      <c r="Q354" s="298"/>
    </row>
    <row r="355">
      <c r="E355" s="341"/>
      <c r="F355" s="341"/>
      <c r="G355" s="385" t="s">
        <v>307</v>
      </c>
      <c r="H355" s="395">
        <f>P352 * (H354-1)</f>
        <v>12.25</v>
      </c>
      <c r="I355" s="379"/>
      <c r="J355" s="379"/>
      <c r="K355" s="379"/>
      <c r="L355" s="379"/>
      <c r="M355" s="379"/>
      <c r="N355" s="379"/>
      <c r="O355" s="379"/>
      <c r="P355" s="596"/>
      <c r="Q355" s="379"/>
    </row>
    <row r="356">
      <c r="E356" s="341"/>
      <c r="F356" s="341"/>
      <c r="G356" s="394" t="s">
        <v>308</v>
      </c>
      <c r="H356" s="390">
        <f>H355*H354</f>
        <v>98</v>
      </c>
      <c r="I356" s="349"/>
      <c r="J356" s="336"/>
      <c r="K356" s="336"/>
      <c r="L356" s="337"/>
      <c r="M356" s="349"/>
      <c r="N356" s="349"/>
      <c r="O356" s="337"/>
      <c r="P356" s="377"/>
      <c r="Q356" s="337"/>
    </row>
    <row r="357">
      <c r="E357" s="341"/>
      <c r="F357" s="341"/>
      <c r="G357" s="396" t="s">
        <v>309</v>
      </c>
      <c r="H357" s="887">
        <f>IFS(H354=8,12,
H354=4,4,
H354=2,1,
H354=1,0,
TRUE,NA())</f>
        <v>12</v>
      </c>
      <c r="I357" s="346"/>
      <c r="J357" s="345"/>
      <c r="K357" s="345"/>
      <c r="L357" s="344"/>
      <c r="M357" s="346"/>
      <c r="N357" s="346"/>
      <c r="O357" s="344"/>
      <c r="P357" s="509"/>
      <c r="Q357" s="344"/>
    </row>
    <row r="358">
      <c r="E358" s="341"/>
      <c r="F358" s="341"/>
      <c r="G358" s="9" t="s">
        <v>310</v>
      </c>
      <c r="H358" s="293">
        <v>2.0</v>
      </c>
      <c r="I358" s="349"/>
      <c r="J358" s="336"/>
      <c r="K358" s="336"/>
      <c r="L358" s="337"/>
      <c r="M358" s="349"/>
      <c r="N358" s="349"/>
      <c r="O358" s="337"/>
      <c r="P358" s="377"/>
      <c r="Q358" s="337"/>
    </row>
    <row r="359">
      <c r="E359" s="341"/>
      <c r="F359" s="341"/>
      <c r="G359" s="402" t="s">
        <v>311</v>
      </c>
      <c r="H359" s="608" t="str">
        <f>ALL_GATHER_CHIP2CHIP_TIME_MS2(H356 * H358, H357)</f>
        <v>#N/A</v>
      </c>
      <c r="I359" s="346"/>
      <c r="J359" s="345"/>
      <c r="K359" s="345"/>
      <c r="L359" s="344"/>
      <c r="M359" s="346"/>
      <c r="N359" s="346"/>
      <c r="O359" s="344"/>
      <c r="P359" s="509"/>
      <c r="Q359" s="344"/>
    </row>
    <row r="360">
      <c r="E360" s="341"/>
      <c r="F360" s="341"/>
      <c r="G360" s="601"/>
      <c r="H360" s="602"/>
      <c r="I360" s="349"/>
      <c r="J360" s="336"/>
      <c r="K360" s="337"/>
      <c r="L360" s="499"/>
      <c r="M360" s="337"/>
      <c r="N360" s="349"/>
      <c r="O360" s="337"/>
      <c r="P360" s="377"/>
      <c r="Q360" s="337"/>
    </row>
    <row r="361">
      <c r="E361" s="341"/>
      <c r="F361" s="341"/>
      <c r="G361" s="591" t="s">
        <v>117</v>
      </c>
      <c r="H361" s="592" t="s">
        <v>371</v>
      </c>
      <c r="I361" s="449"/>
      <c r="J361" s="448"/>
      <c r="K361" s="553"/>
      <c r="L361" s="446"/>
      <c r="M361" s="553"/>
      <c r="N361" s="449"/>
      <c r="O361" s="553"/>
      <c r="P361" s="604"/>
      <c r="Q361" s="553"/>
    </row>
    <row r="362">
      <c r="E362" s="341"/>
      <c r="F362" s="341"/>
      <c r="G362" s="609" t="s">
        <v>301</v>
      </c>
      <c r="H362" s="602" t="s">
        <v>281</v>
      </c>
      <c r="I362" s="349" t="s">
        <v>282</v>
      </c>
      <c r="J362" s="336"/>
      <c r="K362" s="337" t="s">
        <v>104</v>
      </c>
      <c r="L362" s="499" t="s">
        <v>102</v>
      </c>
      <c r="M362" s="337" t="s">
        <v>178</v>
      </c>
      <c r="N362" s="349" t="s">
        <v>283</v>
      </c>
      <c r="O362" s="338" t="str">
        <f>PARAMS("expert_dispatch_dtype")</f>
        <v>fp8</v>
      </c>
      <c r="P362" s="377"/>
      <c r="Q362" s="337"/>
    </row>
    <row r="363">
      <c r="E363" s="341"/>
      <c r="F363" s="341"/>
      <c r="G363" s="341"/>
      <c r="H363" s="378" t="s">
        <v>285</v>
      </c>
      <c r="I363" s="346" t="s">
        <v>282</v>
      </c>
      <c r="J363" s="345"/>
      <c r="K363" s="346">
        <f t="shared" ref="K363:M363" si="71">PARAMS(K362)</f>
        <v>4096</v>
      </c>
      <c r="L363" s="346">
        <f t="shared" si="71"/>
        <v>1</v>
      </c>
      <c r="M363" s="346">
        <f t="shared" si="71"/>
        <v>7168</v>
      </c>
      <c r="N363" s="346" t="s">
        <v>283</v>
      </c>
      <c r="O363" s="347"/>
      <c r="P363" s="509">
        <f>SIZEOF_IN_MIB(J363:M363, O362)</f>
        <v>28</v>
      </c>
      <c r="Q363" s="344"/>
    </row>
    <row r="364">
      <c r="E364" s="341"/>
      <c r="F364" s="341"/>
      <c r="G364" s="341"/>
      <c r="H364" s="376" t="s">
        <v>302</v>
      </c>
      <c r="I364" s="349" t="s">
        <v>282</v>
      </c>
      <c r="J364" s="336"/>
      <c r="K364" s="337" t="s">
        <v>96</v>
      </c>
      <c r="L364" s="337"/>
      <c r="M364" s="337" t="s">
        <v>97</v>
      </c>
      <c r="N364" s="349" t="s">
        <v>283</v>
      </c>
      <c r="O364" s="350"/>
      <c r="P364" s="377"/>
      <c r="Q364" s="337"/>
    </row>
    <row r="365">
      <c r="E365" s="341"/>
      <c r="F365" s="341"/>
      <c r="G365" s="341"/>
      <c r="H365" s="378" t="s">
        <v>303</v>
      </c>
      <c r="I365" s="346" t="s">
        <v>282</v>
      </c>
      <c r="J365" s="345"/>
      <c r="K365" s="346">
        <f t="shared" ref="K365:M365" si="72">K363/SHARDING(K364)</f>
        <v>512</v>
      </c>
      <c r="L365" s="346">
        <f t="shared" si="72"/>
        <v>1</v>
      </c>
      <c r="M365" s="346">
        <f t="shared" si="72"/>
        <v>3584</v>
      </c>
      <c r="N365" s="346" t="s">
        <v>283</v>
      </c>
      <c r="O365" s="347"/>
      <c r="P365" s="509">
        <f>SIZEOF_IN_MIB(J365:M365, O362)</f>
        <v>1.75</v>
      </c>
      <c r="Q365" s="344"/>
    </row>
    <row r="366">
      <c r="E366" s="341"/>
      <c r="F366" s="341"/>
      <c r="G366" s="352"/>
      <c r="H366" s="605" t="s">
        <v>304</v>
      </c>
      <c r="I366" s="349" t="s">
        <v>282</v>
      </c>
      <c r="J366" s="298"/>
      <c r="K366" s="298"/>
      <c r="L366" s="298"/>
      <c r="M366" s="337"/>
      <c r="N366" s="349" t="s">
        <v>283</v>
      </c>
      <c r="O366" s="316"/>
      <c r="P366" s="298"/>
      <c r="Q366" s="337"/>
    </row>
    <row r="367">
      <c r="E367" s="341"/>
      <c r="F367" s="341"/>
      <c r="G367" s="458" t="s">
        <v>372</v>
      </c>
      <c r="H367" s="610" t="s">
        <v>306</v>
      </c>
      <c r="I367" s="379"/>
      <c r="J367" s="410" t="str">
        <f>SHARDING(K364) * SHARDING(L364)*SHARDING(M364) / HW_SPEC("# of TensorCore per Chip")</f>
        <v>#N/A</v>
      </c>
      <c r="K367" s="345"/>
      <c r="L367" s="344"/>
      <c r="M367" s="346"/>
      <c r="N367" s="346"/>
      <c r="O367" s="344"/>
      <c r="P367" s="509"/>
      <c r="Q367" s="344"/>
    </row>
    <row r="368">
      <c r="E368" s="341"/>
      <c r="F368" s="341"/>
      <c r="G368" s="341"/>
      <c r="H368" s="605" t="s">
        <v>307</v>
      </c>
      <c r="I368" s="298"/>
      <c r="J368" s="390" t="str">
        <f>P365 * HW_SPEC("# of TensorCore per Chip") * (J367-1)</f>
        <v>#N/A</v>
      </c>
      <c r="K368" s="336"/>
      <c r="L368" s="337"/>
      <c r="M368" s="349"/>
      <c r="N368" s="349"/>
      <c r="O368" s="337"/>
      <c r="P368" s="377"/>
      <c r="Q368" s="337"/>
    </row>
    <row r="369">
      <c r="E369" s="341"/>
      <c r="F369" s="341"/>
      <c r="G369" s="341"/>
      <c r="H369" s="410" t="s">
        <v>308</v>
      </c>
      <c r="I369" s="379"/>
      <c r="J369" s="395" t="str">
        <f>J368*J367</f>
        <v>#N/A</v>
      </c>
      <c r="K369" s="345"/>
      <c r="L369" s="344"/>
      <c r="M369" s="346"/>
      <c r="N369" s="346"/>
      <c r="O369" s="344"/>
      <c r="P369" s="509"/>
      <c r="Q369" s="344"/>
    </row>
    <row r="370">
      <c r="E370" s="341"/>
      <c r="F370" s="341"/>
      <c r="G370" s="341"/>
      <c r="H370" s="478" t="s">
        <v>309</v>
      </c>
      <c r="I370" s="298"/>
      <c r="J370" s="397" t="str">
        <f>IFS(J367=8,12,
J367=4,4,
J367=2,1,
J367=1,0,
TRUE,NA())</f>
        <v>#N/A</v>
      </c>
      <c r="K370" s="336"/>
      <c r="L370" s="337"/>
      <c r="M370" s="349"/>
      <c r="N370" s="349"/>
      <c r="O370" s="337"/>
      <c r="P370" s="377"/>
      <c r="Q370" s="337"/>
    </row>
    <row r="371">
      <c r="E371" s="341"/>
      <c r="F371" s="341"/>
      <c r="G371" s="341"/>
      <c r="H371" s="606" t="s">
        <v>310</v>
      </c>
      <c r="I371" s="379"/>
      <c r="J371" s="611" t="s">
        <v>611</v>
      </c>
      <c r="K371" s="345"/>
      <c r="L371" s="344"/>
      <c r="M371" s="346"/>
      <c r="N371" s="346"/>
      <c r="O371" s="344"/>
      <c r="P371" s="509"/>
      <c r="Q371" s="344"/>
    </row>
    <row r="372">
      <c r="E372" s="341"/>
      <c r="F372" s="341"/>
      <c r="G372" s="352"/>
      <c r="H372" s="612" t="s">
        <v>311</v>
      </c>
      <c r="I372" s="613"/>
      <c r="J372" s="403" t="str">
        <f>ALL_GATHER_CHIP2CHIP_TIME_MS2(J369 * J371, J370)</f>
        <v>#N/A</v>
      </c>
      <c r="K372" s="336"/>
      <c r="L372" s="337"/>
      <c r="M372" s="349"/>
      <c r="N372" s="349"/>
      <c r="O372" s="337"/>
      <c r="P372" s="377"/>
      <c r="Q372" s="337"/>
    </row>
    <row r="373">
      <c r="E373" s="341"/>
      <c r="F373" s="341"/>
      <c r="G373" s="458" t="s">
        <v>373</v>
      </c>
      <c r="H373" s="410" t="s">
        <v>306</v>
      </c>
      <c r="I373" s="387"/>
      <c r="J373" s="483" t="str">
        <f>HW_SPEC("# of TensorCore per Chip")</f>
        <v>#N/A</v>
      </c>
      <c r="K373" s="345"/>
      <c r="L373" s="344"/>
      <c r="M373" s="346"/>
      <c r="N373" s="346"/>
      <c r="O373" s="344"/>
      <c r="P373" s="509"/>
      <c r="Q373" s="344"/>
    </row>
    <row r="374">
      <c r="E374" s="341"/>
      <c r="F374" s="341"/>
      <c r="G374" s="341"/>
      <c r="H374" s="478" t="s">
        <v>307</v>
      </c>
      <c r="I374" s="391"/>
      <c r="J374" s="390" t="str">
        <f> P363 / J373 * (J373-1)</f>
        <v>#N/A</v>
      </c>
      <c r="K374" s="336"/>
      <c r="L374" s="337"/>
      <c r="M374" s="349"/>
      <c r="N374" s="349"/>
      <c r="O374" s="337"/>
      <c r="P374" s="377"/>
      <c r="Q374" s="337"/>
    </row>
    <row r="375">
      <c r="E375" s="341"/>
      <c r="F375" s="341"/>
      <c r="G375" s="341"/>
      <c r="H375" s="410" t="s">
        <v>308</v>
      </c>
      <c r="I375" s="387"/>
      <c r="J375" s="395" t="str">
        <f>J374*J373</f>
        <v>#N/A</v>
      </c>
      <c r="K375" s="345"/>
      <c r="L375" s="344"/>
      <c r="M375" s="346"/>
      <c r="N375" s="346"/>
      <c r="O375" s="344"/>
      <c r="P375" s="509"/>
      <c r="Q375" s="344"/>
    </row>
    <row r="376">
      <c r="E376" s="341"/>
      <c r="F376" s="341"/>
      <c r="G376" s="341"/>
      <c r="H376" s="614" t="s">
        <v>311</v>
      </c>
      <c r="I376" s="615"/>
      <c r="J376" s="616" t="str">
        <f>ALL_GATHER_CORE2CORE_TIME_MS(J375)</f>
        <v>#N/A</v>
      </c>
      <c r="K376" s="336"/>
      <c r="L376" s="337"/>
      <c r="M376" s="349"/>
      <c r="N376" s="349"/>
      <c r="O376" s="337"/>
      <c r="P376" s="377"/>
      <c r="Q376" s="337"/>
    </row>
    <row r="377">
      <c r="E377" s="341"/>
      <c r="F377" s="341"/>
      <c r="G377" s="352"/>
      <c r="H377" s="617" t="s">
        <v>374</v>
      </c>
      <c r="I377" s="618"/>
      <c r="J377" s="619" t="str">
        <f>J376/J367</f>
        <v>#N/A</v>
      </c>
      <c r="K377" s="345"/>
      <c r="L377" s="344"/>
      <c r="M377" s="346"/>
      <c r="N377" s="346"/>
      <c r="O377" s="344"/>
      <c r="P377" s="509"/>
      <c r="Q377" s="344"/>
    </row>
    <row r="378">
      <c r="E378" s="341"/>
      <c r="F378" s="341"/>
      <c r="G378" s="402" t="s">
        <v>316</v>
      </c>
      <c r="H378" s="620" t="str">
        <f>J372+J377</f>
        <v>#N/A</v>
      </c>
      <c r="I378" s="298"/>
      <c r="J378" s="621"/>
      <c r="K378" s="336"/>
      <c r="L378" s="337"/>
      <c r="M378" s="349"/>
      <c r="N378" s="349"/>
      <c r="O378" s="337"/>
      <c r="P378" s="377"/>
      <c r="Q378" s="337"/>
    </row>
    <row r="379">
      <c r="E379" s="341"/>
      <c r="F379" s="341"/>
      <c r="G379" s="601"/>
      <c r="H379" s="622"/>
      <c r="I379" s="493"/>
      <c r="J379" s="345"/>
      <c r="K379" s="345"/>
      <c r="L379" s="346"/>
      <c r="M379" s="346"/>
      <c r="N379" s="346"/>
      <c r="O379" s="345"/>
      <c r="P379" s="509"/>
      <c r="Q379" s="379"/>
    </row>
    <row r="380">
      <c r="E380" s="341"/>
      <c r="F380" s="341"/>
      <c r="G380" s="623" t="s">
        <v>375</v>
      </c>
      <c r="H380" s="624" t="s">
        <v>368</v>
      </c>
      <c r="I380" s="581"/>
      <c r="J380" s="448"/>
      <c r="K380" s="448"/>
      <c r="L380" s="449"/>
      <c r="M380" s="449"/>
      <c r="N380" s="449"/>
      <c r="O380" s="448"/>
      <c r="P380" s="604"/>
      <c r="Q380" s="572"/>
    </row>
    <row r="381">
      <c r="E381" s="341"/>
      <c r="F381" s="341"/>
      <c r="G381" s="591" t="s">
        <v>340</v>
      </c>
      <c r="H381" s="625" t="str">
        <f>IFS(H380=G339,H346,H380=G348,H359,H380=G361,H378, TRUE,0)</f>
        <v>#N/A</v>
      </c>
      <c r="I381" s="581"/>
      <c r="J381" s="448"/>
      <c r="K381" s="448"/>
      <c r="L381" s="449"/>
      <c r="M381" s="449"/>
      <c r="N381" s="449"/>
      <c r="O381" s="448"/>
      <c r="P381" s="604"/>
      <c r="Q381" s="572"/>
    </row>
    <row r="382">
      <c r="E382" s="341"/>
      <c r="F382" s="341"/>
      <c r="G382" s="452" t="s">
        <v>325</v>
      </c>
      <c r="H382" s="626" t="str">
        <f>IFS(PARAMS("topo")="2x2x2", (2+2+2)/2,
PARAMS("topo")="2x2", (2+2)/2,
TRUE, NA())</f>
        <v>#N/A</v>
      </c>
      <c r="I382" s="460"/>
      <c r="J382" s="454"/>
      <c r="K382" s="454"/>
      <c r="L382" s="455"/>
      <c r="M382" s="455"/>
      <c r="N382" s="455"/>
      <c r="O382" s="454"/>
      <c r="P382" s="468"/>
      <c r="Q382" s="11"/>
    </row>
    <row r="383">
      <c r="E383" s="352"/>
      <c r="F383" s="352"/>
      <c r="G383" s="446" t="s">
        <v>326</v>
      </c>
      <c r="H383" s="447" t="str">
        <f>IF(H380="No Collectives", 0, H382 * HW_SPEC("Chip-to-Chip ICI Latency (ms)"))</f>
        <v>#N/A</v>
      </c>
      <c r="I383" s="581"/>
      <c r="J383" s="448"/>
      <c r="K383" s="448"/>
      <c r="L383" s="449"/>
      <c r="M383" s="449"/>
      <c r="N383" s="449"/>
      <c r="O383" s="448"/>
      <c r="P383" s="604"/>
      <c r="Q383" s="572"/>
    </row>
    <row r="384">
      <c r="E384" s="333" t="s">
        <v>377</v>
      </c>
      <c r="F384" s="627" t="s">
        <v>292</v>
      </c>
      <c r="G384" s="335"/>
      <c r="H384" s="372" t="s">
        <v>281</v>
      </c>
      <c r="I384" s="364" t="s">
        <v>282</v>
      </c>
      <c r="J384" s="364"/>
      <c r="K384" s="273" t="s">
        <v>104</v>
      </c>
      <c r="L384" s="273" t="s">
        <v>212</v>
      </c>
      <c r="M384" s="472" t="s">
        <v>178</v>
      </c>
      <c r="N384" s="364" t="s">
        <v>283</v>
      </c>
      <c r="O384" s="628" t="str">
        <f>EXTRACT_ACTIVATION_DTYPE(PARAMS("moe_dtype"))</f>
        <v>fp8</v>
      </c>
      <c r="P384" s="375"/>
      <c r="Q384" s="365" t="b">
        <v>0</v>
      </c>
    </row>
    <row r="385">
      <c r="E385" s="341"/>
      <c r="F385" s="342"/>
      <c r="G385" s="343"/>
      <c r="H385" s="374" t="s">
        <v>285</v>
      </c>
      <c r="I385" s="364" t="s">
        <v>282</v>
      </c>
      <c r="J385" s="363"/>
      <c r="K385" s="364">
        <f t="shared" ref="K385:M385" si="73">PARAMS(K384)</f>
        <v>4096</v>
      </c>
      <c r="L385" s="364">
        <f t="shared" si="73"/>
        <v>8</v>
      </c>
      <c r="M385" s="364">
        <f t="shared" si="73"/>
        <v>7168</v>
      </c>
      <c r="N385" s="364" t="s">
        <v>283</v>
      </c>
      <c r="O385" s="341"/>
      <c r="P385" s="375">
        <f>SIZEOF_IN_MIB(J385:M385, O384)</f>
        <v>224</v>
      </c>
      <c r="Q385" s="341"/>
    </row>
    <row r="386">
      <c r="E386" s="341"/>
      <c r="F386" s="342"/>
      <c r="G386" s="343"/>
      <c r="H386" s="629" t="s">
        <v>287</v>
      </c>
      <c r="I386" s="363" t="s">
        <v>282</v>
      </c>
      <c r="J386" s="364"/>
      <c r="K386" s="273" t="s">
        <v>96</v>
      </c>
      <c r="L386" s="273"/>
      <c r="M386" s="273" t="s">
        <v>97</v>
      </c>
      <c r="N386" s="363" t="s">
        <v>283</v>
      </c>
      <c r="O386" s="341"/>
      <c r="P386" s="375"/>
      <c r="Q386" s="341"/>
    </row>
    <row r="387">
      <c r="E387" s="341"/>
      <c r="F387" s="353"/>
      <c r="G387" s="354"/>
      <c r="H387" s="376" t="s">
        <v>289</v>
      </c>
      <c r="I387" s="349" t="s">
        <v>282</v>
      </c>
      <c r="J387" s="336"/>
      <c r="K387" s="349">
        <f t="shared" ref="K387:M387" si="74">K385/SHARDING(K386)</f>
        <v>512</v>
      </c>
      <c r="L387" s="349">
        <f t="shared" si="74"/>
        <v>8</v>
      </c>
      <c r="M387" s="349">
        <f t="shared" si="74"/>
        <v>3584</v>
      </c>
      <c r="N387" s="349" t="s">
        <v>283</v>
      </c>
      <c r="O387" s="316"/>
      <c r="P387" s="377">
        <f>SIZEOF_IN_MIB(J387:M387, O384)</f>
        <v>14</v>
      </c>
      <c r="Q387" s="316"/>
    </row>
    <row r="388">
      <c r="E388" s="341"/>
      <c r="F388" s="630" t="s">
        <v>296</v>
      </c>
      <c r="G388" s="335"/>
      <c r="H388" s="517" t="s">
        <v>281</v>
      </c>
      <c r="I388" s="346" t="s">
        <v>282</v>
      </c>
      <c r="J388" s="344">
        <v>2.0</v>
      </c>
      <c r="K388" s="344" t="s">
        <v>184</v>
      </c>
      <c r="L388" s="556" t="s">
        <v>178</v>
      </c>
      <c r="M388" s="344" t="s">
        <v>182</v>
      </c>
      <c r="N388" s="346" t="s">
        <v>283</v>
      </c>
      <c r="O388" s="631" t="str">
        <f>EXTRACT_WEIGHT_DTYPE(PARAMS("moe_dtype"))</f>
        <v>fp4</v>
      </c>
      <c r="P388" s="509"/>
      <c r="Q388" s="473" t="b">
        <v>0</v>
      </c>
    </row>
    <row r="389">
      <c r="E389" s="341"/>
      <c r="F389" s="342"/>
      <c r="G389" s="343"/>
      <c r="H389" s="376" t="s">
        <v>285</v>
      </c>
      <c r="I389" s="349" t="s">
        <v>282</v>
      </c>
      <c r="J389" s="349">
        <f t="shared" ref="J389:M389" si="75">PARAMS(J388)</f>
        <v>2</v>
      </c>
      <c r="K389" s="349">
        <f t="shared" si="75"/>
        <v>256</v>
      </c>
      <c r="L389" s="349">
        <f t="shared" si="75"/>
        <v>7168</v>
      </c>
      <c r="M389" s="349">
        <f t="shared" si="75"/>
        <v>2048</v>
      </c>
      <c r="N389" s="349" t="s">
        <v>283</v>
      </c>
      <c r="O389" s="350"/>
      <c r="P389" s="377">
        <f>SIZEOF_IN_MIB(J389:M389, O388)</f>
        <v>3584</v>
      </c>
      <c r="Q389" s="350"/>
    </row>
    <row r="390">
      <c r="E390" s="341"/>
      <c r="F390" s="342"/>
      <c r="G390" s="343"/>
      <c r="H390" s="517" t="s">
        <v>287</v>
      </c>
      <c r="I390" s="346"/>
      <c r="J390" s="345"/>
      <c r="K390" s="344" t="s">
        <v>96</v>
      </c>
      <c r="L390" s="344" t="s">
        <v>97</v>
      </c>
      <c r="M390" s="344"/>
      <c r="N390" s="346" t="s">
        <v>283</v>
      </c>
      <c r="O390" s="347"/>
      <c r="P390" s="509"/>
      <c r="Q390" s="347"/>
    </row>
    <row r="391">
      <c r="E391" s="341"/>
      <c r="F391" s="353"/>
      <c r="G391" s="354"/>
      <c r="H391" s="602" t="s">
        <v>289</v>
      </c>
      <c r="I391" s="349" t="s">
        <v>282</v>
      </c>
      <c r="J391" s="349">
        <f t="shared" ref="J391:M391" si="76">J389/SHARDING(J390)</f>
        <v>2</v>
      </c>
      <c r="K391" s="349">
        <f t="shared" si="76"/>
        <v>32</v>
      </c>
      <c r="L391" s="349">
        <f t="shared" si="76"/>
        <v>3584</v>
      </c>
      <c r="M391" s="349">
        <f t="shared" si="76"/>
        <v>2048</v>
      </c>
      <c r="N391" s="349" t="s">
        <v>283</v>
      </c>
      <c r="O391" s="316"/>
      <c r="P391" s="377">
        <f>SIZEOF_IN_MIB(J391:M391, O388)</f>
        <v>224</v>
      </c>
      <c r="Q391" s="316"/>
    </row>
    <row r="392">
      <c r="E392" s="341"/>
      <c r="F392" s="630" t="s">
        <v>56</v>
      </c>
      <c r="G392" s="335"/>
      <c r="H392" s="517" t="s">
        <v>281</v>
      </c>
      <c r="I392" s="346" t="s">
        <v>282</v>
      </c>
      <c r="J392" s="344">
        <v>2.0</v>
      </c>
      <c r="K392" s="344" t="s">
        <v>104</v>
      </c>
      <c r="L392" s="344" t="s">
        <v>212</v>
      </c>
      <c r="M392" s="344" t="s">
        <v>182</v>
      </c>
      <c r="N392" s="346" t="s">
        <v>283</v>
      </c>
      <c r="O392" s="546" t="s">
        <v>133</v>
      </c>
      <c r="P392" s="509"/>
      <c r="Q392" s="473" t="b">
        <v>0</v>
      </c>
    </row>
    <row r="393">
      <c r="E393" s="341"/>
      <c r="F393" s="342"/>
      <c r="G393" s="343"/>
      <c r="H393" s="376" t="s">
        <v>285</v>
      </c>
      <c r="I393" s="349" t="s">
        <v>282</v>
      </c>
      <c r="J393" s="349">
        <f t="shared" ref="J393:M393" si="77">PARAMS(J392)</f>
        <v>2</v>
      </c>
      <c r="K393" s="349">
        <f t="shared" si="77"/>
        <v>4096</v>
      </c>
      <c r="L393" s="349">
        <f t="shared" si="77"/>
        <v>8</v>
      </c>
      <c r="M393" s="349">
        <f t="shared" si="77"/>
        <v>2048</v>
      </c>
      <c r="N393" s="349" t="s">
        <v>283</v>
      </c>
      <c r="O393" s="350"/>
      <c r="P393" s="377">
        <f>SIZEOF_IN_MIB(J393:M393, O392)</f>
        <v>256</v>
      </c>
      <c r="Q393" s="350"/>
    </row>
    <row r="394">
      <c r="E394" s="341"/>
      <c r="F394" s="342"/>
      <c r="G394" s="343"/>
      <c r="H394" s="517" t="s">
        <v>287</v>
      </c>
      <c r="I394" s="346" t="s">
        <v>282</v>
      </c>
      <c r="J394" s="345"/>
      <c r="K394" s="344" t="s">
        <v>96</v>
      </c>
      <c r="L394" s="344"/>
      <c r="M394" s="344"/>
      <c r="N394" s="346" t="s">
        <v>283</v>
      </c>
      <c r="O394" s="347"/>
      <c r="P394" s="509"/>
      <c r="Q394" s="347"/>
    </row>
    <row r="395">
      <c r="E395" s="341"/>
      <c r="F395" s="353"/>
      <c r="G395" s="354"/>
      <c r="H395" s="602" t="s">
        <v>289</v>
      </c>
      <c r="I395" s="349" t="s">
        <v>282</v>
      </c>
      <c r="J395" s="349">
        <f t="shared" ref="J395:M395" si="78">J393/SHARDING(J394)</f>
        <v>2</v>
      </c>
      <c r="K395" s="349">
        <f t="shared" si="78"/>
        <v>512</v>
      </c>
      <c r="L395" s="349">
        <f t="shared" si="78"/>
        <v>8</v>
      </c>
      <c r="M395" s="349">
        <f t="shared" si="78"/>
        <v>2048</v>
      </c>
      <c r="N395" s="349" t="s">
        <v>283</v>
      </c>
      <c r="O395" s="316"/>
      <c r="P395" s="377">
        <f>SIZEOF_IN_MIB(J395:M395, O392)</f>
        <v>32</v>
      </c>
      <c r="Q395" s="316"/>
    </row>
    <row r="396">
      <c r="E396" s="341"/>
      <c r="F396" s="370" t="s">
        <v>378</v>
      </c>
      <c r="G396" s="601" t="s">
        <v>705</v>
      </c>
      <c r="H396" s="498" t="str">
        <f>L390</f>
        <v>data</v>
      </c>
      <c r="I396" s="632" t="s">
        <v>706</v>
      </c>
      <c r="J396" s="345"/>
      <c r="K396" s="345"/>
      <c r="L396" s="346"/>
      <c r="M396" s="346"/>
      <c r="N396" s="346"/>
      <c r="O396" s="345"/>
      <c r="P396" s="509"/>
      <c r="Q396" s="379"/>
    </row>
    <row r="397">
      <c r="E397" s="341"/>
      <c r="F397" s="341"/>
      <c r="G397" s="591" t="s">
        <v>381</v>
      </c>
      <c r="H397" s="633" t="s">
        <v>707</v>
      </c>
      <c r="I397" s="633"/>
      <c r="J397" s="448"/>
      <c r="K397" s="448"/>
      <c r="L397" s="449"/>
      <c r="M397" s="449"/>
      <c r="N397" s="449"/>
      <c r="O397" s="448"/>
      <c r="P397" s="604"/>
      <c r="Q397" s="572"/>
    </row>
    <row r="398">
      <c r="E398" s="341"/>
      <c r="F398" s="341"/>
      <c r="G398" s="594" t="s">
        <v>306</v>
      </c>
      <c r="H398" s="634">
        <f>SHARDING(H396)</f>
        <v>2</v>
      </c>
      <c r="I398" s="498"/>
      <c r="J398" s="345"/>
      <c r="K398" s="345"/>
      <c r="L398" s="346"/>
      <c r="M398" s="346"/>
      <c r="N398" s="346"/>
      <c r="O398" s="345"/>
      <c r="P398" s="509"/>
      <c r="Q398" s="379"/>
    </row>
    <row r="399">
      <c r="E399" s="341"/>
      <c r="F399" s="341"/>
      <c r="G399" s="594" t="s">
        <v>383</v>
      </c>
      <c r="H399" s="635">
        <f>P395/H398*(H398-1)</f>
        <v>16</v>
      </c>
      <c r="I399" s="549"/>
      <c r="J399" s="336"/>
      <c r="K399" s="336"/>
      <c r="L399" s="349"/>
      <c r="M399" s="349"/>
      <c r="N399" s="349"/>
      <c r="O399" s="336"/>
      <c r="P399" s="377"/>
      <c r="Q399" s="298"/>
    </row>
    <row r="400">
      <c r="E400" s="341"/>
      <c r="F400" s="341"/>
      <c r="G400" s="594" t="s">
        <v>384</v>
      </c>
      <c r="H400" s="636">
        <f>H399*H398</f>
        <v>32</v>
      </c>
      <c r="I400" s="498"/>
      <c r="J400" s="345"/>
      <c r="K400" s="345"/>
      <c r="L400" s="346"/>
      <c r="M400" s="346"/>
      <c r="N400" s="346"/>
      <c r="O400" s="345"/>
      <c r="P400" s="509"/>
      <c r="Q400" s="379"/>
    </row>
    <row r="401">
      <c r="E401" s="341"/>
      <c r="F401" s="341"/>
      <c r="G401" s="637" t="s">
        <v>385</v>
      </c>
      <c r="H401" s="638" t="s">
        <v>309</v>
      </c>
      <c r="I401" s="549"/>
      <c r="J401" s="639">
        <f>IFS(H398=8,12,
H398=4,4,
H398=2,1,
H398=1,0,
TRUE,NA())</f>
        <v>1</v>
      </c>
      <c r="K401" s="336"/>
      <c r="L401" s="349"/>
      <c r="M401" s="349"/>
      <c r="N401" s="349"/>
      <c r="O401" s="336"/>
      <c r="P401" s="377"/>
      <c r="Q401" s="298"/>
    </row>
    <row r="402">
      <c r="E402" s="341"/>
      <c r="F402" s="341"/>
      <c r="G402" s="341"/>
      <c r="H402" s="640" t="s">
        <v>386</v>
      </c>
      <c r="I402" s="379"/>
      <c r="J402" s="641" t="str">
        <f>HW_SPEC("# of TensorCore per Chip")</f>
        <v>#N/A</v>
      </c>
      <c r="K402" s="345"/>
      <c r="L402" s="346"/>
      <c r="M402" s="346"/>
      <c r="N402" s="346"/>
      <c r="O402" s="345"/>
      <c r="P402" s="509"/>
      <c r="Q402" s="379"/>
    </row>
    <row r="403">
      <c r="E403" s="341"/>
      <c r="F403" s="341"/>
      <c r="G403" s="352"/>
      <c r="H403" s="642" t="s">
        <v>311</v>
      </c>
      <c r="I403" s="549"/>
      <c r="J403" s="643" t="str">
        <f>REDUCE_SCATTER_CHIP2CHIP_TIME_MS2(H400*J402,J401)</f>
        <v>#N/A</v>
      </c>
      <c r="K403" s="336"/>
      <c r="L403" s="349"/>
      <c r="M403" s="349"/>
      <c r="N403" s="349"/>
      <c r="O403" s="336"/>
      <c r="P403" s="377"/>
      <c r="Q403" s="298"/>
    </row>
    <row r="404">
      <c r="E404" s="341"/>
      <c r="F404" s="341"/>
      <c r="G404" s="644" t="s">
        <v>387</v>
      </c>
      <c r="H404" s="645" t="s">
        <v>311</v>
      </c>
      <c r="I404" s="379"/>
      <c r="J404" s="646" t="str">
        <f>REDUCE_SCATTER_CORE2CORE_TIME_MS(H400)</f>
        <v>#N/A</v>
      </c>
      <c r="K404" s="345"/>
      <c r="L404" s="346"/>
      <c r="M404" s="346"/>
      <c r="N404" s="346"/>
      <c r="O404" s="345"/>
      <c r="P404" s="509"/>
      <c r="Q404" s="379"/>
    </row>
    <row r="405">
      <c r="E405" s="341"/>
      <c r="F405" s="341"/>
      <c r="G405" s="11"/>
      <c r="H405" s="298"/>
      <c r="I405" s="549"/>
      <c r="J405" s="336"/>
      <c r="K405" s="336"/>
      <c r="L405" s="349"/>
      <c r="M405" s="349"/>
      <c r="N405" s="349"/>
      <c r="O405" s="336"/>
      <c r="P405" s="377"/>
      <c r="Q405" s="298"/>
    </row>
    <row r="406">
      <c r="E406" s="341"/>
      <c r="F406" s="341"/>
      <c r="G406" s="591" t="s">
        <v>388</v>
      </c>
      <c r="H406" s="647" t="s">
        <v>708</v>
      </c>
      <c r="I406" s="648"/>
      <c r="J406" s="448"/>
      <c r="K406" s="448"/>
      <c r="L406" s="449"/>
      <c r="M406" s="449"/>
      <c r="N406" s="449"/>
      <c r="O406" s="448"/>
      <c r="P406" s="604"/>
      <c r="Q406" s="572"/>
    </row>
    <row r="407">
      <c r="E407" s="341"/>
      <c r="F407" s="341"/>
      <c r="G407" s="601" t="s">
        <v>390</v>
      </c>
      <c r="H407" s="649">
        <f>P395/2</f>
        <v>16</v>
      </c>
      <c r="I407" s="650"/>
      <c r="J407" s="454"/>
      <c r="K407" s="454"/>
      <c r="L407" s="455"/>
      <c r="M407" s="455"/>
      <c r="N407" s="455"/>
      <c r="O407" s="454"/>
      <c r="P407" s="468"/>
      <c r="Q407" s="11"/>
    </row>
    <row r="408">
      <c r="E408" s="341"/>
      <c r="F408" s="341"/>
      <c r="G408" s="11"/>
      <c r="H408" s="11"/>
      <c r="I408" s="650"/>
      <c r="J408" s="454"/>
      <c r="K408" s="454"/>
      <c r="L408" s="455"/>
      <c r="M408" s="455"/>
      <c r="N408" s="455"/>
      <c r="O408" s="454"/>
      <c r="P408" s="468"/>
      <c r="Q408" s="11"/>
    </row>
    <row r="409">
      <c r="E409" s="341"/>
      <c r="F409" s="341"/>
      <c r="G409" s="591" t="s">
        <v>263</v>
      </c>
      <c r="H409" s="647" t="s">
        <v>709</v>
      </c>
      <c r="I409" s="648"/>
      <c r="J409" s="448"/>
      <c r="K409" s="448"/>
      <c r="L409" s="449"/>
      <c r="M409" s="449"/>
      <c r="N409" s="449"/>
      <c r="O409" s="448"/>
      <c r="P409" s="604"/>
      <c r="Q409" s="572"/>
    </row>
    <row r="410">
      <c r="E410" s="341"/>
      <c r="F410" s="341"/>
      <c r="G410" s="594" t="s">
        <v>306</v>
      </c>
      <c r="H410" s="651">
        <f>H398</f>
        <v>2</v>
      </c>
      <c r="I410" s="650"/>
      <c r="J410" s="454"/>
      <c r="K410" s="454"/>
      <c r="L410" s="455"/>
      <c r="M410" s="455"/>
      <c r="N410" s="455"/>
      <c r="O410" s="454"/>
      <c r="P410" s="468"/>
      <c r="Q410" s="11"/>
    </row>
    <row r="411">
      <c r="E411" s="341"/>
      <c r="F411" s="341"/>
      <c r="G411" s="594" t="s">
        <v>392</v>
      </c>
      <c r="H411" s="652">
        <f>H407/H410 * (H410-1)</f>
        <v>8</v>
      </c>
      <c r="I411" s="650"/>
      <c r="J411" s="454"/>
      <c r="K411" s="454"/>
      <c r="L411" s="455"/>
      <c r="M411" s="455"/>
      <c r="N411" s="455"/>
      <c r="O411" s="454"/>
      <c r="P411" s="468"/>
      <c r="Q411" s="11"/>
    </row>
    <row r="412">
      <c r="E412" s="341"/>
      <c r="F412" s="341"/>
      <c r="G412" s="594" t="s">
        <v>308</v>
      </c>
      <c r="H412" s="652">
        <f>H411*H410</f>
        <v>16</v>
      </c>
      <c r="I412" s="650"/>
      <c r="J412" s="454"/>
      <c r="K412" s="454"/>
      <c r="L412" s="455"/>
      <c r="M412" s="455"/>
      <c r="N412" s="455"/>
      <c r="O412" s="454"/>
      <c r="P412" s="468"/>
      <c r="Q412" s="11"/>
    </row>
    <row r="413">
      <c r="E413" s="341"/>
      <c r="F413" s="341"/>
      <c r="G413" s="653" t="s">
        <v>385</v>
      </c>
      <c r="H413" s="385" t="s">
        <v>309</v>
      </c>
      <c r="I413" s="11"/>
      <c r="J413" s="654">
        <f>IFS(H410=8,12,
H410=4,4,
H410=2,1,
TRUE,NA())</f>
        <v>1</v>
      </c>
      <c r="K413" s="454"/>
      <c r="L413" s="455"/>
      <c r="M413" s="455"/>
      <c r="N413" s="455"/>
      <c r="O413" s="454"/>
      <c r="P413" s="468"/>
      <c r="Q413" s="11"/>
      <c r="S413" s="655"/>
    </row>
    <row r="414">
      <c r="E414" s="341"/>
      <c r="F414" s="341"/>
      <c r="G414" s="341"/>
      <c r="H414" s="385" t="s">
        <v>386</v>
      </c>
      <c r="I414" s="11"/>
      <c r="J414" s="656" t="str">
        <f>HW_SPEC("# of TensorCore per Chip")</f>
        <v>#N/A</v>
      </c>
      <c r="K414" s="454"/>
      <c r="L414" s="455"/>
      <c r="M414" s="455"/>
      <c r="N414" s="455"/>
      <c r="O414" s="454"/>
      <c r="P414" s="468"/>
      <c r="Q414" s="11"/>
    </row>
    <row r="415">
      <c r="E415" s="341"/>
      <c r="F415" s="341"/>
      <c r="G415" s="352"/>
      <c r="H415" s="402" t="s">
        <v>311</v>
      </c>
      <c r="I415" s="650"/>
      <c r="J415" s="657" t="str">
        <f>REDUCE_SCATTER_CHIP2CHIP_TIME_MS2(H412*J414,J413)</f>
        <v>#N/A</v>
      </c>
      <c r="K415" s="454"/>
      <c r="L415" s="455"/>
      <c r="M415" s="455"/>
      <c r="N415" s="455"/>
      <c r="O415" s="454"/>
      <c r="P415" s="468"/>
      <c r="Q415" s="11"/>
    </row>
    <row r="416">
      <c r="E416" s="341"/>
      <c r="F416" s="341"/>
      <c r="G416" s="658" t="s">
        <v>387</v>
      </c>
      <c r="H416" s="402" t="s">
        <v>311</v>
      </c>
      <c r="I416" s="650"/>
      <c r="J416" s="657" t="str">
        <f>REDUCE_SCATTER_CORE2CORE_TIME_MS(H412)</f>
        <v>#N/A</v>
      </c>
      <c r="K416" s="454"/>
      <c r="L416" s="455"/>
      <c r="M416" s="455"/>
      <c r="N416" s="455"/>
      <c r="O416" s="454"/>
      <c r="P416" s="468"/>
      <c r="Q416" s="11"/>
    </row>
    <row r="417">
      <c r="E417" s="341"/>
      <c r="F417" s="341"/>
      <c r="G417" s="594"/>
      <c r="H417" s="659"/>
      <c r="I417" s="650"/>
      <c r="J417" s="454"/>
      <c r="K417" s="454"/>
      <c r="L417" s="455"/>
      <c r="M417" s="455"/>
      <c r="N417" s="455"/>
      <c r="O417" s="454"/>
      <c r="P417" s="468"/>
      <c r="Q417" s="11"/>
    </row>
    <row r="418">
      <c r="E418" s="341"/>
      <c r="F418" s="341"/>
      <c r="G418" s="591" t="s">
        <v>393</v>
      </c>
      <c r="H418" s="660" t="s">
        <v>387</v>
      </c>
      <c r="I418" s="648"/>
      <c r="J418" s="448"/>
      <c r="K418" s="448"/>
      <c r="L418" s="449"/>
      <c r="M418" s="449"/>
      <c r="N418" s="449"/>
      <c r="O418" s="448"/>
      <c r="P418" s="604"/>
      <c r="Q418" s="572"/>
    </row>
    <row r="419">
      <c r="E419" s="341"/>
      <c r="F419" s="341"/>
      <c r="G419" s="661" t="s">
        <v>395</v>
      </c>
      <c r="H419" s="662" t="str">
        <f>IFS(H418=G401,J403,
H418=G404,J404 ,
TRUE,0)</f>
        <v>#N/A</v>
      </c>
      <c r="I419" s="650"/>
      <c r="J419" s="454"/>
      <c r="K419" s="454"/>
      <c r="L419" s="455"/>
      <c r="M419" s="455"/>
      <c r="N419" s="455"/>
      <c r="O419" s="454"/>
      <c r="P419" s="468"/>
      <c r="Q419" s="11"/>
    </row>
    <row r="420">
      <c r="E420" s="341"/>
      <c r="F420" s="341"/>
      <c r="G420" s="661" t="s">
        <v>396</v>
      </c>
      <c r="H420" s="662" t="str">
        <f>IFS(H418=G413,J415,
H418=G416,J416 ,
TRUE,0)</f>
        <v>#N/A</v>
      </c>
      <c r="I420" s="650"/>
      <c r="J420" s="454"/>
      <c r="K420" s="454"/>
      <c r="L420" s="455"/>
      <c r="M420" s="455"/>
      <c r="N420" s="455"/>
      <c r="O420" s="454"/>
      <c r="P420" s="468"/>
      <c r="Q420" s="11"/>
    </row>
    <row r="421">
      <c r="E421" s="341"/>
      <c r="F421" s="352"/>
      <c r="G421" s="591" t="s">
        <v>340</v>
      </c>
      <c r="H421" s="625" t="str">
        <f>SUM(H419:H420)</f>
        <v>#N/A</v>
      </c>
      <c r="I421" s="581"/>
      <c r="J421" s="448"/>
      <c r="K421" s="448"/>
      <c r="L421" s="449"/>
      <c r="M421" s="449"/>
      <c r="N421" s="449"/>
      <c r="O421" s="448"/>
      <c r="P421" s="604"/>
      <c r="Q421" s="572"/>
    </row>
    <row r="422">
      <c r="E422" s="341"/>
      <c r="F422" s="609" t="s">
        <v>327</v>
      </c>
      <c r="G422" s="601" t="s">
        <v>328</v>
      </c>
      <c r="H422" s="663" t="str">
        <f>VLOOKUP(O384&amp;","&amp;O388,$T$3:$W$12,4, FALSE)</f>
        <v>fp8</v>
      </c>
      <c r="I422" s="460"/>
      <c r="J422" s="454"/>
      <c r="K422" s="454"/>
      <c r="L422" s="455"/>
      <c r="M422" s="455"/>
      <c r="N422" s="455"/>
      <c r="O422" s="454"/>
      <c r="P422" s="468"/>
      <c r="Q422" s="11"/>
    </row>
    <row r="423">
      <c r="E423" s="341"/>
      <c r="F423" s="341"/>
      <c r="G423" s="601" t="s">
        <v>403</v>
      </c>
      <c r="H423" s="667" t="str">
        <f>CALCULATE_FLOPS(J387:M387,J391:M391,L391,K391,H422)</f>
        <v>#N/A</v>
      </c>
      <c r="I423" s="460"/>
      <c r="J423" s="454"/>
      <c r="K423" s="454"/>
      <c r="L423" s="455"/>
      <c r="M423" s="455"/>
      <c r="N423" s="455"/>
      <c r="O423" s="454"/>
      <c r="P423" s="468"/>
      <c r="Q423" s="11"/>
    </row>
    <row r="424">
      <c r="E424" s="341"/>
      <c r="F424" s="352"/>
      <c r="G424" s="669" t="s">
        <v>330</v>
      </c>
      <c r="H424" s="670" t="str">
        <f>COMPUTE_TIME_MS(H423, H422)</f>
        <v>#N/A</v>
      </c>
      <c r="I424" s="464"/>
      <c r="J424" s="465"/>
      <c r="K424" s="465"/>
      <c r="L424" s="466"/>
      <c r="M424" s="466"/>
      <c r="N424" s="466"/>
      <c r="O424" s="465"/>
      <c r="P424" s="671"/>
      <c r="Q424" s="11"/>
    </row>
    <row r="425">
      <c r="E425" s="341"/>
      <c r="F425" s="609" t="s">
        <v>331</v>
      </c>
      <c r="G425" s="663" t="s">
        <v>332</v>
      </c>
      <c r="H425" s="672">
        <f>IF(Q384,0,P387)+IF(Q388,0,P391)+IF(Q392,0,P395 / 2)</f>
        <v>254</v>
      </c>
      <c r="I425" s="454"/>
      <c r="J425" s="454"/>
      <c r="K425" s="454"/>
      <c r="L425" s="455"/>
      <c r="M425" s="455"/>
      <c r="N425" s="455"/>
      <c r="O425" s="454"/>
      <c r="P425" s="468"/>
      <c r="Q425" s="11"/>
    </row>
    <row r="426">
      <c r="E426" s="352"/>
      <c r="F426" s="352"/>
      <c r="G426" s="673" t="s">
        <v>333</v>
      </c>
      <c r="H426" s="670" t="str">
        <f>HBM_TIME_MS(H425)</f>
        <v>#N/A</v>
      </c>
      <c r="I426" s="465"/>
      <c r="J426" s="465"/>
      <c r="K426" s="465"/>
      <c r="L426" s="466"/>
      <c r="M426" s="466"/>
      <c r="N426" s="466"/>
      <c r="O426" s="465"/>
      <c r="P426" s="671"/>
      <c r="Q426" s="11"/>
    </row>
    <row r="427">
      <c r="E427" s="333" t="s">
        <v>404</v>
      </c>
      <c r="F427" s="627" t="s">
        <v>292</v>
      </c>
      <c r="G427" s="335"/>
      <c r="H427" s="372" t="s">
        <v>281</v>
      </c>
      <c r="I427" s="364" t="s">
        <v>282</v>
      </c>
      <c r="J427" s="273"/>
      <c r="K427" s="273" t="s">
        <v>104</v>
      </c>
      <c r="L427" s="273" t="s">
        <v>212</v>
      </c>
      <c r="M427" s="472" t="s">
        <v>182</v>
      </c>
      <c r="N427" s="364" t="s">
        <v>283</v>
      </c>
      <c r="O427" s="628" t="str">
        <f>EXTRACT_ACTIVATION_DTYPE(PARAMS("moe_dtype"))</f>
        <v>fp8</v>
      </c>
      <c r="P427" s="375"/>
      <c r="Q427" s="365" t="b">
        <v>0</v>
      </c>
    </row>
    <row r="428">
      <c r="E428" s="341"/>
      <c r="F428" s="342"/>
      <c r="G428" s="343"/>
      <c r="H428" s="374" t="s">
        <v>285</v>
      </c>
      <c r="I428" s="364" t="s">
        <v>282</v>
      </c>
      <c r="J428" s="363"/>
      <c r="K428" s="364">
        <f t="shared" ref="K428:M428" si="79">PARAMS(K427)</f>
        <v>4096</v>
      </c>
      <c r="L428" s="364">
        <f t="shared" si="79"/>
        <v>8</v>
      </c>
      <c r="M428" s="364">
        <f t="shared" si="79"/>
        <v>2048</v>
      </c>
      <c r="N428" s="364" t="s">
        <v>283</v>
      </c>
      <c r="O428" s="341"/>
      <c r="P428" s="375">
        <f>SIZEOF_IN_MIB(J428:M428, O427)</f>
        <v>64</v>
      </c>
      <c r="Q428" s="341"/>
    </row>
    <row r="429">
      <c r="E429" s="341"/>
      <c r="F429" s="342"/>
      <c r="G429" s="343"/>
      <c r="H429" s="629" t="s">
        <v>287</v>
      </c>
      <c r="I429" s="363" t="s">
        <v>282</v>
      </c>
      <c r="J429" s="364"/>
      <c r="K429" s="273" t="s">
        <v>96</v>
      </c>
      <c r="L429" s="273"/>
      <c r="M429" s="273"/>
      <c r="N429" s="363" t="s">
        <v>283</v>
      </c>
      <c r="O429" s="341"/>
      <c r="P429" s="375"/>
      <c r="Q429" s="341"/>
    </row>
    <row r="430">
      <c r="E430" s="341"/>
      <c r="F430" s="353"/>
      <c r="G430" s="354"/>
      <c r="H430" s="374" t="s">
        <v>289</v>
      </c>
      <c r="I430" s="363" t="s">
        <v>282</v>
      </c>
      <c r="J430" s="364"/>
      <c r="K430" s="363">
        <f t="shared" ref="K430:M430" si="80">K428/SHARDING(K429)</f>
        <v>512</v>
      </c>
      <c r="L430" s="363">
        <f t="shared" si="80"/>
        <v>8</v>
      </c>
      <c r="M430" s="363">
        <f t="shared" si="80"/>
        <v>2048</v>
      </c>
      <c r="N430" s="363" t="s">
        <v>283</v>
      </c>
      <c r="O430" s="316"/>
      <c r="P430" s="375">
        <f>SIZEOF_IN_MIB(J430:M430, O427)</f>
        <v>8</v>
      </c>
      <c r="Q430" s="352"/>
    </row>
    <row r="431">
      <c r="E431" s="341"/>
      <c r="F431" s="630" t="s">
        <v>296</v>
      </c>
      <c r="G431" s="335"/>
      <c r="H431" s="629" t="s">
        <v>281</v>
      </c>
      <c r="I431" s="363" t="s">
        <v>282</v>
      </c>
      <c r="J431" s="364"/>
      <c r="K431" s="273" t="s">
        <v>184</v>
      </c>
      <c r="L431" s="472" t="s">
        <v>182</v>
      </c>
      <c r="M431" s="273" t="s">
        <v>178</v>
      </c>
      <c r="N431" s="363" t="s">
        <v>283</v>
      </c>
      <c r="O431" s="631" t="str">
        <f>EXTRACT_WEIGHT_DTYPE(PARAMS("moe_dtype"))</f>
        <v>fp4</v>
      </c>
      <c r="P431" s="375"/>
      <c r="Q431" s="365" t="b">
        <v>0</v>
      </c>
    </row>
    <row r="432">
      <c r="E432" s="341"/>
      <c r="F432" s="342"/>
      <c r="G432" s="343"/>
      <c r="H432" s="374" t="s">
        <v>285</v>
      </c>
      <c r="I432" s="363" t="s">
        <v>282</v>
      </c>
      <c r="J432" s="364"/>
      <c r="K432" s="363">
        <f t="shared" ref="K432:M432" si="81">PARAMS(K431)</f>
        <v>256</v>
      </c>
      <c r="L432" s="363">
        <f t="shared" si="81"/>
        <v>2048</v>
      </c>
      <c r="M432" s="363">
        <f t="shared" si="81"/>
        <v>7168</v>
      </c>
      <c r="N432" s="363" t="s">
        <v>283</v>
      </c>
      <c r="O432" s="350"/>
      <c r="P432" s="375">
        <f>SIZEOF_IN_MIB(J432:M432, O431)</f>
        <v>1792</v>
      </c>
      <c r="Q432" s="341"/>
    </row>
    <row r="433">
      <c r="E433" s="341"/>
      <c r="F433" s="342"/>
      <c r="G433" s="343"/>
      <c r="H433" s="629" t="s">
        <v>287</v>
      </c>
      <c r="I433" s="363" t="s">
        <v>282</v>
      </c>
      <c r="J433" s="364"/>
      <c r="K433" s="273" t="s">
        <v>96</v>
      </c>
      <c r="L433" s="273"/>
      <c r="M433" s="273" t="s">
        <v>97</v>
      </c>
      <c r="N433" s="363" t="s">
        <v>283</v>
      </c>
      <c r="O433" s="347"/>
      <c r="P433" s="375"/>
      <c r="Q433" s="341"/>
    </row>
    <row r="434">
      <c r="E434" s="341"/>
      <c r="F434" s="353"/>
      <c r="G434" s="354"/>
      <c r="H434" s="629" t="s">
        <v>289</v>
      </c>
      <c r="I434" s="363" t="s">
        <v>282</v>
      </c>
      <c r="J434" s="364"/>
      <c r="K434" s="363">
        <f t="shared" ref="K434:M434" si="82">K432/SHARDING(K433)</f>
        <v>32</v>
      </c>
      <c r="L434" s="363">
        <f t="shared" si="82"/>
        <v>2048</v>
      </c>
      <c r="M434" s="363">
        <f t="shared" si="82"/>
        <v>3584</v>
      </c>
      <c r="N434" s="363" t="s">
        <v>283</v>
      </c>
      <c r="O434" s="316"/>
      <c r="P434" s="375">
        <f>SIZEOF_IN_MIB(J434:M434, O431)</f>
        <v>112</v>
      </c>
      <c r="Q434" s="352"/>
    </row>
    <row r="435">
      <c r="E435" s="341"/>
      <c r="F435" s="630" t="s">
        <v>56</v>
      </c>
      <c r="G435" s="335"/>
      <c r="H435" s="629" t="s">
        <v>281</v>
      </c>
      <c r="I435" s="363" t="s">
        <v>282</v>
      </c>
      <c r="J435" s="364"/>
      <c r="K435" s="273" t="s">
        <v>104</v>
      </c>
      <c r="L435" s="273" t="s">
        <v>212</v>
      </c>
      <c r="M435" s="273" t="s">
        <v>178</v>
      </c>
      <c r="N435" s="363" t="s">
        <v>283</v>
      </c>
      <c r="O435" s="674" t="s">
        <v>133</v>
      </c>
      <c r="P435" s="375"/>
      <c r="Q435" s="365" t="b">
        <v>0</v>
      </c>
    </row>
    <row r="436">
      <c r="E436" s="341"/>
      <c r="F436" s="342"/>
      <c r="G436" s="343"/>
      <c r="H436" s="374" t="s">
        <v>285</v>
      </c>
      <c r="I436" s="363" t="s">
        <v>282</v>
      </c>
      <c r="J436" s="364"/>
      <c r="K436" s="363">
        <f t="shared" ref="K436:M436" si="83">PARAMS(K435)</f>
        <v>4096</v>
      </c>
      <c r="L436" s="363">
        <f t="shared" si="83"/>
        <v>8</v>
      </c>
      <c r="M436" s="363">
        <f t="shared" si="83"/>
        <v>7168</v>
      </c>
      <c r="N436" s="363" t="s">
        <v>283</v>
      </c>
      <c r="O436" s="341"/>
      <c r="P436" s="375">
        <f>SIZEOF_IN_MIB(J436:M436, O435)</f>
        <v>448</v>
      </c>
      <c r="Q436" s="341"/>
    </row>
    <row r="437">
      <c r="E437" s="341"/>
      <c r="F437" s="342"/>
      <c r="G437" s="343"/>
      <c r="H437" s="629" t="s">
        <v>287</v>
      </c>
      <c r="I437" s="363" t="s">
        <v>282</v>
      </c>
      <c r="J437" s="364"/>
      <c r="K437" s="273" t="s">
        <v>96</v>
      </c>
      <c r="L437" s="273"/>
      <c r="M437" s="273" t="s">
        <v>97</v>
      </c>
      <c r="N437" s="363" t="s">
        <v>283</v>
      </c>
      <c r="O437" s="341"/>
      <c r="P437" s="375"/>
      <c r="Q437" s="341"/>
      <c r="R437" s="181" t="s">
        <v>696</v>
      </c>
    </row>
    <row r="438">
      <c r="E438" s="341"/>
      <c r="F438" s="353"/>
      <c r="G438" s="354"/>
      <c r="H438" s="629" t="s">
        <v>289</v>
      </c>
      <c r="I438" s="363" t="s">
        <v>282</v>
      </c>
      <c r="J438" s="363"/>
      <c r="K438" s="363">
        <f t="shared" ref="K438:M438" si="84">K436/SHARDING(K437)</f>
        <v>512</v>
      </c>
      <c r="L438" s="363">
        <f t="shared" si="84"/>
        <v>8</v>
      </c>
      <c r="M438" s="363">
        <f t="shared" si="84"/>
        <v>3584</v>
      </c>
      <c r="N438" s="363" t="s">
        <v>283</v>
      </c>
      <c r="O438" s="352"/>
      <c r="P438" s="375">
        <f>SIZEOF_IN_MIB(J438:M438, O435)</f>
        <v>28</v>
      </c>
      <c r="Q438" s="352"/>
    </row>
    <row r="439">
      <c r="E439" s="341"/>
      <c r="F439" s="370" t="s">
        <v>378</v>
      </c>
      <c r="G439" s="675" t="s">
        <v>710</v>
      </c>
      <c r="H439" s="676" t="str">
        <f>L433</f>
        <v/>
      </c>
      <c r="I439" s="364"/>
      <c r="J439" s="11"/>
      <c r="K439" s="364"/>
      <c r="L439" s="363"/>
      <c r="M439" s="363"/>
      <c r="N439" s="363"/>
      <c r="O439" s="364"/>
      <c r="P439" s="375"/>
      <c r="Q439" s="677"/>
    </row>
    <row r="440">
      <c r="E440" s="341"/>
      <c r="F440" s="341"/>
      <c r="G440" s="678" t="s">
        <v>406</v>
      </c>
      <c r="H440" s="679" t="s">
        <v>711</v>
      </c>
      <c r="I440" s="448"/>
      <c r="J440" s="448"/>
      <c r="K440" s="448"/>
      <c r="L440" s="449"/>
      <c r="M440" s="449"/>
      <c r="N440" s="449"/>
      <c r="O440" s="448"/>
      <c r="P440" s="604"/>
      <c r="Q440" s="450"/>
    </row>
    <row r="441">
      <c r="E441" s="341"/>
      <c r="F441" s="341"/>
      <c r="G441" s="680" t="s">
        <v>306</v>
      </c>
      <c r="H441" s="374">
        <f>SHARDING(H439)</f>
        <v>1</v>
      </c>
      <c r="I441" s="364"/>
      <c r="J441" s="364"/>
      <c r="K441" s="364"/>
      <c r="L441" s="363"/>
      <c r="M441" s="363"/>
      <c r="N441" s="363"/>
      <c r="O441" s="364"/>
      <c r="P441" s="375"/>
      <c r="Q441" s="677"/>
    </row>
    <row r="442">
      <c r="E442" s="341"/>
      <c r="F442" s="341"/>
      <c r="G442" s="680" t="s">
        <v>392</v>
      </c>
      <c r="H442" s="681">
        <f>P438 / H441 * (H441-1)</f>
        <v>0</v>
      </c>
      <c r="I442" s="364"/>
      <c r="J442" s="364"/>
      <c r="K442" s="364"/>
      <c r="L442" s="363"/>
      <c r="M442" s="363"/>
      <c r="N442" s="363"/>
      <c r="O442" s="364"/>
      <c r="P442" s="375"/>
      <c r="Q442" s="677"/>
    </row>
    <row r="443">
      <c r="E443" s="341"/>
      <c r="F443" s="341"/>
      <c r="G443" s="680" t="s">
        <v>308</v>
      </c>
      <c r="H443" s="681">
        <f>H442*H441</f>
        <v>0</v>
      </c>
      <c r="I443" s="364"/>
      <c r="J443" s="364"/>
      <c r="K443" s="364"/>
      <c r="L443" s="363"/>
      <c r="M443" s="363"/>
      <c r="N443" s="363"/>
      <c r="O443" s="364"/>
      <c r="P443" s="375"/>
      <c r="Q443" s="677"/>
    </row>
    <row r="444">
      <c r="E444" s="341"/>
      <c r="F444" s="341"/>
      <c r="G444" s="385" t="s">
        <v>309</v>
      </c>
      <c r="H444" s="654" t="str">
        <f>IFS(H441=8,12,
H441=4,4,
H441=2,1,
TRUE,NA())</f>
        <v>#N/A</v>
      </c>
      <c r="I444" s="11"/>
      <c r="J444" s="364"/>
      <c r="K444" s="364"/>
      <c r="L444" s="363"/>
      <c r="M444" s="363"/>
      <c r="N444" s="363"/>
      <c r="O444" s="364"/>
      <c r="P444" s="375"/>
      <c r="Q444" s="677"/>
    </row>
    <row r="445">
      <c r="E445" s="341"/>
      <c r="F445" s="341"/>
      <c r="G445" s="682" t="s">
        <v>340</v>
      </c>
      <c r="H445" s="683">
        <f>REDUCE_SCATTER_CHIP2CHIP_TIME_MS2(H443,H444)</f>
        <v>0</v>
      </c>
      <c r="I445" s="364"/>
      <c r="J445" s="364"/>
      <c r="K445" s="364"/>
      <c r="L445" s="363"/>
      <c r="M445" s="363"/>
      <c r="N445" s="363"/>
      <c r="O445" s="364"/>
      <c r="P445" s="375"/>
      <c r="Q445" s="677"/>
    </row>
    <row r="446">
      <c r="E446" s="341"/>
      <c r="F446" s="341"/>
      <c r="G446" s="682"/>
      <c r="H446" s="683"/>
      <c r="I446" s="364"/>
      <c r="J446" s="364"/>
      <c r="K446" s="364"/>
      <c r="L446" s="363"/>
      <c r="M446" s="363"/>
      <c r="N446" s="363"/>
      <c r="O446" s="364"/>
      <c r="P446" s="375"/>
      <c r="Q446" s="677"/>
    </row>
    <row r="447">
      <c r="E447" s="341"/>
      <c r="F447" s="341"/>
      <c r="G447" s="678" t="s">
        <v>408</v>
      </c>
      <c r="H447" s="684" t="s">
        <v>409</v>
      </c>
      <c r="I447" s="448"/>
      <c r="J447" s="448"/>
      <c r="K447" s="448"/>
      <c r="L447" s="449"/>
      <c r="M447" s="449"/>
      <c r="N447" s="449"/>
      <c r="O447" s="448"/>
      <c r="P447" s="604"/>
      <c r="Q447" s="450"/>
    </row>
    <row r="448">
      <c r="E448" s="341"/>
      <c r="F448" s="341"/>
      <c r="G448" s="8" t="s">
        <v>340</v>
      </c>
      <c r="H448" s="670">
        <f>0</f>
        <v>0</v>
      </c>
      <c r="I448" s="364"/>
      <c r="J448" s="364"/>
      <c r="K448" s="364"/>
      <c r="L448" s="363"/>
      <c r="M448" s="363"/>
      <c r="N448" s="363"/>
      <c r="O448" s="364"/>
      <c r="P448" s="375"/>
      <c r="Q448" s="677"/>
    </row>
    <row r="449">
      <c r="E449" s="341"/>
      <c r="F449" s="341"/>
      <c r="G449" s="8"/>
      <c r="H449" s="670"/>
      <c r="I449" s="364"/>
      <c r="J449" s="364"/>
      <c r="K449" s="364"/>
      <c r="L449" s="363"/>
      <c r="M449" s="363"/>
      <c r="N449" s="363"/>
      <c r="O449" s="364"/>
      <c r="P449" s="375"/>
      <c r="Q449" s="677"/>
    </row>
    <row r="450">
      <c r="E450" s="341"/>
      <c r="F450" s="341"/>
      <c r="G450" s="591" t="s">
        <v>393</v>
      </c>
      <c r="H450" s="685" t="s">
        <v>627</v>
      </c>
      <c r="I450" s="448"/>
      <c r="J450" s="448"/>
      <c r="K450" s="448"/>
      <c r="L450" s="449"/>
      <c r="M450" s="449"/>
      <c r="N450" s="449"/>
      <c r="O450" s="448"/>
      <c r="P450" s="604"/>
      <c r="Q450" s="450"/>
    </row>
    <row r="451">
      <c r="E451" s="341"/>
      <c r="F451" s="352"/>
      <c r="G451" s="669" t="s">
        <v>340</v>
      </c>
      <c r="H451" s="670">
        <f>IFS(H450=G440,H445,H450=G447,H448,TRUE,0)</f>
        <v>0</v>
      </c>
      <c r="I451" s="686"/>
      <c r="J451" s="364"/>
      <c r="K451" s="364"/>
      <c r="L451" s="363"/>
      <c r="M451" s="363"/>
      <c r="N451" s="363"/>
      <c r="O451" s="364"/>
      <c r="P451" s="375"/>
      <c r="Q451" s="677"/>
    </row>
    <row r="452">
      <c r="E452" s="341"/>
      <c r="F452" s="609" t="s">
        <v>327</v>
      </c>
      <c r="G452" s="601" t="s">
        <v>328</v>
      </c>
      <c r="H452" s="663" t="str">
        <f>VLOOKUP(O427&amp;","&amp;O431,$T$3:$W$12,4, FALSE)</f>
        <v>fp8</v>
      </c>
      <c r="I452" s="460"/>
      <c r="J452" s="454"/>
      <c r="K452" s="454"/>
      <c r="L452" s="455"/>
      <c r="M452" s="455"/>
      <c r="N452" s="455"/>
      <c r="O452" s="454"/>
      <c r="P452" s="468"/>
      <c r="Q452" s="11"/>
    </row>
    <row r="453">
      <c r="E453" s="341"/>
      <c r="F453" s="341"/>
      <c r="G453" s="663" t="s">
        <v>341</v>
      </c>
      <c r="H453" s="687" t="str">
        <f>CALCULATE_FLOPS(J430:M430,J434:M434,L434,K434,H452)</f>
        <v>#N/A</v>
      </c>
      <c r="I453" s="492"/>
      <c r="J453" s="336"/>
      <c r="K453" s="336"/>
      <c r="L453" s="349"/>
      <c r="M453" s="349"/>
      <c r="N453" s="349"/>
      <c r="O453" s="336"/>
      <c r="P453" s="377"/>
      <c r="Q453" s="298"/>
    </row>
    <row r="454">
      <c r="E454" s="341"/>
      <c r="F454" s="352"/>
      <c r="G454" s="669" t="s">
        <v>330</v>
      </c>
      <c r="H454" s="688" t="str">
        <f>COMPUTE_TIME_MS(H453, H452)</f>
        <v>#N/A</v>
      </c>
      <c r="I454" s="464"/>
      <c r="J454" s="465"/>
      <c r="K454" s="465"/>
      <c r="L454" s="466"/>
      <c r="M454" s="466"/>
      <c r="N454" s="466"/>
      <c r="O454" s="465"/>
      <c r="P454" s="671"/>
      <c r="Q454" s="379"/>
    </row>
    <row r="455">
      <c r="E455" s="341"/>
      <c r="F455" s="609" t="s">
        <v>331</v>
      </c>
      <c r="G455" s="663" t="s">
        <v>332</v>
      </c>
      <c r="H455" s="689">
        <f>IF(Q427,0,P430)+IF(Q431,0,P434)+IF(Q435,0,P438)</f>
        <v>148</v>
      </c>
      <c r="I455" s="336"/>
      <c r="J455" s="336"/>
      <c r="K455" s="336"/>
      <c r="L455" s="349"/>
      <c r="M455" s="349"/>
      <c r="N455" s="349"/>
      <c r="O455" s="336"/>
      <c r="P455" s="377"/>
      <c r="Q455" s="298"/>
    </row>
    <row r="456">
      <c r="E456" s="352"/>
      <c r="F456" s="352"/>
      <c r="G456" s="673" t="s">
        <v>333</v>
      </c>
      <c r="H456" s="690" t="str">
        <f>HBM_TIME_MS(H455)</f>
        <v>#N/A</v>
      </c>
      <c r="I456" s="465"/>
      <c r="J456" s="465"/>
      <c r="K456" s="465"/>
      <c r="L456" s="466"/>
      <c r="M456" s="466"/>
      <c r="N456" s="466"/>
      <c r="O456" s="465"/>
      <c r="P456" s="671"/>
      <c r="Q456" s="379"/>
    </row>
    <row r="457">
      <c r="E457" s="333" t="s">
        <v>411</v>
      </c>
      <c r="F457" s="691" t="s">
        <v>412</v>
      </c>
      <c r="G457" s="371" t="s">
        <v>301</v>
      </c>
      <c r="H457" s="531" t="s">
        <v>281</v>
      </c>
      <c r="I457" s="336" t="s">
        <v>282</v>
      </c>
      <c r="J457" s="337"/>
      <c r="K457" s="337" t="s">
        <v>104</v>
      </c>
      <c r="L457" s="337" t="s">
        <v>212</v>
      </c>
      <c r="M457" s="499" t="s">
        <v>178</v>
      </c>
      <c r="N457" s="336" t="s">
        <v>283</v>
      </c>
      <c r="O457" s="338" t="str">
        <f>PARAMS("expert_collect_dtype")</f>
        <v>bf16</v>
      </c>
      <c r="P457" s="377"/>
      <c r="Q457" s="337"/>
    </row>
    <row r="458">
      <c r="E458" s="341"/>
      <c r="F458" s="341"/>
      <c r="G458" s="341"/>
      <c r="H458" s="378" t="s">
        <v>285</v>
      </c>
      <c r="I458" s="345" t="s">
        <v>282</v>
      </c>
      <c r="J458" s="346"/>
      <c r="K458" s="345">
        <f t="shared" ref="K458:M458" si="85">PARAMS(K457)</f>
        <v>4096</v>
      </c>
      <c r="L458" s="345">
        <f t="shared" si="85"/>
        <v>8</v>
      </c>
      <c r="M458" s="345">
        <f t="shared" si="85"/>
        <v>7168</v>
      </c>
      <c r="N458" s="345" t="s">
        <v>283</v>
      </c>
      <c r="O458" s="347"/>
      <c r="P458" s="509">
        <f>SIZEOF_IN_MIB(J458:M458, O457)</f>
        <v>448</v>
      </c>
      <c r="Q458" s="344"/>
    </row>
    <row r="459">
      <c r="E459" s="341"/>
      <c r="F459" s="341"/>
      <c r="G459" s="341"/>
      <c r="H459" s="376" t="s">
        <v>287</v>
      </c>
      <c r="I459" s="349" t="s">
        <v>282</v>
      </c>
      <c r="J459" s="336"/>
      <c r="K459" s="337" t="s">
        <v>196</v>
      </c>
      <c r="L459" s="337"/>
      <c r="M459" s="337"/>
      <c r="N459" s="349" t="s">
        <v>283</v>
      </c>
      <c r="O459" s="350"/>
      <c r="P459" s="377"/>
      <c r="Q459" s="337"/>
    </row>
    <row r="460">
      <c r="E460" s="341"/>
      <c r="F460" s="341"/>
      <c r="G460" s="341"/>
      <c r="H460" s="378" t="s">
        <v>289</v>
      </c>
      <c r="I460" s="346" t="s">
        <v>282</v>
      </c>
      <c r="J460" s="345"/>
      <c r="K460" s="346">
        <f t="shared" ref="K460:M460" si="86">K458/SHARDING(K459)</f>
        <v>256</v>
      </c>
      <c r="L460" s="346">
        <f t="shared" si="86"/>
        <v>8</v>
      </c>
      <c r="M460" s="346">
        <f t="shared" si="86"/>
        <v>7168</v>
      </c>
      <c r="N460" s="346" t="s">
        <v>283</v>
      </c>
      <c r="O460" s="355"/>
      <c r="P460" s="509">
        <f>SIZEOF_IN_MIB(J460:M460, O457)</f>
        <v>28</v>
      </c>
      <c r="Q460" s="344"/>
    </row>
    <row r="461">
      <c r="E461" s="341"/>
      <c r="F461" s="341"/>
      <c r="G461" s="352"/>
      <c r="H461" s="376" t="s">
        <v>304</v>
      </c>
      <c r="I461" s="349"/>
      <c r="J461" s="336"/>
      <c r="K461" s="337" t="s">
        <v>196</v>
      </c>
      <c r="L461" s="349"/>
      <c r="M461" s="349"/>
      <c r="N461" s="349"/>
      <c r="O461" s="337"/>
      <c r="P461" s="377"/>
      <c r="Q461" s="337"/>
    </row>
    <row r="462">
      <c r="E462" s="341"/>
      <c r="F462" s="341"/>
      <c r="G462" s="594" t="s">
        <v>306</v>
      </c>
      <c r="H462" s="901" t="str">
        <f>SHARDING(K459)*SHARDING(L459)/HW_SPEC("# of TensorCore per Chip")</f>
        <v>#N/A</v>
      </c>
      <c r="I462" s="346"/>
      <c r="J462" s="345"/>
      <c r="K462" s="346"/>
      <c r="L462" s="346"/>
      <c r="M462" s="346"/>
      <c r="N462" s="346"/>
      <c r="O462" s="344"/>
      <c r="P462" s="509"/>
      <c r="Q462" s="344"/>
    </row>
    <row r="463">
      <c r="E463" s="341"/>
      <c r="F463" s="341"/>
      <c r="G463" s="594" t="s">
        <v>383</v>
      </c>
      <c r="H463" s="888" t="str">
        <f>P458 / H462 / H462  * (H462-1)</f>
        <v>#N/A</v>
      </c>
      <c r="I463" s="349"/>
      <c r="J463" s="336"/>
      <c r="K463" s="349"/>
      <c r="L463" s="349"/>
      <c r="M463" s="349"/>
      <c r="N463" s="349"/>
      <c r="O463" s="337"/>
      <c r="P463" s="377"/>
      <c r="Q463" s="337"/>
    </row>
    <row r="464">
      <c r="E464" s="341"/>
      <c r="F464" s="341"/>
      <c r="G464" s="594" t="s">
        <v>661</v>
      </c>
      <c r="H464" s="901" t="str">
        <f>IFS(H462=1,0,
H462=2, 1,
H462=4, 2,
H462=8, 3)</f>
        <v>#N/A</v>
      </c>
      <c r="I464" s="346"/>
      <c r="J464" s="345"/>
      <c r="K464" s="346"/>
      <c r="L464" s="346"/>
      <c r="M464" s="346"/>
      <c r="N464" s="346"/>
      <c r="O464" s="344"/>
      <c r="P464" s="509"/>
      <c r="Q464" s="344"/>
    </row>
    <row r="465">
      <c r="E465" s="341"/>
      <c r="F465" s="341"/>
      <c r="G465" s="594" t="s">
        <v>662</v>
      </c>
      <c r="H465" s="695" t="str">
        <f>IFS(H462=1,0,
H462=2, 0,
H462=4, 1,
H462=8, 3)</f>
        <v>#N/A</v>
      </c>
      <c r="I465" s="349"/>
      <c r="J465" s="336"/>
      <c r="K465" s="349"/>
      <c r="L465" s="349"/>
      <c r="M465" s="349"/>
      <c r="N465" s="349"/>
      <c r="O465" s="337"/>
      <c r="P465" s="377"/>
      <c r="Q465" s="337"/>
    </row>
    <row r="466">
      <c r="E466" s="341"/>
      <c r="F466" s="341"/>
      <c r="G466" s="594" t="s">
        <v>663</v>
      </c>
      <c r="H466" s="901" t="str">
        <f>IFS(H462=1,0,
H462=2, 0,
H462=4, 0,
H462=8, 1)</f>
        <v>#N/A</v>
      </c>
      <c r="I466" s="346"/>
      <c r="J466" s="345"/>
      <c r="K466" s="346"/>
      <c r="L466" s="346"/>
      <c r="M466" s="346"/>
      <c r="N466" s="346"/>
      <c r="O466" s="344"/>
      <c r="P466" s="509"/>
      <c r="Q466" s="344"/>
    </row>
    <row r="467">
      <c r="E467" s="341"/>
      <c r="F467" s="341"/>
      <c r="G467" s="594" t="s">
        <v>664</v>
      </c>
      <c r="H467" s="695" t="str">
        <f>IFS(H462=1,0,
H462=2, 1,
H462=4, 4,
H462=8, 12)</f>
        <v>#N/A</v>
      </c>
      <c r="I467" s="349"/>
      <c r="J467" s="336"/>
      <c r="K467" s="349"/>
      <c r="L467" s="349"/>
      <c r="M467" s="349"/>
      <c r="N467" s="349"/>
      <c r="O467" s="337"/>
      <c r="P467" s="377"/>
      <c r="Q467" s="337"/>
    </row>
    <row r="468">
      <c r="E468" s="341"/>
      <c r="F468" s="341"/>
      <c r="G468" s="594" t="s">
        <v>616</v>
      </c>
      <c r="H468" s="902" t="str">
        <f>H463*H462*(1*H464+2*H465+3*H466)/H467</f>
        <v>#N/A</v>
      </c>
      <c r="I468" s="346"/>
      <c r="J468" s="345"/>
      <c r="K468" s="346"/>
      <c r="L468" s="346"/>
      <c r="M468" s="346"/>
      <c r="N468" s="346"/>
      <c r="O468" s="344"/>
      <c r="P468" s="509"/>
      <c r="Q468" s="344"/>
    </row>
    <row r="469">
      <c r="E469" s="341"/>
      <c r="F469" s="352"/>
      <c r="G469" s="594" t="s">
        <v>665</v>
      </c>
      <c r="H469" s="643" t="str">
        <f>ALL2ALL_CHIP2CHIP_TIME_MS(H468)</f>
        <v>#N/A</v>
      </c>
      <c r="I469" s="349"/>
      <c r="J469" s="336"/>
      <c r="K469" s="349"/>
      <c r="L469" s="349"/>
      <c r="M469" s="349"/>
      <c r="N469" s="349"/>
      <c r="O469" s="337"/>
      <c r="P469" s="377"/>
      <c r="Q469" s="337"/>
    </row>
    <row r="470">
      <c r="E470" s="341"/>
      <c r="F470" s="702" t="s">
        <v>417</v>
      </c>
      <c r="G470" s="661" t="s">
        <v>169</v>
      </c>
      <c r="H470" s="711" t="s">
        <v>712</v>
      </c>
      <c r="I470" s="345"/>
      <c r="J470" s="344"/>
      <c r="K470" s="344"/>
      <c r="L470" s="344"/>
      <c r="M470" s="344"/>
      <c r="N470" s="346"/>
      <c r="O470" s="344"/>
      <c r="P470" s="509"/>
      <c r="Q470" s="344"/>
    </row>
    <row r="471">
      <c r="E471" s="341"/>
      <c r="F471" s="341"/>
      <c r="G471" s="371" t="s">
        <v>301</v>
      </c>
      <c r="H471" s="531" t="s">
        <v>281</v>
      </c>
      <c r="I471" s="336" t="s">
        <v>282</v>
      </c>
      <c r="J471" s="337"/>
      <c r="K471" s="337" t="s">
        <v>104</v>
      </c>
      <c r="L471" s="337" t="s">
        <v>102</v>
      </c>
      <c r="M471" s="337" t="s">
        <v>178</v>
      </c>
      <c r="N471" s="349"/>
      <c r="O471" s="338" t="str">
        <f>PARAMS("expert_collect_dtype")</f>
        <v>bf16</v>
      </c>
      <c r="P471" s="377"/>
      <c r="Q471" s="337"/>
    </row>
    <row r="472">
      <c r="E472" s="341"/>
      <c r="F472" s="341"/>
      <c r="G472" s="341"/>
      <c r="H472" s="378" t="s">
        <v>285</v>
      </c>
      <c r="I472" s="345" t="s">
        <v>282</v>
      </c>
      <c r="J472" s="346"/>
      <c r="K472" s="345">
        <f t="shared" ref="K472:M472" si="87">PARAMS(K471)</f>
        <v>4096</v>
      </c>
      <c r="L472" s="345">
        <f t="shared" si="87"/>
        <v>1</v>
      </c>
      <c r="M472" s="345">
        <f t="shared" si="87"/>
        <v>7168</v>
      </c>
      <c r="N472" s="346"/>
      <c r="O472" s="347"/>
      <c r="P472" s="509">
        <f>SIZEOF_IN_MIB(J472:M472, O471)</f>
        <v>56</v>
      </c>
      <c r="Q472" s="344"/>
    </row>
    <row r="473">
      <c r="E473" s="341"/>
      <c r="F473" s="341"/>
      <c r="G473" s="341"/>
      <c r="H473" s="602" t="s">
        <v>287</v>
      </c>
      <c r="I473" s="349" t="s">
        <v>282</v>
      </c>
      <c r="J473" s="336"/>
      <c r="K473" s="337"/>
      <c r="L473" s="337"/>
      <c r="M473" s="337" t="s">
        <v>97</v>
      </c>
      <c r="N473" s="349"/>
      <c r="O473" s="350"/>
      <c r="P473" s="377"/>
      <c r="Q473" s="337"/>
    </row>
    <row r="474">
      <c r="E474" s="341"/>
      <c r="F474" s="341"/>
      <c r="G474" s="341"/>
      <c r="H474" s="374" t="s">
        <v>289</v>
      </c>
      <c r="I474" s="363" t="s">
        <v>282</v>
      </c>
      <c r="J474" s="364"/>
      <c r="K474" s="363">
        <f t="shared" ref="K474:M474" si="88">K472/SHARDING(K473)</f>
        <v>4096</v>
      </c>
      <c r="L474" s="363">
        <f t="shared" si="88"/>
        <v>1</v>
      </c>
      <c r="M474" s="363">
        <f t="shared" si="88"/>
        <v>3584</v>
      </c>
      <c r="N474" s="363"/>
      <c r="O474" s="352"/>
      <c r="P474" s="375">
        <f>SIZEOF_IN_MIB(J474:M474, O471)</f>
        <v>28</v>
      </c>
      <c r="Q474" s="273"/>
    </row>
    <row r="475">
      <c r="E475" s="341"/>
      <c r="F475" s="341"/>
      <c r="G475" s="352"/>
      <c r="H475" s="704" t="s">
        <v>419</v>
      </c>
      <c r="I475" s="705"/>
      <c r="J475" s="273" t="s">
        <v>96</v>
      </c>
      <c r="K475" s="363"/>
      <c r="L475" s="363"/>
      <c r="M475" s="363"/>
      <c r="N475" s="363"/>
      <c r="O475" s="273"/>
      <c r="P475" s="706"/>
      <c r="Q475" s="273"/>
    </row>
    <row r="476">
      <c r="E476" s="341"/>
      <c r="F476" s="341"/>
      <c r="G476" s="385" t="s">
        <v>306</v>
      </c>
      <c r="H476" s="707">
        <f>SHARDING(J475) * SHARDING(H439)</f>
        <v>8</v>
      </c>
      <c r="I476" s="363"/>
      <c r="J476" s="364"/>
      <c r="K476" s="363"/>
      <c r="L476" s="363"/>
      <c r="M476" s="363"/>
      <c r="N476" s="363"/>
      <c r="O476" s="273"/>
      <c r="P476" s="706"/>
      <c r="Q476" s="273"/>
    </row>
    <row r="477">
      <c r="E477" s="341"/>
      <c r="F477" s="341"/>
      <c r="G477" s="594" t="s">
        <v>383</v>
      </c>
      <c r="H477" s="652">
        <f>P474 / H476 * (H476-1)</f>
        <v>24.5</v>
      </c>
      <c r="I477" s="363"/>
      <c r="J477" s="364"/>
      <c r="K477" s="363"/>
      <c r="L477" s="363"/>
      <c r="M477" s="363"/>
      <c r="N477" s="363"/>
      <c r="O477" s="273"/>
      <c r="P477" s="706"/>
      <c r="Q477" s="273"/>
    </row>
    <row r="478">
      <c r="E478" s="341"/>
      <c r="F478" s="341"/>
      <c r="G478" s="594" t="s">
        <v>384</v>
      </c>
      <c r="H478" s="708">
        <f>H477*H476</f>
        <v>196</v>
      </c>
      <c r="I478" s="601"/>
      <c r="J478" s="364"/>
      <c r="K478" s="363"/>
      <c r="L478" s="363"/>
      <c r="M478" s="363"/>
      <c r="N478" s="363"/>
      <c r="O478" s="273"/>
      <c r="P478" s="706"/>
      <c r="Q478" s="273"/>
    </row>
    <row r="479">
      <c r="E479" s="341"/>
      <c r="F479" s="341"/>
      <c r="G479" s="594" t="s">
        <v>420</v>
      </c>
      <c r="H479" s="709" t="str">
        <f>HW_SPEC("# of TensorCore per Chip")</f>
        <v>#N/A</v>
      </c>
      <c r="I479" s="703" t="s">
        <v>421</v>
      </c>
      <c r="J479" s="336"/>
      <c r="K479" s="349"/>
      <c r="L479" s="349"/>
      <c r="M479" s="349"/>
      <c r="N479" s="349"/>
      <c r="O479" s="337"/>
      <c r="P479" s="710"/>
      <c r="Q479" s="337"/>
    </row>
    <row r="480">
      <c r="E480" s="341"/>
      <c r="F480" s="341"/>
      <c r="G480" s="385" t="s">
        <v>309</v>
      </c>
      <c r="H480" s="410">
        <f>IFS(H476=8,12,
H476=4,4,
H476=2,1,
TRUE,NA())</f>
        <v>12</v>
      </c>
      <c r="I480" s="711"/>
      <c r="J480" s="345"/>
      <c r="K480" s="346"/>
      <c r="L480" s="346"/>
      <c r="M480" s="346"/>
      <c r="N480" s="346"/>
      <c r="O480" s="344"/>
      <c r="P480" s="712"/>
      <c r="Q480" s="344"/>
    </row>
    <row r="481">
      <c r="E481" s="341"/>
      <c r="F481" s="352"/>
      <c r="G481" s="594" t="s">
        <v>423</v>
      </c>
      <c r="H481" s="643" t="str">
        <f>REDUCE_SCATTER_CHIP2CHIP_TIME_MS2(H478*H479,H480)</f>
        <v>#N/A</v>
      </c>
      <c r="I481" s="602"/>
      <c r="J481" s="336"/>
      <c r="K481" s="349"/>
      <c r="L481" s="349"/>
      <c r="M481" s="349"/>
      <c r="N481" s="349"/>
      <c r="O481" s="337"/>
      <c r="P481" s="710"/>
      <c r="Q481" s="337"/>
    </row>
    <row r="482">
      <c r="E482" s="341"/>
      <c r="F482" s="702" t="s">
        <v>119</v>
      </c>
      <c r="G482" s="713" t="s">
        <v>169</v>
      </c>
      <c r="H482" s="398" t="s">
        <v>713</v>
      </c>
      <c r="I482" s="344"/>
      <c r="J482" s="345"/>
      <c r="K482" s="344"/>
      <c r="L482" s="556"/>
      <c r="M482" s="344"/>
      <c r="N482" s="346"/>
      <c r="O482" s="344"/>
      <c r="P482" s="509"/>
      <c r="Q482" s="344"/>
    </row>
    <row r="483">
      <c r="E483" s="341"/>
      <c r="F483" s="341"/>
      <c r="G483" s="609" t="s">
        <v>301</v>
      </c>
      <c r="H483" s="602" t="s">
        <v>281</v>
      </c>
      <c r="I483" s="602"/>
      <c r="J483" s="336"/>
      <c r="K483" s="337" t="s">
        <v>104</v>
      </c>
      <c r="L483" s="499" t="s">
        <v>102</v>
      </c>
      <c r="M483" s="337" t="s">
        <v>178</v>
      </c>
      <c r="N483" s="349"/>
      <c r="O483" s="338" t="str">
        <f>PARAMS("expert_collect_dtype")</f>
        <v>bf16</v>
      </c>
      <c r="P483" s="377"/>
      <c r="Q483" s="337"/>
    </row>
    <row r="484">
      <c r="E484" s="341"/>
      <c r="F484" s="341"/>
      <c r="G484" s="341"/>
      <c r="H484" s="378" t="s">
        <v>285</v>
      </c>
      <c r="I484" s="378"/>
      <c r="J484" s="345"/>
      <c r="K484" s="346">
        <f t="shared" ref="K484:M484" si="89">PARAMS(K483)</f>
        <v>4096</v>
      </c>
      <c r="L484" s="346">
        <f t="shared" si="89"/>
        <v>1</v>
      </c>
      <c r="M484" s="346">
        <f t="shared" si="89"/>
        <v>7168</v>
      </c>
      <c r="N484" s="346"/>
      <c r="O484" s="347"/>
      <c r="P484" s="509">
        <f>SIZEOF_IN_MIB(J484:M484, O483)</f>
        <v>56</v>
      </c>
      <c r="Q484" s="344"/>
    </row>
    <row r="485">
      <c r="E485" s="341"/>
      <c r="F485" s="341"/>
      <c r="G485" s="341"/>
      <c r="H485" s="602" t="s">
        <v>287</v>
      </c>
      <c r="I485" s="602"/>
      <c r="J485" s="336"/>
      <c r="K485" s="337"/>
      <c r="L485" s="337"/>
      <c r="M485" s="337" t="s">
        <v>97</v>
      </c>
      <c r="N485" s="349"/>
      <c r="O485" s="350"/>
      <c r="P485" s="377"/>
      <c r="Q485" s="337"/>
    </row>
    <row r="486">
      <c r="E486" s="341"/>
      <c r="F486" s="341"/>
      <c r="G486" s="341"/>
      <c r="H486" s="517" t="s">
        <v>289</v>
      </c>
      <c r="I486" s="517"/>
      <c r="J486" s="345"/>
      <c r="K486" s="346">
        <f t="shared" ref="K486:M486" si="90">K484/SHARDING(K485)</f>
        <v>4096</v>
      </c>
      <c r="L486" s="346">
        <f t="shared" si="90"/>
        <v>1</v>
      </c>
      <c r="M486" s="346">
        <f t="shared" si="90"/>
        <v>3584</v>
      </c>
      <c r="N486" s="346"/>
      <c r="O486" s="355"/>
      <c r="P486" s="509">
        <f>SIZEOF_IN_MIB(J486:M486, O483)</f>
        <v>28</v>
      </c>
      <c r="Q486" s="344"/>
    </row>
    <row r="487">
      <c r="E487" s="341"/>
      <c r="F487" s="341"/>
      <c r="G487" s="352"/>
      <c r="H487" s="639" t="s">
        <v>419</v>
      </c>
      <c r="I487" s="376"/>
      <c r="J487" s="639"/>
      <c r="K487" s="336"/>
      <c r="L487" s="337"/>
      <c r="M487" s="349"/>
      <c r="N487" s="349"/>
      <c r="O487" s="337"/>
      <c r="P487" s="377"/>
      <c r="Q487" s="337"/>
    </row>
    <row r="488">
      <c r="E488" s="341"/>
      <c r="F488" s="341"/>
      <c r="G488" s="458" t="s">
        <v>425</v>
      </c>
      <c r="H488" s="606" t="s">
        <v>306</v>
      </c>
      <c r="I488" s="379"/>
      <c r="J488" s="595" t="str">
        <f>SHARDING(J487)*SHARDING(H439)/HW_SPEC("# of TensorCore per Chip")</f>
        <v>#N/A</v>
      </c>
      <c r="K488" s="345"/>
      <c r="L488" s="344"/>
      <c r="M488" s="346"/>
      <c r="N488" s="346"/>
      <c r="O488" s="344"/>
      <c r="P488" s="509"/>
      <c r="Q488" s="344"/>
    </row>
    <row r="489">
      <c r="E489" s="341"/>
      <c r="F489" s="341"/>
      <c r="G489" s="341"/>
      <c r="H489" s="639" t="s">
        <v>426</v>
      </c>
      <c r="I489" s="298"/>
      <c r="J489" s="716" t="str">
        <f>P486 / J488 * (J488-1)</f>
        <v>#N/A</v>
      </c>
      <c r="K489" s="336"/>
      <c r="L489" s="337"/>
      <c r="M489" s="349"/>
      <c r="N489" s="349"/>
      <c r="O489" s="337"/>
      <c r="P489" s="377"/>
      <c r="Q489" s="337"/>
    </row>
    <row r="490">
      <c r="E490" s="341"/>
      <c r="F490" s="341"/>
      <c r="G490" s="341"/>
      <c r="H490" s="634" t="s">
        <v>384</v>
      </c>
      <c r="I490" s="379"/>
      <c r="J490" s="715" t="str">
        <f>J489*J488</f>
        <v>#N/A</v>
      </c>
      <c r="K490" s="345"/>
      <c r="L490" s="344"/>
      <c r="M490" s="346"/>
      <c r="N490" s="346"/>
      <c r="O490" s="344"/>
      <c r="P490" s="509"/>
      <c r="Q490" s="344"/>
    </row>
    <row r="491">
      <c r="E491" s="341"/>
      <c r="F491" s="341"/>
      <c r="G491" s="341"/>
      <c r="H491" s="639" t="s">
        <v>309</v>
      </c>
      <c r="I491" s="298"/>
      <c r="J491" s="714" t="str">
        <f>IFS(J488=8,12,
J488=4,4,
J488=2,1,
TRUE,NA())</f>
        <v>#N/A</v>
      </c>
      <c r="K491" s="336"/>
      <c r="L491" s="337"/>
      <c r="M491" s="349"/>
      <c r="N491" s="349"/>
      <c r="O491" s="337"/>
      <c r="P491" s="377"/>
      <c r="Q491" s="337"/>
    </row>
    <row r="492">
      <c r="E492" s="341"/>
      <c r="F492" s="341"/>
      <c r="G492" s="352"/>
      <c r="H492" s="634" t="s">
        <v>311</v>
      </c>
      <c r="I492" s="379"/>
      <c r="J492" s="889" t="str">
        <f>IF(J490=0,0, REDUCE_SCATTER_CHIP2CHIP_TIME_MS2(J490,J491))</f>
        <v>#N/A</v>
      </c>
      <c r="K492" s="345"/>
      <c r="L492" s="344"/>
      <c r="M492" s="346"/>
      <c r="N492" s="346"/>
      <c r="O492" s="344"/>
      <c r="P492" s="509"/>
      <c r="Q492" s="344"/>
    </row>
    <row r="493">
      <c r="E493" s="341"/>
      <c r="F493" s="341"/>
      <c r="G493" s="609" t="s">
        <v>427</v>
      </c>
      <c r="H493" s="416" t="s">
        <v>306</v>
      </c>
      <c r="I493" s="601"/>
      <c r="J493" s="717" t="str">
        <f>HW_SPEC("# of TensorCore per Chip")</f>
        <v>#N/A</v>
      </c>
      <c r="K493" s="364"/>
      <c r="L493" s="273"/>
      <c r="M493" s="363"/>
      <c r="N493" s="363"/>
      <c r="O493" s="273"/>
      <c r="P493" s="375"/>
      <c r="Q493" s="273"/>
    </row>
    <row r="494">
      <c r="E494" s="341"/>
      <c r="F494" s="341"/>
      <c r="G494" s="341"/>
      <c r="H494" s="704" t="s">
        <v>416</v>
      </c>
      <c r="I494" s="11"/>
      <c r="J494" s="718" t="str">
        <f>P486 * (J493-1)/J493</f>
        <v>#N/A</v>
      </c>
      <c r="K494" s="364"/>
      <c r="L494" s="273"/>
      <c r="M494" s="363"/>
      <c r="N494" s="363"/>
      <c r="O494" s="273"/>
      <c r="P494" s="375"/>
      <c r="Q494" s="273"/>
    </row>
    <row r="495">
      <c r="E495" s="341"/>
      <c r="F495" s="341"/>
      <c r="G495" s="341"/>
      <c r="H495" s="704" t="s">
        <v>384</v>
      </c>
      <c r="I495" s="11"/>
      <c r="J495" s="718" t="str">
        <f>J494*J493</f>
        <v>#N/A</v>
      </c>
      <c r="K495" s="364"/>
      <c r="L495" s="273"/>
      <c r="M495" s="363"/>
      <c r="N495" s="363"/>
      <c r="O495" s="273"/>
      <c r="P495" s="375"/>
      <c r="Q495" s="273"/>
    </row>
    <row r="496">
      <c r="E496" s="341"/>
      <c r="F496" s="341"/>
      <c r="G496" s="341"/>
      <c r="H496" s="704" t="s">
        <v>311</v>
      </c>
      <c r="I496" s="11"/>
      <c r="J496" s="719" t="str">
        <f>REDUCE_SCATTER_CORE2CORE_TIME_MS(J495)</f>
        <v>#N/A</v>
      </c>
      <c r="K496" s="364"/>
      <c r="L496" s="273"/>
      <c r="M496" s="363"/>
      <c r="N496" s="363"/>
      <c r="O496" s="273"/>
      <c r="P496" s="375"/>
      <c r="Q496" s="273"/>
    </row>
    <row r="497">
      <c r="E497" s="341"/>
      <c r="F497" s="341"/>
      <c r="G497" s="352"/>
      <c r="H497" s="704" t="s">
        <v>428</v>
      </c>
      <c r="I497" s="11"/>
      <c r="J497" s="719" t="str">
        <f>J496/J488</f>
        <v>#N/A</v>
      </c>
      <c r="K497" s="364"/>
      <c r="L497" s="273"/>
      <c r="M497" s="363"/>
      <c r="N497" s="363"/>
      <c r="O497" s="273"/>
      <c r="P497" s="375"/>
      <c r="Q497" s="273"/>
    </row>
    <row r="498">
      <c r="E498" s="341"/>
      <c r="F498" s="352"/>
      <c r="G498" s="599" t="s">
        <v>429</v>
      </c>
      <c r="H498" s="11" t="str">
        <f>SUM(J492+J497)</f>
        <v>#N/A</v>
      </c>
      <c r="I498" s="719"/>
      <c r="J498" s="364"/>
      <c r="K498" s="364"/>
      <c r="L498" s="273"/>
      <c r="M498" s="363"/>
      <c r="N498" s="363"/>
      <c r="O498" s="273"/>
      <c r="P498" s="375"/>
      <c r="Q498" s="273"/>
    </row>
    <row r="499">
      <c r="E499" s="341"/>
      <c r="F499" s="370" t="s">
        <v>335</v>
      </c>
      <c r="G499" s="720" t="s">
        <v>322</v>
      </c>
      <c r="H499" s="721" t="s">
        <v>417</v>
      </c>
      <c r="I499" s="650"/>
      <c r="J499" s="454"/>
      <c r="K499" s="454"/>
      <c r="L499" s="455"/>
      <c r="M499" s="455"/>
      <c r="N499" s="455"/>
      <c r="O499" s="454"/>
      <c r="P499" s="722"/>
      <c r="Q499" s="11"/>
    </row>
    <row r="500">
      <c r="E500" s="341"/>
      <c r="F500" s="352"/>
      <c r="G500" s="591" t="s">
        <v>340</v>
      </c>
      <c r="H500" s="723" t="str">
        <f>IFS(H499=F457,H469,H499=F470,H481,F482=H499,H498, TRUE,0)</f>
        <v>#N/A</v>
      </c>
      <c r="I500" s="581"/>
      <c r="J500" s="448"/>
      <c r="K500" s="448"/>
      <c r="L500" s="449"/>
      <c r="M500" s="449"/>
      <c r="N500" s="449"/>
      <c r="O500" s="448"/>
      <c r="P500" s="724"/>
      <c r="Q500" s="450"/>
    </row>
    <row r="501">
      <c r="E501" s="341"/>
      <c r="F501" s="713"/>
      <c r="G501" s="452" t="s">
        <v>325</v>
      </c>
      <c r="H501" s="626" t="str">
        <f>IFS(PARAMS("topo")="2x2x2", (2+2+2)/2,
PARAMS("topo")="2x2", (2+2)/2,
TRUE, NA())</f>
        <v>#N/A</v>
      </c>
      <c r="I501" s="650"/>
      <c r="J501" s="454"/>
      <c r="K501" s="454"/>
      <c r="L501" s="455"/>
      <c r="M501" s="455"/>
      <c r="N501" s="455"/>
      <c r="O501" s="454"/>
      <c r="P501" s="722"/>
      <c r="Q501" s="11"/>
    </row>
    <row r="502">
      <c r="E502" s="341"/>
      <c r="F502" s="713"/>
      <c r="G502" s="446" t="s">
        <v>326</v>
      </c>
      <c r="H502" s="447" t="str">
        <f>IF(H499="No Collectives", 0, H501 * HW_SPEC("Chip-to-Chip ICI Latency (ms)"))</f>
        <v>#N/A</v>
      </c>
      <c r="I502" s="648"/>
      <c r="J502" s="448"/>
      <c r="K502" s="448"/>
      <c r="L502" s="449"/>
      <c r="M502" s="449"/>
      <c r="N502" s="449"/>
      <c r="O502" s="448"/>
      <c r="P502" s="724"/>
      <c r="Q502" s="572"/>
    </row>
    <row r="503">
      <c r="E503" s="341"/>
      <c r="F503" s="609" t="s">
        <v>327</v>
      </c>
      <c r="G503" s="601" t="s">
        <v>109</v>
      </c>
      <c r="H503" s="891"/>
      <c r="I503" s="650"/>
      <c r="J503" s="454"/>
      <c r="K503" s="454"/>
      <c r="L503" s="455"/>
      <c r="M503" s="455"/>
      <c r="N503" s="455"/>
      <c r="O503" s="454"/>
      <c r="P503" s="722"/>
      <c r="Q503" s="11"/>
    </row>
    <row r="504">
      <c r="E504" s="341"/>
      <c r="F504" s="341"/>
      <c r="G504" s="601"/>
      <c r="H504" s="663"/>
      <c r="I504" s="460"/>
      <c r="J504" s="454"/>
      <c r="K504" s="454"/>
      <c r="L504" s="455"/>
      <c r="M504" s="455"/>
      <c r="N504" s="455"/>
      <c r="O504" s="454"/>
      <c r="P504" s="722"/>
      <c r="Q504" s="11"/>
    </row>
    <row r="505">
      <c r="E505" s="341"/>
      <c r="F505" s="352"/>
      <c r="G505" s="601"/>
      <c r="H505" s="663"/>
      <c r="I505" s="460"/>
      <c r="J505" s="454"/>
      <c r="K505" s="454"/>
      <c r="L505" s="455"/>
      <c r="M505" s="455"/>
      <c r="N505" s="455"/>
      <c r="O505" s="454"/>
      <c r="P505" s="722"/>
      <c r="Q505" s="11"/>
    </row>
    <row r="506">
      <c r="E506" s="341"/>
      <c r="F506" s="609" t="s">
        <v>331</v>
      </c>
      <c r="G506" s="601" t="s">
        <v>109</v>
      </c>
      <c r="H506" s="663"/>
      <c r="I506" s="460"/>
      <c r="J506" s="454"/>
      <c r="K506" s="454"/>
      <c r="L506" s="455"/>
      <c r="M506" s="455"/>
      <c r="N506" s="455"/>
      <c r="O506" s="454"/>
      <c r="P506" s="722"/>
      <c r="Q506" s="11"/>
    </row>
    <row r="507">
      <c r="E507" s="352"/>
      <c r="F507" s="352"/>
      <c r="G507" s="601"/>
      <c r="H507" s="663"/>
      <c r="I507" s="460"/>
      <c r="J507" s="454"/>
      <c r="K507" s="454"/>
      <c r="L507" s="455"/>
      <c r="M507" s="455"/>
      <c r="N507" s="455"/>
      <c r="O507" s="454"/>
      <c r="P507" s="722"/>
      <c r="Q507" s="11"/>
    </row>
    <row r="508">
      <c r="E508" s="333" t="s">
        <v>430</v>
      </c>
      <c r="F508" s="725" t="s">
        <v>292</v>
      </c>
      <c r="G508" s="335"/>
      <c r="H508" s="531" t="s">
        <v>281</v>
      </c>
      <c r="I508" s="336" t="s">
        <v>282</v>
      </c>
      <c r="J508" s="337"/>
      <c r="K508" s="337" t="s">
        <v>104</v>
      </c>
      <c r="L508" s="337" t="s">
        <v>102</v>
      </c>
      <c r="M508" s="499" t="s">
        <v>178</v>
      </c>
      <c r="N508" s="336" t="s">
        <v>283</v>
      </c>
      <c r="O508" s="338" t="s">
        <v>125</v>
      </c>
      <c r="P508" s="377"/>
      <c r="Q508" s="338" t="b">
        <v>0</v>
      </c>
    </row>
    <row r="509">
      <c r="E509" s="341"/>
      <c r="F509" s="342"/>
      <c r="G509" s="343"/>
      <c r="H509" s="378" t="s">
        <v>285</v>
      </c>
      <c r="I509" s="345" t="s">
        <v>282</v>
      </c>
      <c r="J509" s="346"/>
      <c r="K509" s="345">
        <f t="shared" ref="K509:M509" si="91">PARAMS(K508)</f>
        <v>4096</v>
      </c>
      <c r="L509" s="345">
        <f t="shared" si="91"/>
        <v>1</v>
      </c>
      <c r="M509" s="345">
        <f t="shared" si="91"/>
        <v>7168</v>
      </c>
      <c r="N509" s="345" t="s">
        <v>283</v>
      </c>
      <c r="O509" s="347"/>
      <c r="P509" s="509">
        <f>SIZEOF_IN_MIB(J509:M509, O508)</f>
        <v>28</v>
      </c>
      <c r="Q509" s="347"/>
    </row>
    <row r="510">
      <c r="E510" s="341"/>
      <c r="F510" s="342"/>
      <c r="G510" s="343"/>
      <c r="H510" s="602" t="s">
        <v>287</v>
      </c>
      <c r="I510" s="349" t="s">
        <v>282</v>
      </c>
      <c r="J510" s="336"/>
      <c r="K510" s="337" t="s">
        <v>97</v>
      </c>
      <c r="L510" s="337"/>
      <c r="M510" s="337"/>
      <c r="N510" s="349" t="s">
        <v>283</v>
      </c>
      <c r="O510" s="350"/>
      <c r="P510" s="377"/>
      <c r="Q510" s="350"/>
    </row>
    <row r="511">
      <c r="E511" s="341"/>
      <c r="F511" s="353"/>
      <c r="G511" s="354"/>
      <c r="H511" s="378" t="s">
        <v>289</v>
      </c>
      <c r="I511" s="346" t="s">
        <v>282</v>
      </c>
      <c r="J511" s="345"/>
      <c r="K511" s="346">
        <f t="shared" ref="K511:M511" si="92">K509/SHARDING(K510)</f>
        <v>2048</v>
      </c>
      <c r="L511" s="346">
        <f t="shared" si="92"/>
        <v>1</v>
      </c>
      <c r="M511" s="346">
        <f t="shared" si="92"/>
        <v>7168</v>
      </c>
      <c r="N511" s="346" t="s">
        <v>283</v>
      </c>
      <c r="O511" s="355"/>
      <c r="P511" s="509">
        <f>SIZEOF_IN_MIB(J511:M511, O508)</f>
        <v>14</v>
      </c>
      <c r="Q511" s="355"/>
    </row>
    <row r="512">
      <c r="E512" s="341"/>
      <c r="F512" s="726" t="s">
        <v>296</v>
      </c>
      <c r="G512" s="335"/>
      <c r="H512" s="602" t="s">
        <v>281</v>
      </c>
      <c r="I512" s="349" t="s">
        <v>282</v>
      </c>
      <c r="J512" s="336"/>
      <c r="K512" s="298"/>
      <c r="L512" s="337" t="s">
        <v>178</v>
      </c>
      <c r="M512" s="499" t="s">
        <v>182</v>
      </c>
      <c r="N512" s="349" t="s">
        <v>283</v>
      </c>
      <c r="O512" s="338" t="s">
        <v>180</v>
      </c>
      <c r="P512" s="377"/>
      <c r="Q512" s="338" t="b">
        <v>0</v>
      </c>
    </row>
    <row r="513">
      <c r="E513" s="341"/>
      <c r="F513" s="342"/>
      <c r="G513" s="343"/>
      <c r="H513" s="378" t="s">
        <v>285</v>
      </c>
      <c r="I513" s="346" t="s">
        <v>282</v>
      </c>
      <c r="J513" s="345"/>
      <c r="K513" s="398">
        <v>2.0</v>
      </c>
      <c r="L513" s="346">
        <f t="shared" ref="L513:M513" si="93">PARAMS(L512)</f>
        <v>7168</v>
      </c>
      <c r="M513" s="346">
        <f t="shared" si="93"/>
        <v>2048</v>
      </c>
      <c r="N513" s="346" t="s">
        <v>283</v>
      </c>
      <c r="O513" s="347"/>
      <c r="P513" s="509">
        <f>SIZEOF_IN_MIB(J513:M513, O512)</f>
        <v>14</v>
      </c>
      <c r="Q513" s="347"/>
    </row>
    <row r="514">
      <c r="E514" s="341"/>
      <c r="F514" s="342"/>
      <c r="G514" s="343"/>
      <c r="H514" s="602" t="s">
        <v>287</v>
      </c>
      <c r="I514" s="349" t="s">
        <v>282</v>
      </c>
      <c r="J514" s="336"/>
      <c r="K514" s="298"/>
      <c r="L514" s="337"/>
      <c r="M514" s="337"/>
      <c r="N514" s="349" t="s">
        <v>283</v>
      </c>
      <c r="O514" s="350"/>
      <c r="P514" s="377"/>
      <c r="Q514" s="350"/>
    </row>
    <row r="515">
      <c r="E515" s="341"/>
      <c r="F515" s="353"/>
      <c r="G515" s="354"/>
      <c r="H515" s="517" t="s">
        <v>289</v>
      </c>
      <c r="I515" s="346" t="s">
        <v>282</v>
      </c>
      <c r="J515" s="345"/>
      <c r="K515" s="398">
        <v>2.0</v>
      </c>
      <c r="L515" s="346">
        <f t="shared" ref="L515:M515" si="94">L513/SHARDING(L514)</f>
        <v>7168</v>
      </c>
      <c r="M515" s="346">
        <f t="shared" si="94"/>
        <v>2048</v>
      </c>
      <c r="N515" s="346" t="s">
        <v>283</v>
      </c>
      <c r="O515" s="355"/>
      <c r="P515" s="509">
        <f>SIZEOF_IN_MIB(J515:M515, O512)</f>
        <v>14</v>
      </c>
      <c r="Q515" s="355"/>
    </row>
    <row r="516">
      <c r="E516" s="341"/>
      <c r="F516" s="726" t="s">
        <v>56</v>
      </c>
      <c r="G516" s="335"/>
      <c r="H516" s="602" t="s">
        <v>281</v>
      </c>
      <c r="I516" s="349" t="s">
        <v>282</v>
      </c>
      <c r="J516" s="336"/>
      <c r="K516" s="337" t="s">
        <v>104</v>
      </c>
      <c r="L516" s="337" t="s">
        <v>102</v>
      </c>
      <c r="M516" s="337" t="s">
        <v>182</v>
      </c>
      <c r="N516" s="349" t="s">
        <v>283</v>
      </c>
      <c r="O516" s="727" t="s">
        <v>133</v>
      </c>
      <c r="P516" s="377"/>
      <c r="Q516" s="338" t="b">
        <v>0</v>
      </c>
    </row>
    <row r="517">
      <c r="E517" s="341"/>
      <c r="F517" s="342"/>
      <c r="G517" s="343"/>
      <c r="H517" s="378" t="s">
        <v>285</v>
      </c>
      <c r="I517" s="346" t="s">
        <v>282</v>
      </c>
      <c r="J517" s="344">
        <v>2.0</v>
      </c>
      <c r="K517" s="346">
        <f t="shared" ref="K517:M517" si="95">PARAMS(K516)</f>
        <v>4096</v>
      </c>
      <c r="L517" s="346">
        <f t="shared" si="95"/>
        <v>1</v>
      </c>
      <c r="M517" s="346">
        <f t="shared" si="95"/>
        <v>2048</v>
      </c>
      <c r="N517" s="346" t="s">
        <v>283</v>
      </c>
      <c r="O517" s="347"/>
      <c r="P517" s="509">
        <f>SIZEOF_IN_MIB(J517:M517, O516)</f>
        <v>32</v>
      </c>
      <c r="Q517" s="347"/>
    </row>
    <row r="518">
      <c r="E518" s="341"/>
      <c r="F518" s="342"/>
      <c r="G518" s="343"/>
      <c r="H518" s="602" t="s">
        <v>287</v>
      </c>
      <c r="I518" s="349" t="s">
        <v>282</v>
      </c>
      <c r="J518" s="336"/>
      <c r="K518" s="337" t="s">
        <v>97</v>
      </c>
      <c r="L518" s="337"/>
      <c r="M518" s="349"/>
      <c r="N518" s="349" t="s">
        <v>283</v>
      </c>
      <c r="O518" s="350"/>
      <c r="P518" s="377"/>
      <c r="Q518" s="350"/>
    </row>
    <row r="519">
      <c r="E519" s="341"/>
      <c r="F519" s="353"/>
      <c r="G519" s="354"/>
      <c r="H519" s="517" t="s">
        <v>289</v>
      </c>
      <c r="I519" s="346" t="s">
        <v>282</v>
      </c>
      <c r="J519" s="344">
        <v>2.0</v>
      </c>
      <c r="K519" s="346">
        <f t="shared" ref="K519:M519" si="96">K517/SHARDING(K518)</f>
        <v>2048</v>
      </c>
      <c r="L519" s="346">
        <f t="shared" si="96"/>
        <v>1</v>
      </c>
      <c r="M519" s="346">
        <f t="shared" si="96"/>
        <v>2048</v>
      </c>
      <c r="N519" s="346" t="s">
        <v>283</v>
      </c>
      <c r="O519" s="355"/>
      <c r="P519" s="509">
        <f>SIZEOF_IN_MIB(J519:M519, O516)</f>
        <v>16</v>
      </c>
      <c r="Q519" s="355"/>
    </row>
    <row r="520">
      <c r="E520" s="341"/>
      <c r="F520" s="371" t="s">
        <v>335</v>
      </c>
      <c r="G520" s="601"/>
      <c r="H520" s="728"/>
      <c r="I520" s="336"/>
      <c r="J520" s="336"/>
      <c r="K520" s="336"/>
      <c r="L520" s="349"/>
      <c r="M520" s="349"/>
      <c r="N520" s="349"/>
      <c r="O520" s="336"/>
      <c r="P520" s="377"/>
      <c r="Q520" s="729"/>
    </row>
    <row r="521">
      <c r="E521" s="341"/>
      <c r="F521" s="352"/>
      <c r="G521" s="669" t="s">
        <v>340</v>
      </c>
      <c r="H521" s="730"/>
      <c r="I521" s="493"/>
      <c r="J521" s="345"/>
      <c r="K521" s="345"/>
      <c r="L521" s="346"/>
      <c r="M521" s="346"/>
      <c r="N521" s="346"/>
      <c r="O521" s="345"/>
      <c r="P521" s="509"/>
      <c r="Q521" s="545"/>
    </row>
    <row r="522">
      <c r="E522" s="341"/>
      <c r="F522" s="731" t="s">
        <v>327</v>
      </c>
      <c r="G522" s="601" t="s">
        <v>328</v>
      </c>
      <c r="H522" s="663" t="str">
        <f>VLOOKUP(O508&amp;","&amp;O512,$T$3:$W$12,4, FALSE)</f>
        <v>fp8</v>
      </c>
      <c r="I522" s="460"/>
      <c r="J522" s="454"/>
      <c r="K522" s="454"/>
      <c r="L522" s="455"/>
      <c r="M522" s="455"/>
      <c r="N522" s="455"/>
      <c r="O522" s="454"/>
      <c r="P522" s="468"/>
      <c r="Q522" s="11"/>
    </row>
    <row r="523">
      <c r="E523" s="341"/>
      <c r="F523" s="341"/>
      <c r="G523" s="663" t="s">
        <v>341</v>
      </c>
      <c r="H523" s="667" t="str">
        <f>CALCULATE_FLOPS(J511:M511,J515:M515,M515,L515,H522)</f>
        <v>#N/A</v>
      </c>
      <c r="I523" s="460"/>
      <c r="J523" s="454"/>
      <c r="K523" s="454"/>
      <c r="L523" s="455"/>
      <c r="M523" s="455"/>
      <c r="N523" s="455"/>
      <c r="O523" s="454"/>
      <c r="P523" s="468"/>
      <c r="Q523" s="11"/>
    </row>
    <row r="524">
      <c r="E524" s="341"/>
      <c r="F524" s="352"/>
      <c r="G524" s="669" t="s">
        <v>330</v>
      </c>
      <c r="H524" s="732" t="str">
        <f>COMPUTE_TIME_MS(H523, H522)</f>
        <v>#N/A</v>
      </c>
      <c r="I524" s="464"/>
      <c r="J524" s="465"/>
      <c r="K524" s="465"/>
      <c r="L524" s="466"/>
      <c r="M524" s="466"/>
      <c r="N524" s="466"/>
      <c r="O524" s="465"/>
      <c r="P524" s="671"/>
      <c r="Q524" s="11"/>
    </row>
    <row r="525">
      <c r="E525" s="341"/>
      <c r="F525" s="731" t="s">
        <v>331</v>
      </c>
      <c r="G525" s="663" t="s">
        <v>332</v>
      </c>
      <c r="H525" s="672">
        <f>IF(Q508,0,P511)+IF(Q512,0,P515)+IF(Q516,0,P519)</f>
        <v>44</v>
      </c>
      <c r="I525" s="454"/>
      <c r="J525" s="454"/>
      <c r="K525" s="454"/>
      <c r="L525" s="455"/>
      <c r="M525" s="455"/>
      <c r="N525" s="455"/>
      <c r="O525" s="454"/>
      <c r="P525" s="468"/>
      <c r="Q525" s="11"/>
    </row>
    <row r="526">
      <c r="E526" s="352"/>
      <c r="F526" s="352"/>
      <c r="G526" s="673" t="s">
        <v>333</v>
      </c>
      <c r="H526" s="733" t="str">
        <f>HBM_TIME_MS(H525)</f>
        <v>#N/A</v>
      </c>
      <c r="I526" s="465"/>
      <c r="J526" s="465"/>
      <c r="K526" s="465"/>
      <c r="L526" s="466"/>
      <c r="M526" s="466"/>
      <c r="N526" s="466"/>
      <c r="O526" s="465"/>
      <c r="P526" s="671"/>
      <c r="Q526" s="11"/>
    </row>
    <row r="527">
      <c r="E527" s="333" t="s">
        <v>431</v>
      </c>
      <c r="F527" s="725" t="s">
        <v>292</v>
      </c>
      <c r="G527" s="335"/>
      <c r="H527" s="531" t="s">
        <v>281</v>
      </c>
      <c r="I527" s="336" t="s">
        <v>282</v>
      </c>
      <c r="J527" s="405"/>
      <c r="K527" s="734" t="s">
        <v>104</v>
      </c>
      <c r="L527" s="734" t="s">
        <v>102</v>
      </c>
      <c r="M527" s="735" t="s">
        <v>182</v>
      </c>
      <c r="N527" s="336" t="s">
        <v>283</v>
      </c>
      <c r="O527" s="338" t="s">
        <v>125</v>
      </c>
      <c r="P527" s="377"/>
      <c r="Q527" s="338" t="b">
        <v>0</v>
      </c>
    </row>
    <row r="528">
      <c r="E528" s="341"/>
      <c r="F528" s="342"/>
      <c r="G528" s="343"/>
      <c r="H528" s="378" t="s">
        <v>285</v>
      </c>
      <c r="I528" s="345" t="s">
        <v>282</v>
      </c>
      <c r="J528" s="400"/>
      <c r="K528" s="739">
        <f t="shared" ref="K528:M528" si="97">PARAMS(K527)</f>
        <v>4096</v>
      </c>
      <c r="L528" s="737">
        <f t="shared" si="97"/>
        <v>1</v>
      </c>
      <c r="M528" s="737">
        <f t="shared" si="97"/>
        <v>2048</v>
      </c>
      <c r="N528" s="345" t="s">
        <v>283</v>
      </c>
      <c r="O528" s="347"/>
      <c r="P528" s="509">
        <f>SIZEOF_IN_MIB(J528:M528, O527)</f>
        <v>8</v>
      </c>
      <c r="Q528" s="347"/>
    </row>
    <row r="529">
      <c r="E529" s="341"/>
      <c r="F529" s="342"/>
      <c r="G529" s="343"/>
      <c r="H529" s="602" t="s">
        <v>287</v>
      </c>
      <c r="I529" s="349" t="s">
        <v>282</v>
      </c>
      <c r="J529" s="404"/>
      <c r="K529" s="734" t="s">
        <v>97</v>
      </c>
      <c r="L529" s="405"/>
      <c r="M529" s="405"/>
      <c r="N529" s="349" t="s">
        <v>283</v>
      </c>
      <c r="O529" s="350"/>
      <c r="P529" s="377"/>
      <c r="Q529" s="350"/>
    </row>
    <row r="530">
      <c r="E530" s="341"/>
      <c r="F530" s="353"/>
      <c r="G530" s="354"/>
      <c r="H530" s="378" t="s">
        <v>289</v>
      </c>
      <c r="I530" s="346" t="s">
        <v>282</v>
      </c>
      <c r="J530" s="399"/>
      <c r="K530" s="736">
        <f t="shared" ref="K530:M530" si="98">K528/SHARDING(K529)</f>
        <v>2048</v>
      </c>
      <c r="L530" s="736">
        <f t="shared" si="98"/>
        <v>1</v>
      </c>
      <c r="M530" s="736">
        <f t="shared" si="98"/>
        <v>2048</v>
      </c>
      <c r="N530" s="346" t="s">
        <v>283</v>
      </c>
      <c r="O530" s="355"/>
      <c r="P530" s="509">
        <f>SIZEOF_IN_MIB(J530:M530, O527)</f>
        <v>4</v>
      </c>
      <c r="Q530" s="355"/>
    </row>
    <row r="531">
      <c r="E531" s="341"/>
      <c r="F531" s="726" t="s">
        <v>296</v>
      </c>
      <c r="G531" s="335"/>
      <c r="H531" s="602" t="s">
        <v>281</v>
      </c>
      <c r="I531" s="349" t="s">
        <v>282</v>
      </c>
      <c r="J531" s="404"/>
      <c r="K531" s="391"/>
      <c r="L531" s="734" t="s">
        <v>182</v>
      </c>
      <c r="M531" s="735" t="s">
        <v>178</v>
      </c>
      <c r="N531" s="349" t="s">
        <v>283</v>
      </c>
      <c r="O531" s="338" t="s">
        <v>180</v>
      </c>
      <c r="P531" s="377"/>
      <c r="Q531" s="338" t="b">
        <v>0</v>
      </c>
    </row>
    <row r="532">
      <c r="E532" s="341"/>
      <c r="F532" s="342"/>
      <c r="G532" s="343"/>
      <c r="H532" s="378" t="s">
        <v>285</v>
      </c>
      <c r="I532" s="346" t="s">
        <v>282</v>
      </c>
      <c r="J532" s="399"/>
      <c r="K532" s="388"/>
      <c r="L532" s="736">
        <f t="shared" ref="L532:M532" si="99">PARAMS(L531)</f>
        <v>2048</v>
      </c>
      <c r="M532" s="736">
        <f t="shared" si="99"/>
        <v>7168</v>
      </c>
      <c r="N532" s="346" t="s">
        <v>283</v>
      </c>
      <c r="O532" s="347"/>
      <c r="P532" s="509">
        <f>SIZEOF_IN_MIB(J532:M532, O531)</f>
        <v>7</v>
      </c>
      <c r="Q532" s="347"/>
    </row>
    <row r="533">
      <c r="E533" s="341"/>
      <c r="F533" s="342"/>
      <c r="G533" s="343"/>
      <c r="H533" s="602" t="s">
        <v>287</v>
      </c>
      <c r="I533" s="349" t="s">
        <v>282</v>
      </c>
      <c r="J533" s="404"/>
      <c r="K533" s="391"/>
      <c r="L533" s="405"/>
      <c r="M533" s="405"/>
      <c r="N533" s="349" t="s">
        <v>283</v>
      </c>
      <c r="O533" s="350"/>
      <c r="P533" s="377"/>
      <c r="Q533" s="350"/>
    </row>
    <row r="534">
      <c r="E534" s="341"/>
      <c r="F534" s="353"/>
      <c r="G534" s="354"/>
      <c r="H534" s="517" t="s">
        <v>289</v>
      </c>
      <c r="I534" s="346" t="s">
        <v>282</v>
      </c>
      <c r="J534" s="399"/>
      <c r="K534" s="388"/>
      <c r="L534" s="736">
        <f t="shared" ref="L534:M534" si="100">L532/SHARDING(L533)</f>
        <v>2048</v>
      </c>
      <c r="M534" s="736">
        <f t="shared" si="100"/>
        <v>7168</v>
      </c>
      <c r="N534" s="346" t="s">
        <v>283</v>
      </c>
      <c r="O534" s="355"/>
      <c r="P534" s="509">
        <f>SIZEOF_IN_MIB(J534:M534, O531)</f>
        <v>7</v>
      </c>
      <c r="Q534" s="355"/>
    </row>
    <row r="535">
      <c r="E535" s="341"/>
      <c r="F535" s="726" t="s">
        <v>56</v>
      </c>
      <c r="G535" s="335"/>
      <c r="H535" s="602" t="s">
        <v>281</v>
      </c>
      <c r="I535" s="349" t="s">
        <v>282</v>
      </c>
      <c r="J535" s="404"/>
      <c r="K535" s="734" t="s">
        <v>104</v>
      </c>
      <c r="L535" s="734" t="s">
        <v>102</v>
      </c>
      <c r="M535" s="734" t="s">
        <v>178</v>
      </c>
      <c r="N535" s="349" t="s">
        <v>283</v>
      </c>
      <c r="O535" s="727" t="s">
        <v>133</v>
      </c>
      <c r="P535" s="377"/>
      <c r="Q535" s="338" t="b">
        <v>0</v>
      </c>
    </row>
    <row r="536">
      <c r="E536" s="341"/>
      <c r="F536" s="342"/>
      <c r="G536" s="343"/>
      <c r="H536" s="378" t="s">
        <v>285</v>
      </c>
      <c r="I536" s="346" t="s">
        <v>282</v>
      </c>
      <c r="J536" s="400"/>
      <c r="K536" s="739">
        <f t="shared" ref="K536:M536" si="101">PARAMS(K535)</f>
        <v>4096</v>
      </c>
      <c r="L536" s="736">
        <f t="shared" si="101"/>
        <v>1</v>
      </c>
      <c r="M536" s="736">
        <f t="shared" si="101"/>
        <v>7168</v>
      </c>
      <c r="N536" s="346" t="s">
        <v>283</v>
      </c>
      <c r="O536" s="347"/>
      <c r="P536" s="509">
        <f>SIZEOF_IN_MIB(J536:M536, O535)</f>
        <v>56</v>
      </c>
      <c r="Q536" s="347"/>
    </row>
    <row r="537">
      <c r="E537" s="341"/>
      <c r="F537" s="342"/>
      <c r="G537" s="343"/>
      <c r="H537" s="602" t="s">
        <v>287</v>
      </c>
      <c r="I537" s="349" t="s">
        <v>282</v>
      </c>
      <c r="J537" s="404"/>
      <c r="K537" s="734" t="s">
        <v>97</v>
      </c>
      <c r="L537" s="405"/>
      <c r="M537" s="405"/>
      <c r="N537" s="349" t="s">
        <v>283</v>
      </c>
      <c r="O537" s="350"/>
      <c r="P537" s="377"/>
      <c r="Q537" s="350"/>
    </row>
    <row r="538">
      <c r="E538" s="341"/>
      <c r="F538" s="353"/>
      <c r="G538" s="354"/>
      <c r="H538" s="517" t="s">
        <v>289</v>
      </c>
      <c r="I538" s="346" t="s">
        <v>282</v>
      </c>
      <c r="J538" s="400"/>
      <c r="K538" s="736">
        <f t="shared" ref="K538:M538" si="102">K536/SHARDING(K537)</f>
        <v>2048</v>
      </c>
      <c r="L538" s="736">
        <f t="shared" si="102"/>
        <v>1</v>
      </c>
      <c r="M538" s="736">
        <f t="shared" si="102"/>
        <v>7168</v>
      </c>
      <c r="N538" s="346" t="s">
        <v>283</v>
      </c>
      <c r="O538" s="355"/>
      <c r="P538" s="509">
        <f>SIZEOF_IN_MIB(J538:M538, O535)</f>
        <v>28</v>
      </c>
      <c r="Q538" s="355"/>
    </row>
    <row r="539">
      <c r="E539" s="341"/>
      <c r="F539" s="371" t="s">
        <v>335</v>
      </c>
      <c r="G539" s="601"/>
      <c r="H539" s="728"/>
      <c r="I539" s="336"/>
      <c r="J539" s="336"/>
      <c r="K539" s="336"/>
      <c r="L539" s="349"/>
      <c r="M539" s="349"/>
      <c r="N539" s="349"/>
      <c r="O539" s="336"/>
      <c r="P539" s="377"/>
      <c r="Q539" s="729"/>
    </row>
    <row r="540">
      <c r="E540" s="341"/>
      <c r="F540" s="352"/>
      <c r="G540" s="669" t="s">
        <v>340</v>
      </c>
      <c r="H540" s="730"/>
      <c r="I540" s="493"/>
      <c r="J540" s="345"/>
      <c r="K540" s="345"/>
      <c r="L540" s="346"/>
      <c r="M540" s="346"/>
      <c r="N540" s="346"/>
      <c r="O540" s="345"/>
      <c r="P540" s="509"/>
      <c r="Q540" s="545"/>
    </row>
    <row r="541">
      <c r="E541" s="341"/>
      <c r="F541" s="731" t="s">
        <v>327</v>
      </c>
      <c r="G541" s="601" t="s">
        <v>328</v>
      </c>
      <c r="H541" s="663" t="str">
        <f>VLOOKUP(O527&amp;","&amp;O531,$T$3:$W$12,4, FALSE)</f>
        <v>fp8</v>
      </c>
      <c r="I541" s="460"/>
      <c r="J541" s="454"/>
      <c r="K541" s="454"/>
      <c r="L541" s="455"/>
      <c r="M541" s="455"/>
      <c r="N541" s="455"/>
      <c r="O541" s="454"/>
      <c r="P541" s="468"/>
      <c r="Q541" s="11"/>
    </row>
    <row r="542">
      <c r="E542" s="341"/>
      <c r="F542" s="341"/>
      <c r="G542" s="663" t="s">
        <v>341</v>
      </c>
      <c r="H542" s="667" t="str">
        <f>CALCULATE_FLOPS(J530:M530,J534:M534,M534,L534,H541)</f>
        <v>#N/A</v>
      </c>
      <c r="I542" s="460"/>
      <c r="J542" s="454"/>
      <c r="K542" s="454"/>
      <c r="L542" s="455"/>
      <c r="M542" s="455"/>
      <c r="N542" s="455"/>
      <c r="O542" s="454"/>
      <c r="P542" s="468"/>
      <c r="Q542" s="11"/>
    </row>
    <row r="543">
      <c r="E543" s="341"/>
      <c r="F543" s="352"/>
      <c r="G543" s="669" t="s">
        <v>330</v>
      </c>
      <c r="H543" s="732" t="str">
        <f>COMPUTE_TIME_MS(H542, H541)</f>
        <v>#N/A</v>
      </c>
      <c r="I543" s="464"/>
      <c r="J543" s="465"/>
      <c r="K543" s="465"/>
      <c r="L543" s="466"/>
      <c r="M543" s="466"/>
      <c r="N543" s="466"/>
      <c r="O543" s="465"/>
      <c r="P543" s="671"/>
      <c r="Q543" s="11"/>
    </row>
    <row r="544">
      <c r="E544" s="341"/>
      <c r="F544" s="731" t="s">
        <v>331</v>
      </c>
      <c r="G544" s="663" t="s">
        <v>332</v>
      </c>
      <c r="H544" s="672">
        <f>IF(Q527,0,P530)+IF(Q531,0,P534)+IF(Q535,0,P538)</f>
        <v>39</v>
      </c>
      <c r="I544" s="454"/>
      <c r="J544" s="454"/>
      <c r="K544" s="454"/>
      <c r="L544" s="455"/>
      <c r="M544" s="455"/>
      <c r="N544" s="455"/>
      <c r="O544" s="454"/>
      <c r="P544" s="468"/>
      <c r="Q544" s="11"/>
    </row>
    <row r="545">
      <c r="E545" s="352"/>
      <c r="F545" s="352"/>
      <c r="G545" s="673" t="s">
        <v>333</v>
      </c>
      <c r="H545" s="733" t="str">
        <f>HBM_TIME_MS(H544)</f>
        <v>#N/A</v>
      </c>
      <c r="I545" s="465"/>
      <c r="J545" s="465"/>
      <c r="K545" s="465"/>
      <c r="L545" s="466"/>
      <c r="M545" s="466"/>
      <c r="N545" s="466"/>
      <c r="O545" s="465"/>
      <c r="P545" s="671"/>
      <c r="Q545" s="11"/>
    </row>
    <row r="546">
      <c r="P546" s="227"/>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row r="1280">
      <c r="P1280" s="227"/>
    </row>
    <row r="1281">
      <c r="P1281" s="227"/>
    </row>
    <row r="1282">
      <c r="P1282" s="227"/>
    </row>
    <row r="1283">
      <c r="P1283" s="227"/>
    </row>
    <row r="1284">
      <c r="P1284" s="227"/>
    </row>
    <row r="1285">
      <c r="P1285" s="227"/>
    </row>
    <row r="1286">
      <c r="P1286" s="227"/>
    </row>
    <row r="1287">
      <c r="P1287" s="227"/>
    </row>
    <row r="1288">
      <c r="P1288" s="227"/>
    </row>
    <row r="1289">
      <c r="P1289" s="227"/>
    </row>
    <row r="1290">
      <c r="P1290" s="227"/>
    </row>
    <row r="1291">
      <c r="P1291" s="227"/>
    </row>
    <row r="1292">
      <c r="P1292" s="227"/>
    </row>
    <row r="1293">
      <c r="P1293" s="227"/>
    </row>
    <row r="1294">
      <c r="P1294" s="227"/>
    </row>
    <row r="1295">
      <c r="P1295" s="227"/>
    </row>
    <row r="1296">
      <c r="P1296" s="227"/>
    </row>
    <row r="1297">
      <c r="P1297" s="227"/>
    </row>
    <row r="1298">
      <c r="P1298" s="227"/>
    </row>
    <row r="1299">
      <c r="P1299" s="227"/>
    </row>
    <row r="1300">
      <c r="P1300" s="227"/>
    </row>
    <row r="1301">
      <c r="P1301" s="227"/>
    </row>
  </sheetData>
  <mergeCells count="223">
    <mergeCell ref="E508:E526"/>
    <mergeCell ref="E527:E545"/>
    <mergeCell ref="E267:E285"/>
    <mergeCell ref="E286:E309"/>
    <mergeCell ref="E310:E333"/>
    <mergeCell ref="E339:E383"/>
    <mergeCell ref="E384:E426"/>
    <mergeCell ref="E427:E456"/>
    <mergeCell ref="E457:E507"/>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482:F498"/>
    <mergeCell ref="F499:F500"/>
    <mergeCell ref="F503:F505"/>
    <mergeCell ref="F506:F507"/>
    <mergeCell ref="F508:G511"/>
    <mergeCell ref="F512:G515"/>
    <mergeCell ref="F516:G519"/>
    <mergeCell ref="F541:F543"/>
    <mergeCell ref="F544:F545"/>
    <mergeCell ref="F520:F521"/>
    <mergeCell ref="F522:F524"/>
    <mergeCell ref="F525:F526"/>
    <mergeCell ref="F527:G530"/>
    <mergeCell ref="F531:G534"/>
    <mergeCell ref="F535:G538"/>
    <mergeCell ref="F539:F540"/>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6:F421"/>
    <mergeCell ref="G401:G403"/>
    <mergeCell ref="G413:G415"/>
    <mergeCell ref="O349:O353"/>
    <mergeCell ref="O362:O366"/>
    <mergeCell ref="O384:O387"/>
    <mergeCell ref="O388:O391"/>
    <mergeCell ref="O392:O395"/>
    <mergeCell ref="O427:O430"/>
    <mergeCell ref="O431:O434"/>
    <mergeCell ref="O527:O530"/>
    <mergeCell ref="O531:O534"/>
    <mergeCell ref="O535:O538"/>
    <mergeCell ref="O435:O438"/>
    <mergeCell ref="O457:O460"/>
    <mergeCell ref="O471:O474"/>
    <mergeCell ref="O483:O486"/>
    <mergeCell ref="O508:O511"/>
    <mergeCell ref="O512:O515"/>
    <mergeCell ref="O516:O519"/>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2:Q515"/>
    <mergeCell ref="Q516:Q519"/>
    <mergeCell ref="Q527:Q530"/>
    <mergeCell ref="Q531:Q534"/>
    <mergeCell ref="Q535:Q538"/>
    <mergeCell ref="Q384:Q387"/>
    <mergeCell ref="Q388:Q391"/>
    <mergeCell ref="Q392:Q395"/>
    <mergeCell ref="Q427:Q430"/>
    <mergeCell ref="Q431:Q434"/>
    <mergeCell ref="Q435:Q438"/>
    <mergeCell ref="Q508:Q511"/>
    <mergeCell ref="F422:F424"/>
    <mergeCell ref="F425:F426"/>
    <mergeCell ref="F427:G430"/>
    <mergeCell ref="F431:G434"/>
    <mergeCell ref="F435:G438"/>
    <mergeCell ref="F439:F451"/>
    <mergeCell ref="F452:F454"/>
    <mergeCell ref="G457:G461"/>
    <mergeCell ref="F455:F456"/>
    <mergeCell ref="F457:F469"/>
    <mergeCell ref="F470:F481"/>
    <mergeCell ref="G471:G475"/>
    <mergeCell ref="G483:G487"/>
    <mergeCell ref="G488:G492"/>
    <mergeCell ref="G493:G497"/>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1:Q403">
    <cfRule type="expression" dxfId="20" priority="3">
      <formula>NE($H$418,$G$401)</formula>
    </cfRule>
  </conditionalFormatting>
  <conditionalFormatting sqref="G404:Q404">
    <cfRule type="expression" dxfId="20" priority="4">
      <formula>NE($H$418,$G$404)</formula>
    </cfRule>
  </conditionalFormatting>
  <conditionalFormatting sqref="G413:Q415">
    <cfRule type="expression" dxfId="20" priority="5">
      <formula>NE($H$418,$G$413)</formula>
    </cfRule>
  </conditionalFormatting>
  <conditionalFormatting sqref="G416:Q416">
    <cfRule type="expression" dxfId="20" priority="6">
      <formula>NE($H$418,$G$416)</formula>
    </cfRule>
  </conditionalFormatting>
  <conditionalFormatting sqref="F482:Q498">
    <cfRule type="expression" dxfId="19" priority="7">
      <formula>NE($F$482,$H$499)</formula>
    </cfRule>
  </conditionalFormatting>
  <conditionalFormatting sqref="F457:Q469">
    <cfRule type="expression" dxfId="19" priority="8">
      <formula>NE($F$457,$H$499)</formula>
    </cfRule>
  </conditionalFormatting>
  <conditionalFormatting sqref="F470:Q481">
    <cfRule type="expression" dxfId="19" priority="9">
      <formula>NE($F$470,$H$499)</formula>
    </cfRule>
  </conditionalFormatting>
  <conditionalFormatting sqref="G440:Q445">
    <cfRule type="expression" dxfId="19" priority="10">
      <formula>NE($G$440,$H$450)</formula>
    </cfRule>
  </conditionalFormatting>
  <conditionalFormatting sqref="G447:Q448">
    <cfRule type="expression" dxfId="19" priority="11">
      <formula>NE($G$447,$H$450)</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1">
    <cfRule type="cellIs" dxfId="23" priority="33" operator="equal">
      <formula>"fp8"</formula>
    </cfRule>
  </conditionalFormatting>
  <conditionalFormatting sqref="O1:O336 O338:O1301">
    <cfRule type="cellIs" dxfId="24" priority="34" operator="equal">
      <formula>"bf16"</formula>
    </cfRule>
  </conditionalFormatting>
  <conditionalFormatting sqref="O1:O336 O338:O1301">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18">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5 O508 O512 O516 O527 O531 O535">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0">
      <formula1>"Option A: AllReduce,Option B: Do not resolve partial sum yet,Option C: No Collectives"</formula1>
    </dataValidation>
    <dataValidation type="list" allowBlank="1" showErrorMessage="1" sqref="F457 F482 H499">
      <formula1>"Option A: Transposed All-To-All,Option B: Reduce-Scatter,Option C: Hierachical RS"</formula1>
    </dataValidation>
    <dataValidation type="list" allowBlank="1" showErrorMessage="1" sqref="F470">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null!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22.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896" t="s">
        <v>168</v>
      </c>
      <c r="B1" s="209"/>
      <c r="C1" s="209"/>
      <c r="D1" s="210"/>
      <c r="E1" s="211"/>
      <c r="F1" s="212"/>
      <c r="G1" s="212"/>
      <c r="H1" s="213"/>
      <c r="I1" s="211"/>
      <c r="J1" s="211"/>
      <c r="K1" s="211"/>
      <c r="L1" s="211"/>
      <c r="M1" s="211"/>
      <c r="N1" s="211"/>
      <c r="O1" s="211"/>
      <c r="P1" s="214"/>
      <c r="Q1" s="215"/>
      <c r="R1" s="211"/>
      <c r="S1" s="211"/>
      <c r="T1" s="215"/>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row>
    <row r="2">
      <c r="A2" s="216" t="s">
        <v>169</v>
      </c>
      <c r="B2" s="216" t="s">
        <v>170</v>
      </c>
      <c r="C2" s="216" t="s">
        <v>171</v>
      </c>
      <c r="D2" s="892"/>
      <c r="E2" s="218"/>
      <c r="F2" s="219" t="s">
        <v>172</v>
      </c>
      <c r="G2" s="219" t="s">
        <v>173</v>
      </c>
      <c r="H2" s="220" t="s">
        <v>174</v>
      </c>
      <c r="I2" s="218"/>
      <c r="J2" s="218"/>
      <c r="K2" s="218"/>
      <c r="L2" s="218"/>
      <c r="M2" s="218"/>
      <c r="N2" s="218"/>
      <c r="O2" s="218"/>
      <c r="P2" s="221"/>
      <c r="Q2" s="222" t="s">
        <v>175</v>
      </c>
      <c r="R2" s="218"/>
      <c r="S2" s="218"/>
      <c r="T2" s="222" t="s">
        <v>176</v>
      </c>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row>
    <row r="3">
      <c r="A3" s="223" t="s">
        <v>177</v>
      </c>
      <c r="B3" s="223" t="s">
        <v>178</v>
      </c>
      <c r="C3" s="223">
        <v>7168.0</v>
      </c>
      <c r="D3" s="893"/>
      <c r="F3" s="219" t="s">
        <v>179</v>
      </c>
      <c r="G3" s="225"/>
      <c r="H3" s="226"/>
      <c r="P3" s="227"/>
      <c r="Q3" s="181" t="s">
        <v>180</v>
      </c>
      <c r="R3" s="181">
        <v>0.5</v>
      </c>
      <c r="T3" s="66" t="str">
        <f t="shared" ref="T3:T7" si="1">U3&amp;","&amp;V3</f>
        <v>fp4,fp4</v>
      </c>
      <c r="U3" s="181" t="s">
        <v>180</v>
      </c>
      <c r="V3" s="181" t="s">
        <v>180</v>
      </c>
      <c r="W3" s="181" t="s">
        <v>180</v>
      </c>
      <c r="AR3" s="228"/>
      <c r="AS3" s="228"/>
      <c r="AT3" s="228"/>
    </row>
    <row r="4">
      <c r="A4" s="223" t="s">
        <v>181</v>
      </c>
      <c r="B4" s="223" t="s">
        <v>182</v>
      </c>
      <c r="C4" s="223">
        <v>2048.0</v>
      </c>
      <c r="D4" s="893"/>
      <c r="F4" s="230" t="s">
        <v>96</v>
      </c>
      <c r="G4" s="225">
        <v>8.0</v>
      </c>
      <c r="H4" s="226"/>
      <c r="P4" s="227"/>
      <c r="Q4" s="181" t="s">
        <v>125</v>
      </c>
      <c r="R4" s="181">
        <v>1.0</v>
      </c>
      <c r="T4" s="66" t="str">
        <f t="shared" si="1"/>
        <v>fp4,fp8</v>
      </c>
      <c r="U4" s="181" t="s">
        <v>180</v>
      </c>
      <c r="V4" s="181" t="s">
        <v>125</v>
      </c>
      <c r="W4" s="181" t="s">
        <v>125</v>
      </c>
    </row>
    <row r="5">
      <c r="A5" s="223" t="s">
        <v>183</v>
      </c>
      <c r="B5" s="223" t="s">
        <v>184</v>
      </c>
      <c r="C5" s="223">
        <v>256.0</v>
      </c>
      <c r="D5" s="893"/>
      <c r="F5" s="230" t="s">
        <v>97</v>
      </c>
      <c r="G5" s="225">
        <v>2.0</v>
      </c>
      <c r="H5" s="226" t="s">
        <v>185</v>
      </c>
      <c r="P5" s="227"/>
      <c r="Q5" s="181" t="s">
        <v>133</v>
      </c>
      <c r="R5" s="181">
        <v>2.0</v>
      </c>
      <c r="T5" s="66" t="str">
        <f t="shared" si="1"/>
        <v>fp4,bf16</v>
      </c>
      <c r="U5" s="181" t="s">
        <v>180</v>
      </c>
      <c r="V5" s="181" t="s">
        <v>133</v>
      </c>
      <c r="W5" s="181" t="s">
        <v>133</v>
      </c>
      <c r="AR5" s="228"/>
      <c r="AS5" s="228"/>
      <c r="AT5" s="228"/>
    </row>
    <row r="6">
      <c r="A6" s="223" t="s">
        <v>186</v>
      </c>
      <c r="B6" s="223" t="s">
        <v>187</v>
      </c>
      <c r="C6" s="223">
        <v>61.0</v>
      </c>
      <c r="D6" s="893"/>
      <c r="F6" s="230" t="s">
        <v>98</v>
      </c>
      <c r="G6" s="225">
        <v>1.0</v>
      </c>
      <c r="H6" s="226"/>
      <c r="P6" s="227"/>
      <c r="T6" s="66" t="str">
        <f t="shared" si="1"/>
        <v>fp8,fp4</v>
      </c>
      <c r="U6" s="181" t="s">
        <v>125</v>
      </c>
      <c r="V6" s="181" t="s">
        <v>180</v>
      </c>
      <c r="W6" s="181" t="s">
        <v>125</v>
      </c>
    </row>
    <row r="7">
      <c r="A7" s="231" t="s">
        <v>188</v>
      </c>
      <c r="B7" s="231" t="s">
        <v>189</v>
      </c>
      <c r="C7" s="231">
        <v>3.0</v>
      </c>
      <c r="D7" s="893"/>
      <c r="F7" s="230" t="s">
        <v>99</v>
      </c>
      <c r="G7" s="225">
        <v>1.0</v>
      </c>
      <c r="H7" s="226" t="s">
        <v>190</v>
      </c>
      <c r="P7" s="227"/>
      <c r="T7" s="66" t="str">
        <f t="shared" si="1"/>
        <v>fp8,fp8</v>
      </c>
      <c r="U7" s="181" t="s">
        <v>125</v>
      </c>
      <c r="V7" s="181" t="s">
        <v>125</v>
      </c>
      <c r="W7" s="181" t="s">
        <v>125</v>
      </c>
      <c r="AR7" s="161"/>
      <c r="AS7" s="161"/>
      <c r="AT7" s="161"/>
    </row>
    <row r="8">
      <c r="A8" s="223" t="s">
        <v>191</v>
      </c>
      <c r="B8" s="223" t="s">
        <v>192</v>
      </c>
      <c r="C8" s="223">
        <v>8.0</v>
      </c>
      <c r="D8" s="893"/>
      <c r="F8" s="219" t="s">
        <v>193</v>
      </c>
      <c r="P8" s="227"/>
      <c r="U8" s="181"/>
      <c r="V8" s="181"/>
      <c r="W8" s="181"/>
      <c r="AB8" s="181"/>
      <c r="AC8" s="181"/>
      <c r="AD8" s="181"/>
      <c r="AE8" s="181"/>
    </row>
    <row r="9">
      <c r="A9" s="232" t="s">
        <v>194</v>
      </c>
      <c r="B9" s="233" t="s">
        <v>195</v>
      </c>
      <c r="C9" s="223">
        <v>1536.0</v>
      </c>
      <c r="D9" s="893"/>
      <c r="F9" s="234" t="s">
        <v>196</v>
      </c>
      <c r="G9" s="235">
        <f>G5*G4</f>
        <v>16</v>
      </c>
      <c r="H9" s="236"/>
      <c r="P9" s="227"/>
      <c r="T9" s="66" t="str">
        <f t="shared" ref="T9:T11" si="2">U9&amp;","&amp;V9</f>
        <v>fp8,bf16</v>
      </c>
      <c r="U9" s="181" t="s">
        <v>125</v>
      </c>
      <c r="V9" s="181" t="s">
        <v>133</v>
      </c>
      <c r="W9" s="181" t="s">
        <v>133</v>
      </c>
      <c r="AB9" s="181"/>
      <c r="AC9" s="181"/>
      <c r="AD9" s="181"/>
      <c r="AE9" s="181"/>
    </row>
    <row r="10">
      <c r="A10" s="232" t="s">
        <v>197</v>
      </c>
      <c r="B10" s="233" t="s">
        <v>198</v>
      </c>
      <c r="C10" s="223">
        <v>512.0</v>
      </c>
      <c r="D10" s="893"/>
      <c r="F10" s="237" t="s">
        <v>199</v>
      </c>
      <c r="G10" s="238">
        <f>PRODUCT(G3:G6)</f>
        <v>16</v>
      </c>
      <c r="H10" s="239"/>
      <c r="P10" s="227"/>
      <c r="T10" s="66" t="str">
        <f t="shared" si="2"/>
        <v>bf16,fp4</v>
      </c>
      <c r="U10" s="181" t="s">
        <v>133</v>
      </c>
      <c r="V10" s="181" t="s">
        <v>180</v>
      </c>
      <c r="W10" s="181" t="s">
        <v>133</v>
      </c>
      <c r="AP10" s="218"/>
      <c r="AQ10" s="218"/>
      <c r="AT10" s="228"/>
    </row>
    <row r="11">
      <c r="A11" s="232" t="s">
        <v>200</v>
      </c>
      <c r="B11" s="233" t="s">
        <v>201</v>
      </c>
      <c r="C11" s="223">
        <v>128.0</v>
      </c>
      <c r="D11" s="893"/>
      <c r="F11" s="237" t="s">
        <v>202</v>
      </c>
      <c r="G11" s="238" t="str">
        <f>$G$10/$H$18</f>
        <v>#N/A</v>
      </c>
      <c r="H11" s="239"/>
      <c r="P11" s="227"/>
      <c r="T11" s="66" t="str">
        <f t="shared" si="2"/>
        <v>bf16,fp8</v>
      </c>
      <c r="U11" s="181" t="s">
        <v>133</v>
      </c>
      <c r="V11" s="181" t="s">
        <v>125</v>
      </c>
      <c r="W11" s="181" t="s">
        <v>133</v>
      </c>
      <c r="AP11" s="222"/>
    </row>
    <row r="12">
      <c r="A12" s="232" t="s">
        <v>203</v>
      </c>
      <c r="B12" s="233" t="s">
        <v>204</v>
      </c>
      <c r="C12" s="223">
        <v>64.0</v>
      </c>
      <c r="D12" s="893"/>
      <c r="L12" s="844" t="s">
        <v>584</v>
      </c>
      <c r="P12" s="227"/>
      <c r="T12" s="66" t="s">
        <v>205</v>
      </c>
      <c r="U12" s="181" t="s">
        <v>133</v>
      </c>
      <c r="V12" s="181" t="s">
        <v>133</v>
      </c>
      <c r="W12" s="181" t="s">
        <v>133</v>
      </c>
      <c r="AP12" s="218"/>
      <c r="AQ12" s="218"/>
      <c r="AT12" s="228"/>
    </row>
    <row r="13">
      <c r="A13" s="223" t="s">
        <v>206</v>
      </c>
      <c r="B13" s="233" t="s">
        <v>207</v>
      </c>
      <c r="C13" s="223">
        <v>128.0</v>
      </c>
      <c r="D13" s="893"/>
    </row>
    <row r="14">
      <c r="A14" s="241" t="s">
        <v>208</v>
      </c>
      <c r="B14" s="242"/>
      <c r="C14" s="242"/>
      <c r="AG14" s="207"/>
      <c r="AH14" s="207"/>
      <c r="AI14" s="161"/>
      <c r="AJ14" s="2"/>
      <c r="AK14" s="2"/>
      <c r="AL14" s="2"/>
      <c r="AM14" s="2"/>
      <c r="AN14" s="161"/>
      <c r="AO14" s="2"/>
      <c r="AP14" s="207"/>
      <c r="AQ14" s="2"/>
      <c r="AR14" s="2"/>
      <c r="AS14" s="161"/>
      <c r="AT14" s="161"/>
    </row>
    <row r="15">
      <c r="A15" s="244" t="s">
        <v>209</v>
      </c>
      <c r="B15" s="244" t="s">
        <v>209</v>
      </c>
      <c r="C15" s="245">
        <f>$C$11+$C$12</f>
        <v>192</v>
      </c>
      <c r="AG15" s="2"/>
      <c r="AH15" s="2"/>
      <c r="AI15" s="161"/>
      <c r="AJ15" s="2"/>
      <c r="AK15" s="2"/>
      <c r="AL15" s="2"/>
      <c r="AM15" s="2"/>
      <c r="AN15" s="161"/>
      <c r="AO15" s="2"/>
      <c r="AP15" s="247"/>
      <c r="AQ15" s="247"/>
      <c r="AR15" s="2"/>
      <c r="AS15" s="161"/>
      <c r="AT15" s="248"/>
    </row>
    <row r="16">
      <c r="A16" s="244" t="s">
        <v>210</v>
      </c>
      <c r="B16" s="244" t="s">
        <v>210</v>
      </c>
      <c r="C16" s="249">
        <f>$C$10+$C$12</f>
        <v>576</v>
      </c>
      <c r="D16" s="893"/>
      <c r="AG16" s="2"/>
      <c r="AH16" s="2"/>
      <c r="AI16" s="161"/>
      <c r="AJ16" s="2"/>
      <c r="AK16" s="2"/>
      <c r="AL16" s="2"/>
      <c r="AM16" s="2"/>
      <c r="AN16" s="161"/>
      <c r="AO16" s="2"/>
      <c r="AP16" s="247"/>
      <c r="AQ16" s="247"/>
      <c r="AR16" s="2"/>
      <c r="AS16" s="161"/>
      <c r="AT16" s="248"/>
    </row>
    <row r="17">
      <c r="A17" s="249" t="s">
        <v>211</v>
      </c>
      <c r="B17" s="249" t="s">
        <v>212</v>
      </c>
      <c r="C17" s="245">
        <f>C8*$C$25</f>
        <v>8</v>
      </c>
      <c r="F17" s="250" t="s">
        <v>213</v>
      </c>
      <c r="G17" s="251" t="s">
        <v>585</v>
      </c>
      <c r="H17" s="251" t="s">
        <v>586</v>
      </c>
      <c r="AG17" s="2"/>
      <c r="AH17" s="2"/>
      <c r="AI17" s="161"/>
      <c r="AJ17" s="2"/>
      <c r="AK17" s="2"/>
      <c r="AL17" s="2"/>
      <c r="AM17" s="2"/>
      <c r="AN17" s="161"/>
      <c r="AO17" s="2"/>
      <c r="AP17" s="247"/>
      <c r="AQ17" s="247"/>
      <c r="AR17" s="2"/>
      <c r="AS17" s="161"/>
      <c r="AT17" s="248"/>
    </row>
    <row r="18">
      <c r="A18" s="252" t="s">
        <v>173</v>
      </c>
      <c r="B18" s="252" t="s">
        <v>214</v>
      </c>
      <c r="C18" s="253">
        <f>$G$10</f>
        <v>16</v>
      </c>
      <c r="F18" s="185" t="str">
        <f t="array" ref="F18:F31">DB!A2:A15</f>
        <v># of TensorCore per Chip</v>
      </c>
      <c r="G18" s="847">
        <v>1.0</v>
      </c>
      <c r="H18" s="254" t="str">
        <f t="array" ref="H18:H31">xlookup($H$17,DB!1:1,DB!2:15) * G18:G31</f>
        <v>#N/A</v>
      </c>
      <c r="AG18" s="2"/>
      <c r="AH18" s="2"/>
      <c r="AI18" s="161"/>
      <c r="AJ18" s="2"/>
      <c r="AK18" s="2"/>
      <c r="AL18" s="2"/>
      <c r="AM18" s="2"/>
      <c r="AN18" s="161"/>
      <c r="AO18" s="2"/>
      <c r="AP18" s="247"/>
      <c r="AQ18" s="2"/>
      <c r="AR18" s="2"/>
      <c r="AS18" s="161"/>
      <c r="AT18" s="161"/>
    </row>
    <row r="19">
      <c r="A19" s="252" t="s">
        <v>215</v>
      </c>
      <c r="B19" s="252" t="s">
        <v>216</v>
      </c>
      <c r="C19" s="253" t="str">
        <f>$G$11</f>
        <v>#N/A</v>
      </c>
      <c r="F19" s="185" t="s">
        <v>217</v>
      </c>
      <c r="G19" s="847">
        <v>1.0</v>
      </c>
      <c r="H19" s="254" t="e">
        <v>#N/A</v>
      </c>
      <c r="AG19" s="2"/>
      <c r="AH19" s="2"/>
      <c r="AI19" s="161"/>
      <c r="AJ19" s="2"/>
      <c r="AK19" s="2"/>
      <c r="AL19" s="2"/>
      <c r="AM19" s="2"/>
      <c r="AN19" s="161"/>
      <c r="AO19" s="2"/>
      <c r="AP19" s="247"/>
      <c r="AQ19" s="2"/>
      <c r="AR19" s="2"/>
      <c r="AS19" s="161"/>
      <c r="AT19" s="161"/>
    </row>
    <row r="20">
      <c r="A20" s="256" t="s">
        <v>587</v>
      </c>
      <c r="B20" s="256" t="s">
        <v>219</v>
      </c>
      <c r="C20" s="257" t="str">
        <f>IFS(C19=8,"2x2x2",C19=4,"2x2",TRUE,NA)</f>
        <v>#N/A</v>
      </c>
      <c r="D20" s="247"/>
      <c r="F20" s="185" t="s">
        <v>220</v>
      </c>
      <c r="G20" s="847">
        <v>1.0</v>
      </c>
      <c r="H20" s="254" t="e">
        <v>#N/A</v>
      </c>
      <c r="AG20" s="2"/>
      <c r="AH20" s="2"/>
      <c r="AI20" s="161"/>
      <c r="AJ20" s="2"/>
      <c r="AK20" s="2"/>
      <c r="AL20" s="2"/>
      <c r="AM20" s="2"/>
      <c r="AN20" s="161"/>
      <c r="AO20" s="2"/>
      <c r="AP20" s="247"/>
      <c r="AQ20" s="2"/>
      <c r="AR20" s="2"/>
      <c r="AS20" s="161"/>
      <c r="AT20" s="161"/>
    </row>
    <row r="21">
      <c r="A21" s="260" t="s">
        <v>588</v>
      </c>
      <c r="B21" s="260" t="s">
        <v>222</v>
      </c>
      <c r="C21" s="849" t="str">
        <f>IFS(C20="2x2x2",12,C20="2x2",4,TRUE,NA())</f>
        <v>#N/A</v>
      </c>
      <c r="D21" s="80"/>
      <c r="F21" s="185" t="s">
        <v>223</v>
      </c>
      <c r="G21" s="847">
        <v>1.0</v>
      </c>
      <c r="H21" s="254" t="e">
        <v>#N/A</v>
      </c>
      <c r="AG21" s="2"/>
      <c r="AH21" s="2"/>
      <c r="AI21" s="161"/>
      <c r="AJ21" s="2"/>
      <c r="AK21" s="2"/>
      <c r="AL21" s="2"/>
      <c r="AM21" s="2"/>
      <c r="AN21" s="161"/>
      <c r="AO21" s="2"/>
      <c r="AP21" s="247"/>
      <c r="AQ21" s="2"/>
      <c r="AR21" s="2"/>
      <c r="AS21" s="161"/>
      <c r="AT21" s="161"/>
    </row>
    <row r="22">
      <c r="A22" s="253"/>
      <c r="B22" s="253"/>
      <c r="C22" s="253"/>
      <c r="F22" s="185" t="s">
        <v>224</v>
      </c>
      <c r="G22" s="847">
        <v>1.0</v>
      </c>
      <c r="H22" s="254" t="e">
        <v>#N/A</v>
      </c>
      <c r="AG22" s="2"/>
      <c r="AH22" s="2"/>
      <c r="AI22" s="161"/>
      <c r="AJ22" s="2"/>
      <c r="AK22" s="2"/>
      <c r="AL22" s="2"/>
      <c r="AM22" s="2"/>
      <c r="AN22" s="161"/>
      <c r="AO22" s="2"/>
      <c r="AP22" s="247"/>
      <c r="AQ22" s="247"/>
      <c r="AR22" s="2"/>
      <c r="AS22" s="161"/>
      <c r="AT22" s="248"/>
    </row>
    <row r="23">
      <c r="A23" s="262" t="s">
        <v>225</v>
      </c>
      <c r="B23" s="263"/>
      <c r="C23" s="264"/>
      <c r="D23" s="893"/>
      <c r="F23" s="185" t="s">
        <v>226</v>
      </c>
      <c r="G23" s="847">
        <v>0.987</v>
      </c>
      <c r="H23" s="266" t="e">
        <v>#N/A</v>
      </c>
      <c r="AG23" s="2"/>
      <c r="AH23" s="2"/>
      <c r="AI23" s="161"/>
      <c r="AJ23" s="2"/>
      <c r="AK23" s="2"/>
      <c r="AL23" s="2"/>
      <c r="AM23" s="2"/>
      <c r="AN23" s="161"/>
      <c r="AO23" s="2"/>
      <c r="AP23" s="247"/>
      <c r="AQ23" s="247"/>
      <c r="AR23" s="2"/>
      <c r="AS23" s="161"/>
      <c r="AT23" s="248"/>
    </row>
    <row r="24">
      <c r="A24" s="249" t="s">
        <v>227</v>
      </c>
      <c r="B24" s="249" t="s">
        <v>228</v>
      </c>
      <c r="C24" s="249" t="s">
        <v>18</v>
      </c>
      <c r="D24" s="893"/>
      <c r="F24" s="185" t="s">
        <v>229</v>
      </c>
      <c r="G24" s="847">
        <v>0.8</v>
      </c>
      <c r="H24" s="266" t="e">
        <v>#N/A</v>
      </c>
      <c r="AG24" s="2"/>
      <c r="AH24" s="2"/>
      <c r="AI24" s="161"/>
      <c r="AJ24" s="2"/>
      <c r="AK24" s="2"/>
      <c r="AL24" s="2"/>
      <c r="AM24" s="2"/>
      <c r="AN24" s="161"/>
      <c r="AO24" s="2"/>
      <c r="AP24" s="247"/>
      <c r="AQ24" s="247"/>
      <c r="AR24" s="2"/>
      <c r="AS24" s="161"/>
      <c r="AT24" s="248"/>
    </row>
    <row r="25">
      <c r="A25" s="267" t="s">
        <v>101</v>
      </c>
      <c r="B25" s="267" t="s">
        <v>102</v>
      </c>
      <c r="C25" s="267">
        <f>IF(C24="Decode", 1, 2048)</f>
        <v>1</v>
      </c>
      <c r="D25" s="893"/>
      <c r="F25" s="185" t="s">
        <v>230</v>
      </c>
      <c r="G25" s="847">
        <v>1.0</v>
      </c>
      <c r="H25" s="254" t="e">
        <v>#N/A</v>
      </c>
      <c r="AG25" s="2"/>
      <c r="AH25" s="2"/>
      <c r="AI25" s="161"/>
      <c r="AJ25" s="248"/>
      <c r="AK25" s="2"/>
      <c r="AL25" s="2"/>
      <c r="AM25" s="2"/>
    </row>
    <row r="26">
      <c r="A26" s="249" t="s">
        <v>103</v>
      </c>
      <c r="B26" s="249" t="s">
        <v>104</v>
      </c>
      <c r="C26" s="249">
        <v>4096.0</v>
      </c>
      <c r="D26" s="181"/>
      <c r="F26" s="185" t="s">
        <v>231</v>
      </c>
      <c r="G26" s="847">
        <v>1.0</v>
      </c>
      <c r="H26" s="254" t="e">
        <v>#N/A</v>
      </c>
      <c r="AG26" s="207"/>
      <c r="AH26" s="207"/>
      <c r="AI26" s="207"/>
      <c r="AK26" s="2"/>
      <c r="AL26" s="2"/>
      <c r="AM26" s="2"/>
      <c r="AN26" s="161"/>
      <c r="AO26" s="2"/>
      <c r="AP26" s="2"/>
      <c r="AQ26" s="2"/>
      <c r="AR26" s="2"/>
      <c r="AS26" s="161"/>
      <c r="AT26" s="161"/>
    </row>
    <row r="27">
      <c r="A27" s="249" t="s">
        <v>105</v>
      </c>
      <c r="B27" s="252" t="s">
        <v>106</v>
      </c>
      <c r="C27" s="252">
        <f>1024+4096</f>
        <v>5120</v>
      </c>
      <c r="D27" s="893"/>
      <c r="F27" s="185" t="s">
        <v>233</v>
      </c>
      <c r="G27" s="847">
        <v>1.0</v>
      </c>
      <c r="H27" s="254" t="e">
        <v>#N/A</v>
      </c>
      <c r="AG27" s="207"/>
      <c r="AH27" s="207"/>
      <c r="AI27" s="207"/>
      <c r="AK27" s="2"/>
      <c r="AL27" s="2"/>
      <c r="AM27" s="2"/>
      <c r="AN27" s="161"/>
      <c r="AO27" s="2"/>
      <c r="AP27" s="2"/>
      <c r="AQ27" s="2"/>
      <c r="AR27" s="2"/>
      <c r="AS27" s="161"/>
      <c r="AT27" s="161"/>
    </row>
    <row r="28">
      <c r="A28" s="249" t="s">
        <v>110</v>
      </c>
      <c r="B28" s="253"/>
      <c r="C28" s="252">
        <v>0.15</v>
      </c>
      <c r="D28" s="893"/>
      <c r="F28" s="185" t="s">
        <v>234</v>
      </c>
      <c r="G28" s="847">
        <v>0.987</v>
      </c>
      <c r="H28" s="271" t="e">
        <v>#N/A</v>
      </c>
      <c r="AG28" s="207"/>
      <c r="AH28" s="207"/>
      <c r="AI28" s="207"/>
      <c r="AL28" s="2"/>
      <c r="AM28" s="2"/>
      <c r="AN28" s="161"/>
      <c r="AO28" s="2"/>
      <c r="AP28" s="2"/>
      <c r="AQ28" s="2"/>
      <c r="AR28" s="2"/>
      <c r="AS28" s="161"/>
      <c r="AT28" s="161"/>
    </row>
    <row r="29">
      <c r="A29" s="249" t="s">
        <v>111</v>
      </c>
      <c r="B29" s="253"/>
      <c r="C29" s="252">
        <v>1.0</v>
      </c>
      <c r="D29" s="893"/>
      <c r="F29" s="185" t="s">
        <v>235</v>
      </c>
      <c r="G29" s="847">
        <v>0.375</v>
      </c>
      <c r="H29" s="254" t="e">
        <v>#N/A</v>
      </c>
      <c r="AB29" s="181"/>
      <c r="AC29" s="181"/>
      <c r="AD29" s="181"/>
      <c r="AE29" s="181"/>
      <c r="AM29" s="222"/>
      <c r="AN29" s="218"/>
      <c r="AO29" s="222"/>
      <c r="AP29" s="222"/>
      <c r="AQ29" s="272"/>
      <c r="AR29" s="222"/>
      <c r="AS29" s="66"/>
    </row>
    <row r="30">
      <c r="A30" s="249" t="s">
        <v>112</v>
      </c>
      <c r="B30" s="252" t="s">
        <v>113</v>
      </c>
      <c r="C30" s="273" t="b">
        <v>1</v>
      </c>
      <c r="D30" s="894"/>
      <c r="F30" s="11" t="s">
        <v>236</v>
      </c>
      <c r="G30" s="858">
        <v>0.8</v>
      </c>
      <c r="H30" s="275" t="e">
        <v>#N/A</v>
      </c>
      <c r="AB30" s="181"/>
      <c r="AC30" s="181"/>
      <c r="AD30" s="181"/>
      <c r="AE30" s="181"/>
      <c r="AM30" s="222"/>
      <c r="AN30" s="218"/>
      <c r="AO30" s="222"/>
      <c r="AP30" s="222"/>
      <c r="AQ30" s="272"/>
      <c r="AR30" s="222"/>
      <c r="AS30" s="66"/>
    </row>
    <row r="31">
      <c r="A31" s="11"/>
      <c r="B31" s="11"/>
      <c r="C31" s="11"/>
      <c r="F31" s="182" t="s">
        <v>237</v>
      </c>
      <c r="G31" s="185">
        <v>1.0</v>
      </c>
      <c r="H31" s="182" t="e">
        <v>#N/A</v>
      </c>
      <c r="AM31" s="222"/>
      <c r="AN31" s="218"/>
      <c r="AO31" s="218"/>
      <c r="AP31" s="218"/>
      <c r="AQ31" s="218"/>
      <c r="AR31" s="222"/>
      <c r="AT31" s="228"/>
    </row>
    <row r="32">
      <c r="A32" s="262" t="s">
        <v>238</v>
      </c>
      <c r="B32" s="263"/>
      <c r="C32" s="264"/>
      <c r="AM32" s="222"/>
      <c r="AN32" s="218"/>
      <c r="AO32" s="218"/>
      <c r="AP32" s="218"/>
      <c r="AQ32" s="218"/>
      <c r="AR32" s="222"/>
      <c r="AT32" s="228"/>
    </row>
    <row r="33">
      <c r="A33" s="249" t="s">
        <v>126</v>
      </c>
      <c r="B33" s="244" t="s">
        <v>127</v>
      </c>
      <c r="C33" s="277" t="s">
        <v>650</v>
      </c>
      <c r="D33" s="278"/>
      <c r="AM33" s="222"/>
      <c r="AN33" s="218"/>
      <c r="AO33" s="218"/>
      <c r="AP33" s="222"/>
      <c r="AQ33" s="222"/>
      <c r="AR33" s="222"/>
    </row>
    <row r="34">
      <c r="A34" s="249" t="s">
        <v>123</v>
      </c>
      <c r="B34" s="252" t="s">
        <v>124</v>
      </c>
      <c r="C34" s="273" t="s">
        <v>125</v>
      </c>
      <c r="D34" s="278"/>
      <c r="AM34" s="222"/>
      <c r="AN34" s="218"/>
      <c r="AO34" s="218"/>
      <c r="AP34" s="222"/>
      <c r="AQ34" s="222"/>
      <c r="AR34" s="222"/>
    </row>
    <row r="35">
      <c r="A35" s="249" t="s">
        <v>131</v>
      </c>
      <c r="B35" s="244" t="s">
        <v>132</v>
      </c>
      <c r="C35" s="273" t="s">
        <v>133</v>
      </c>
      <c r="D35" s="278"/>
      <c r="F35" s="861" t="s">
        <v>590</v>
      </c>
      <c r="G35" s="862"/>
      <c r="AM35" s="222"/>
      <c r="AN35" s="218"/>
      <c r="AO35" s="218"/>
      <c r="AP35" s="222"/>
      <c r="AQ35" s="222"/>
      <c r="AR35" s="222"/>
    </row>
    <row r="36">
      <c r="A36" s="249" t="s">
        <v>134</v>
      </c>
      <c r="B36" s="244" t="s">
        <v>135</v>
      </c>
      <c r="C36" s="273" t="s">
        <v>133</v>
      </c>
      <c r="D36" s="278"/>
      <c r="F36" s="436" t="s">
        <v>592</v>
      </c>
      <c r="G36" s="863" t="s">
        <v>125</v>
      </c>
      <c r="AM36" s="222"/>
      <c r="AN36" s="218"/>
      <c r="AO36" s="218"/>
      <c r="AP36" s="222"/>
      <c r="AQ36" s="222"/>
      <c r="AR36" s="222"/>
    </row>
    <row r="37">
      <c r="A37" s="9" t="s">
        <v>138</v>
      </c>
      <c r="B37" s="244" t="s">
        <v>139</v>
      </c>
      <c r="C37" s="277" t="s">
        <v>651</v>
      </c>
      <c r="D37" s="278"/>
      <c r="F37" s="864" t="s">
        <v>593</v>
      </c>
      <c r="G37" s="863" t="str">
        <f>C34</f>
        <v>fp8</v>
      </c>
      <c r="AM37" s="222"/>
      <c r="AN37" s="218"/>
      <c r="AO37" s="218"/>
      <c r="AP37" s="222"/>
      <c r="AQ37" s="222"/>
      <c r="AR37" s="222"/>
    </row>
    <row r="38">
      <c r="A38" s="249" t="s">
        <v>136</v>
      </c>
      <c r="B38" s="244" t="s">
        <v>137</v>
      </c>
      <c r="C38" s="273" t="s">
        <v>125</v>
      </c>
      <c r="D38" s="278"/>
      <c r="F38" s="865" t="s">
        <v>594</v>
      </c>
      <c r="G38" s="866" t="s">
        <v>595</v>
      </c>
      <c r="AM38" s="222"/>
      <c r="AN38" s="218"/>
      <c r="AO38" s="218"/>
      <c r="AP38" s="222"/>
      <c r="AQ38" s="222"/>
      <c r="AR38" s="222"/>
    </row>
    <row r="39">
      <c r="A39" s="249" t="s">
        <v>140</v>
      </c>
      <c r="B39" s="244" t="s">
        <v>141</v>
      </c>
      <c r="C39" s="273" t="s">
        <v>133</v>
      </c>
      <c r="D39" s="278"/>
      <c r="F39" s="897"/>
      <c r="G39" s="898"/>
      <c r="AM39" s="222"/>
      <c r="AN39" s="218"/>
      <c r="AO39" s="218"/>
      <c r="AP39" s="222"/>
      <c r="AQ39" s="222"/>
      <c r="AR39" s="222"/>
    </row>
    <row r="40">
      <c r="D40" s="278"/>
      <c r="F40" s="867" t="s">
        <v>596</v>
      </c>
      <c r="G40" s="868">
        <f>671*1000000000</f>
        <v>671000000000</v>
      </c>
      <c r="AM40" s="222"/>
      <c r="AN40" s="218"/>
      <c r="AO40" s="218"/>
      <c r="AP40" s="222"/>
      <c r="AQ40" s="222"/>
      <c r="AR40" s="222"/>
    </row>
    <row r="41">
      <c r="A41" s="181"/>
      <c r="B41" s="278"/>
      <c r="C41" s="278"/>
      <c r="D41" s="278"/>
      <c r="F41" s="436" t="s">
        <v>597</v>
      </c>
      <c r="G41" s="869">
        <f>SUM(PRODUCT(L87:M87), PRODUCT(K142:M142), PRODUCT(K166:M166), PRODUCT(L185:M185), PRODUCT(K291:M291), PRODUCT(K315:M315)) * PARAMS("L")</f>
        <v>11413422080</v>
      </c>
      <c r="AM41" s="222"/>
      <c r="AN41" s="218"/>
      <c r="AO41" s="218"/>
      <c r="AP41" s="222"/>
      <c r="AQ41" s="222"/>
      <c r="AR41" s="222"/>
    </row>
    <row r="42" ht="27.0" customHeight="1">
      <c r="A42" s="281" t="s">
        <v>241</v>
      </c>
      <c r="F42" s="867"/>
      <c r="G42" s="870"/>
      <c r="AG42" s="2"/>
      <c r="AH42" s="2"/>
      <c r="AI42" s="2"/>
      <c r="AJ42" s="2"/>
      <c r="AK42" s="2"/>
      <c r="AL42" s="2"/>
      <c r="AM42" s="247"/>
      <c r="AN42" s="247"/>
      <c r="AO42" s="279"/>
      <c r="AP42" s="222"/>
      <c r="AQ42" s="247"/>
      <c r="AR42" s="247"/>
      <c r="AT42" s="280"/>
    </row>
    <row r="43" ht="30.0" customHeight="1">
      <c r="A43" s="250" t="s">
        <v>242</v>
      </c>
      <c r="B43" s="250" t="str">
        <f> "Value (" &amp; H17 &amp; ")"</f>
        <v>Value (GhostFish)</v>
      </c>
      <c r="C43" s="282" t="s">
        <v>591</v>
      </c>
      <c r="F43" s="867" t="s">
        <v>598</v>
      </c>
      <c r="G43" s="870">
        <f>G40-G41</f>
        <v>659586577920</v>
      </c>
      <c r="P43" s="227"/>
      <c r="AG43" s="2"/>
      <c r="AH43" s="2"/>
      <c r="AI43" s="2"/>
      <c r="AJ43" s="2"/>
      <c r="AK43" s="2"/>
      <c r="AL43" s="2"/>
      <c r="AM43" s="247"/>
      <c r="AN43" s="247"/>
      <c r="AO43" s="279"/>
      <c r="AP43" s="222"/>
      <c r="AQ43" s="247"/>
      <c r="AR43" s="247"/>
      <c r="AT43" s="280"/>
    </row>
    <row r="44" ht="15.0" customHeight="1">
      <c r="A44" s="185" t="s">
        <v>76</v>
      </c>
      <c r="B44" s="271">
        <f>$C26*$C25</f>
        <v>4096</v>
      </c>
      <c r="C44" s="182">
        <f>492*8</f>
        <v>3936</v>
      </c>
      <c r="F44" s="436" t="s">
        <v>599</v>
      </c>
      <c r="G44" s="869">
        <f>SUM(P87, P142, P166, P185, P291, P315) * PARAMS(B6) / 1024</f>
        <v>21.25915527</v>
      </c>
      <c r="P44" s="227"/>
      <c r="AG44" s="2"/>
      <c r="AH44" s="2"/>
      <c r="AI44" s="2"/>
      <c r="AJ44" s="2"/>
      <c r="AK44" s="2"/>
      <c r="AL44" s="2"/>
      <c r="AM44" s="247"/>
      <c r="AN44" s="247"/>
      <c r="AO44" s="279"/>
      <c r="AP44" s="222"/>
      <c r="AQ44" s="247"/>
      <c r="AR44" s="247"/>
      <c r="AT44" s="280"/>
    </row>
    <row r="45" ht="15.0" customHeight="1">
      <c r="A45" s="185" t="s">
        <v>243</v>
      </c>
      <c r="B45" s="288">
        <f>G10</f>
        <v>16</v>
      </c>
      <c r="C45" s="9">
        <v>8.0</v>
      </c>
      <c r="F45" s="867" t="s">
        <v>600</v>
      </c>
      <c r="G45" s="870">
        <f>(G43*  SWITCH(G36, "fp32", 4, "bf16", 2, "fp8", 1, "fp4", 0.5)/1024^3 + G44*G10) + (G10-1) * SUM(P514, P533) * (C6-3)/1024</f>
        <v>972.2761512</v>
      </c>
      <c r="P45" s="227"/>
      <c r="AG45" s="2"/>
      <c r="AH45" s="2"/>
      <c r="AI45" s="2"/>
      <c r="AJ45" s="2"/>
      <c r="AK45" s="2"/>
      <c r="AL45" s="2"/>
      <c r="AM45" s="247"/>
      <c r="AN45" s="247"/>
      <c r="AO45" s="279"/>
      <c r="AP45" s="222"/>
      <c r="AQ45" s="247"/>
      <c r="AR45" s="247"/>
      <c r="AT45" s="280"/>
    </row>
    <row r="46" ht="15.0" customHeight="1">
      <c r="A46" s="185" t="s">
        <v>146</v>
      </c>
      <c r="B46" s="289" t="str">
        <f>$G$73/1000 * $C$6</f>
        <v>#N/A</v>
      </c>
      <c r="C46" s="11">
        <f>0.0734</f>
        <v>0.0734</v>
      </c>
      <c r="F46" s="436" t="s">
        <v>601</v>
      </c>
      <c r="G46" s="869">
        <f>G45/G10</f>
        <v>60.76725945</v>
      </c>
      <c r="P46" s="227"/>
      <c r="AG46" s="2"/>
      <c r="AH46" s="2"/>
      <c r="AI46" s="2"/>
      <c r="AJ46" s="2"/>
      <c r="AK46" s="2"/>
      <c r="AL46" s="2"/>
      <c r="AM46" s="247"/>
      <c r="AN46" s="247"/>
      <c r="AO46" s="279"/>
      <c r="AP46" s="222"/>
      <c r="AQ46" s="247"/>
      <c r="AR46" s="247"/>
      <c r="AT46" s="280"/>
    </row>
    <row r="47" ht="15.0" customHeight="1">
      <c r="A47" s="185" t="s">
        <v>147</v>
      </c>
      <c r="B47" s="271" t="str">
        <f>$B$44/$B$46</f>
        <v>#N/A</v>
      </c>
      <c r="C47" s="193">
        <f>492/0.0733 * C45</f>
        <v>53697.13506</v>
      </c>
      <c r="F47" s="867" t="s">
        <v>602</v>
      </c>
      <c r="G47" s="871">
        <v>0.9</v>
      </c>
      <c r="P47" s="227"/>
      <c r="AG47" s="2"/>
      <c r="AH47" s="2"/>
      <c r="AI47" s="2"/>
      <c r="AJ47" s="2"/>
      <c r="AK47" s="2"/>
      <c r="AL47" s="2"/>
      <c r="AM47" s="247"/>
      <c r="AN47" s="247"/>
      <c r="AO47" s="279"/>
      <c r="AP47" s="222"/>
      <c r="AQ47" s="247"/>
      <c r="AR47" s="247"/>
      <c r="AT47" s="280"/>
    </row>
    <row r="48" ht="15.0" customHeight="1">
      <c r="A48" s="185" t="s">
        <v>148</v>
      </c>
      <c r="B48" s="193" t="str">
        <f>B44/(B46*(1+C28))*C29</f>
        <v>#N/A</v>
      </c>
      <c r="C48" s="193"/>
      <c r="F48" s="436" t="s">
        <v>603</v>
      </c>
      <c r="G48" s="869" t="str">
        <f>(((H28 * G47 - G46)*1024^3) * G9) / (PARAMS(B27) * PAD_128(C10+C12) * SWITCH(PARAMS("kv_dtype"), "fp32", 4, "bf16", 2, "fp8", 1, "fp4", 0.5)*PARAMS(B6))</f>
        <v>#N/A</v>
      </c>
      <c r="P48" s="227"/>
      <c r="AG48" s="2"/>
      <c r="AH48" s="2"/>
      <c r="AI48" s="2"/>
      <c r="AJ48" s="2"/>
      <c r="AK48" s="2"/>
      <c r="AL48" s="2"/>
      <c r="AM48" s="247"/>
      <c r="AN48" s="247"/>
      <c r="AO48" s="279"/>
      <c r="AP48" s="222"/>
      <c r="AQ48" s="247"/>
      <c r="AR48" s="247"/>
      <c r="AT48" s="280"/>
    </row>
    <row r="49" ht="15.0" customHeight="1">
      <c r="A49" s="185" t="s">
        <v>149</v>
      </c>
      <c r="B49" s="193" t="str">
        <f>B48/$G$11</f>
        <v>#N/A</v>
      </c>
      <c r="C49" s="193">
        <f>C47/C45</f>
        <v>6712.141883</v>
      </c>
      <c r="P49" s="227"/>
      <c r="AG49" s="2"/>
      <c r="AH49" s="2"/>
      <c r="AI49" s="2"/>
      <c r="AJ49" s="2"/>
      <c r="AK49" s="2"/>
      <c r="AL49" s="2"/>
      <c r="AM49" s="247"/>
      <c r="AN49" s="247"/>
      <c r="AO49" s="279"/>
      <c r="AP49" s="222"/>
      <c r="AQ49" s="247"/>
      <c r="AR49" s="247"/>
      <c r="AT49" s="280"/>
    </row>
    <row r="50" ht="15.0" customHeight="1">
      <c r="A50" s="899" t="s">
        <v>652</v>
      </c>
      <c r="B50" s="900" t="str">
        <f t="shared" ref="B50:C50" si="3">B49/$C$49</f>
        <v>#N/A</v>
      </c>
      <c r="C50" s="900">
        <f t="shared" si="3"/>
        <v>1</v>
      </c>
      <c r="P50" s="227"/>
      <c r="AG50" s="2"/>
      <c r="AH50" s="2"/>
      <c r="AI50" s="2"/>
      <c r="AJ50" s="2"/>
      <c r="AK50" s="2"/>
      <c r="AL50" s="2"/>
      <c r="AM50" s="247"/>
      <c r="AN50" s="247"/>
      <c r="AO50" s="279"/>
      <c r="AP50" s="222"/>
      <c r="AQ50" s="247"/>
      <c r="AR50" s="247"/>
      <c r="AT50" s="280"/>
    </row>
    <row r="51" ht="15.0" customHeight="1">
      <c r="P51" s="227"/>
      <c r="AG51" s="2"/>
      <c r="AH51" s="2"/>
      <c r="AI51" s="2"/>
      <c r="AJ51" s="2"/>
      <c r="AK51" s="2"/>
      <c r="AL51" s="2"/>
      <c r="AM51" s="247"/>
      <c r="AN51" s="247"/>
      <c r="AO51" s="279"/>
      <c r="AP51" s="222"/>
      <c r="AQ51" s="247"/>
      <c r="AR51" s="247"/>
      <c r="AT51" s="280"/>
    </row>
    <row r="52">
      <c r="A52" s="281"/>
      <c r="B52" s="281"/>
      <c r="D52" s="181"/>
      <c r="E52" s="181"/>
      <c r="F52" s="181"/>
      <c r="G52" s="181"/>
      <c r="AM52" s="222"/>
      <c r="AN52" s="218"/>
      <c r="AO52" s="218"/>
      <c r="AP52" s="218"/>
      <c r="AQ52" s="218"/>
      <c r="AR52" s="222"/>
      <c r="AT52" s="280"/>
    </row>
    <row r="53">
      <c r="A53" s="281" t="s">
        <v>244</v>
      </c>
      <c r="B53" s="281"/>
      <c r="D53" s="181"/>
      <c r="E53" s="181"/>
      <c r="F53" s="181"/>
      <c r="G53" s="181"/>
      <c r="AM53" s="222"/>
      <c r="AN53" s="218"/>
      <c r="AO53" s="218"/>
      <c r="AP53" s="218"/>
      <c r="AQ53" s="218"/>
      <c r="AR53" s="222"/>
      <c r="AT53" s="280"/>
    </row>
    <row r="54">
      <c r="A54" s="290" t="s">
        <v>245</v>
      </c>
      <c r="B54" s="290" t="s">
        <v>246</v>
      </c>
      <c r="C54" s="290" t="s">
        <v>247</v>
      </c>
      <c r="D54" s="290" t="s">
        <v>248</v>
      </c>
      <c r="E54" s="290" t="s">
        <v>249</v>
      </c>
      <c r="F54" s="290" t="s">
        <v>250</v>
      </c>
      <c r="G54" s="290" t="s">
        <v>251</v>
      </c>
      <c r="H54" s="290" t="s">
        <v>252</v>
      </c>
      <c r="I54" s="875"/>
      <c r="J54" s="290" t="s">
        <v>604</v>
      </c>
      <c r="K54" s="903" t="s">
        <v>678</v>
      </c>
      <c r="AG54" s="207"/>
      <c r="AH54" s="207"/>
      <c r="AI54" s="2"/>
      <c r="AJ54" s="2"/>
      <c r="AK54" s="2"/>
      <c r="AL54" s="2"/>
      <c r="AM54" s="247"/>
      <c r="AN54" s="279"/>
      <c r="AO54" s="279"/>
      <c r="AP54" s="292"/>
      <c r="AQ54" s="279"/>
      <c r="AR54" s="247"/>
      <c r="AS54" s="66"/>
      <c r="AT54" s="280"/>
    </row>
    <row r="55">
      <c r="A55" s="293" t="s">
        <v>29</v>
      </c>
      <c r="B55" s="294" t="s">
        <v>255</v>
      </c>
      <c r="C55" s="295" t="str">
        <f>$H$136</f>
        <v>#N/A</v>
      </c>
      <c r="D55" s="295" t="str">
        <f>$H$134</f>
        <v>#N/A</v>
      </c>
      <c r="E55" s="296" t="str">
        <f>$H$131</f>
        <v>#N/A</v>
      </c>
      <c r="F55" s="295" t="str">
        <f>$H$129</f>
        <v>#N/A</v>
      </c>
      <c r="G55" s="295" t="str">
        <f t="shared" ref="G55:G70" si="4">IF(K55,max(C55:F55),
max(C55:D55)+max(E55:F55))</f>
        <v>#N/A</v>
      </c>
      <c r="H55" s="297" t="str">
        <f t="shared" ref="H55:H60" si="5">LET(maxtime, MAX(C55:F55),
 IFS(C55=maxtime, "HBM", D55=maxtime, "Compute", E55=maxtime, "ICI Lt", F55=maxtime, "ICI BW"))</f>
        <v>#N/A</v>
      </c>
      <c r="I55" s="808"/>
      <c r="J55" s="876" t="str">
        <f t="shared" ref="J55:J61" si="6">G55/$G$71</f>
        <v>#N/A</v>
      </c>
      <c r="K55" s="904" t="b">
        <v>0</v>
      </c>
      <c r="P55" s="301"/>
      <c r="AG55" s="2"/>
      <c r="AH55" s="2"/>
      <c r="AI55" s="207"/>
      <c r="AJ55" s="2"/>
      <c r="AK55" s="2"/>
      <c r="AL55" s="2"/>
      <c r="AM55" s="247"/>
      <c r="AN55" s="218"/>
      <c r="AO55" s="218"/>
      <c r="AP55" s="218"/>
      <c r="AQ55" s="218"/>
      <c r="AR55" s="247"/>
      <c r="AT55" s="280"/>
    </row>
    <row r="56">
      <c r="A56" s="293" t="s">
        <v>29</v>
      </c>
      <c r="B56" s="294" t="s">
        <v>32</v>
      </c>
      <c r="C56" s="295" t="str">
        <f>$H$160</f>
        <v>#N/A</v>
      </c>
      <c r="D56" s="295" t="str">
        <f>$H$158</f>
        <v>#N/A</v>
      </c>
      <c r="E56" s="297"/>
      <c r="F56" s="295" t="str">
        <f>H155</f>
        <v>#N/A</v>
      </c>
      <c r="G56" s="295" t="str">
        <f t="shared" si="4"/>
        <v>#N/A</v>
      </c>
      <c r="H56" s="297" t="str">
        <f t="shared" si="5"/>
        <v>#N/A</v>
      </c>
      <c r="I56" s="808"/>
      <c r="J56" s="876" t="str">
        <f t="shared" si="6"/>
        <v>#N/A</v>
      </c>
      <c r="K56" s="904" t="b">
        <v>0</v>
      </c>
      <c r="P56" s="227"/>
      <c r="AG56" s="2"/>
      <c r="AH56" s="2"/>
      <c r="AI56" s="2"/>
      <c r="AJ56" s="2"/>
      <c r="AK56" s="2"/>
      <c r="AL56" s="2"/>
      <c r="AM56" s="247"/>
      <c r="AN56" s="247"/>
      <c r="AO56" s="279"/>
      <c r="AP56" s="222"/>
      <c r="AQ56" s="247"/>
      <c r="AR56" s="247"/>
      <c r="AT56" s="280"/>
    </row>
    <row r="57">
      <c r="A57" s="293" t="s">
        <v>29</v>
      </c>
      <c r="B57" s="294" t="s">
        <v>34</v>
      </c>
      <c r="C57" s="295" t="str">
        <f>$H$179</f>
        <v>#N/A</v>
      </c>
      <c r="D57" s="295" t="str">
        <f>$H$177</f>
        <v>#N/A</v>
      </c>
      <c r="E57" s="297"/>
      <c r="F57" s="295"/>
      <c r="G57" s="295" t="str">
        <f t="shared" si="4"/>
        <v>#N/A</v>
      </c>
      <c r="H57" s="297" t="str">
        <f t="shared" si="5"/>
        <v>#N/A</v>
      </c>
      <c r="I57" s="808"/>
      <c r="J57" s="876" t="str">
        <f t="shared" si="6"/>
        <v>#N/A</v>
      </c>
      <c r="K57" s="904" t="b">
        <v>0</v>
      </c>
      <c r="P57" s="227"/>
      <c r="AG57" s="2"/>
      <c r="AH57" s="2"/>
      <c r="AI57" s="2"/>
      <c r="AJ57" s="2"/>
      <c r="AK57" s="2"/>
      <c r="AL57" s="2"/>
      <c r="AM57" s="247"/>
      <c r="AN57" s="218"/>
      <c r="AO57" s="218"/>
      <c r="AP57" s="218"/>
      <c r="AQ57" s="218"/>
      <c r="AR57" s="247"/>
      <c r="AT57" s="280"/>
    </row>
    <row r="58">
      <c r="A58" s="293" t="s">
        <v>29</v>
      </c>
      <c r="B58" s="294" t="s">
        <v>256</v>
      </c>
      <c r="C58" s="295" t="str">
        <f>$H$198</f>
        <v>#N/A</v>
      </c>
      <c r="D58" s="295" t="str">
        <f>$H$196</f>
        <v>#N/A</v>
      </c>
      <c r="E58" s="297"/>
      <c r="F58" s="295"/>
      <c r="G58" s="295" t="str">
        <f t="shared" si="4"/>
        <v>#N/A</v>
      </c>
      <c r="H58" s="297" t="str">
        <f t="shared" si="5"/>
        <v>#N/A</v>
      </c>
      <c r="I58" s="808"/>
      <c r="J58" s="876" t="str">
        <f t="shared" si="6"/>
        <v>#N/A</v>
      </c>
      <c r="K58" s="808" t="b">
        <v>0</v>
      </c>
      <c r="P58" s="227"/>
      <c r="AM58" s="222"/>
      <c r="AO58" s="222"/>
      <c r="AP58" s="222"/>
      <c r="AQ58" s="222"/>
      <c r="AR58" s="247"/>
      <c r="AS58" s="66"/>
      <c r="AT58" s="280"/>
    </row>
    <row r="59">
      <c r="A59" s="293" t="s">
        <v>29</v>
      </c>
      <c r="B59" s="294" t="s">
        <v>257</v>
      </c>
      <c r="C59" s="295"/>
      <c r="D59" s="295"/>
      <c r="E59" s="297"/>
      <c r="F59" s="295">
        <f>$H$228</f>
        <v>0</v>
      </c>
      <c r="G59" s="295">
        <f t="shared" si="4"/>
        <v>0</v>
      </c>
      <c r="H59" s="297" t="str">
        <f t="shared" si="5"/>
        <v>HBM</v>
      </c>
      <c r="I59" s="808"/>
      <c r="J59" s="876" t="str">
        <f t="shared" si="6"/>
        <v>#N/A</v>
      </c>
      <c r="K59" s="808" t="b">
        <v>0</v>
      </c>
      <c r="P59" s="227"/>
      <c r="R59" s="203"/>
      <c r="S59" s="203"/>
      <c r="T59" s="203"/>
      <c r="U59" s="203"/>
      <c r="V59" s="203"/>
      <c r="W59" s="2"/>
      <c r="AM59" s="222"/>
      <c r="AO59" s="218"/>
      <c r="AP59" s="218"/>
      <c r="AQ59" s="218"/>
      <c r="AR59" s="247"/>
      <c r="AT59" s="280"/>
    </row>
    <row r="60">
      <c r="A60" s="293" t="s">
        <v>29</v>
      </c>
      <c r="B60" s="302" t="s">
        <v>258</v>
      </c>
      <c r="C60" s="295" t="str">
        <f t="shared" ref="C60:D60" si="7">SUM(C62:C64)</f>
        <v>#N/A</v>
      </c>
      <c r="D60" s="295" t="str">
        <f t="shared" si="7"/>
        <v>#N/A</v>
      </c>
      <c r="E60" s="297"/>
      <c r="F60" s="295"/>
      <c r="G60" s="295" t="str">
        <f t="shared" si="4"/>
        <v>#N/A</v>
      </c>
      <c r="H60" s="297" t="str">
        <f t="shared" si="5"/>
        <v>#N/A</v>
      </c>
      <c r="I60" s="808"/>
      <c r="J60" s="876" t="str">
        <f t="shared" si="6"/>
        <v>#N/A</v>
      </c>
      <c r="K60" s="808" t="b">
        <v>0</v>
      </c>
      <c r="P60" s="227"/>
      <c r="R60" s="203"/>
      <c r="S60" s="203"/>
      <c r="T60" s="203"/>
      <c r="U60" s="203"/>
      <c r="V60" s="203"/>
      <c r="W60" s="2"/>
      <c r="AM60" s="222"/>
      <c r="AO60" s="218"/>
      <c r="AP60" s="218"/>
      <c r="AQ60" s="218"/>
      <c r="AR60" s="247"/>
      <c r="AT60" s="280"/>
    </row>
    <row r="61">
      <c r="A61" s="293" t="s">
        <v>29</v>
      </c>
      <c r="B61" s="302" t="s">
        <v>259</v>
      </c>
      <c r="C61" s="295"/>
      <c r="D61" s="295"/>
      <c r="E61" s="297"/>
      <c r="F61" s="295"/>
      <c r="G61" s="295">
        <f t="shared" si="4"/>
        <v>0</v>
      </c>
      <c r="H61" s="297"/>
      <c r="I61" s="808"/>
      <c r="J61" s="876" t="str">
        <f t="shared" si="6"/>
        <v>#N/A</v>
      </c>
      <c r="K61" s="808" t="b">
        <v>0</v>
      </c>
      <c r="P61" s="227"/>
      <c r="R61" s="203"/>
      <c r="S61" s="203"/>
      <c r="T61" s="203"/>
      <c r="U61" s="203"/>
      <c r="V61" s="203"/>
      <c r="W61" s="2"/>
      <c r="AM61" s="222"/>
      <c r="AO61" s="218"/>
      <c r="AP61" s="218"/>
      <c r="AQ61" s="218"/>
      <c r="AR61" s="247"/>
      <c r="AT61" s="280"/>
    </row>
    <row r="62">
      <c r="A62" s="293" t="s">
        <v>29</v>
      </c>
      <c r="B62" s="294" t="s">
        <v>714</v>
      </c>
      <c r="C62" s="295" t="str">
        <f>$H$247</f>
        <v>#N/A</v>
      </c>
      <c r="D62" s="295" t="str">
        <f>$H$245</f>
        <v>#N/A</v>
      </c>
      <c r="E62" s="297"/>
      <c r="F62" s="295"/>
      <c r="G62" s="295" t="str">
        <f t="shared" si="4"/>
        <v>#N/A</v>
      </c>
      <c r="H62" s="297" t="str">
        <f t="shared" ref="H62:H70" si="8">LET(maxtime, MAX(C62:F62),
 IFS(C62=maxtime, "HBM", D62=maxtime, "Compute", E62=maxtime, "ICI Lt", F62=maxtime, "ICI BW"))</f>
        <v>#N/A</v>
      </c>
      <c r="I62" s="808"/>
      <c r="J62" s="876"/>
      <c r="K62" s="808" t="b">
        <v>0</v>
      </c>
      <c r="P62" s="227"/>
      <c r="R62" s="203"/>
      <c r="S62" s="203"/>
      <c r="T62" s="203"/>
      <c r="U62" s="203"/>
      <c r="V62" s="203"/>
      <c r="W62" s="2"/>
      <c r="AM62" s="222"/>
      <c r="AO62" s="218"/>
      <c r="AP62" s="218"/>
      <c r="AQ62" s="218"/>
      <c r="AR62" s="247"/>
      <c r="AT62" s="280"/>
    </row>
    <row r="63">
      <c r="A63" s="293" t="s">
        <v>29</v>
      </c>
      <c r="B63" s="294" t="s">
        <v>715</v>
      </c>
      <c r="C63" s="295" t="str">
        <f>$H$266</f>
        <v>#N/A</v>
      </c>
      <c r="D63" s="295" t="str">
        <f>$H$264</f>
        <v>#N/A</v>
      </c>
      <c r="E63" s="297"/>
      <c r="F63" s="295"/>
      <c r="G63" s="295" t="str">
        <f t="shared" si="4"/>
        <v>#N/A</v>
      </c>
      <c r="H63" s="297" t="str">
        <f t="shared" si="8"/>
        <v>#N/A</v>
      </c>
      <c r="I63" s="808"/>
      <c r="J63" s="876"/>
      <c r="K63" s="808" t="b">
        <v>0</v>
      </c>
      <c r="P63" s="227"/>
      <c r="R63" s="303"/>
      <c r="S63" s="303"/>
      <c r="T63" s="303"/>
      <c r="U63" s="303"/>
      <c r="V63" s="303"/>
      <c r="W63" s="2"/>
      <c r="AM63" s="222"/>
      <c r="AN63" s="218"/>
      <c r="AO63" s="222"/>
      <c r="AP63" s="222"/>
      <c r="AQ63" s="218"/>
      <c r="AR63" s="247"/>
      <c r="AT63" s="280"/>
    </row>
    <row r="64">
      <c r="A64" s="293" t="s">
        <v>29</v>
      </c>
      <c r="B64" s="294" t="s">
        <v>716</v>
      </c>
      <c r="C64" s="295" t="str">
        <f>$H$285</f>
        <v>#N/A</v>
      </c>
      <c r="D64" s="295" t="str">
        <f>$H$283</f>
        <v>#N/A</v>
      </c>
      <c r="E64" s="297"/>
      <c r="F64" s="295"/>
      <c r="G64" s="295" t="str">
        <f t="shared" si="4"/>
        <v>#N/A</v>
      </c>
      <c r="H64" s="297" t="str">
        <f t="shared" si="8"/>
        <v>#N/A</v>
      </c>
      <c r="I64" s="808"/>
      <c r="J64" s="876"/>
      <c r="K64" s="808" t="b">
        <v>0</v>
      </c>
      <c r="P64" s="227"/>
      <c r="R64" s="303"/>
      <c r="S64" s="303"/>
      <c r="T64" s="303"/>
      <c r="U64" s="303"/>
      <c r="V64" s="303"/>
      <c r="W64" s="2"/>
      <c r="AM64" s="222"/>
      <c r="AN64" s="218"/>
      <c r="AO64" s="218"/>
      <c r="AP64" s="218"/>
      <c r="AQ64" s="218"/>
      <c r="AR64" s="247"/>
      <c r="AT64" s="280"/>
    </row>
    <row r="65">
      <c r="A65" s="293" t="s">
        <v>29</v>
      </c>
      <c r="B65" s="294" t="s">
        <v>38</v>
      </c>
      <c r="C65" s="295" t="str">
        <f>H309</f>
        <v>#N/A</v>
      </c>
      <c r="D65" s="295" t="str">
        <f>H307</f>
        <v>#N/A</v>
      </c>
      <c r="E65" s="297"/>
      <c r="F65" s="295" t="str">
        <f>H304</f>
        <v>#N/A</v>
      </c>
      <c r="G65" s="295" t="str">
        <f t="shared" si="4"/>
        <v>#N/A</v>
      </c>
      <c r="H65" s="297" t="str">
        <f t="shared" si="8"/>
        <v>#N/A</v>
      </c>
      <c r="I65" s="808"/>
      <c r="J65" s="876" t="str">
        <f t="shared" ref="J65:J71" si="9">G65/$G$71</f>
        <v>#N/A</v>
      </c>
      <c r="K65" s="904" t="b">
        <v>0</v>
      </c>
      <c r="P65" s="227"/>
      <c r="R65" s="303"/>
      <c r="S65" s="303"/>
      <c r="T65" s="303"/>
      <c r="U65" s="303"/>
      <c r="V65" s="303"/>
      <c r="W65" s="304"/>
      <c r="AK65" s="280"/>
      <c r="AM65" s="222"/>
      <c r="AN65" s="218"/>
      <c r="AO65" s="218"/>
      <c r="AP65" s="218"/>
      <c r="AQ65" s="218"/>
      <c r="AR65" s="247"/>
      <c r="AT65" s="280"/>
    </row>
    <row r="66">
      <c r="A66" s="293" t="s">
        <v>29</v>
      </c>
      <c r="B66" s="294" t="s">
        <v>40</v>
      </c>
      <c r="C66" s="295" t="str">
        <f>H333</f>
        <v>#N/A</v>
      </c>
      <c r="D66" s="295" t="str">
        <f>H331</f>
        <v>#N/A</v>
      </c>
      <c r="E66" s="297"/>
      <c r="F66" s="295" t="str">
        <f>$H$328</f>
        <v>#N/A</v>
      </c>
      <c r="G66" s="295" t="str">
        <f t="shared" si="4"/>
        <v>#N/A</v>
      </c>
      <c r="H66" s="297" t="str">
        <f t="shared" si="8"/>
        <v>#N/A</v>
      </c>
      <c r="I66" s="808"/>
      <c r="J66" s="876" t="str">
        <f t="shared" si="9"/>
        <v>#N/A</v>
      </c>
      <c r="K66" s="904" t="b">
        <v>0</v>
      </c>
      <c r="P66" s="227"/>
      <c r="R66" s="303"/>
      <c r="S66" s="303"/>
      <c r="T66" s="303"/>
      <c r="U66" s="305"/>
      <c r="V66" s="305"/>
      <c r="W66" s="2"/>
      <c r="AK66" s="306"/>
      <c r="AL66" s="307"/>
      <c r="AM66" s="247"/>
      <c r="AN66" s="218"/>
      <c r="AO66" s="218"/>
      <c r="AP66" s="218"/>
      <c r="AQ66" s="218"/>
      <c r="AR66" s="247"/>
      <c r="AT66" s="280"/>
    </row>
    <row r="67">
      <c r="A67" s="293" t="s">
        <v>264</v>
      </c>
      <c r="B67" s="308" t="s">
        <v>44</v>
      </c>
      <c r="C67" s="295"/>
      <c r="D67" s="295"/>
      <c r="E67" s="296" t="str">
        <f>$H$383</f>
        <v>#N/A</v>
      </c>
      <c r="F67" s="295" t="str">
        <f>$H$381</f>
        <v>#N/A</v>
      </c>
      <c r="G67" s="295" t="str">
        <f t="shared" si="4"/>
        <v>#N/A</v>
      </c>
      <c r="H67" s="297" t="str">
        <f t="shared" si="8"/>
        <v>#N/A</v>
      </c>
      <c r="I67" s="808"/>
      <c r="J67" s="876" t="str">
        <f t="shared" si="9"/>
        <v>#N/A</v>
      </c>
      <c r="K67" s="904" t="b">
        <v>0</v>
      </c>
      <c r="P67" s="227"/>
      <c r="R67" s="2"/>
      <c r="S67" s="2"/>
      <c r="T67" s="2"/>
      <c r="U67" s="2"/>
      <c r="V67" s="2"/>
      <c r="W67" s="2"/>
      <c r="AM67" s="222"/>
      <c r="AN67" s="218"/>
      <c r="AO67" s="222"/>
      <c r="AP67" s="222"/>
      <c r="AQ67" s="272"/>
      <c r="AR67" s="222"/>
    </row>
    <row r="68">
      <c r="A68" s="293" t="s">
        <v>264</v>
      </c>
      <c r="B68" s="308" t="s">
        <v>46</v>
      </c>
      <c r="C68" s="295" t="str">
        <f>$H$426</f>
        <v>#N/A</v>
      </c>
      <c r="D68" s="295" t="str">
        <f>$H$424</f>
        <v>#N/A</v>
      </c>
      <c r="E68" s="297"/>
      <c r="F68" s="295">
        <f>$H$421</f>
        <v>0</v>
      </c>
      <c r="G68" s="295" t="str">
        <f t="shared" si="4"/>
        <v>#N/A</v>
      </c>
      <c r="H68" s="297" t="str">
        <f t="shared" si="8"/>
        <v>#N/A</v>
      </c>
      <c r="I68" s="808"/>
      <c r="J68" s="876" t="str">
        <f t="shared" si="9"/>
        <v>#N/A</v>
      </c>
      <c r="K68" s="904" t="b">
        <v>0</v>
      </c>
      <c r="P68" s="227"/>
      <c r="R68" s="2"/>
      <c r="S68" s="2"/>
      <c r="T68" s="2"/>
      <c r="U68" s="2"/>
      <c r="V68" s="2"/>
      <c r="W68" s="309"/>
      <c r="AM68" s="222"/>
      <c r="AN68" s="218"/>
      <c r="AO68" s="218"/>
      <c r="AP68" s="218"/>
      <c r="AQ68" s="218"/>
      <c r="AR68" s="222"/>
      <c r="AT68" s="228"/>
    </row>
    <row r="69">
      <c r="A69" s="293" t="s">
        <v>264</v>
      </c>
      <c r="B69" s="308" t="s">
        <v>48</v>
      </c>
      <c r="C69" s="295" t="str">
        <f>$H$456</f>
        <v>#N/A</v>
      </c>
      <c r="D69" s="295" t="str">
        <f>$H$454</f>
        <v>#N/A</v>
      </c>
      <c r="E69" s="297"/>
      <c r="F69" s="295">
        <f>$H$451</f>
        <v>0</v>
      </c>
      <c r="G69" s="295" t="str">
        <f t="shared" si="4"/>
        <v>#N/A</v>
      </c>
      <c r="H69" s="297" t="str">
        <f t="shared" si="8"/>
        <v>#N/A</v>
      </c>
      <c r="I69" s="808"/>
      <c r="J69" s="876" t="str">
        <f t="shared" si="9"/>
        <v>#N/A</v>
      </c>
      <c r="K69" s="904" t="b">
        <v>0</v>
      </c>
      <c r="P69" s="227"/>
      <c r="R69" s="2"/>
      <c r="S69" s="2"/>
      <c r="T69" s="2"/>
      <c r="U69" s="2"/>
      <c r="V69" s="2"/>
      <c r="W69" s="309"/>
      <c r="AM69" s="222"/>
      <c r="AN69" s="218"/>
      <c r="AO69" s="218"/>
      <c r="AP69" s="222"/>
      <c r="AQ69" s="222"/>
      <c r="AR69" s="222"/>
    </row>
    <row r="70">
      <c r="A70" s="293" t="s">
        <v>264</v>
      </c>
      <c r="B70" s="308" t="s">
        <v>52</v>
      </c>
      <c r="C70" s="295"/>
      <c r="D70" s="295"/>
      <c r="E70" s="296" t="str">
        <f>$H$503</f>
        <v>#N/A</v>
      </c>
      <c r="F70" s="295" t="str">
        <f>$H$501</f>
        <v>#N/A</v>
      </c>
      <c r="G70" s="295" t="str">
        <f t="shared" si="4"/>
        <v>#N/A</v>
      </c>
      <c r="H70" s="297" t="str">
        <f t="shared" si="8"/>
        <v>#N/A</v>
      </c>
      <c r="I70" s="808"/>
      <c r="J70" s="876" t="str">
        <f t="shared" si="9"/>
        <v>#N/A</v>
      </c>
      <c r="K70" s="808" t="b">
        <v>0</v>
      </c>
      <c r="P70" s="227"/>
      <c r="AM70" s="222"/>
      <c r="AN70" s="218"/>
      <c r="AO70" s="218"/>
      <c r="AP70" s="218"/>
      <c r="AQ70" s="218"/>
      <c r="AR70" s="222"/>
      <c r="AT70" s="280"/>
    </row>
    <row r="71">
      <c r="A71" s="310"/>
      <c r="B71" s="311"/>
      <c r="C71" s="311"/>
      <c r="D71" s="311"/>
      <c r="E71" s="310" t="s">
        <v>265</v>
      </c>
      <c r="F71" s="312" t="s">
        <v>121</v>
      </c>
      <c r="G71" s="311" t="str">
        <f>SUM(G55:G61,G65:G70)</f>
        <v>#N/A</v>
      </c>
      <c r="H71" s="311"/>
      <c r="I71" s="314"/>
      <c r="J71" s="315" t="str">
        <f t="shared" si="9"/>
        <v>#N/A</v>
      </c>
      <c r="K71" s="904"/>
      <c r="P71" s="227"/>
      <c r="AG71" s="207"/>
      <c r="AH71" s="207"/>
      <c r="AI71" s="2"/>
      <c r="AJ71" s="2"/>
      <c r="AK71" s="2"/>
      <c r="AL71" s="2"/>
      <c r="AM71" s="247"/>
      <c r="AN71" s="279"/>
      <c r="AO71" s="279"/>
      <c r="AP71" s="292"/>
      <c r="AQ71" s="279"/>
      <c r="AR71" s="247"/>
      <c r="AT71" s="280"/>
    </row>
    <row r="72">
      <c r="A72" s="316"/>
      <c r="B72" s="311"/>
      <c r="C72" s="311"/>
      <c r="D72" s="311"/>
      <c r="E72" s="316"/>
      <c r="F72" s="312" t="s">
        <v>266</v>
      </c>
      <c r="G72" s="879" t="str">
        <f>SUM(G55:G61,G65:G66)+MAX(G67:G68)+MAX(G69:G70)</f>
        <v>#N/A</v>
      </c>
      <c r="H72" s="311"/>
      <c r="I72" s="314"/>
      <c r="J72" s="315"/>
      <c r="K72" s="808"/>
      <c r="P72" s="227"/>
      <c r="AG72" s="207"/>
      <c r="AH72" s="207"/>
      <c r="AI72" s="2"/>
      <c r="AJ72" s="2"/>
      <c r="AK72" s="2"/>
      <c r="AL72" s="2"/>
      <c r="AM72" s="247"/>
      <c r="AN72" s="279"/>
      <c r="AO72" s="279"/>
      <c r="AP72" s="292"/>
      <c r="AQ72" s="279"/>
      <c r="AR72" s="247"/>
      <c r="AT72" s="280"/>
    </row>
    <row r="73">
      <c r="A73" s="318" t="s">
        <v>267</v>
      </c>
      <c r="B73" s="319"/>
      <c r="C73" s="319"/>
      <c r="D73" s="319"/>
      <c r="E73" s="318" t="s">
        <v>268</v>
      </c>
      <c r="F73" s="320" t="s">
        <v>121</v>
      </c>
      <c r="G73" s="880" t="str">
        <f>IF(F73=F71,G71,G72)</f>
        <v>#N/A</v>
      </c>
      <c r="H73" s="319"/>
      <c r="I73" s="322"/>
      <c r="J73" s="322"/>
      <c r="K73" s="905"/>
      <c r="P73" s="227"/>
      <c r="AG73" s="2"/>
      <c r="AH73" s="2"/>
      <c r="AI73" s="2"/>
      <c r="AJ73" s="2"/>
      <c r="AK73" s="2"/>
      <c r="AL73" s="2"/>
      <c r="AM73" s="247"/>
      <c r="AN73" s="247"/>
      <c r="AO73" s="279"/>
      <c r="AP73" s="222"/>
      <c r="AQ73" s="247"/>
      <c r="AR73" s="247"/>
      <c r="AT73" s="280"/>
    </row>
    <row r="74" ht="15.0" customHeight="1">
      <c r="P74" s="227"/>
      <c r="AG74" s="2"/>
      <c r="AH74" s="2"/>
      <c r="AI74" s="2"/>
      <c r="AJ74" s="2"/>
      <c r="AK74" s="2"/>
      <c r="AL74" s="2"/>
      <c r="AM74" s="247"/>
      <c r="AN74" s="247"/>
      <c r="AO74" s="279"/>
      <c r="AP74" s="222"/>
      <c r="AQ74" s="247"/>
      <c r="AR74" s="247"/>
      <c r="AT74" s="280"/>
    </row>
    <row r="75">
      <c r="P75" s="227"/>
      <c r="AG75" s="2"/>
      <c r="AH75" s="2"/>
      <c r="AI75" s="2"/>
      <c r="AJ75" s="2"/>
      <c r="AK75" s="2"/>
      <c r="AL75" s="2"/>
      <c r="AM75" s="247"/>
      <c r="AN75" s="247"/>
      <c r="AO75" s="279"/>
      <c r="AP75" s="222"/>
      <c r="AQ75" s="247"/>
      <c r="AR75" s="247"/>
      <c r="AT75" s="280"/>
    </row>
    <row r="76">
      <c r="A76" s="323" t="s">
        <v>269</v>
      </c>
      <c r="E76" s="281" t="s">
        <v>270</v>
      </c>
      <c r="P76" s="227"/>
      <c r="AG76" s="2"/>
      <c r="AH76" s="2"/>
      <c r="AI76" s="2"/>
      <c r="AJ76" s="2"/>
      <c r="AK76" s="2"/>
      <c r="AL76" s="2"/>
      <c r="AM76" s="247"/>
      <c r="AN76" s="218"/>
      <c r="AO76" s="218"/>
      <c r="AP76" s="218"/>
      <c r="AQ76" s="218"/>
      <c r="AR76" s="247"/>
      <c r="AT76" s="280"/>
    </row>
    <row r="77">
      <c r="A77" s="183" t="s">
        <v>271</v>
      </c>
      <c r="B77" s="183" t="s">
        <v>171</v>
      </c>
      <c r="C77" s="183" t="s">
        <v>174</v>
      </c>
      <c r="E77" s="324" t="s">
        <v>272</v>
      </c>
      <c r="F77" s="325" t="s">
        <v>273</v>
      </c>
      <c r="G77" s="326"/>
      <c r="H77" s="327"/>
      <c r="I77" s="325" t="s">
        <v>274</v>
      </c>
      <c r="J77" s="326"/>
      <c r="K77" s="326"/>
      <c r="L77" s="326"/>
      <c r="M77" s="326"/>
      <c r="N77" s="327"/>
      <c r="O77" s="328" t="s">
        <v>275</v>
      </c>
      <c r="P77" s="329" t="s">
        <v>276</v>
      </c>
      <c r="Q77" s="330" t="s">
        <v>277</v>
      </c>
      <c r="AM77" s="222"/>
      <c r="AO77" s="222"/>
      <c r="AP77" s="222"/>
      <c r="AQ77" s="222"/>
      <c r="AR77" s="247"/>
      <c r="AT77" s="280"/>
    </row>
    <row r="78">
      <c r="A78" s="185" t="s">
        <v>278</v>
      </c>
      <c r="B78" s="331">
        <f>SUM(P87,P142,P166,P185,P291,P315) * PARAMS("L") / 1024</f>
        <v>21.25915527</v>
      </c>
      <c r="C78" s="332"/>
      <c r="D78" s="2"/>
      <c r="E78" s="333" t="s">
        <v>279</v>
      </c>
      <c r="F78" s="334" t="s">
        <v>280</v>
      </c>
      <c r="G78" s="335"/>
      <c r="H78" s="336" t="s">
        <v>281</v>
      </c>
      <c r="I78" s="336" t="s">
        <v>282</v>
      </c>
      <c r="J78" s="336"/>
      <c r="K78" s="337" t="s">
        <v>104</v>
      </c>
      <c r="L78" s="337" t="s">
        <v>102</v>
      </c>
      <c r="M78" s="336" t="s">
        <v>178</v>
      </c>
      <c r="N78" s="336" t="s">
        <v>283</v>
      </c>
      <c r="O78" s="338" t="s">
        <v>125</v>
      </c>
      <c r="P78" s="339"/>
      <c r="Q78" s="337"/>
      <c r="AM78" s="222"/>
      <c r="AO78" s="218"/>
      <c r="AP78" s="218"/>
      <c r="AQ78" s="218"/>
      <c r="AR78" s="247"/>
      <c r="AT78" s="280"/>
    </row>
    <row r="79">
      <c r="A79" s="185" t="s">
        <v>284</v>
      </c>
      <c r="B79" s="340">
        <f>SUM($P$341,$P$432) * PARAMS("L") / 1024</f>
        <v>120.09375</v>
      </c>
      <c r="C79" s="11"/>
      <c r="D79" s="2"/>
      <c r="E79" s="341"/>
      <c r="F79" s="342"/>
      <c r="G79" s="343"/>
      <c r="H79" s="344" t="s">
        <v>285</v>
      </c>
      <c r="I79" s="345" t="s">
        <v>282</v>
      </c>
      <c r="J79" s="346"/>
      <c r="K79" s="345">
        <f t="shared" ref="K79:M79" si="10">PARAMS(K78)</f>
        <v>4096</v>
      </c>
      <c r="L79" s="345">
        <f t="shared" si="10"/>
        <v>1</v>
      </c>
      <c r="M79" s="345">
        <f t="shared" si="10"/>
        <v>7168</v>
      </c>
      <c r="N79" s="345" t="s">
        <v>283</v>
      </c>
      <c r="O79" s="347"/>
      <c r="P79" s="348">
        <f>SIZEOF_IN_MIB(J79:M79, $O78)</f>
        <v>28</v>
      </c>
      <c r="Q79" s="344"/>
      <c r="AM79" s="222"/>
      <c r="AN79" s="218"/>
      <c r="AO79" s="222"/>
      <c r="AP79" s="222"/>
      <c r="AQ79" s="218"/>
      <c r="AR79" s="247"/>
      <c r="AT79" s="280"/>
    </row>
    <row r="80">
      <c r="A80" s="9" t="s">
        <v>286</v>
      </c>
      <c r="B80" s="11"/>
      <c r="C80" s="11"/>
      <c r="D80" s="2"/>
      <c r="E80" s="341"/>
      <c r="F80" s="342"/>
      <c r="G80" s="343"/>
      <c r="H80" s="349" t="s">
        <v>287</v>
      </c>
      <c r="I80" s="349" t="s">
        <v>282</v>
      </c>
      <c r="J80" s="336"/>
      <c r="K80" s="337" t="s">
        <v>96</v>
      </c>
      <c r="L80" s="337"/>
      <c r="M80" s="337" t="s">
        <v>97</v>
      </c>
      <c r="N80" s="349" t="s">
        <v>283</v>
      </c>
      <c r="O80" s="350"/>
      <c r="P80" s="351"/>
      <c r="Q80" s="337"/>
      <c r="AM80" s="222"/>
      <c r="AN80" s="218"/>
      <c r="AO80" s="218"/>
      <c r="AP80" s="218"/>
      <c r="AQ80" s="218"/>
      <c r="AR80" s="247"/>
      <c r="AT80" s="280"/>
    </row>
    <row r="81">
      <c r="A81" s="185" t="s">
        <v>288</v>
      </c>
      <c r="B81" s="340">
        <f>SIZEOF_IN_MIB(PARAMS("B")*PARAMS("S")*PARAMS("L")*(PARAMS("c_kv")+PARAMS("h_rope")), PARAMS("kv_dtype"))/1024</f>
        <v>686.25</v>
      </c>
      <c r="C81" s="11"/>
      <c r="D81" s="2"/>
      <c r="E81" s="352"/>
      <c r="F81" s="353"/>
      <c r="G81" s="354"/>
      <c r="H81" s="344" t="s">
        <v>289</v>
      </c>
      <c r="I81" s="346" t="s">
        <v>282</v>
      </c>
      <c r="J81" s="345"/>
      <c r="K81" s="346">
        <f t="shared" ref="K81:M81" si="11">K79/SHARDING(K80)</f>
        <v>512</v>
      </c>
      <c r="L81" s="346">
        <f t="shared" si="11"/>
        <v>1</v>
      </c>
      <c r="M81" s="346">
        <f t="shared" si="11"/>
        <v>3584</v>
      </c>
      <c r="N81" s="346" t="s">
        <v>283</v>
      </c>
      <c r="O81" s="355"/>
      <c r="P81" s="348">
        <f>SIZEOF_IN_MIB(J81:M81, $O78)</f>
        <v>1.75</v>
      </c>
      <c r="Q81" s="344"/>
      <c r="AG81" s="181"/>
      <c r="AK81" s="280"/>
      <c r="AM81" s="222"/>
      <c r="AN81" s="218"/>
      <c r="AO81" s="218"/>
      <c r="AP81" s="218"/>
      <c r="AQ81" s="218"/>
      <c r="AR81" s="247"/>
      <c r="AT81" s="280"/>
    </row>
    <row r="82">
      <c r="A82" s="9" t="s">
        <v>290</v>
      </c>
      <c r="B82" s="356">
        <f>MAX(P87,P106,P134,P158,P177,P196,P245,P264,P283,P304,P347,P396,P469,P489)/1024</f>
        <v>0.0205078125</v>
      </c>
      <c r="C82" s="9"/>
      <c r="D82" s="2"/>
      <c r="E82" s="333" t="s">
        <v>291</v>
      </c>
      <c r="F82" s="357" t="s">
        <v>292</v>
      </c>
      <c r="G82" s="335"/>
      <c r="H82" s="336" t="s">
        <v>281</v>
      </c>
      <c r="I82" s="336" t="s">
        <v>282</v>
      </c>
      <c r="J82" s="336"/>
      <c r="K82" s="337" t="s">
        <v>104</v>
      </c>
      <c r="L82" s="337" t="s">
        <v>102</v>
      </c>
      <c r="M82" s="358" t="s">
        <v>178</v>
      </c>
      <c r="N82" s="336" t="s">
        <v>283</v>
      </c>
      <c r="O82" s="338" t="str">
        <f>EXTRACT_ACTIVATION_DTYPE(PARAMS("attn_proj_dtype"))</f>
        <v>bf16</v>
      </c>
      <c r="P82" s="339"/>
      <c r="Q82" s="338" t="b">
        <v>0</v>
      </c>
      <c r="AG82" s="181"/>
      <c r="AK82" s="306"/>
      <c r="AL82" s="307"/>
      <c r="AM82" s="247"/>
      <c r="AN82" s="218"/>
      <c r="AO82" s="218"/>
      <c r="AP82" s="218"/>
      <c r="AQ82" s="218"/>
      <c r="AR82" s="247"/>
      <c r="AT82" s="280"/>
    </row>
    <row r="83">
      <c r="A83" s="8" t="s">
        <v>293</v>
      </c>
      <c r="B83" s="359">
        <f>SUM(B78:B81)</f>
        <v>827.6029053</v>
      </c>
      <c r="C83" s="8" t="str">
        <f>"&lt;=" &amp; ($H$28 * PARAMS("num_devices")) &amp; " (Capacity)?"</f>
        <v>#N/A</v>
      </c>
      <c r="D83" s="2"/>
      <c r="E83" s="341"/>
      <c r="F83" s="342"/>
      <c r="G83" s="343"/>
      <c r="H83" s="344" t="s">
        <v>285</v>
      </c>
      <c r="I83" s="345" t="s">
        <v>282</v>
      </c>
      <c r="J83" s="346"/>
      <c r="K83" s="345">
        <f t="shared" ref="K83:M83" si="12">PARAMS(K82)</f>
        <v>4096</v>
      </c>
      <c r="L83" s="345">
        <f t="shared" si="12"/>
        <v>1</v>
      </c>
      <c r="M83" s="345">
        <f t="shared" si="12"/>
        <v>7168</v>
      </c>
      <c r="N83" s="345" t="s">
        <v>283</v>
      </c>
      <c r="O83" s="347"/>
      <c r="P83" s="348">
        <f>SIZEOF_IN_MIB(J83:M83, $O82)</f>
        <v>56</v>
      </c>
      <c r="Q83" s="347"/>
      <c r="AG83" s="181"/>
      <c r="AM83" s="2"/>
      <c r="AR83" s="2"/>
    </row>
    <row r="84">
      <c r="A84" s="11"/>
      <c r="B84" s="11"/>
      <c r="C84" s="11"/>
      <c r="D84" s="161"/>
      <c r="E84" s="341"/>
      <c r="F84" s="342"/>
      <c r="G84" s="343"/>
      <c r="H84" s="349" t="s">
        <v>287</v>
      </c>
      <c r="I84" s="349" t="s">
        <v>282</v>
      </c>
      <c r="J84" s="336"/>
      <c r="K84" s="337" t="s">
        <v>96</v>
      </c>
      <c r="L84" s="337"/>
      <c r="M84" s="337" t="s">
        <v>97</v>
      </c>
      <c r="N84" s="349" t="s">
        <v>283</v>
      </c>
      <c r="O84" s="350"/>
      <c r="P84" s="351"/>
      <c r="Q84" s="350"/>
    </row>
    <row r="85">
      <c r="A85" s="185" t="s">
        <v>294</v>
      </c>
      <c r="B85" s="331">
        <f>SUM(P89,P144,P168,P187,P293,P317) * PARAMS("L") / 1024</f>
        <v>11.81726074</v>
      </c>
      <c r="C85" s="332"/>
      <c r="D85" s="161"/>
      <c r="E85" s="341"/>
      <c r="F85" s="353"/>
      <c r="G85" s="354"/>
      <c r="H85" s="344" t="s">
        <v>289</v>
      </c>
      <c r="I85" s="346" t="s">
        <v>282</v>
      </c>
      <c r="J85" s="345"/>
      <c r="K85" s="346">
        <f t="shared" ref="K85:M85" si="13">K83/SHARDING(K84)</f>
        <v>512</v>
      </c>
      <c r="L85" s="346">
        <f t="shared" si="13"/>
        <v>1</v>
      </c>
      <c r="M85" s="346">
        <f t="shared" si="13"/>
        <v>3584</v>
      </c>
      <c r="N85" s="346" t="s">
        <v>283</v>
      </c>
      <c r="O85" s="355"/>
      <c r="P85" s="348">
        <f>SIZEOF_IN_MIB(J85:M85, $O82)</f>
        <v>3.5</v>
      </c>
      <c r="Q85" s="355"/>
      <c r="AG85" s="181"/>
    </row>
    <row r="86">
      <c r="A86" s="185" t="s">
        <v>295</v>
      </c>
      <c r="B86" s="340">
        <f>SUM(P391,P434) * PARAMS("L") / 1024</f>
        <v>20.015625</v>
      </c>
      <c r="C86" s="332"/>
      <c r="D86" s="161"/>
      <c r="E86" s="341"/>
      <c r="F86" s="334" t="s">
        <v>296</v>
      </c>
      <c r="G86" s="335"/>
      <c r="H86" s="349" t="s">
        <v>281</v>
      </c>
      <c r="I86" s="349" t="s">
        <v>282</v>
      </c>
      <c r="J86" s="336"/>
      <c r="K86" s="336"/>
      <c r="L86" s="360" t="s">
        <v>178</v>
      </c>
      <c r="M86" s="337" t="s">
        <v>195</v>
      </c>
      <c r="N86" s="349" t="s">
        <v>283</v>
      </c>
      <c r="O86" s="338" t="str">
        <f>EXTRACT_WEIGHT_DTYPE(PARAMS("attn_proj_dtype"))</f>
        <v>bf16</v>
      </c>
      <c r="P86" s="351"/>
      <c r="Q86" s="338" t="b">
        <v>0</v>
      </c>
      <c r="AP86" s="218"/>
      <c r="AQ86" s="218"/>
      <c r="AT86" s="228"/>
    </row>
    <row r="87">
      <c r="A87" s="9" t="s">
        <v>286</v>
      </c>
      <c r="B87" s="11"/>
      <c r="C87" s="332"/>
      <c r="D87" s="161"/>
      <c r="E87" s="341"/>
      <c r="F87" s="342"/>
      <c r="G87" s="343"/>
      <c r="H87" s="344" t="s">
        <v>285</v>
      </c>
      <c r="I87" s="346" t="s">
        <v>282</v>
      </c>
      <c r="J87" s="345"/>
      <c r="K87" s="345"/>
      <c r="L87" s="346">
        <f t="shared" ref="L87:M87" si="14">PARAMS(L86)</f>
        <v>7168</v>
      </c>
      <c r="M87" s="346">
        <f t="shared" si="14"/>
        <v>1536</v>
      </c>
      <c r="N87" s="346" t="s">
        <v>283</v>
      </c>
      <c r="O87" s="347"/>
      <c r="P87" s="348">
        <f>SIZEOF_IN_MIB(J87:M87, $O86)</f>
        <v>21</v>
      </c>
      <c r="Q87" s="347"/>
      <c r="AP87" s="222"/>
    </row>
    <row r="88">
      <c r="A88" s="185" t="s">
        <v>297</v>
      </c>
      <c r="B88" s="340">
        <f>B81/PARAMS("num_devices")</f>
        <v>42.890625</v>
      </c>
      <c r="C88" s="332"/>
      <c r="D88" s="161"/>
      <c r="E88" s="341"/>
      <c r="F88" s="342"/>
      <c r="G88" s="343"/>
      <c r="H88" s="349" t="s">
        <v>287</v>
      </c>
      <c r="I88" s="349" t="s">
        <v>282</v>
      </c>
      <c r="J88" s="336"/>
      <c r="K88" s="336"/>
      <c r="L88" s="337"/>
      <c r="M88" s="337" t="s">
        <v>97</v>
      </c>
      <c r="N88" s="349" t="s">
        <v>283</v>
      </c>
      <c r="O88" s="350"/>
      <c r="P88" s="351"/>
      <c r="Q88" s="350"/>
      <c r="AP88" s="218"/>
      <c r="AQ88" s="218"/>
      <c r="AT88" s="228"/>
    </row>
    <row r="89">
      <c r="A89" s="185" t="s">
        <v>298</v>
      </c>
      <c r="B89" s="340">
        <f>MAX(P89,P108,P136,P160,P179,P198,P247,P266,P285,P306,P349,P398,P471,P491)/1024</f>
        <v>0.01025390625</v>
      </c>
      <c r="C89" s="332"/>
      <c r="D89" s="161"/>
      <c r="E89" s="341"/>
      <c r="F89" s="353"/>
      <c r="G89" s="354"/>
      <c r="H89" s="346" t="s">
        <v>289</v>
      </c>
      <c r="I89" s="346" t="s">
        <v>282</v>
      </c>
      <c r="J89" s="345"/>
      <c r="K89" s="345"/>
      <c r="L89" s="346">
        <f t="shared" ref="L89:M89" si="15">L87/SHARDING(L88)</f>
        <v>7168</v>
      </c>
      <c r="M89" s="346">
        <f t="shared" si="15"/>
        <v>768</v>
      </c>
      <c r="N89" s="346" t="s">
        <v>283</v>
      </c>
      <c r="O89" s="355"/>
      <c r="P89" s="348">
        <f>SIZEOF_IN_MIB(J89:M89, $O86)</f>
        <v>10.5</v>
      </c>
      <c r="Q89" s="355"/>
    </row>
    <row r="90">
      <c r="A90" s="199" t="s">
        <v>299</v>
      </c>
      <c r="B90" s="361">
        <f>SUM(B85:B88)</f>
        <v>74.72351074</v>
      </c>
      <c r="C90" s="362" t="str">
        <f>"&lt;=" &amp; ($H$28) &amp; " (Capacity)?"</f>
        <v>#N/A</v>
      </c>
      <c r="D90" s="161"/>
      <c r="E90" s="341"/>
      <c r="F90" s="334" t="s">
        <v>56</v>
      </c>
      <c r="G90" s="335"/>
      <c r="H90" s="363" t="s">
        <v>281</v>
      </c>
      <c r="I90" s="363" t="s">
        <v>282</v>
      </c>
      <c r="J90" s="364"/>
      <c r="K90" s="273" t="s">
        <v>104</v>
      </c>
      <c r="L90" s="273" t="s">
        <v>102</v>
      </c>
      <c r="M90" s="273" t="s">
        <v>195</v>
      </c>
      <c r="N90" s="363" t="s">
        <v>283</v>
      </c>
      <c r="O90" s="365" t="s">
        <v>133</v>
      </c>
      <c r="P90" s="366"/>
      <c r="Q90" s="365" t="b">
        <v>0</v>
      </c>
    </row>
    <row r="91">
      <c r="A91" s="161"/>
      <c r="B91" s="161"/>
      <c r="C91" s="161"/>
      <c r="D91" s="161"/>
      <c r="E91" s="341"/>
      <c r="F91" s="342"/>
      <c r="G91" s="343"/>
      <c r="H91" s="273" t="s">
        <v>285</v>
      </c>
      <c r="I91" s="363" t="s">
        <v>282</v>
      </c>
      <c r="J91" s="364"/>
      <c r="K91" s="363">
        <f t="shared" ref="K91:M91" si="16">PARAMS(K90)</f>
        <v>4096</v>
      </c>
      <c r="L91" s="364">
        <f t="shared" si="16"/>
        <v>1</v>
      </c>
      <c r="M91" s="363">
        <f t="shared" si="16"/>
        <v>1536</v>
      </c>
      <c r="N91" s="363" t="s">
        <v>283</v>
      </c>
      <c r="O91" s="341"/>
      <c r="P91" s="366">
        <f>SIZEOF_IN_MIB(K91:M91, $O90)</f>
        <v>12</v>
      </c>
      <c r="Q91" s="341"/>
    </row>
    <row r="92">
      <c r="A92" s="161"/>
      <c r="B92" s="161"/>
      <c r="C92" s="161"/>
      <c r="D92" s="161"/>
      <c r="E92" s="341"/>
      <c r="F92" s="342"/>
      <c r="G92" s="343"/>
      <c r="H92" s="363" t="s">
        <v>287</v>
      </c>
      <c r="I92" s="363" t="s">
        <v>282</v>
      </c>
      <c r="J92" s="364"/>
      <c r="K92" s="273" t="s">
        <v>96</v>
      </c>
      <c r="L92" s="273"/>
      <c r="M92" s="273" t="s">
        <v>97</v>
      </c>
      <c r="N92" s="363" t="s">
        <v>283</v>
      </c>
      <c r="O92" s="341"/>
      <c r="P92" s="366"/>
      <c r="Q92" s="341"/>
    </row>
    <row r="93">
      <c r="A93" s="161"/>
      <c r="B93" s="161"/>
      <c r="C93" s="161"/>
      <c r="D93" s="161"/>
      <c r="E93" s="341"/>
      <c r="F93" s="353"/>
      <c r="G93" s="354"/>
      <c r="H93" s="363" t="s">
        <v>289</v>
      </c>
      <c r="I93" s="363" t="s">
        <v>282</v>
      </c>
      <c r="J93" s="364"/>
      <c r="K93" s="363">
        <f t="shared" ref="K93:M93" si="17">K91/SHARDING(K92)</f>
        <v>512</v>
      </c>
      <c r="L93" s="363">
        <f t="shared" si="17"/>
        <v>1</v>
      </c>
      <c r="M93" s="363">
        <f t="shared" si="17"/>
        <v>768</v>
      </c>
      <c r="N93" s="363" t="s">
        <v>283</v>
      </c>
      <c r="O93" s="352"/>
      <c r="P93" s="366">
        <f>SIZEOF_IN_MIB(K93:M93, $O90)</f>
        <v>0.75</v>
      </c>
      <c r="Q93" s="352"/>
    </row>
    <row r="94">
      <c r="A94" s="161"/>
      <c r="B94" s="161"/>
      <c r="C94" s="161"/>
      <c r="E94" s="341"/>
      <c r="F94" s="370" t="s">
        <v>300</v>
      </c>
      <c r="G94" s="371" t="s">
        <v>301</v>
      </c>
      <c r="H94" s="372" t="s">
        <v>281</v>
      </c>
      <c r="I94" s="364" t="s">
        <v>282</v>
      </c>
      <c r="J94" s="364" t="str">
        <f t="array" ref="J94:M97">J78:M81</f>
        <v/>
      </c>
      <c r="K94" s="273" t="s">
        <v>104</v>
      </c>
      <c r="L94" s="273" t="s">
        <v>102</v>
      </c>
      <c r="M94" s="373" t="s">
        <v>178</v>
      </c>
      <c r="N94" s="364" t="s">
        <v>283</v>
      </c>
      <c r="O94" s="365" t="str">
        <f>O82</f>
        <v>bf16</v>
      </c>
      <c r="P94" s="364"/>
      <c r="Q94" s="365"/>
    </row>
    <row r="95">
      <c r="A95" s="161"/>
      <c r="B95" s="161"/>
      <c r="C95" s="161"/>
      <c r="E95" s="341"/>
      <c r="F95" s="341"/>
      <c r="G95" s="341"/>
      <c r="H95" s="374" t="s">
        <v>285</v>
      </c>
      <c r="I95" s="364" t="s">
        <v>282</v>
      </c>
      <c r="J95" s="363"/>
      <c r="K95" s="364">
        <v>4096.0</v>
      </c>
      <c r="L95" s="364">
        <v>1.0</v>
      </c>
      <c r="M95" s="364">
        <v>7168.0</v>
      </c>
      <c r="N95" s="364" t="s">
        <v>283</v>
      </c>
      <c r="O95" s="341"/>
      <c r="P95" s="375">
        <f>SIZEOF_IN_MIB(J95:M95, O94)</f>
        <v>56</v>
      </c>
      <c r="Q95" s="341"/>
    </row>
    <row r="96">
      <c r="A96" s="161"/>
      <c r="B96" s="161"/>
      <c r="C96" s="161"/>
      <c r="E96" s="341"/>
      <c r="F96" s="341"/>
      <c r="G96" s="341"/>
      <c r="H96" s="374" t="s">
        <v>302</v>
      </c>
      <c r="I96" s="363" t="s">
        <v>282</v>
      </c>
      <c r="J96" s="364"/>
      <c r="K96" s="273" t="s">
        <v>96</v>
      </c>
      <c r="L96" s="273"/>
      <c r="M96" s="273" t="s">
        <v>97</v>
      </c>
      <c r="N96" s="363" t="s">
        <v>283</v>
      </c>
      <c r="O96" s="341"/>
      <c r="P96" s="375"/>
      <c r="Q96" s="341"/>
    </row>
    <row r="97">
      <c r="A97" s="161"/>
      <c r="B97" s="161"/>
      <c r="C97" s="161"/>
      <c r="E97" s="341"/>
      <c r="F97" s="341"/>
      <c r="G97" s="341"/>
      <c r="H97" s="376" t="s">
        <v>303</v>
      </c>
      <c r="I97" s="349" t="s">
        <v>282</v>
      </c>
      <c r="J97" s="336"/>
      <c r="K97" s="349">
        <v>512.0</v>
      </c>
      <c r="L97" s="349">
        <v>1.0</v>
      </c>
      <c r="M97" s="349">
        <v>3584.0</v>
      </c>
      <c r="N97" s="337" t="s">
        <v>283</v>
      </c>
      <c r="O97" s="350"/>
      <c r="P97" s="377">
        <f>SIZEOF_IN_MIB(J97:M97, O94)</f>
        <v>3.5</v>
      </c>
      <c r="Q97" s="350"/>
    </row>
    <row r="98">
      <c r="A98" s="161"/>
      <c r="B98" s="161"/>
      <c r="C98" s="161"/>
      <c r="E98" s="341"/>
      <c r="F98" s="341"/>
      <c r="G98" s="352"/>
      <c r="H98" s="378" t="s">
        <v>304</v>
      </c>
      <c r="I98" s="346" t="s">
        <v>282</v>
      </c>
      <c r="J98" s="345"/>
      <c r="K98" s="344" t="s">
        <v>96</v>
      </c>
      <c r="L98" s="344"/>
      <c r="M98" s="344"/>
      <c r="N98" s="346" t="s">
        <v>283</v>
      </c>
      <c r="O98" s="355"/>
      <c r="P98" s="379"/>
      <c r="Q98" s="355"/>
      <c r="R98" s="2"/>
      <c r="S98" s="2"/>
      <c r="AG98" s="2"/>
      <c r="AH98" s="2"/>
      <c r="AI98" s="2"/>
      <c r="AJ98" s="2"/>
      <c r="AK98" s="2"/>
      <c r="AL98" s="2"/>
      <c r="AM98" s="2"/>
      <c r="AN98" s="2"/>
      <c r="AO98" s="2"/>
      <c r="AP98" s="2"/>
      <c r="AQ98" s="2"/>
      <c r="AR98" s="2"/>
      <c r="AS98" s="2"/>
      <c r="AT98" s="2"/>
    </row>
    <row r="99">
      <c r="A99" s="161"/>
      <c r="B99" s="161"/>
      <c r="C99" s="161"/>
      <c r="E99" s="341"/>
      <c r="F99" s="341"/>
      <c r="G99" s="380" t="s">
        <v>305</v>
      </c>
      <c r="H99" s="381"/>
      <c r="I99" s="382"/>
      <c r="J99" s="382"/>
      <c r="K99" s="382"/>
      <c r="L99" s="383"/>
      <c r="M99" s="383"/>
      <c r="N99" s="383"/>
      <c r="O99" s="382"/>
      <c r="P99" s="384"/>
      <c r="Q99" s="382"/>
      <c r="R99" s="2"/>
      <c r="S99" s="2"/>
      <c r="AG99" s="2"/>
      <c r="AH99" s="2"/>
      <c r="AI99" s="2"/>
      <c r="AJ99" s="2"/>
      <c r="AK99" s="2"/>
      <c r="AL99" s="2"/>
      <c r="AM99" s="2"/>
      <c r="AN99" s="2"/>
      <c r="AO99" s="2"/>
      <c r="AP99" s="2"/>
      <c r="AQ99" s="2"/>
      <c r="AR99" s="2"/>
      <c r="AS99" s="2"/>
      <c r="AT99" s="2"/>
    </row>
    <row r="100">
      <c r="A100" s="161"/>
      <c r="B100" s="161"/>
      <c r="C100" s="161"/>
      <c r="E100" s="341"/>
      <c r="F100" s="341"/>
      <c r="G100" s="385" t="s">
        <v>306</v>
      </c>
      <c r="H100" s="386">
        <f>SHARDING(K96)*SHARDING(L96)*SHARDING(M96)</f>
        <v>16</v>
      </c>
      <c r="I100" s="387"/>
      <c r="J100" s="387"/>
      <c r="K100" s="387"/>
      <c r="L100" s="388"/>
      <c r="M100" s="388"/>
      <c r="N100" s="388"/>
      <c r="O100" s="387"/>
      <c r="P100" s="389"/>
      <c r="Q100" s="387"/>
      <c r="R100" s="2"/>
      <c r="S100" s="2"/>
      <c r="AG100" s="2"/>
      <c r="AH100" s="2"/>
      <c r="AI100" s="2"/>
      <c r="AJ100" s="2"/>
      <c r="AK100" s="2"/>
      <c r="AL100" s="2"/>
      <c r="AM100" s="2"/>
      <c r="AN100" s="2"/>
      <c r="AO100" s="2"/>
      <c r="AP100" s="2"/>
      <c r="AQ100" s="2"/>
      <c r="AR100" s="2"/>
      <c r="AS100" s="2"/>
      <c r="AT100" s="2"/>
    </row>
    <row r="101">
      <c r="A101" s="161"/>
      <c r="B101" s="161"/>
      <c r="C101" s="161"/>
      <c r="E101" s="341"/>
      <c r="F101" s="341"/>
      <c r="G101" s="385" t="s">
        <v>307</v>
      </c>
      <c r="H101" s="390">
        <f>P97 * (H100-1)</f>
        <v>52.5</v>
      </c>
      <c r="I101" s="298"/>
      <c r="J101" s="391"/>
      <c r="K101" s="391"/>
      <c r="L101" s="392"/>
      <c r="M101" s="392"/>
      <c r="N101" s="392"/>
      <c r="O101" s="391"/>
      <c r="P101" s="393"/>
      <c r="Q101" s="391"/>
      <c r="R101" s="2"/>
      <c r="S101" s="2"/>
      <c r="AG101" s="2"/>
      <c r="AH101" s="2"/>
      <c r="AI101" s="2"/>
      <c r="AJ101" s="2"/>
      <c r="AK101" s="2"/>
      <c r="AL101" s="2"/>
      <c r="AM101" s="2"/>
      <c r="AN101" s="2"/>
      <c r="AO101" s="2"/>
      <c r="AP101" s="2"/>
      <c r="AQ101" s="2"/>
      <c r="AR101" s="2"/>
      <c r="AS101" s="2"/>
      <c r="AT101" s="2"/>
    </row>
    <row r="102">
      <c r="A102" s="161"/>
      <c r="B102" s="161"/>
      <c r="C102" s="161"/>
      <c r="E102" s="341"/>
      <c r="F102" s="341"/>
      <c r="G102" s="394" t="s">
        <v>308</v>
      </c>
      <c r="H102" s="395">
        <f>H101*H100</f>
        <v>840</v>
      </c>
      <c r="I102" s="387"/>
      <c r="J102" s="379"/>
      <c r="K102" s="379"/>
      <c r="L102" s="388"/>
      <c r="M102" s="388"/>
      <c r="N102" s="388"/>
      <c r="O102" s="387"/>
      <c r="P102" s="389"/>
      <c r="Q102" s="387"/>
      <c r="R102" s="2"/>
      <c r="S102" s="2"/>
      <c r="AG102" s="2"/>
      <c r="AH102" s="2"/>
      <c r="AI102" s="2"/>
      <c r="AJ102" s="2"/>
      <c r="AK102" s="2"/>
      <c r="AL102" s="2"/>
      <c r="AM102" s="2"/>
      <c r="AN102" s="2"/>
      <c r="AO102" s="2"/>
      <c r="AP102" s="2"/>
      <c r="AQ102" s="2"/>
      <c r="AR102" s="2"/>
      <c r="AS102" s="2"/>
      <c r="AT102" s="2"/>
    </row>
    <row r="103">
      <c r="A103" s="161"/>
      <c r="B103" s="161"/>
      <c r="C103" s="161"/>
      <c r="E103" s="341"/>
      <c r="F103" s="341"/>
      <c r="G103" s="396" t="s">
        <v>309</v>
      </c>
      <c r="H103" s="397" t="str">
        <f>IFS(H100=8,12,
H100=4,4,
H100=2,1,
H100=1,0,
TRUE,NA())</f>
        <v>#N/A</v>
      </c>
      <c r="I103" s="391"/>
      <c r="J103" s="391"/>
      <c r="K103" s="391"/>
      <c r="L103" s="392"/>
      <c r="M103" s="392"/>
      <c r="N103" s="392"/>
      <c r="O103" s="391"/>
      <c r="P103" s="393"/>
      <c r="Q103" s="391"/>
      <c r="R103" s="2"/>
      <c r="S103" s="2"/>
      <c r="AG103" s="2"/>
      <c r="AH103" s="2"/>
      <c r="AI103" s="2"/>
      <c r="AJ103" s="2"/>
      <c r="AK103" s="2"/>
      <c r="AL103" s="2"/>
      <c r="AM103" s="2"/>
      <c r="AN103" s="2"/>
      <c r="AO103" s="2"/>
      <c r="AP103" s="2"/>
      <c r="AQ103" s="2"/>
      <c r="AR103" s="2"/>
      <c r="AS103" s="2"/>
      <c r="AT103" s="2"/>
    </row>
    <row r="104">
      <c r="A104" s="161"/>
      <c r="B104" s="161"/>
      <c r="C104" s="161"/>
      <c r="E104" s="341"/>
      <c r="F104" s="341"/>
      <c r="G104" s="9" t="s">
        <v>310</v>
      </c>
      <c r="H104" s="398">
        <v>1.0</v>
      </c>
      <c r="I104" s="399"/>
      <c r="J104" s="399"/>
      <c r="K104" s="399"/>
      <c r="L104" s="400"/>
      <c r="M104" s="400"/>
      <c r="N104" s="400"/>
      <c r="O104" s="399"/>
      <c r="P104" s="401"/>
      <c r="Q104" s="399"/>
      <c r="R104" s="2"/>
      <c r="S104" s="2"/>
      <c r="AG104" s="2"/>
      <c r="AH104" s="2"/>
      <c r="AI104" s="2"/>
      <c r="AJ104" s="2"/>
      <c r="AK104" s="2"/>
      <c r="AL104" s="2"/>
      <c r="AM104" s="2"/>
      <c r="AN104" s="2"/>
      <c r="AO104" s="2"/>
      <c r="AP104" s="2"/>
      <c r="AQ104" s="2"/>
      <c r="AR104" s="2"/>
      <c r="AS104" s="2"/>
      <c r="AT104" s="2"/>
    </row>
    <row r="105">
      <c r="A105" s="161"/>
      <c r="B105" s="161"/>
      <c r="C105" s="161"/>
      <c r="E105" s="341"/>
      <c r="F105" s="341"/>
      <c r="G105" s="402" t="s">
        <v>311</v>
      </c>
      <c r="H105" s="403" t="str">
        <f>ALL_GATHER_CHIP2CHIP_TIME_MS2(H102 * H104, H103)</f>
        <v>#N/A</v>
      </c>
      <c r="I105" s="404"/>
      <c r="J105" s="404"/>
      <c r="K105" s="404"/>
      <c r="L105" s="405"/>
      <c r="M105" s="405"/>
      <c r="N105" s="405"/>
      <c r="O105" s="404"/>
      <c r="P105" s="406"/>
      <c r="Q105" s="404"/>
      <c r="R105" s="2"/>
      <c r="S105" s="2"/>
      <c r="AG105" s="2"/>
      <c r="AH105" s="2"/>
      <c r="AI105" s="2"/>
      <c r="AJ105" s="2"/>
      <c r="AK105" s="2"/>
      <c r="AL105" s="2"/>
      <c r="AM105" s="2"/>
      <c r="AN105" s="2"/>
      <c r="AO105" s="2"/>
      <c r="AP105" s="2"/>
      <c r="AQ105" s="2"/>
      <c r="AR105" s="2"/>
      <c r="AS105" s="2"/>
      <c r="AT105" s="2"/>
    </row>
    <row r="106">
      <c r="A106" s="161"/>
      <c r="B106" s="161"/>
      <c r="C106" s="161"/>
      <c r="E106" s="341"/>
      <c r="F106" s="341"/>
      <c r="G106" s="394"/>
      <c r="H106" s="407"/>
      <c r="I106" s="399"/>
      <c r="J106" s="399"/>
      <c r="K106" s="399"/>
      <c r="L106" s="400"/>
      <c r="M106" s="400"/>
      <c r="N106" s="400"/>
      <c r="O106" s="399"/>
      <c r="P106" s="401"/>
      <c r="Q106" s="399"/>
      <c r="R106" s="2"/>
      <c r="S106" s="2"/>
      <c r="AG106" s="2"/>
      <c r="AH106" s="2"/>
      <c r="AI106" s="2"/>
      <c r="AJ106" s="2"/>
      <c r="AK106" s="2"/>
      <c r="AL106" s="2"/>
      <c r="AM106" s="2"/>
      <c r="AN106" s="2"/>
      <c r="AO106" s="2"/>
      <c r="AP106" s="2"/>
      <c r="AQ106" s="2"/>
      <c r="AR106" s="2"/>
      <c r="AS106" s="2"/>
      <c r="AT106" s="2"/>
    </row>
    <row r="107">
      <c r="A107" s="161"/>
      <c r="B107" s="161"/>
      <c r="C107" s="161"/>
      <c r="E107" s="341"/>
      <c r="F107" s="341"/>
      <c r="G107" s="380" t="s">
        <v>312</v>
      </c>
      <c r="H107" s="381"/>
      <c r="I107" s="382"/>
      <c r="J107" s="382"/>
      <c r="K107" s="382"/>
      <c r="L107" s="383"/>
      <c r="M107" s="383"/>
      <c r="N107" s="383"/>
      <c r="O107" s="382"/>
      <c r="P107" s="384"/>
      <c r="Q107" s="382"/>
      <c r="R107" s="2"/>
      <c r="S107" s="2"/>
      <c r="AG107" s="2"/>
      <c r="AH107" s="2"/>
      <c r="AI107" s="2"/>
      <c r="AJ107" s="2"/>
      <c r="AK107" s="2"/>
      <c r="AL107" s="2"/>
      <c r="AM107" s="2"/>
      <c r="AN107" s="2"/>
      <c r="AO107" s="2"/>
      <c r="AP107" s="2"/>
      <c r="AQ107" s="2"/>
      <c r="AR107" s="2"/>
      <c r="AS107" s="2"/>
      <c r="AT107" s="2"/>
    </row>
    <row r="108">
      <c r="A108" s="161"/>
      <c r="B108" s="161"/>
      <c r="C108" s="161"/>
      <c r="E108" s="341"/>
      <c r="F108" s="341"/>
      <c r="G108" s="408" t="s">
        <v>313</v>
      </c>
      <c r="H108" s="409" t="s">
        <v>306</v>
      </c>
      <c r="I108" s="379"/>
      <c r="J108" s="410" t="str">
        <f>SHARDING(K96)*SHARDING(L96)*SHARDING(M96)/HW_SPEC("# of TensorCore per Chip")</f>
        <v>#N/A</v>
      </c>
      <c r="K108" s="399"/>
      <c r="L108" s="400"/>
      <c r="M108" s="400"/>
      <c r="N108" s="400"/>
      <c r="O108" s="399"/>
      <c r="P108" s="401"/>
      <c r="Q108" s="399"/>
      <c r="R108" s="2"/>
      <c r="S108" s="2"/>
      <c r="AG108" s="2"/>
      <c r="AH108" s="2"/>
      <c r="AI108" s="2"/>
      <c r="AJ108" s="2"/>
      <c r="AK108" s="2"/>
      <c r="AL108" s="2"/>
      <c r="AM108" s="2"/>
      <c r="AN108" s="2"/>
      <c r="AO108" s="2"/>
      <c r="AP108" s="2"/>
      <c r="AQ108" s="2"/>
      <c r="AR108" s="2"/>
      <c r="AS108" s="2"/>
      <c r="AT108" s="2"/>
    </row>
    <row r="109">
      <c r="A109" s="161"/>
      <c r="B109" s="161"/>
      <c r="C109" s="161"/>
      <c r="E109" s="341"/>
      <c r="F109" s="341"/>
      <c r="G109" s="341"/>
      <c r="H109" s="385" t="s">
        <v>307</v>
      </c>
      <c r="I109" s="11"/>
      <c r="J109" s="411" t="str">
        <f>P97 * HW_SPEC("# of TensorCore per Chip") * (J108-1)</f>
        <v>#N/A</v>
      </c>
      <c r="K109" s="412"/>
      <c r="L109" s="413"/>
      <c r="M109" s="413"/>
      <c r="N109" s="413"/>
      <c r="O109" s="412"/>
      <c r="P109" s="414"/>
      <c r="Q109" s="412"/>
      <c r="R109" s="2"/>
      <c r="S109" s="2"/>
      <c r="AG109" s="2"/>
      <c r="AH109" s="2"/>
      <c r="AI109" s="2"/>
      <c r="AJ109" s="2"/>
      <c r="AK109" s="2"/>
      <c r="AL109" s="2"/>
      <c r="AM109" s="2"/>
      <c r="AN109" s="2"/>
      <c r="AO109" s="2"/>
      <c r="AP109" s="2"/>
      <c r="AQ109" s="2"/>
      <c r="AR109" s="2"/>
      <c r="AS109" s="2"/>
      <c r="AT109" s="2"/>
    </row>
    <row r="110">
      <c r="A110" s="161"/>
      <c r="B110" s="161"/>
      <c r="C110" s="161"/>
      <c r="E110" s="341"/>
      <c r="F110" s="341"/>
      <c r="G110" s="341"/>
      <c r="H110" s="394" t="s">
        <v>308</v>
      </c>
      <c r="I110" s="11"/>
      <c r="J110" s="411" t="str">
        <f>J109*J108</f>
        <v>#N/A</v>
      </c>
      <c r="K110" s="412"/>
      <c r="L110" s="413"/>
      <c r="M110" s="413"/>
      <c r="N110" s="413"/>
      <c r="O110" s="412"/>
      <c r="P110" s="414"/>
      <c r="Q110" s="412"/>
      <c r="R110" s="2"/>
      <c r="S110" s="2"/>
      <c r="AG110" s="2"/>
      <c r="AH110" s="2"/>
      <c r="AI110" s="2"/>
      <c r="AJ110" s="2"/>
      <c r="AK110" s="2"/>
      <c r="AL110" s="2"/>
      <c r="AM110" s="2"/>
      <c r="AN110" s="2"/>
      <c r="AO110" s="2"/>
      <c r="AP110" s="2"/>
      <c r="AQ110" s="2"/>
      <c r="AR110" s="2"/>
      <c r="AS110" s="2"/>
      <c r="AT110" s="2"/>
    </row>
    <row r="111">
      <c r="A111" s="161"/>
      <c r="B111" s="161"/>
      <c r="C111" s="161"/>
      <c r="E111" s="341"/>
      <c r="F111" s="341"/>
      <c r="G111" s="341"/>
      <c r="H111" s="396" t="s">
        <v>309</v>
      </c>
      <c r="I111" s="11"/>
      <c r="J111" s="415" t="str">
        <f>IFS(J108=8,12,
J108=4,4,
J108=2,1,
J108=1,0,
TRUE,NA())</f>
        <v>#N/A</v>
      </c>
      <c r="K111" s="412"/>
      <c r="L111" s="413"/>
      <c r="M111" s="413"/>
      <c r="N111" s="413"/>
      <c r="O111" s="412"/>
      <c r="P111" s="414"/>
      <c r="Q111" s="412"/>
      <c r="R111" s="2"/>
      <c r="S111" s="2"/>
      <c r="AG111" s="2"/>
      <c r="AH111" s="2"/>
      <c r="AI111" s="2"/>
      <c r="AJ111" s="2"/>
      <c r="AK111" s="2"/>
      <c r="AL111" s="2"/>
      <c r="AM111" s="2"/>
      <c r="AN111" s="2"/>
      <c r="AO111" s="2"/>
      <c r="AP111" s="2"/>
      <c r="AQ111" s="2"/>
      <c r="AR111" s="2"/>
      <c r="AS111" s="2"/>
      <c r="AT111" s="2"/>
    </row>
    <row r="112">
      <c r="A112" s="161"/>
      <c r="B112" s="161"/>
      <c r="C112" s="161"/>
      <c r="E112" s="341"/>
      <c r="F112" s="341"/>
      <c r="G112" s="341"/>
      <c r="H112" s="9" t="s">
        <v>310</v>
      </c>
      <c r="I112" s="11"/>
      <c r="J112" s="416">
        <v>2.0</v>
      </c>
      <c r="K112" s="412"/>
      <c r="L112" s="413"/>
      <c r="M112" s="413"/>
      <c r="N112" s="413"/>
      <c r="O112" s="412"/>
      <c r="P112" s="414"/>
      <c r="Q112" s="412"/>
      <c r="R112" s="2"/>
      <c r="S112" s="2"/>
      <c r="AG112" s="2"/>
      <c r="AH112" s="2"/>
      <c r="AI112" s="2"/>
      <c r="AJ112" s="2"/>
      <c r="AK112" s="2"/>
      <c r="AL112" s="2"/>
      <c r="AM112" s="2"/>
      <c r="AN112" s="2"/>
      <c r="AO112" s="2"/>
      <c r="AP112" s="2"/>
      <c r="AQ112" s="2"/>
      <c r="AR112" s="2"/>
      <c r="AS112" s="2"/>
      <c r="AT112" s="2"/>
    </row>
    <row r="113">
      <c r="A113" s="161"/>
      <c r="B113" s="161"/>
      <c r="C113" s="161"/>
      <c r="E113" s="341"/>
      <c r="F113" s="341"/>
      <c r="G113" s="352"/>
      <c r="H113" s="385" t="s">
        <v>311</v>
      </c>
      <c r="I113" s="11"/>
      <c r="J113" s="417" t="str">
        <f>ALL_GATHER_CHIP2CHIP_TIME_MS2(J110 * J112, J111)</f>
        <v>#N/A</v>
      </c>
      <c r="K113" s="412"/>
      <c r="L113" s="413"/>
      <c r="M113" s="413"/>
      <c r="N113" s="413"/>
      <c r="O113" s="412"/>
      <c r="P113" s="414"/>
      <c r="Q113" s="412"/>
      <c r="R113" s="2"/>
      <c r="S113" s="2"/>
      <c r="AG113" s="2"/>
      <c r="AH113" s="2"/>
      <c r="AI113" s="2"/>
      <c r="AJ113" s="2"/>
      <c r="AK113" s="2"/>
      <c r="AL113" s="2"/>
      <c r="AM113" s="2"/>
      <c r="AN113" s="2"/>
      <c r="AO113" s="2"/>
      <c r="AP113" s="2"/>
      <c r="AQ113" s="2"/>
      <c r="AR113" s="2"/>
      <c r="AS113" s="2"/>
      <c r="AT113" s="2"/>
    </row>
    <row r="114">
      <c r="A114" s="161"/>
      <c r="B114" s="161"/>
      <c r="C114" s="161"/>
      <c r="E114" s="341"/>
      <c r="F114" s="341"/>
      <c r="G114" s="408" t="s">
        <v>314</v>
      </c>
      <c r="H114" s="396" t="s">
        <v>306</v>
      </c>
      <c r="I114" s="418"/>
      <c r="J114" s="419" t="str">
        <f>HW_SPEC("# of TensorCore per Chip")</f>
        <v>#N/A</v>
      </c>
      <c r="K114" s="412"/>
      <c r="L114" s="413"/>
      <c r="M114" s="413"/>
      <c r="N114" s="413"/>
      <c r="O114" s="412"/>
      <c r="P114" s="414"/>
      <c r="Q114" s="412"/>
      <c r="R114" s="2"/>
      <c r="S114" s="2"/>
      <c r="AG114" s="2"/>
      <c r="AH114" s="2"/>
      <c r="AI114" s="2"/>
      <c r="AJ114" s="2"/>
      <c r="AK114" s="2"/>
      <c r="AL114" s="2"/>
      <c r="AM114" s="2"/>
      <c r="AN114" s="2"/>
      <c r="AO114" s="2"/>
      <c r="AP114" s="2"/>
      <c r="AQ114" s="2"/>
      <c r="AR114" s="2"/>
      <c r="AS114" s="2"/>
      <c r="AT114" s="2"/>
    </row>
    <row r="115">
      <c r="A115" s="161"/>
      <c r="B115" s="161"/>
      <c r="C115" s="161"/>
      <c r="E115" s="341"/>
      <c r="F115" s="341"/>
      <c r="G115" s="341"/>
      <c r="H115" s="396" t="s">
        <v>307</v>
      </c>
      <c r="I115" s="418"/>
      <c r="J115" s="411" t="str">
        <f>P81 / J114 * (J114-1)</f>
        <v>#N/A</v>
      </c>
      <c r="K115" s="412"/>
      <c r="L115" s="413"/>
      <c r="M115" s="413"/>
      <c r="N115" s="413"/>
      <c r="O115" s="412"/>
      <c r="P115" s="414"/>
      <c r="Q115" s="412"/>
      <c r="R115" s="2"/>
      <c r="S115" s="2"/>
      <c r="AG115" s="2"/>
      <c r="AH115" s="2"/>
      <c r="AI115" s="2"/>
      <c r="AJ115" s="2"/>
      <c r="AK115" s="2"/>
      <c r="AL115" s="2"/>
      <c r="AM115" s="2"/>
      <c r="AN115" s="2"/>
      <c r="AO115" s="2"/>
      <c r="AP115" s="2"/>
      <c r="AQ115" s="2"/>
      <c r="AR115" s="2"/>
      <c r="AS115" s="2"/>
      <c r="AT115" s="2"/>
    </row>
    <row r="116">
      <c r="A116" s="161"/>
      <c r="B116" s="161"/>
      <c r="C116" s="161"/>
      <c r="E116" s="341"/>
      <c r="F116" s="341"/>
      <c r="G116" s="341"/>
      <c r="H116" s="396" t="s">
        <v>308</v>
      </c>
      <c r="I116" s="418"/>
      <c r="J116" s="411" t="str">
        <f>J115*J114</f>
        <v>#N/A</v>
      </c>
      <c r="K116" s="412"/>
      <c r="L116" s="413"/>
      <c r="M116" s="413"/>
      <c r="N116" s="413"/>
      <c r="O116" s="412"/>
      <c r="P116" s="414"/>
      <c r="Q116" s="412"/>
      <c r="R116" s="420"/>
      <c r="S116" s="420"/>
      <c r="AG116" s="2"/>
      <c r="AH116" s="2"/>
      <c r="AI116" s="2"/>
      <c r="AJ116" s="2"/>
      <c r="AK116" s="2"/>
      <c r="AL116" s="2"/>
      <c r="AM116" s="2"/>
      <c r="AN116" s="2"/>
      <c r="AO116" s="2"/>
      <c r="AP116" s="2"/>
      <c r="AQ116" s="2"/>
      <c r="AR116" s="2"/>
      <c r="AS116" s="2"/>
      <c r="AT116" s="2"/>
    </row>
    <row r="117">
      <c r="A117" s="161"/>
      <c r="B117" s="161"/>
      <c r="C117" s="161"/>
      <c r="E117" s="341"/>
      <c r="F117" s="341"/>
      <c r="G117" s="341"/>
      <c r="H117" s="396" t="s">
        <v>311</v>
      </c>
      <c r="I117" s="418"/>
      <c r="J117" s="421" t="str">
        <f>ALL_GATHER_CORE2CORE_TIME_MS(J116)</f>
        <v>#N/A</v>
      </c>
      <c r="K117" s="412"/>
      <c r="L117" s="413"/>
      <c r="M117" s="413"/>
      <c r="N117" s="413"/>
      <c r="O117" s="412"/>
      <c r="P117" s="414"/>
      <c r="Q117" s="412"/>
      <c r="R117" s="420"/>
      <c r="S117" s="420"/>
      <c r="AG117" s="2"/>
      <c r="AH117" s="2"/>
      <c r="AI117" s="2"/>
      <c r="AJ117" s="2"/>
      <c r="AK117" s="2"/>
      <c r="AL117" s="2"/>
      <c r="AM117" s="2"/>
      <c r="AN117" s="2"/>
      <c r="AO117" s="2"/>
      <c r="AP117" s="2"/>
      <c r="AQ117" s="2"/>
      <c r="AR117" s="2"/>
      <c r="AS117" s="2"/>
      <c r="AT117" s="2"/>
    </row>
    <row r="118">
      <c r="A118" s="161"/>
      <c r="B118" s="161"/>
      <c r="C118" s="161"/>
      <c r="E118" s="341"/>
      <c r="F118" s="341"/>
      <c r="G118" s="352"/>
      <c r="H118" s="394" t="s">
        <v>315</v>
      </c>
      <c r="I118" s="11"/>
      <c r="J118" s="421" t="str">
        <f>J117/J108</f>
        <v>#N/A</v>
      </c>
      <c r="K118" s="412"/>
      <c r="L118" s="413"/>
      <c r="M118" s="413"/>
      <c r="N118" s="413"/>
      <c r="O118" s="412"/>
      <c r="P118" s="414"/>
      <c r="Q118" s="412"/>
      <c r="R118" s="420"/>
      <c r="S118" s="420"/>
      <c r="AG118" s="2"/>
      <c r="AH118" s="2"/>
      <c r="AI118" s="2"/>
      <c r="AJ118" s="2"/>
      <c r="AK118" s="2"/>
      <c r="AL118" s="2"/>
      <c r="AM118" s="2"/>
      <c r="AN118" s="2"/>
      <c r="AO118" s="2"/>
      <c r="AP118" s="2"/>
      <c r="AQ118" s="2"/>
      <c r="AR118" s="2"/>
      <c r="AS118" s="2"/>
      <c r="AT118" s="2"/>
    </row>
    <row r="119">
      <c r="A119" s="161"/>
      <c r="B119" s="161"/>
      <c r="C119" s="161"/>
      <c r="E119" s="341"/>
      <c r="F119" s="341"/>
      <c r="G119" s="402" t="s">
        <v>316</v>
      </c>
      <c r="H119" s="422" t="str">
        <f>J113+J118</f>
        <v>#N/A</v>
      </c>
      <c r="I119" s="11"/>
      <c r="J119" s="417"/>
      <c r="K119" s="412"/>
      <c r="L119" s="413"/>
      <c r="M119" s="413"/>
      <c r="N119" s="413"/>
      <c r="O119" s="412"/>
      <c r="P119" s="414"/>
      <c r="Q119" s="412"/>
      <c r="R119" s="420"/>
      <c r="S119" s="420"/>
      <c r="AG119" s="2"/>
      <c r="AH119" s="2"/>
      <c r="AI119" s="2"/>
      <c r="AJ119" s="2"/>
      <c r="AK119" s="2"/>
      <c r="AL119" s="2"/>
      <c r="AM119" s="2"/>
      <c r="AN119" s="2"/>
      <c r="AO119" s="2"/>
      <c r="AP119" s="2"/>
      <c r="AQ119" s="2"/>
      <c r="AR119" s="2"/>
      <c r="AS119" s="2"/>
      <c r="AT119" s="2"/>
    </row>
    <row r="120">
      <c r="A120" s="161"/>
      <c r="B120" s="161"/>
      <c r="C120" s="161"/>
      <c r="E120" s="341"/>
      <c r="F120" s="341"/>
      <c r="G120" s="394"/>
      <c r="H120" s="422"/>
      <c r="I120" s="11"/>
      <c r="J120" s="417"/>
      <c r="K120" s="412"/>
      <c r="L120" s="413"/>
      <c r="M120" s="413"/>
      <c r="N120" s="413"/>
      <c r="O120" s="412"/>
      <c r="P120" s="414"/>
      <c r="Q120" s="412"/>
      <c r="R120" s="420"/>
      <c r="S120" s="420"/>
      <c r="AG120" s="2"/>
      <c r="AH120" s="2"/>
      <c r="AI120" s="2"/>
      <c r="AJ120" s="2"/>
      <c r="AK120" s="2"/>
      <c r="AL120" s="2"/>
      <c r="AM120" s="2"/>
      <c r="AN120" s="2"/>
      <c r="AO120" s="2"/>
      <c r="AP120" s="2"/>
      <c r="AQ120" s="2"/>
      <c r="AR120" s="2"/>
      <c r="AS120" s="2"/>
      <c r="AT120" s="2"/>
    </row>
    <row r="121">
      <c r="A121" s="161"/>
      <c r="B121" s="161"/>
      <c r="C121" s="161"/>
      <c r="E121" s="341"/>
      <c r="F121" s="341"/>
      <c r="G121" s="394"/>
      <c r="H121" s="422"/>
      <c r="I121" s="11"/>
      <c r="J121" s="417"/>
      <c r="K121" s="412"/>
      <c r="L121" s="413"/>
      <c r="M121" s="413"/>
      <c r="N121" s="413"/>
      <c r="O121" s="412"/>
      <c r="P121" s="414"/>
      <c r="Q121" s="412"/>
      <c r="R121" s="420"/>
      <c r="S121" s="420"/>
      <c r="AG121" s="2"/>
      <c r="AH121" s="2"/>
      <c r="AI121" s="2"/>
      <c r="AJ121" s="2"/>
      <c r="AK121" s="2"/>
      <c r="AL121" s="2"/>
      <c r="AM121" s="2"/>
      <c r="AN121" s="2"/>
      <c r="AO121" s="2"/>
      <c r="AP121" s="2"/>
      <c r="AQ121" s="2"/>
      <c r="AR121" s="2"/>
      <c r="AS121" s="2"/>
      <c r="AT121" s="2"/>
    </row>
    <row r="122">
      <c r="A122" s="161"/>
      <c r="B122" s="161"/>
      <c r="C122" s="161"/>
      <c r="E122" s="341"/>
      <c r="F122" s="341"/>
      <c r="G122" s="551" t="s">
        <v>682</v>
      </c>
      <c r="H122" s="906" t="s">
        <v>318</v>
      </c>
      <c r="I122" s="572"/>
      <c r="J122" s="381"/>
      <c r="K122" s="787"/>
      <c r="L122" s="907"/>
      <c r="M122" s="907"/>
      <c r="N122" s="907"/>
      <c r="O122" s="787"/>
      <c r="P122" s="908"/>
      <c r="Q122" s="787"/>
      <c r="R122" s="420"/>
      <c r="S122" s="420"/>
      <c r="AG122" s="2"/>
      <c r="AH122" s="2"/>
      <c r="AI122" s="2"/>
      <c r="AJ122" s="2"/>
      <c r="AK122" s="2"/>
      <c r="AL122" s="2"/>
      <c r="AM122" s="2"/>
      <c r="AN122" s="2"/>
      <c r="AO122" s="2"/>
      <c r="AP122" s="2"/>
      <c r="AQ122" s="2"/>
      <c r="AR122" s="2"/>
      <c r="AS122" s="2"/>
      <c r="AT122" s="2"/>
    </row>
    <row r="123">
      <c r="A123" s="161"/>
      <c r="B123" s="161"/>
      <c r="C123" s="161"/>
      <c r="E123" s="341"/>
      <c r="F123" s="341"/>
      <c r="G123" s="272" t="s">
        <v>319</v>
      </c>
      <c r="H123" s="909" t="str">
        <f>M80</f>
        <v>data</v>
      </c>
      <c r="I123" s="11"/>
      <c r="J123" s="417"/>
      <c r="K123" s="412"/>
      <c r="L123" s="413"/>
      <c r="M123" s="413"/>
      <c r="N123" s="413"/>
      <c r="O123" s="412"/>
      <c r="P123" s="414"/>
      <c r="Q123" s="412"/>
      <c r="R123" s="420"/>
      <c r="S123" s="420"/>
      <c r="AG123" s="2"/>
      <c r="AH123" s="2"/>
      <c r="AI123" s="2"/>
      <c r="AJ123" s="2"/>
      <c r="AK123" s="2"/>
      <c r="AL123" s="2"/>
      <c r="AM123" s="2"/>
      <c r="AN123" s="2"/>
      <c r="AO123" s="2"/>
      <c r="AP123" s="2"/>
      <c r="AQ123" s="2"/>
      <c r="AR123" s="2"/>
      <c r="AS123" s="2"/>
      <c r="AT123" s="2"/>
    </row>
    <row r="124">
      <c r="A124" s="161"/>
      <c r="B124" s="161"/>
      <c r="C124" s="161"/>
      <c r="E124" s="341"/>
      <c r="F124" s="341"/>
      <c r="G124" s="458" t="s">
        <v>320</v>
      </c>
      <c r="H124" s="396" t="s">
        <v>306</v>
      </c>
      <c r="I124" s="418"/>
      <c r="J124" s="419" t="str">
        <f>HW_SPEC("# of TensorCore per Chip")</f>
        <v>#N/A</v>
      </c>
      <c r="K124" s="412"/>
      <c r="L124" s="413"/>
      <c r="M124" s="413"/>
      <c r="N124" s="413"/>
      <c r="O124" s="412"/>
      <c r="P124" s="414"/>
      <c r="Q124" s="412"/>
      <c r="R124" s="420"/>
      <c r="S124" s="420"/>
      <c r="AG124" s="2"/>
      <c r="AH124" s="2"/>
      <c r="AI124" s="2"/>
      <c r="AJ124" s="2"/>
      <c r="AK124" s="2"/>
      <c r="AL124" s="2"/>
      <c r="AM124" s="2"/>
      <c r="AN124" s="2"/>
      <c r="AO124" s="2"/>
      <c r="AP124" s="2"/>
      <c r="AQ124" s="2"/>
      <c r="AR124" s="2"/>
      <c r="AS124" s="2"/>
      <c r="AT124" s="2"/>
    </row>
    <row r="125">
      <c r="A125" s="161"/>
      <c r="B125" s="161"/>
      <c r="C125" s="161"/>
      <c r="E125" s="341"/>
      <c r="F125" s="341"/>
      <c r="G125" s="341"/>
      <c r="H125" s="396" t="s">
        <v>307</v>
      </c>
      <c r="I125" s="418"/>
      <c r="J125" s="411" t="str">
        <f>P85 * (J124-1)</f>
        <v>#N/A</v>
      </c>
      <c r="K125" s="412"/>
      <c r="L125" s="413"/>
      <c r="M125" s="413"/>
      <c r="N125" s="413"/>
      <c r="O125" s="412"/>
      <c r="P125" s="414"/>
      <c r="Q125" s="412"/>
      <c r="R125" s="420"/>
      <c r="S125" s="420"/>
      <c r="AG125" s="2"/>
      <c r="AH125" s="2"/>
      <c r="AI125" s="2"/>
      <c r="AJ125" s="2"/>
      <c r="AK125" s="2"/>
      <c r="AL125" s="2"/>
      <c r="AM125" s="2"/>
      <c r="AN125" s="2"/>
      <c r="AO125" s="2"/>
      <c r="AP125" s="2"/>
      <c r="AQ125" s="2"/>
      <c r="AR125" s="2"/>
      <c r="AS125" s="2"/>
      <c r="AT125" s="2"/>
    </row>
    <row r="126">
      <c r="A126" s="161"/>
      <c r="B126" s="161"/>
      <c r="C126" s="161"/>
      <c r="E126" s="341"/>
      <c r="F126" s="341"/>
      <c r="G126" s="341"/>
      <c r="H126" s="396" t="s">
        <v>308</v>
      </c>
      <c r="I126" s="418"/>
      <c r="J126" s="411" t="str">
        <f>J125*J124</f>
        <v>#N/A</v>
      </c>
      <c r="K126" s="412"/>
      <c r="L126" s="413"/>
      <c r="M126" s="413"/>
      <c r="N126" s="413"/>
      <c r="O126" s="412"/>
      <c r="P126" s="414"/>
      <c r="Q126" s="412"/>
      <c r="R126" s="420"/>
      <c r="S126" s="420"/>
      <c r="AG126" s="2"/>
      <c r="AH126" s="2"/>
      <c r="AI126" s="2"/>
      <c r="AJ126" s="2"/>
      <c r="AK126" s="2"/>
      <c r="AL126" s="2"/>
      <c r="AM126" s="2"/>
      <c r="AN126" s="2"/>
      <c r="AO126" s="2"/>
      <c r="AP126" s="2"/>
      <c r="AQ126" s="2"/>
      <c r="AR126" s="2"/>
      <c r="AS126" s="2"/>
      <c r="AT126" s="2"/>
    </row>
    <row r="127">
      <c r="A127" s="161"/>
      <c r="B127" s="161"/>
      <c r="C127" s="161"/>
      <c r="E127" s="341"/>
      <c r="F127" s="341"/>
      <c r="G127" s="352"/>
      <c r="H127" s="396" t="s">
        <v>311</v>
      </c>
      <c r="I127" s="418"/>
      <c r="J127" s="421" t="str">
        <f>ALL_GATHER_CORE2CORE_TIME_MS(J126)</f>
        <v>#N/A</v>
      </c>
      <c r="K127" s="412"/>
      <c r="L127" s="413"/>
      <c r="M127" s="413"/>
      <c r="N127" s="413"/>
      <c r="O127" s="412"/>
      <c r="P127" s="414"/>
      <c r="Q127" s="412"/>
      <c r="R127" s="420"/>
      <c r="S127" s="420"/>
      <c r="AG127" s="2"/>
      <c r="AH127" s="2"/>
      <c r="AI127" s="2"/>
      <c r="AJ127" s="2"/>
      <c r="AK127" s="2"/>
      <c r="AL127" s="2"/>
      <c r="AM127" s="2"/>
      <c r="AN127" s="2"/>
      <c r="AO127" s="2"/>
      <c r="AP127" s="2"/>
      <c r="AQ127" s="2"/>
      <c r="AR127" s="2"/>
      <c r="AS127" s="2"/>
      <c r="AT127" s="2"/>
    </row>
    <row r="128">
      <c r="A128" s="161"/>
      <c r="B128" s="161"/>
      <c r="C128" s="161"/>
      <c r="E128" s="341"/>
      <c r="F128" s="341"/>
      <c r="G128" s="443" t="s">
        <v>322</v>
      </c>
      <c r="H128" s="623" t="s">
        <v>682</v>
      </c>
      <c r="I128" s="445"/>
      <c r="J128" s="445"/>
      <c r="K128" s="382"/>
      <c r="L128" s="383"/>
      <c r="M128" s="383"/>
      <c r="N128" s="383"/>
      <c r="O128" s="382"/>
      <c r="P128" s="384"/>
      <c r="Q128" s="382"/>
      <c r="R128" s="420"/>
      <c r="S128" s="420"/>
      <c r="AG128" s="2"/>
      <c r="AH128" s="2"/>
      <c r="AI128" s="2"/>
      <c r="AJ128" s="2"/>
      <c r="AK128" s="2"/>
      <c r="AL128" s="2"/>
      <c r="AM128" s="2"/>
      <c r="AN128" s="2"/>
      <c r="AO128" s="2"/>
      <c r="AP128" s="2"/>
      <c r="AQ128" s="2"/>
      <c r="AR128" s="2"/>
      <c r="AS128" s="2"/>
      <c r="AT128" s="2"/>
    </row>
    <row r="129">
      <c r="A129" s="161"/>
      <c r="B129" s="161"/>
      <c r="C129" s="161"/>
      <c r="E129" s="341"/>
      <c r="F129" s="341"/>
      <c r="G129" s="446" t="s">
        <v>324</v>
      </c>
      <c r="H129" s="447" t="str">
        <f>IFS(H128=G99,H105,
H128=G107, H119,
H128=G122,J127,
TRUE,0)</f>
        <v>#N/A</v>
      </c>
      <c r="I129" s="448"/>
      <c r="J129" s="448"/>
      <c r="K129" s="448"/>
      <c r="L129" s="449"/>
      <c r="M129" s="449"/>
      <c r="N129" s="449"/>
      <c r="O129" s="450"/>
      <c r="P129" s="451"/>
      <c r="Q129" s="450"/>
      <c r="AG129" s="2"/>
      <c r="AH129" s="2"/>
      <c r="AI129" s="2"/>
      <c r="AJ129" s="2"/>
      <c r="AK129" s="2"/>
      <c r="AL129" s="2"/>
      <c r="AM129" s="2"/>
      <c r="AN129" s="2"/>
      <c r="AO129" s="2"/>
      <c r="AP129" s="2"/>
      <c r="AQ129" s="2"/>
      <c r="AR129" s="2"/>
      <c r="AS129" s="2"/>
      <c r="AT129" s="2"/>
    </row>
    <row r="130">
      <c r="A130" s="161"/>
      <c r="B130" s="161"/>
      <c r="C130" s="161"/>
      <c r="E130" s="341"/>
      <c r="F130" s="341"/>
      <c r="G130" s="452" t="s">
        <v>325</v>
      </c>
      <c r="H130" s="452">
        <v>1.0</v>
      </c>
      <c r="I130" s="454"/>
      <c r="J130" s="454"/>
      <c r="K130" s="454"/>
      <c r="L130" s="455"/>
      <c r="M130" s="455"/>
      <c r="N130" s="455"/>
      <c r="O130" s="456"/>
      <c r="P130" s="457"/>
      <c r="Q130" s="456"/>
      <c r="AG130" s="2"/>
      <c r="AH130" s="2"/>
      <c r="AI130" s="2"/>
      <c r="AJ130" s="2"/>
      <c r="AK130" s="2"/>
      <c r="AL130" s="2"/>
      <c r="AM130" s="2"/>
      <c r="AN130" s="2"/>
      <c r="AO130" s="2"/>
      <c r="AP130" s="2"/>
      <c r="AQ130" s="2"/>
      <c r="AR130" s="2"/>
      <c r="AS130" s="2"/>
      <c r="AT130" s="2"/>
    </row>
    <row r="131">
      <c r="A131" s="161"/>
      <c r="B131" s="161"/>
      <c r="C131" s="161"/>
      <c r="E131" s="341"/>
      <c r="F131" s="352"/>
      <c r="G131" s="446" t="s">
        <v>326</v>
      </c>
      <c r="H131" s="447" t="str">
        <f>IF(H128="No Collectives", 0, H130 * HW_SPEC("Chip-to-Chip ICI Latency (ms)"))</f>
        <v>#N/A</v>
      </c>
      <c r="I131" s="448"/>
      <c r="J131" s="448"/>
      <c r="K131" s="448"/>
      <c r="L131" s="449"/>
      <c r="M131" s="449"/>
      <c r="N131" s="449"/>
      <c r="O131" s="450"/>
      <c r="P131" s="451"/>
      <c r="Q131" s="450"/>
      <c r="AG131" s="2"/>
      <c r="AH131" s="2"/>
      <c r="AI131" s="2"/>
      <c r="AJ131" s="2"/>
      <c r="AK131" s="2"/>
      <c r="AL131" s="2"/>
      <c r="AM131" s="2"/>
      <c r="AN131" s="2"/>
      <c r="AO131" s="2"/>
      <c r="AP131" s="2"/>
      <c r="AQ131" s="2"/>
      <c r="AR131" s="2"/>
      <c r="AS131" s="2"/>
      <c r="AT131" s="2"/>
    </row>
    <row r="132">
      <c r="A132" s="161"/>
      <c r="B132" s="161"/>
      <c r="C132" s="161"/>
      <c r="E132" s="341"/>
      <c r="F132" s="458" t="s">
        <v>327</v>
      </c>
      <c r="G132" s="459" t="s">
        <v>328</v>
      </c>
      <c r="H132" s="455" t="str">
        <f>VLOOKUP(O82&amp;","&amp;O86,$T$3:$W$12,4, FALSE)</f>
        <v>bf16</v>
      </c>
      <c r="I132" s="460"/>
      <c r="J132" s="454"/>
      <c r="K132" s="454"/>
      <c r="L132" s="455"/>
      <c r="M132" s="455"/>
      <c r="N132" s="455"/>
      <c r="O132" s="454"/>
      <c r="P132" s="457"/>
      <c r="Q132" s="11"/>
      <c r="AG132" s="2"/>
      <c r="AH132" s="2"/>
      <c r="AI132" s="2"/>
      <c r="AJ132" s="2"/>
      <c r="AK132" s="2"/>
      <c r="AL132" s="2"/>
      <c r="AM132" s="2"/>
      <c r="AN132" s="2"/>
      <c r="AO132" s="2"/>
      <c r="AP132" s="2"/>
      <c r="AQ132" s="2"/>
      <c r="AR132" s="2"/>
      <c r="AS132" s="2"/>
      <c r="AT132" s="2"/>
    </row>
    <row r="133">
      <c r="A133" s="161"/>
      <c r="B133" s="161"/>
      <c r="C133" s="161"/>
      <c r="E133" s="341"/>
      <c r="F133" s="341"/>
      <c r="G133" s="459" t="s">
        <v>329</v>
      </c>
      <c r="H133" s="461" t="str">
        <f>CALCULATE_FLOPS(J85:M85,J89:M89,L89,1,H132)</f>
        <v>#N/A</v>
      </c>
      <c r="I133" s="460"/>
      <c r="J133" s="454"/>
      <c r="K133" s="454"/>
      <c r="L133" s="455"/>
      <c r="M133" s="455"/>
      <c r="N133" s="455"/>
      <c r="O133" s="454"/>
      <c r="P133" s="457"/>
      <c r="Q133" s="11"/>
      <c r="AG133" s="2"/>
      <c r="AH133" s="2"/>
      <c r="AI133" s="2"/>
      <c r="AJ133" s="2"/>
      <c r="AK133" s="2"/>
      <c r="AL133" s="2"/>
      <c r="AM133" s="2"/>
      <c r="AN133" s="2"/>
      <c r="AO133" s="2"/>
      <c r="AP133" s="2"/>
      <c r="AQ133" s="2"/>
      <c r="AR133" s="2"/>
      <c r="AS133" s="2"/>
      <c r="AT133" s="2"/>
    </row>
    <row r="134">
      <c r="A134" s="161"/>
      <c r="B134" s="161"/>
      <c r="C134" s="161"/>
      <c r="E134" s="341"/>
      <c r="F134" s="352"/>
      <c r="G134" s="462" t="s">
        <v>330</v>
      </c>
      <c r="H134" s="463" t="str">
        <f>COMPUTE_TIME_MS(H133, H132)</f>
        <v>#N/A</v>
      </c>
      <c r="I134" s="464"/>
      <c r="J134" s="465"/>
      <c r="K134" s="465"/>
      <c r="L134" s="466"/>
      <c r="M134" s="466"/>
      <c r="N134" s="466"/>
      <c r="O134" s="465"/>
      <c r="P134" s="467"/>
      <c r="Q134" s="11"/>
      <c r="AG134" s="2"/>
      <c r="AH134" s="2"/>
      <c r="AI134" s="2"/>
      <c r="AJ134" s="2"/>
      <c r="AK134" s="2"/>
      <c r="AL134" s="2"/>
      <c r="AM134" s="2"/>
      <c r="AN134" s="2"/>
      <c r="AO134" s="2"/>
      <c r="AP134" s="2"/>
      <c r="AQ134" s="2"/>
      <c r="AR134" s="2"/>
      <c r="AS134" s="2"/>
      <c r="AT134" s="2"/>
    </row>
    <row r="135">
      <c r="A135" s="161"/>
      <c r="B135" s="161"/>
      <c r="C135" s="161"/>
      <c r="E135" s="341"/>
      <c r="F135" s="458" t="s">
        <v>331</v>
      </c>
      <c r="G135" s="455" t="s">
        <v>332</v>
      </c>
      <c r="H135" s="468">
        <f>IF(Q82,0,P85)+IF(Q86,0,P89)+IF(Q90,0,P93)</f>
        <v>14.75</v>
      </c>
      <c r="I135" s="454"/>
      <c r="J135" s="454"/>
      <c r="K135" s="454"/>
      <c r="L135" s="455"/>
      <c r="M135" s="455"/>
      <c r="N135" s="455"/>
      <c r="O135" s="454"/>
      <c r="P135" s="457"/>
      <c r="Q135" s="11"/>
      <c r="AG135" s="2"/>
      <c r="AH135" s="2"/>
      <c r="AI135" s="2"/>
      <c r="AJ135" s="2"/>
      <c r="AK135" s="2"/>
      <c r="AL135" s="2"/>
      <c r="AM135" s="2"/>
      <c r="AN135" s="2"/>
      <c r="AO135" s="2"/>
      <c r="AP135" s="2"/>
      <c r="AQ135" s="2"/>
      <c r="AR135" s="2"/>
      <c r="AS135" s="2"/>
      <c r="AT135" s="2"/>
    </row>
    <row r="136">
      <c r="A136" s="161"/>
      <c r="B136" s="161"/>
      <c r="C136" s="161"/>
      <c r="E136" s="352"/>
      <c r="F136" s="352"/>
      <c r="G136" s="469" t="s">
        <v>333</v>
      </c>
      <c r="H136" s="470" t="str">
        <f>HBM_TIME_MS(H135)</f>
        <v>#N/A</v>
      </c>
      <c r="I136" s="465"/>
      <c r="J136" s="465"/>
      <c r="K136" s="465"/>
      <c r="L136" s="466"/>
      <c r="M136" s="466"/>
      <c r="N136" s="466"/>
      <c r="O136" s="465"/>
      <c r="P136" s="467"/>
      <c r="Q136" s="11"/>
      <c r="AH136" s="471"/>
      <c r="AI136" s="471"/>
      <c r="AJ136" s="471"/>
      <c r="AK136" s="2"/>
      <c r="AL136" s="2"/>
      <c r="AM136" s="2"/>
      <c r="AN136" s="2"/>
      <c r="AO136" s="2"/>
      <c r="AP136" s="2"/>
      <c r="AQ136" s="2"/>
      <c r="AR136" s="2"/>
      <c r="AS136" s="2"/>
      <c r="AT136" s="2"/>
    </row>
    <row r="137">
      <c r="E137" s="333" t="s">
        <v>334</v>
      </c>
      <c r="F137" s="357" t="s">
        <v>292</v>
      </c>
      <c r="G137" s="335"/>
      <c r="H137" s="364" t="s">
        <v>281</v>
      </c>
      <c r="I137" s="364" t="s">
        <v>282</v>
      </c>
      <c r="J137" s="364"/>
      <c r="K137" s="273" t="s">
        <v>104</v>
      </c>
      <c r="L137" s="273" t="s">
        <v>102</v>
      </c>
      <c r="M137" s="472" t="s">
        <v>195</v>
      </c>
      <c r="N137" s="364" t="s">
        <v>283</v>
      </c>
      <c r="O137" s="365" t="str">
        <f>EXTRACT_ACTIVATION_DTYPE(PARAMS("attn_proj_dtype"))</f>
        <v>bf16</v>
      </c>
      <c r="P137" s="366"/>
      <c r="Q137" s="365" t="b">
        <v>0</v>
      </c>
      <c r="R137" s="2"/>
      <c r="S137" s="2"/>
      <c r="AH137" s="471"/>
      <c r="AI137" s="471"/>
      <c r="AJ137" s="471"/>
      <c r="AK137" s="2"/>
      <c r="AL137" s="2"/>
      <c r="AM137" s="2"/>
      <c r="AN137" s="2"/>
      <c r="AO137" s="2"/>
      <c r="AP137" s="2"/>
      <c r="AQ137" s="2"/>
      <c r="AR137" s="2"/>
      <c r="AS137" s="2"/>
      <c r="AT137" s="2"/>
    </row>
    <row r="138">
      <c r="E138" s="341"/>
      <c r="F138" s="342"/>
      <c r="G138" s="343"/>
      <c r="H138" s="273" t="s">
        <v>285</v>
      </c>
      <c r="I138" s="364" t="s">
        <v>282</v>
      </c>
      <c r="J138" s="363"/>
      <c r="K138" s="363">
        <f t="shared" ref="K138:M138" si="18">PARAMS(K137)</f>
        <v>4096</v>
      </c>
      <c r="L138" s="364">
        <f t="shared" si="18"/>
        <v>1</v>
      </c>
      <c r="M138" s="364">
        <f t="shared" si="18"/>
        <v>1536</v>
      </c>
      <c r="N138" s="364" t="s">
        <v>283</v>
      </c>
      <c r="O138" s="341"/>
      <c r="P138" s="366">
        <f>SIZEOF_IN_MIB(J138:M138, $O137)</f>
        <v>12</v>
      </c>
      <c r="Q138" s="341"/>
      <c r="R138" s="2"/>
      <c r="S138" s="2"/>
      <c r="AH138" s="471"/>
      <c r="AI138" s="471"/>
      <c r="AJ138" s="471"/>
      <c r="AK138" s="2"/>
      <c r="AL138" s="2"/>
      <c r="AM138" s="2"/>
      <c r="AN138" s="2"/>
      <c r="AO138" s="2"/>
      <c r="AP138" s="2"/>
      <c r="AQ138" s="2"/>
      <c r="AR138" s="2"/>
      <c r="AS138" s="2"/>
      <c r="AT138" s="2"/>
    </row>
    <row r="139">
      <c r="E139" s="341"/>
      <c r="F139" s="342"/>
      <c r="G139" s="343"/>
      <c r="H139" s="363" t="s">
        <v>287</v>
      </c>
      <c r="I139" s="363" t="s">
        <v>282</v>
      </c>
      <c r="J139" s="364"/>
      <c r="K139" s="273" t="s">
        <v>96</v>
      </c>
      <c r="L139" s="273"/>
      <c r="M139" s="273" t="s">
        <v>97</v>
      </c>
      <c r="N139" s="363" t="s">
        <v>283</v>
      </c>
      <c r="O139" s="341"/>
      <c r="P139" s="366"/>
      <c r="Q139" s="341"/>
      <c r="R139" s="2"/>
      <c r="S139" s="2"/>
      <c r="AH139" s="471"/>
      <c r="AI139" s="471"/>
      <c r="AJ139" s="471"/>
      <c r="AK139" s="2"/>
      <c r="AL139" s="2"/>
      <c r="AM139" s="2"/>
      <c r="AN139" s="2"/>
      <c r="AO139" s="2"/>
      <c r="AP139" s="2"/>
      <c r="AQ139" s="2"/>
      <c r="AR139" s="2"/>
      <c r="AS139" s="2"/>
      <c r="AT139" s="2"/>
    </row>
    <row r="140">
      <c r="E140" s="341"/>
      <c r="F140" s="353"/>
      <c r="G140" s="354"/>
      <c r="H140" s="273" t="s">
        <v>289</v>
      </c>
      <c r="I140" s="363" t="s">
        <v>282</v>
      </c>
      <c r="J140" s="364"/>
      <c r="K140" s="363">
        <f t="shared" ref="K140:M140" si="19">K138/SHARDING(K139)</f>
        <v>512</v>
      </c>
      <c r="L140" s="363">
        <f t="shared" si="19"/>
        <v>1</v>
      </c>
      <c r="M140" s="363">
        <f t="shared" si="19"/>
        <v>768</v>
      </c>
      <c r="N140" s="363" t="s">
        <v>283</v>
      </c>
      <c r="O140" s="352"/>
      <c r="P140" s="366">
        <f>SIZEOF_IN_MIB(J140:M140, $O137)</f>
        <v>0.75</v>
      </c>
      <c r="Q140" s="352"/>
      <c r="R140" s="2"/>
      <c r="S140" s="2"/>
      <c r="AK140" s="2"/>
      <c r="AL140" s="2"/>
      <c r="AM140" s="2"/>
      <c r="AN140" s="2"/>
      <c r="AO140" s="2"/>
      <c r="AP140" s="2"/>
      <c r="AQ140" s="2"/>
      <c r="AR140" s="2"/>
      <c r="AS140" s="2"/>
      <c r="AT140" s="2"/>
    </row>
    <row r="141">
      <c r="E141" s="341"/>
      <c r="F141" s="334" t="s">
        <v>296</v>
      </c>
      <c r="G141" s="335"/>
      <c r="H141" s="363" t="s">
        <v>281</v>
      </c>
      <c r="I141" s="363" t="s">
        <v>282</v>
      </c>
      <c r="J141" s="364"/>
      <c r="K141" s="472" t="s">
        <v>195</v>
      </c>
      <c r="L141" s="273" t="s">
        <v>207</v>
      </c>
      <c r="M141" s="273" t="s">
        <v>209</v>
      </c>
      <c r="N141" s="363" t="s">
        <v>283</v>
      </c>
      <c r="O141" s="365" t="str">
        <f>EXTRACT_WEIGHT_DTYPE(PARAMS("attn_proj_dtype"))</f>
        <v>bf16</v>
      </c>
      <c r="P141" s="366"/>
      <c r="Q141" s="365" t="b">
        <v>0</v>
      </c>
      <c r="R141" s="2"/>
      <c r="S141" s="2"/>
      <c r="AK141" s="2"/>
      <c r="AL141" s="2"/>
      <c r="AM141" s="2"/>
      <c r="AN141" s="2"/>
      <c r="AO141" s="2"/>
      <c r="AP141" s="2"/>
      <c r="AQ141" s="2"/>
      <c r="AR141" s="2"/>
      <c r="AS141" s="2"/>
      <c r="AT141" s="2"/>
    </row>
    <row r="142">
      <c r="E142" s="341"/>
      <c r="F142" s="342"/>
      <c r="G142" s="343"/>
      <c r="H142" s="273" t="s">
        <v>285</v>
      </c>
      <c r="I142" s="363" t="s">
        <v>282</v>
      </c>
      <c r="J142" s="364"/>
      <c r="K142" s="363">
        <f t="shared" ref="K142:M142" si="20">PARAMS(K141)</f>
        <v>1536</v>
      </c>
      <c r="L142" s="363">
        <f t="shared" si="20"/>
        <v>128</v>
      </c>
      <c r="M142" s="363">
        <f t="shared" si="20"/>
        <v>192</v>
      </c>
      <c r="N142" s="363" t="s">
        <v>283</v>
      </c>
      <c r="O142" s="341"/>
      <c r="P142" s="366">
        <f>SIZEOF_IN_MIB(J142:M142, $O141)</f>
        <v>72</v>
      </c>
      <c r="Q142" s="341"/>
      <c r="R142" s="2"/>
      <c r="S142" s="2"/>
      <c r="AK142" s="2"/>
      <c r="AL142" s="2"/>
      <c r="AM142" s="2"/>
      <c r="AN142" s="2"/>
      <c r="AO142" s="2"/>
      <c r="AP142" s="2"/>
      <c r="AQ142" s="2"/>
      <c r="AR142" s="2"/>
      <c r="AS142" s="2"/>
      <c r="AT142" s="2"/>
    </row>
    <row r="143">
      <c r="E143" s="341"/>
      <c r="F143" s="342"/>
      <c r="G143" s="343"/>
      <c r="H143" s="363" t="s">
        <v>287</v>
      </c>
      <c r="I143" s="363" t="s">
        <v>282</v>
      </c>
      <c r="J143" s="364"/>
      <c r="K143" s="273" t="s">
        <v>97</v>
      </c>
      <c r="L143" s="363"/>
      <c r="M143" s="363"/>
      <c r="N143" s="363" t="s">
        <v>283</v>
      </c>
      <c r="O143" s="341"/>
      <c r="P143" s="366"/>
      <c r="Q143" s="341"/>
      <c r="R143" s="2"/>
      <c r="S143" s="2"/>
      <c r="AK143" s="2"/>
      <c r="AL143" s="2"/>
      <c r="AM143" s="2"/>
      <c r="AN143" s="2"/>
      <c r="AO143" s="2"/>
      <c r="AP143" s="2"/>
      <c r="AQ143" s="2"/>
      <c r="AR143" s="2"/>
      <c r="AS143" s="2"/>
      <c r="AT143" s="2"/>
    </row>
    <row r="144">
      <c r="E144" s="341"/>
      <c r="F144" s="353"/>
      <c r="G144" s="354"/>
      <c r="H144" s="349" t="s">
        <v>289</v>
      </c>
      <c r="I144" s="349" t="s">
        <v>282</v>
      </c>
      <c r="J144" s="336"/>
      <c r="K144" s="349">
        <f t="shared" ref="K144:M144" si="21">K142/SHARDING(K143)</f>
        <v>768</v>
      </c>
      <c r="L144" s="349">
        <f t="shared" si="21"/>
        <v>128</v>
      </c>
      <c r="M144" s="349">
        <f t="shared" si="21"/>
        <v>192</v>
      </c>
      <c r="N144" s="349" t="s">
        <v>283</v>
      </c>
      <c r="O144" s="316"/>
      <c r="P144" s="351">
        <f>SIZEOF_IN_MIB(J144:M144, $O141)</f>
        <v>36</v>
      </c>
      <c r="Q144" s="316"/>
      <c r="R144" s="2"/>
      <c r="S144" s="2"/>
      <c r="AK144" s="2"/>
      <c r="AL144" s="2"/>
      <c r="AM144" s="2"/>
      <c r="AN144" s="2"/>
      <c r="AO144" s="2"/>
      <c r="AP144" s="2"/>
      <c r="AQ144" s="2"/>
      <c r="AR144" s="2"/>
      <c r="AS144" s="2"/>
      <c r="AT144" s="2"/>
    </row>
    <row r="145">
      <c r="E145" s="341"/>
      <c r="F145" s="334" t="s">
        <v>56</v>
      </c>
      <c r="G145" s="335"/>
      <c r="H145" s="346" t="s">
        <v>281</v>
      </c>
      <c r="I145" s="346" t="s">
        <v>282</v>
      </c>
      <c r="J145" s="344" t="s">
        <v>104</v>
      </c>
      <c r="K145" s="344" t="s">
        <v>102</v>
      </c>
      <c r="L145" s="344" t="s">
        <v>207</v>
      </c>
      <c r="M145" s="344" t="s">
        <v>209</v>
      </c>
      <c r="N145" s="346" t="s">
        <v>283</v>
      </c>
      <c r="O145" s="473" t="s">
        <v>133</v>
      </c>
      <c r="P145" s="348"/>
      <c r="Q145" s="473" t="b">
        <v>0</v>
      </c>
      <c r="R145" s="2"/>
      <c r="S145" s="2"/>
      <c r="AK145" s="2"/>
      <c r="AL145" s="2"/>
      <c r="AM145" s="2"/>
      <c r="AN145" s="2"/>
      <c r="AO145" s="2"/>
      <c r="AP145" s="2"/>
      <c r="AQ145" s="2"/>
      <c r="AR145" s="2"/>
      <c r="AS145" s="2"/>
      <c r="AT145" s="2"/>
    </row>
    <row r="146">
      <c r="E146" s="341"/>
      <c r="F146" s="342"/>
      <c r="G146" s="343"/>
      <c r="H146" s="337" t="s">
        <v>285</v>
      </c>
      <c r="I146" s="349" t="s">
        <v>282</v>
      </c>
      <c r="J146" s="349">
        <f t="shared" ref="J146:M146" si="22">PARAMS(J145)</f>
        <v>4096</v>
      </c>
      <c r="K146" s="349">
        <f t="shared" si="22"/>
        <v>1</v>
      </c>
      <c r="L146" s="349">
        <f t="shared" si="22"/>
        <v>128</v>
      </c>
      <c r="M146" s="349">
        <f t="shared" si="22"/>
        <v>192</v>
      </c>
      <c r="N146" s="349" t="s">
        <v>283</v>
      </c>
      <c r="O146" s="350"/>
      <c r="P146" s="351">
        <f>SIZEOF_IN_MIB(J146:M146, $O145)</f>
        <v>192</v>
      </c>
      <c r="Q146" s="350"/>
      <c r="R146" s="2"/>
      <c r="S146" s="2"/>
      <c r="AK146" s="2"/>
      <c r="AL146" s="2"/>
      <c r="AM146" s="2"/>
      <c r="AN146" s="2"/>
      <c r="AO146" s="2"/>
      <c r="AP146" s="2"/>
      <c r="AQ146" s="2"/>
      <c r="AR146" s="2"/>
      <c r="AS146" s="2"/>
      <c r="AT146" s="2"/>
    </row>
    <row r="147">
      <c r="E147" s="341"/>
      <c r="F147" s="342"/>
      <c r="G147" s="343"/>
      <c r="H147" s="346" t="s">
        <v>287</v>
      </c>
      <c r="I147" s="346" t="s">
        <v>282</v>
      </c>
      <c r="J147" s="344" t="s">
        <v>196</v>
      </c>
      <c r="K147" s="344"/>
      <c r="L147" s="344"/>
      <c r="M147" s="346"/>
      <c r="N147" s="346" t="s">
        <v>283</v>
      </c>
      <c r="O147" s="347"/>
      <c r="P147" s="348"/>
      <c r="Q147" s="347"/>
      <c r="R147" s="2"/>
      <c r="S147" s="2"/>
      <c r="AK147" s="2"/>
      <c r="AL147" s="2"/>
      <c r="AM147" s="2"/>
      <c r="AN147" s="2"/>
      <c r="AO147" s="2"/>
      <c r="AP147" s="2"/>
      <c r="AQ147" s="2"/>
      <c r="AR147" s="2"/>
      <c r="AS147" s="2"/>
      <c r="AT147" s="2"/>
    </row>
    <row r="148">
      <c r="E148" s="341"/>
      <c r="F148" s="353"/>
      <c r="G148" s="354"/>
      <c r="H148" s="349" t="s">
        <v>289</v>
      </c>
      <c r="I148" s="349" t="s">
        <v>282</v>
      </c>
      <c r="J148" s="349">
        <f t="shared" ref="J148:M148" si="23">J146/SHARDING(J147)</f>
        <v>256</v>
      </c>
      <c r="K148" s="349">
        <f t="shared" si="23"/>
        <v>1</v>
      </c>
      <c r="L148" s="349">
        <f t="shared" si="23"/>
        <v>128</v>
      </c>
      <c r="M148" s="349">
        <f t="shared" si="23"/>
        <v>192</v>
      </c>
      <c r="N148" s="349" t="s">
        <v>283</v>
      </c>
      <c r="O148" s="316"/>
      <c r="P148" s="351">
        <f>SIZEOF_IN_MIB(J148:M148, $O145)</f>
        <v>12</v>
      </c>
      <c r="Q148" s="316"/>
      <c r="R148" s="2"/>
      <c r="S148" s="2"/>
      <c r="AK148" s="2"/>
      <c r="AL148" s="2"/>
      <c r="AM148" s="2"/>
      <c r="AN148" s="2"/>
      <c r="AO148" s="2"/>
      <c r="AP148" s="2"/>
      <c r="AQ148" s="2"/>
      <c r="AR148" s="2"/>
      <c r="AS148" s="2"/>
      <c r="AT148" s="2"/>
    </row>
    <row r="149">
      <c r="E149" s="341"/>
      <c r="F149" s="474" t="s">
        <v>335</v>
      </c>
      <c r="G149" s="551" t="s">
        <v>683</v>
      </c>
      <c r="H149" s="910"/>
      <c r="I149" s="911" t="s">
        <v>684</v>
      </c>
      <c r="J149" s="381"/>
      <c r="K149" s="787"/>
      <c r="L149" s="907"/>
      <c r="M149" s="907"/>
      <c r="N149" s="907"/>
      <c r="O149" s="787"/>
      <c r="P149" s="908"/>
      <c r="Q149" s="787"/>
      <c r="R149" s="2"/>
      <c r="S149" s="2"/>
      <c r="AK149" s="2"/>
      <c r="AL149" s="2"/>
      <c r="AM149" s="2"/>
      <c r="AN149" s="2"/>
      <c r="AO149" s="2"/>
      <c r="AP149" s="2"/>
      <c r="AQ149" s="2"/>
      <c r="AR149" s="2"/>
      <c r="AS149" s="2"/>
      <c r="AT149" s="2"/>
    </row>
    <row r="150">
      <c r="E150" s="341"/>
      <c r="F150" s="341"/>
      <c r="G150" s="458" t="s">
        <v>338</v>
      </c>
      <c r="H150" s="605" t="str">
        <f>K143</f>
        <v>data</v>
      </c>
      <c r="I150" s="298"/>
      <c r="J150" s="478"/>
      <c r="K150" s="336"/>
      <c r="L150" s="349"/>
      <c r="M150" s="349"/>
      <c r="N150" s="349"/>
      <c r="O150" s="336"/>
      <c r="P150" s="351"/>
      <c r="Q150" s="298"/>
      <c r="R150" s="2"/>
      <c r="S150" s="2"/>
      <c r="AK150" s="2"/>
      <c r="AL150" s="2"/>
      <c r="AM150" s="2"/>
      <c r="AN150" s="2"/>
      <c r="AO150" s="2"/>
      <c r="AP150" s="2"/>
      <c r="AQ150" s="2"/>
      <c r="AR150" s="2"/>
      <c r="AS150" s="2"/>
      <c r="AT150" s="2"/>
    </row>
    <row r="151">
      <c r="E151" s="341"/>
      <c r="F151" s="341"/>
      <c r="G151" s="458" t="s">
        <v>339</v>
      </c>
      <c r="H151" s="481" t="s">
        <v>306</v>
      </c>
      <c r="I151" s="387"/>
      <c r="J151" s="912">
        <v>2.0</v>
      </c>
      <c r="K151" s="345"/>
      <c r="L151" s="346"/>
      <c r="M151" s="346"/>
      <c r="N151" s="346"/>
      <c r="O151" s="345"/>
      <c r="P151" s="348"/>
      <c r="Q151" s="379"/>
      <c r="R151" s="2"/>
      <c r="S151" s="2"/>
      <c r="AK151" s="2"/>
      <c r="AL151" s="2"/>
      <c r="AM151" s="2"/>
      <c r="AN151" s="2"/>
      <c r="AO151" s="2"/>
      <c r="AP151" s="2"/>
      <c r="AQ151" s="2"/>
      <c r="AR151" s="2"/>
      <c r="AS151" s="2"/>
      <c r="AT151" s="2"/>
    </row>
    <row r="152">
      <c r="E152" s="341"/>
      <c r="F152" s="341"/>
      <c r="G152" s="341"/>
      <c r="H152" s="485" t="s">
        <v>307</v>
      </c>
      <c r="I152" s="391"/>
      <c r="J152" s="390">
        <f>P148/J151 * (J151-1)</f>
        <v>6</v>
      </c>
      <c r="K152" s="336"/>
      <c r="L152" s="349"/>
      <c r="M152" s="349"/>
      <c r="N152" s="349"/>
      <c r="O152" s="336"/>
      <c r="P152" s="351"/>
      <c r="Q152" s="298"/>
      <c r="R152" s="2"/>
      <c r="S152" s="2"/>
      <c r="AK152" s="2"/>
      <c r="AL152" s="2"/>
      <c r="AM152" s="2"/>
      <c r="AN152" s="2"/>
      <c r="AO152" s="2"/>
      <c r="AP152" s="2"/>
      <c r="AQ152" s="2"/>
      <c r="AR152" s="2"/>
      <c r="AS152" s="2"/>
      <c r="AT152" s="2"/>
    </row>
    <row r="153">
      <c r="E153" s="341"/>
      <c r="F153" s="341"/>
      <c r="G153" s="341"/>
      <c r="H153" s="481" t="s">
        <v>308</v>
      </c>
      <c r="I153" s="387"/>
      <c r="J153" s="395">
        <f>J152*J151</f>
        <v>12</v>
      </c>
      <c r="K153" s="345"/>
      <c r="L153" s="346"/>
      <c r="M153" s="346"/>
      <c r="N153" s="346"/>
      <c r="O153" s="345"/>
      <c r="P153" s="348"/>
      <c r="Q153" s="379"/>
      <c r="R153" s="2"/>
      <c r="S153" s="2"/>
      <c r="AK153" s="2"/>
      <c r="AL153" s="2"/>
      <c r="AM153" s="2"/>
      <c r="AN153" s="2"/>
      <c r="AO153" s="2"/>
      <c r="AP153" s="2"/>
      <c r="AQ153" s="2"/>
      <c r="AR153" s="2"/>
      <c r="AS153" s="2"/>
      <c r="AT153" s="2"/>
    </row>
    <row r="154">
      <c r="E154" s="341"/>
      <c r="F154" s="341"/>
      <c r="G154" s="352"/>
      <c r="H154" s="485" t="s">
        <v>311</v>
      </c>
      <c r="I154" s="391"/>
      <c r="J154" s="486" t="str">
        <f>ALL_GATHER_CORE2CORE_TIME_MS(J153)</f>
        <v>#N/A</v>
      </c>
      <c r="K154" s="336"/>
      <c r="L154" s="349"/>
      <c r="M154" s="349"/>
      <c r="N154" s="349"/>
      <c r="O154" s="336"/>
      <c r="P154" s="351"/>
      <c r="Q154" s="298"/>
      <c r="R154" s="2"/>
      <c r="S154" s="2"/>
      <c r="AK154" s="2"/>
      <c r="AL154" s="2"/>
      <c r="AM154" s="2"/>
      <c r="AN154" s="2"/>
      <c r="AO154" s="2"/>
      <c r="AP154" s="2"/>
      <c r="AQ154" s="2"/>
      <c r="AR154" s="2"/>
      <c r="AS154" s="2"/>
      <c r="AT154" s="2"/>
    </row>
    <row r="155">
      <c r="E155" s="341"/>
      <c r="F155" s="352"/>
      <c r="G155" s="462" t="s">
        <v>340</v>
      </c>
      <c r="H155" s="495" t="str">
        <f>J154</f>
        <v>#N/A</v>
      </c>
      <c r="I155" s="493"/>
      <c r="J155" s="345"/>
      <c r="K155" s="345"/>
      <c r="L155" s="346"/>
      <c r="M155" s="346"/>
      <c r="N155" s="346"/>
      <c r="O155" s="345"/>
      <c r="P155" s="348"/>
      <c r="Q155" s="379"/>
      <c r="R155" s="2"/>
      <c r="S155" s="2"/>
      <c r="AK155" s="2"/>
      <c r="AL155" s="2"/>
      <c r="AM155" s="2"/>
      <c r="AN155" s="2"/>
      <c r="AO155" s="2"/>
      <c r="AP155" s="2"/>
      <c r="AQ155" s="2"/>
      <c r="AR155" s="2"/>
      <c r="AS155" s="2"/>
      <c r="AT155" s="2"/>
    </row>
    <row r="156">
      <c r="E156" s="341"/>
      <c r="F156" s="458" t="s">
        <v>327</v>
      </c>
      <c r="G156" s="459" t="s">
        <v>328</v>
      </c>
      <c r="H156" s="349" t="str">
        <f>VLOOKUP(O137&amp;","&amp;O141,$T$3:$W$12,4, FALSE)</f>
        <v>bf16</v>
      </c>
      <c r="I156" s="492"/>
      <c r="J156" s="336"/>
      <c r="K156" s="336"/>
      <c r="L156" s="349"/>
      <c r="M156" s="349"/>
      <c r="N156" s="349"/>
      <c r="O156" s="336"/>
      <c r="P156" s="351"/>
      <c r="Q156" s="298"/>
      <c r="R156" s="2"/>
      <c r="S156" s="2"/>
      <c r="AK156" s="2"/>
      <c r="AL156" s="2"/>
      <c r="AM156" s="2"/>
      <c r="AN156" s="2"/>
      <c r="AO156" s="2"/>
      <c r="AP156" s="2"/>
      <c r="AQ156" s="2"/>
      <c r="AR156" s="2"/>
      <c r="AS156" s="2"/>
      <c r="AT156" s="2"/>
    </row>
    <row r="157">
      <c r="E157" s="341"/>
      <c r="F157" s="341"/>
      <c r="G157" s="455" t="s">
        <v>341</v>
      </c>
      <c r="H157" s="550" t="str">
        <f>CALCULATE_FLOPS(K140:M140,K144:M144,K144,1,H156)</f>
        <v>#N/A</v>
      </c>
      <c r="I157" s="493"/>
      <c r="J157" s="345"/>
      <c r="K157" s="345"/>
      <c r="L157" s="346"/>
      <c r="M157" s="346"/>
      <c r="N157" s="346"/>
      <c r="O157" s="345"/>
      <c r="P157" s="348"/>
      <c r="Q157" s="379"/>
      <c r="R157" s="2"/>
      <c r="S157" s="2"/>
      <c r="AK157" s="2"/>
      <c r="AL157" s="2"/>
      <c r="AM157" s="2"/>
      <c r="AN157" s="2"/>
      <c r="AO157" s="2"/>
      <c r="AP157" s="2"/>
      <c r="AQ157" s="2"/>
      <c r="AR157" s="2"/>
      <c r="AS157" s="2"/>
      <c r="AT157" s="2"/>
    </row>
    <row r="158">
      <c r="A158" s="207"/>
      <c r="B158" s="2"/>
      <c r="C158" s="2"/>
      <c r="D158" s="2"/>
      <c r="E158" s="341"/>
      <c r="F158" s="352"/>
      <c r="G158" s="462" t="s">
        <v>330</v>
      </c>
      <c r="H158" s="495" t="str">
        <f>COMPUTE_TIME_MS(H157, H156)</f>
        <v>#N/A</v>
      </c>
      <c r="I158" s="464"/>
      <c r="J158" s="465"/>
      <c r="K158" s="465"/>
      <c r="L158" s="466"/>
      <c r="M158" s="466"/>
      <c r="N158" s="466"/>
      <c r="O158" s="465"/>
      <c r="P158" s="467"/>
      <c r="Q158" s="298"/>
      <c r="R158" s="2"/>
      <c r="S158" s="2"/>
      <c r="AK158" s="2"/>
      <c r="AL158" s="2"/>
      <c r="AM158" s="2"/>
      <c r="AN158" s="2"/>
      <c r="AO158" s="2"/>
      <c r="AP158" s="2"/>
      <c r="AQ158" s="2"/>
      <c r="AR158" s="2"/>
      <c r="AS158" s="2"/>
      <c r="AT158" s="2"/>
    </row>
    <row r="159">
      <c r="A159" s="207"/>
      <c r="B159" s="2"/>
      <c r="C159" s="2"/>
      <c r="D159" s="2"/>
      <c r="E159" s="341"/>
      <c r="F159" s="458" t="s">
        <v>331</v>
      </c>
      <c r="G159" s="455" t="s">
        <v>332</v>
      </c>
      <c r="H159" s="509">
        <f>IF(Q137,0,P140)+IF(Q141,0,P144)+IF(Q145,0,P148)</f>
        <v>48.75</v>
      </c>
      <c r="I159" s="345"/>
      <c r="J159" s="345"/>
      <c r="K159" s="345"/>
      <c r="L159" s="346"/>
      <c r="M159" s="346"/>
      <c r="N159" s="346"/>
      <c r="O159" s="345"/>
      <c r="P159" s="348"/>
      <c r="Q159" s="379"/>
      <c r="R159" s="2"/>
      <c r="S159" s="2"/>
      <c r="AK159" s="2"/>
      <c r="AL159" s="2"/>
      <c r="AM159" s="2"/>
      <c r="AN159" s="2"/>
      <c r="AO159" s="2"/>
      <c r="AP159" s="2"/>
      <c r="AQ159" s="2"/>
      <c r="AR159" s="2"/>
      <c r="AS159" s="2"/>
      <c r="AT159" s="2"/>
    </row>
    <row r="160">
      <c r="A160" s="2"/>
      <c r="B160" s="2"/>
      <c r="C160" s="2"/>
      <c r="D160" s="2"/>
      <c r="E160" s="352"/>
      <c r="F160" s="352"/>
      <c r="G160" s="469" t="s">
        <v>333</v>
      </c>
      <c r="H160" s="496" t="str">
        <f>HBM_TIME_MS(H159)</f>
        <v>#N/A</v>
      </c>
      <c r="I160" s="465"/>
      <c r="J160" s="465"/>
      <c r="K160" s="465"/>
      <c r="L160" s="466"/>
      <c r="M160" s="466"/>
      <c r="N160" s="466"/>
      <c r="O160" s="465"/>
      <c r="P160" s="467"/>
      <c r="Q160" s="298"/>
      <c r="R160" s="2"/>
      <c r="S160" s="2"/>
      <c r="AK160" s="2"/>
      <c r="AL160" s="2"/>
      <c r="AM160" s="2"/>
      <c r="AN160" s="2"/>
      <c r="AO160" s="2"/>
      <c r="AP160" s="2"/>
      <c r="AQ160" s="2"/>
      <c r="AR160" s="2"/>
      <c r="AS160" s="2"/>
      <c r="AT160" s="2"/>
    </row>
    <row r="161">
      <c r="A161" s="161"/>
      <c r="B161" s="161"/>
      <c r="C161" s="161"/>
      <c r="D161" s="161"/>
      <c r="E161" s="333" t="s">
        <v>342</v>
      </c>
      <c r="F161" s="357" t="s">
        <v>292</v>
      </c>
      <c r="G161" s="335"/>
      <c r="H161" s="364" t="s">
        <v>281</v>
      </c>
      <c r="I161" s="364" t="s">
        <v>282</v>
      </c>
      <c r="J161" s="273" t="s">
        <v>104</v>
      </c>
      <c r="K161" s="273" t="s">
        <v>102</v>
      </c>
      <c r="L161" s="273" t="s">
        <v>207</v>
      </c>
      <c r="M161" s="472" t="s">
        <v>201</v>
      </c>
      <c r="N161" s="364" t="s">
        <v>283</v>
      </c>
      <c r="O161" s="365" t="str">
        <f>EXTRACT_ACTIVATION_DTYPE(PARAMS("attn_proj_dtype"))</f>
        <v>bf16</v>
      </c>
      <c r="P161" s="366"/>
      <c r="Q161" s="365" t="b">
        <v>0</v>
      </c>
      <c r="R161" s="2"/>
      <c r="S161" s="2"/>
      <c r="AK161" s="2"/>
      <c r="AL161" s="2"/>
      <c r="AM161" s="2"/>
      <c r="AN161" s="2"/>
      <c r="AO161" s="2"/>
      <c r="AP161" s="2"/>
      <c r="AQ161" s="2"/>
      <c r="AR161" s="2"/>
      <c r="AS161" s="2"/>
      <c r="AT161" s="2"/>
    </row>
    <row r="162">
      <c r="A162" s="161"/>
      <c r="B162" s="161"/>
      <c r="C162" s="161"/>
      <c r="D162" s="161"/>
      <c r="E162" s="341"/>
      <c r="F162" s="342"/>
      <c r="G162" s="343"/>
      <c r="H162" s="273" t="s">
        <v>285</v>
      </c>
      <c r="I162" s="364" t="s">
        <v>282</v>
      </c>
      <c r="J162" s="363">
        <f t="shared" ref="J162:M162" si="24">PARAMS(J161)</f>
        <v>4096</v>
      </c>
      <c r="K162" s="364">
        <f t="shared" si="24"/>
        <v>1</v>
      </c>
      <c r="L162" s="364">
        <f t="shared" si="24"/>
        <v>128</v>
      </c>
      <c r="M162" s="364">
        <f t="shared" si="24"/>
        <v>128</v>
      </c>
      <c r="N162" s="364" t="s">
        <v>283</v>
      </c>
      <c r="O162" s="341"/>
      <c r="P162" s="366">
        <f>SIZEOF_IN_MIB(J162:M162, $O161)</f>
        <v>128</v>
      </c>
      <c r="Q162" s="341"/>
      <c r="R162" s="2"/>
      <c r="S162" s="2"/>
      <c r="AK162" s="2"/>
      <c r="AL162" s="2"/>
      <c r="AM162" s="2"/>
      <c r="AN162" s="2"/>
      <c r="AO162" s="2"/>
      <c r="AP162" s="2"/>
      <c r="AQ162" s="2"/>
      <c r="AR162" s="2"/>
      <c r="AS162" s="2"/>
      <c r="AT162" s="2"/>
    </row>
    <row r="163">
      <c r="A163" s="161"/>
      <c r="B163" s="161"/>
      <c r="C163" s="161"/>
      <c r="D163" s="161"/>
      <c r="E163" s="341"/>
      <c r="F163" s="342"/>
      <c r="G163" s="343"/>
      <c r="H163" s="363" t="s">
        <v>287</v>
      </c>
      <c r="I163" s="363" t="s">
        <v>282</v>
      </c>
      <c r="J163" s="273" t="s">
        <v>196</v>
      </c>
      <c r="K163" s="273"/>
      <c r="L163" s="273"/>
      <c r="M163" s="363"/>
      <c r="N163" s="363" t="s">
        <v>283</v>
      </c>
      <c r="O163" s="341"/>
      <c r="P163" s="366"/>
      <c r="Q163" s="341"/>
      <c r="R163" s="2"/>
      <c r="S163" s="2"/>
      <c r="AG163" s="2"/>
      <c r="AH163" s="2"/>
      <c r="AI163" s="2"/>
      <c r="AJ163" s="2"/>
      <c r="AK163" s="2"/>
      <c r="AL163" s="2"/>
      <c r="AM163" s="2"/>
      <c r="AN163" s="2"/>
      <c r="AO163" s="2"/>
      <c r="AP163" s="2"/>
      <c r="AQ163" s="2"/>
      <c r="AR163" s="2"/>
      <c r="AS163" s="2"/>
      <c r="AT163" s="2"/>
    </row>
    <row r="164">
      <c r="A164" s="161"/>
      <c r="B164" s="161"/>
      <c r="C164" s="161"/>
      <c r="D164" s="161"/>
      <c r="E164" s="341"/>
      <c r="F164" s="353"/>
      <c r="G164" s="354"/>
      <c r="H164" s="273" t="s">
        <v>289</v>
      </c>
      <c r="I164" s="363" t="s">
        <v>282</v>
      </c>
      <c r="J164" s="363">
        <f t="shared" ref="J164:M164" si="25">J162/SHARDING(J163)</f>
        <v>256</v>
      </c>
      <c r="K164" s="363">
        <f t="shared" si="25"/>
        <v>1</v>
      </c>
      <c r="L164" s="363">
        <f t="shared" si="25"/>
        <v>128</v>
      </c>
      <c r="M164" s="363">
        <f t="shared" si="25"/>
        <v>128</v>
      </c>
      <c r="N164" s="363" t="s">
        <v>283</v>
      </c>
      <c r="O164" s="352"/>
      <c r="P164" s="366">
        <f>SIZEOF_IN_MIB(J164:M164, $O161)</f>
        <v>8</v>
      </c>
      <c r="Q164" s="352"/>
      <c r="R164" s="2"/>
      <c r="S164" s="2"/>
      <c r="AG164" s="2"/>
      <c r="AH164" s="2"/>
      <c r="AI164" s="2"/>
      <c r="AJ164" s="2"/>
      <c r="AK164" s="2"/>
      <c r="AL164" s="2"/>
      <c r="AM164" s="2"/>
      <c r="AN164" s="2"/>
      <c r="AO164" s="2"/>
      <c r="AP164" s="2"/>
      <c r="AQ164" s="2"/>
      <c r="AR164" s="2"/>
      <c r="AS164" s="2"/>
      <c r="AT164" s="2"/>
    </row>
    <row r="165">
      <c r="A165" s="161"/>
      <c r="B165" s="161"/>
      <c r="C165" s="161"/>
      <c r="D165" s="161"/>
      <c r="E165" s="341"/>
      <c r="F165" s="334" t="s">
        <v>296</v>
      </c>
      <c r="G165" s="335"/>
      <c r="H165" s="363" t="s">
        <v>281</v>
      </c>
      <c r="I165" s="363" t="s">
        <v>282</v>
      </c>
      <c r="J165" s="364"/>
      <c r="K165" s="273" t="s">
        <v>207</v>
      </c>
      <c r="L165" s="472" t="s">
        <v>201</v>
      </c>
      <c r="M165" s="273" t="s">
        <v>198</v>
      </c>
      <c r="N165" s="363" t="s">
        <v>283</v>
      </c>
      <c r="O165" s="365" t="str">
        <f>EXTRACT_WEIGHT_DTYPE(PARAMS("attn_proj_dtype"))</f>
        <v>bf16</v>
      </c>
      <c r="P165" s="366"/>
      <c r="Q165" s="365" t="b">
        <v>0</v>
      </c>
      <c r="R165" s="2"/>
      <c r="S165" s="2"/>
      <c r="AG165" s="2"/>
      <c r="AH165" s="2"/>
      <c r="AI165" s="2"/>
      <c r="AJ165" s="2"/>
      <c r="AK165" s="2"/>
      <c r="AL165" s="2"/>
      <c r="AM165" s="2"/>
      <c r="AN165" s="2"/>
      <c r="AO165" s="2"/>
      <c r="AP165" s="2"/>
      <c r="AQ165" s="2"/>
      <c r="AR165" s="2"/>
      <c r="AS165" s="2"/>
      <c r="AT165" s="2"/>
    </row>
    <row r="166">
      <c r="A166" s="161"/>
      <c r="B166" s="161"/>
      <c r="C166" s="161"/>
      <c r="D166" s="161"/>
      <c r="E166" s="341"/>
      <c r="F166" s="342"/>
      <c r="G166" s="343"/>
      <c r="H166" s="273" t="s">
        <v>285</v>
      </c>
      <c r="I166" s="363" t="s">
        <v>282</v>
      </c>
      <c r="J166" s="364"/>
      <c r="K166" s="363">
        <f t="shared" ref="K166:M166" si="26">PARAMS(K165)</f>
        <v>128</v>
      </c>
      <c r="L166" s="363">
        <f t="shared" si="26"/>
        <v>128</v>
      </c>
      <c r="M166" s="363">
        <f t="shared" si="26"/>
        <v>512</v>
      </c>
      <c r="N166" s="363" t="s">
        <v>283</v>
      </c>
      <c r="O166" s="341"/>
      <c r="P166" s="366">
        <f>SIZEOF_IN_MIB(J166:M166, $O165)</f>
        <v>16</v>
      </c>
      <c r="Q166" s="341"/>
      <c r="R166" s="2"/>
      <c r="S166" s="2"/>
      <c r="AG166" s="2"/>
      <c r="AH166" s="2"/>
      <c r="AI166" s="2"/>
      <c r="AJ166" s="2"/>
      <c r="AK166" s="2"/>
      <c r="AL166" s="2"/>
      <c r="AM166" s="2"/>
      <c r="AN166" s="2"/>
      <c r="AO166" s="2"/>
      <c r="AP166" s="2"/>
      <c r="AQ166" s="2"/>
      <c r="AR166" s="2"/>
      <c r="AS166" s="2"/>
      <c r="AT166" s="2"/>
    </row>
    <row r="167">
      <c r="A167" s="161"/>
      <c r="B167" s="161"/>
      <c r="C167" s="161"/>
      <c r="D167" s="161"/>
      <c r="E167" s="341"/>
      <c r="F167" s="342"/>
      <c r="G167" s="343"/>
      <c r="H167" s="363" t="s">
        <v>287</v>
      </c>
      <c r="I167" s="363" t="s">
        <v>282</v>
      </c>
      <c r="J167" s="364"/>
      <c r="K167" s="364"/>
      <c r="L167" s="363"/>
      <c r="M167" s="363"/>
      <c r="N167" s="363" t="s">
        <v>283</v>
      </c>
      <c r="O167" s="341"/>
      <c r="P167" s="366"/>
      <c r="Q167" s="341"/>
      <c r="R167" s="2"/>
      <c r="S167" s="2"/>
      <c r="AG167" s="2"/>
      <c r="AH167" s="2"/>
      <c r="AI167" s="2"/>
      <c r="AJ167" s="2"/>
      <c r="AK167" s="2"/>
      <c r="AL167" s="2"/>
      <c r="AM167" s="2"/>
      <c r="AN167" s="2"/>
      <c r="AO167" s="2"/>
      <c r="AP167" s="2"/>
      <c r="AQ167" s="2"/>
      <c r="AR167" s="2"/>
      <c r="AS167" s="2"/>
      <c r="AT167" s="2"/>
    </row>
    <row r="168">
      <c r="A168" s="161"/>
      <c r="B168" s="161"/>
      <c r="C168" s="161"/>
      <c r="D168" s="161"/>
      <c r="E168" s="341"/>
      <c r="F168" s="353"/>
      <c r="G168" s="354"/>
      <c r="H168" s="349" t="s">
        <v>289</v>
      </c>
      <c r="I168" s="349" t="s">
        <v>282</v>
      </c>
      <c r="J168" s="336"/>
      <c r="K168" s="349">
        <f t="shared" ref="K168:M168" si="27">K166/SHARDING(K167)</f>
        <v>128</v>
      </c>
      <c r="L168" s="349">
        <f t="shared" si="27"/>
        <v>128</v>
      </c>
      <c r="M168" s="349">
        <f t="shared" si="27"/>
        <v>512</v>
      </c>
      <c r="N168" s="349" t="s">
        <v>283</v>
      </c>
      <c r="O168" s="316"/>
      <c r="P168" s="351">
        <f>SIZEOF_IN_MIB(J168:M168, $O165)</f>
        <v>16</v>
      </c>
      <c r="Q168" s="316"/>
      <c r="R168" s="2"/>
      <c r="S168" s="2"/>
      <c r="T168" s="284"/>
      <c r="U168" s="284"/>
      <c r="V168" s="284"/>
      <c r="W168" s="284"/>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161"/>
      <c r="B169" s="161"/>
      <c r="C169" s="161"/>
      <c r="D169" s="161"/>
      <c r="E169" s="341"/>
      <c r="F169" s="334" t="s">
        <v>56</v>
      </c>
      <c r="G169" s="335"/>
      <c r="H169" s="346" t="s">
        <v>281</v>
      </c>
      <c r="I169" s="346" t="s">
        <v>282</v>
      </c>
      <c r="J169" s="344" t="s">
        <v>104</v>
      </c>
      <c r="K169" s="344" t="s">
        <v>102</v>
      </c>
      <c r="L169" s="344" t="s">
        <v>207</v>
      </c>
      <c r="M169" s="344" t="s">
        <v>198</v>
      </c>
      <c r="N169" s="346" t="s">
        <v>283</v>
      </c>
      <c r="O169" s="473" t="s">
        <v>133</v>
      </c>
      <c r="P169" s="348"/>
      <c r="Q169" s="473" t="b">
        <v>0</v>
      </c>
      <c r="R169" s="2"/>
      <c r="S169" s="2"/>
      <c r="T169" s="284"/>
      <c r="U169" s="284"/>
      <c r="V169" s="284"/>
      <c r="W169" s="284"/>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61"/>
      <c r="B170" s="161"/>
      <c r="C170" s="161"/>
      <c r="D170" s="161"/>
      <c r="E170" s="341"/>
      <c r="F170" s="342"/>
      <c r="G170" s="343"/>
      <c r="H170" s="337" t="s">
        <v>285</v>
      </c>
      <c r="I170" s="349" t="s">
        <v>282</v>
      </c>
      <c r="J170" s="349">
        <f t="shared" ref="J170:M170" si="28">PARAMS(J169)</f>
        <v>4096</v>
      </c>
      <c r="K170" s="349">
        <f t="shared" si="28"/>
        <v>1</v>
      </c>
      <c r="L170" s="349">
        <f t="shared" si="28"/>
        <v>128</v>
      </c>
      <c r="M170" s="349">
        <f t="shared" si="28"/>
        <v>512</v>
      </c>
      <c r="N170" s="349" t="s">
        <v>283</v>
      </c>
      <c r="O170" s="350"/>
      <c r="P170" s="351">
        <f>SIZEOF_IN_MIB(J170:M170, $O169)</f>
        <v>512</v>
      </c>
      <c r="Q170" s="350"/>
      <c r="R170" s="2"/>
      <c r="S170" s="2"/>
      <c r="T170" s="284"/>
      <c r="U170" s="284"/>
      <c r="V170" s="284"/>
      <c r="W170" s="284"/>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61"/>
      <c r="B171" s="161"/>
      <c r="C171" s="161"/>
      <c r="D171" s="161"/>
      <c r="E171" s="341"/>
      <c r="F171" s="342"/>
      <c r="G171" s="343"/>
      <c r="H171" s="346" t="s">
        <v>287</v>
      </c>
      <c r="I171" s="346" t="s">
        <v>282</v>
      </c>
      <c r="J171" s="344" t="s">
        <v>196</v>
      </c>
      <c r="K171" s="344"/>
      <c r="L171" s="344"/>
      <c r="M171" s="346"/>
      <c r="N171" s="346" t="s">
        <v>283</v>
      </c>
      <c r="O171" s="347"/>
      <c r="P171" s="348"/>
      <c r="Q171" s="347"/>
      <c r="R171" s="2"/>
      <c r="S171" s="2"/>
      <c r="T171" s="284"/>
      <c r="U171" s="284"/>
      <c r="V171" s="284"/>
      <c r="W171" s="284"/>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61"/>
      <c r="B172" s="161"/>
      <c r="C172" s="161"/>
      <c r="D172" s="161"/>
      <c r="E172" s="341"/>
      <c r="F172" s="353"/>
      <c r="G172" s="354"/>
      <c r="H172" s="349" t="s">
        <v>289</v>
      </c>
      <c r="I172" s="349" t="s">
        <v>282</v>
      </c>
      <c r="J172" s="349">
        <f t="shared" ref="J172:M172" si="29">J170/SHARDING(J171)</f>
        <v>256</v>
      </c>
      <c r="K172" s="349">
        <f t="shared" si="29"/>
        <v>1</v>
      </c>
      <c r="L172" s="349">
        <f t="shared" si="29"/>
        <v>128</v>
      </c>
      <c r="M172" s="349">
        <f t="shared" si="29"/>
        <v>512</v>
      </c>
      <c r="N172" s="349" t="s">
        <v>283</v>
      </c>
      <c r="O172" s="316"/>
      <c r="P172" s="351">
        <f>SIZEOF_IN_MIB(J172:M172, $O169)</f>
        <v>32</v>
      </c>
      <c r="Q172" s="316"/>
      <c r="R172" s="2"/>
      <c r="S172" s="2"/>
      <c r="T172" s="284"/>
      <c r="U172" s="284"/>
      <c r="V172" s="284"/>
      <c r="W172" s="284"/>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61"/>
      <c r="B173" s="161"/>
      <c r="C173" s="161"/>
      <c r="D173" s="161"/>
      <c r="E173" s="341"/>
      <c r="F173" s="474" t="s">
        <v>335</v>
      </c>
      <c r="G173" s="459" t="s">
        <v>109</v>
      </c>
      <c r="H173" s="497"/>
      <c r="I173" s="498"/>
      <c r="J173" s="345"/>
      <c r="K173" s="345"/>
      <c r="L173" s="346"/>
      <c r="M173" s="346"/>
      <c r="N173" s="346"/>
      <c r="O173" s="345"/>
      <c r="P173" s="348"/>
      <c r="Q173" s="379"/>
      <c r="T173" s="4"/>
      <c r="U173" s="4"/>
      <c r="V173" s="4"/>
      <c r="W173" s="4"/>
    </row>
    <row r="174">
      <c r="A174" s="161"/>
      <c r="B174" s="2"/>
      <c r="C174" s="2"/>
      <c r="D174" s="2"/>
      <c r="E174" s="341"/>
      <c r="F174" s="352"/>
      <c r="G174" s="459"/>
      <c r="H174" s="349"/>
      <c r="I174" s="492"/>
      <c r="J174" s="336"/>
      <c r="K174" s="336"/>
      <c r="L174" s="349"/>
      <c r="M174" s="349"/>
      <c r="N174" s="349"/>
      <c r="O174" s="336"/>
      <c r="P174" s="351"/>
      <c r="Q174" s="298"/>
      <c r="T174" s="4"/>
      <c r="U174" s="4"/>
      <c r="V174" s="4"/>
      <c r="W174" s="4"/>
    </row>
    <row r="175">
      <c r="A175" s="2"/>
      <c r="B175" s="2"/>
      <c r="C175" s="2"/>
      <c r="D175" s="2"/>
      <c r="E175" s="341"/>
      <c r="F175" s="458" t="s">
        <v>327</v>
      </c>
      <c r="G175" s="459" t="s">
        <v>328</v>
      </c>
      <c r="H175" s="346" t="str">
        <f>VLOOKUP(O161&amp;","&amp;O165,$T$3:$W$12,4, FALSE)</f>
        <v>bf16</v>
      </c>
      <c r="I175" s="493"/>
      <c r="J175" s="345"/>
      <c r="K175" s="345"/>
      <c r="L175" s="346"/>
      <c r="M175" s="346"/>
      <c r="N175" s="346"/>
      <c r="O175" s="345"/>
      <c r="P175" s="348"/>
      <c r="Q175" s="379"/>
      <c r="T175" s="4"/>
      <c r="U175" s="4"/>
      <c r="V175" s="4"/>
      <c r="W175" s="4"/>
    </row>
    <row r="176">
      <c r="A176" s="161"/>
      <c r="B176" s="161"/>
      <c r="C176" s="161"/>
      <c r="D176" s="161"/>
      <c r="E176" s="341"/>
      <c r="F176" s="341"/>
      <c r="G176" s="455" t="s">
        <v>341</v>
      </c>
      <c r="H176" s="494" t="str">
        <f>CALCULATE_FLOPS(J164:M164,J168:M168,L168,K168,H175)</f>
        <v>#N/A</v>
      </c>
      <c r="I176" s="492"/>
      <c r="J176" s="336"/>
      <c r="K176" s="336"/>
      <c r="L176" s="349"/>
      <c r="M176" s="349"/>
      <c r="N176" s="349"/>
      <c r="O176" s="336"/>
      <c r="P176" s="351"/>
      <c r="Q176" s="298"/>
      <c r="T176" s="4"/>
      <c r="U176" s="4"/>
      <c r="V176" s="4"/>
      <c r="W176" s="4"/>
    </row>
    <row r="177">
      <c r="A177" s="161"/>
      <c r="B177" s="161"/>
      <c r="C177" s="161"/>
      <c r="D177" s="161"/>
      <c r="E177" s="341"/>
      <c r="F177" s="352"/>
      <c r="G177" s="462" t="s">
        <v>330</v>
      </c>
      <c r="H177" s="463" t="str">
        <f>COMPUTE_TIME_MS(H176, H175)</f>
        <v>#N/A</v>
      </c>
      <c r="I177" s="464"/>
      <c r="J177" s="465"/>
      <c r="K177" s="465"/>
      <c r="L177" s="466"/>
      <c r="M177" s="466"/>
      <c r="N177" s="466"/>
      <c r="O177" s="465"/>
      <c r="P177" s="467"/>
      <c r="Q177" s="379"/>
      <c r="T177" s="4"/>
      <c r="U177" s="4"/>
      <c r="V177" s="4"/>
      <c r="W177" s="4"/>
    </row>
    <row r="178">
      <c r="A178" s="161"/>
      <c r="B178" s="161"/>
      <c r="C178" s="161"/>
      <c r="D178" s="161"/>
      <c r="E178" s="341"/>
      <c r="F178" s="458" t="s">
        <v>331</v>
      </c>
      <c r="G178" s="455" t="s">
        <v>332</v>
      </c>
      <c r="H178" s="377">
        <f>IF(Q161,0,P164)+IF(Q165,0,P168)+IF(Q169,0,P172)</f>
        <v>56</v>
      </c>
      <c r="I178" s="336"/>
      <c r="J178" s="336"/>
      <c r="K178" s="336"/>
      <c r="L178" s="349"/>
      <c r="M178" s="349"/>
      <c r="N178" s="349"/>
      <c r="O178" s="336"/>
      <c r="P178" s="351"/>
      <c r="Q178" s="298"/>
      <c r="R178" s="2"/>
      <c r="S178" s="2"/>
      <c r="T178" s="284"/>
      <c r="U178" s="284"/>
      <c r="V178" s="284"/>
      <c r="W178" s="284"/>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61"/>
      <c r="B179" s="161"/>
      <c r="C179" s="161"/>
      <c r="D179" s="161"/>
      <c r="E179" s="352"/>
      <c r="F179" s="352"/>
      <c r="G179" s="469" t="s">
        <v>333</v>
      </c>
      <c r="H179" s="496" t="str">
        <f>HBM_TIME_MS(H178)</f>
        <v>#N/A</v>
      </c>
      <c r="I179" s="465"/>
      <c r="J179" s="465"/>
      <c r="K179" s="465"/>
      <c r="L179" s="466"/>
      <c r="M179" s="466"/>
      <c r="N179" s="466"/>
      <c r="O179" s="465"/>
      <c r="P179" s="467"/>
      <c r="Q179" s="379"/>
      <c r="R179" s="2"/>
      <c r="S179" s="2"/>
      <c r="T179" s="284"/>
      <c r="U179" s="284"/>
      <c r="V179" s="284"/>
      <c r="W179" s="284"/>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61"/>
      <c r="B180" s="161"/>
      <c r="C180" s="161"/>
      <c r="D180" s="161"/>
      <c r="E180" s="333" t="s">
        <v>343</v>
      </c>
      <c r="F180" s="357" t="s">
        <v>292</v>
      </c>
      <c r="G180" s="335"/>
      <c r="H180" s="336" t="s">
        <v>281</v>
      </c>
      <c r="I180" s="336" t="s">
        <v>282</v>
      </c>
      <c r="J180" s="337"/>
      <c r="K180" s="337" t="s">
        <v>104</v>
      </c>
      <c r="L180" s="337" t="s">
        <v>102</v>
      </c>
      <c r="M180" s="499" t="s">
        <v>178</v>
      </c>
      <c r="N180" s="336" t="s">
        <v>283</v>
      </c>
      <c r="O180" s="338" t="str">
        <f>EXTRACT_ACTIVATION_DTYPE(PARAMS("attn_proj_dtype"))</f>
        <v>bf16</v>
      </c>
      <c r="P180" s="351"/>
      <c r="Q180" s="338" t="b">
        <v>0</v>
      </c>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61"/>
      <c r="B181" s="161"/>
      <c r="C181" s="161"/>
      <c r="D181" s="161"/>
      <c r="E181" s="341"/>
      <c r="F181" s="342"/>
      <c r="G181" s="343"/>
      <c r="H181" s="273" t="s">
        <v>285</v>
      </c>
      <c r="I181" s="364" t="s">
        <v>282</v>
      </c>
      <c r="J181" s="363"/>
      <c r="K181" s="363">
        <f t="shared" ref="K181:M181" si="30">PARAMS(K180)</f>
        <v>4096</v>
      </c>
      <c r="L181" s="364">
        <f t="shared" si="30"/>
        <v>1</v>
      </c>
      <c r="M181" s="364">
        <f t="shared" si="30"/>
        <v>7168</v>
      </c>
      <c r="N181" s="364" t="s">
        <v>283</v>
      </c>
      <c r="O181" s="341"/>
      <c r="P181" s="366">
        <f>SIZEOF_IN_MIB(J181:M181, $O180)</f>
        <v>56</v>
      </c>
      <c r="Q181" s="341"/>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 r="A182" s="161"/>
      <c r="B182" s="161"/>
      <c r="C182" s="161"/>
      <c r="D182" s="161"/>
      <c r="E182" s="341"/>
      <c r="F182" s="342"/>
      <c r="G182" s="343"/>
      <c r="H182" s="363" t="s">
        <v>287</v>
      </c>
      <c r="I182" s="363" t="s">
        <v>282</v>
      </c>
      <c r="J182" s="364"/>
      <c r="K182" s="273" t="s">
        <v>196</v>
      </c>
      <c r="L182" s="273"/>
      <c r="M182" s="363"/>
      <c r="N182" s="363" t="s">
        <v>283</v>
      </c>
      <c r="O182" s="341"/>
      <c r="P182" s="366"/>
      <c r="Q182" s="341"/>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 r="A183" s="161"/>
      <c r="B183" s="161"/>
      <c r="C183" s="161"/>
      <c r="D183" s="161"/>
      <c r="E183" s="341"/>
      <c r="F183" s="353"/>
      <c r="G183" s="354"/>
      <c r="H183" s="273" t="s">
        <v>289</v>
      </c>
      <c r="I183" s="363" t="s">
        <v>282</v>
      </c>
      <c r="J183" s="364"/>
      <c r="K183" s="363">
        <f t="shared" ref="K183:M183" si="31">K181/SHARDING(K182)</f>
        <v>256</v>
      </c>
      <c r="L183" s="363">
        <f t="shared" si="31"/>
        <v>1</v>
      </c>
      <c r="M183" s="363">
        <f t="shared" si="31"/>
        <v>7168</v>
      </c>
      <c r="N183" s="363" t="s">
        <v>283</v>
      </c>
      <c r="O183" s="352"/>
      <c r="P183" s="366">
        <f>SIZEOF_IN_MIB(J183:M183, $O180)</f>
        <v>3.5</v>
      </c>
      <c r="Q183" s="35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 r="A184" s="161"/>
      <c r="B184" s="161"/>
      <c r="C184" s="161"/>
      <c r="D184" s="161"/>
      <c r="E184" s="341"/>
      <c r="F184" s="334" t="s">
        <v>296</v>
      </c>
      <c r="G184" s="335"/>
      <c r="H184" s="363" t="s">
        <v>281</v>
      </c>
      <c r="I184" s="363" t="s">
        <v>282</v>
      </c>
      <c r="J184" s="364"/>
      <c r="K184" s="273"/>
      <c r="L184" s="472" t="s">
        <v>178</v>
      </c>
      <c r="M184" s="273" t="s">
        <v>210</v>
      </c>
      <c r="N184" s="363" t="s">
        <v>283</v>
      </c>
      <c r="O184" s="365" t="str">
        <f>EXTRACT_WEIGHT_DTYPE(PARAMS("attn_proj_dtype"))</f>
        <v>bf16</v>
      </c>
      <c r="P184" s="366"/>
      <c r="Q184" s="365" t="b">
        <v>0</v>
      </c>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 r="A185" s="161"/>
      <c r="B185" s="161"/>
      <c r="C185" s="161"/>
      <c r="D185" s="161"/>
      <c r="E185" s="341"/>
      <c r="F185" s="342"/>
      <c r="G185" s="343"/>
      <c r="H185" s="273" t="s">
        <v>285</v>
      </c>
      <c r="I185" s="363" t="s">
        <v>282</v>
      </c>
      <c r="J185" s="364"/>
      <c r="K185" s="363"/>
      <c r="L185" s="363">
        <f t="shared" ref="L185:M185" si="32">PARAMS(L184)</f>
        <v>7168</v>
      </c>
      <c r="M185" s="363">
        <f t="shared" si="32"/>
        <v>576</v>
      </c>
      <c r="N185" s="363" t="s">
        <v>283</v>
      </c>
      <c r="O185" s="341"/>
      <c r="P185" s="366">
        <f>SIZEOF_IN_MIB(J185:M185, $O184)</f>
        <v>7.875</v>
      </c>
      <c r="Q185" s="341"/>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 r="A186" s="161"/>
      <c r="B186" s="161"/>
      <c r="C186" s="161"/>
      <c r="D186" s="161"/>
      <c r="E186" s="341"/>
      <c r="F186" s="342"/>
      <c r="G186" s="343"/>
      <c r="H186" s="363" t="s">
        <v>287</v>
      </c>
      <c r="I186" s="363" t="s">
        <v>282</v>
      </c>
      <c r="J186" s="364"/>
      <c r="K186" s="364"/>
      <c r="L186" s="363"/>
      <c r="M186" s="363"/>
      <c r="N186" s="363" t="s">
        <v>283</v>
      </c>
      <c r="O186" s="341"/>
      <c r="P186" s="366"/>
      <c r="Q186" s="341"/>
    </row>
    <row r="187">
      <c r="A187" s="161"/>
      <c r="B187" s="161"/>
      <c r="C187" s="161"/>
      <c r="D187" s="161"/>
      <c r="E187" s="341"/>
      <c r="F187" s="353"/>
      <c r="G187" s="354"/>
      <c r="H187" s="349" t="s">
        <v>289</v>
      </c>
      <c r="I187" s="349" t="s">
        <v>282</v>
      </c>
      <c r="J187" s="336"/>
      <c r="K187" s="349"/>
      <c r="L187" s="349">
        <f t="shared" ref="L187:M187" si="33">L185/SHARDING(L186)</f>
        <v>7168</v>
      </c>
      <c r="M187" s="349">
        <f t="shared" si="33"/>
        <v>576</v>
      </c>
      <c r="N187" s="349" t="s">
        <v>283</v>
      </c>
      <c r="O187" s="316"/>
      <c r="P187" s="351">
        <f>SIZEOF_IN_MIB(J187:M187, $O184)</f>
        <v>7.875</v>
      </c>
      <c r="Q187" s="316"/>
    </row>
    <row r="188">
      <c r="A188" s="161"/>
      <c r="B188" s="161"/>
      <c r="C188" s="161"/>
      <c r="D188" s="161"/>
      <c r="E188" s="341"/>
      <c r="F188" s="334" t="s">
        <v>56</v>
      </c>
      <c r="G188" s="335"/>
      <c r="H188" s="346" t="s">
        <v>281</v>
      </c>
      <c r="I188" s="346" t="s">
        <v>282</v>
      </c>
      <c r="J188" s="345"/>
      <c r="K188" s="344" t="s">
        <v>104</v>
      </c>
      <c r="L188" s="344" t="s">
        <v>102</v>
      </c>
      <c r="M188" s="344" t="s">
        <v>210</v>
      </c>
      <c r="N188" s="346" t="s">
        <v>283</v>
      </c>
      <c r="O188" s="473" t="s">
        <v>133</v>
      </c>
      <c r="P188" s="348"/>
      <c r="Q188" s="473" t="b">
        <v>0</v>
      </c>
    </row>
    <row r="189">
      <c r="A189" s="161"/>
      <c r="B189" s="2"/>
      <c r="C189" s="2"/>
      <c r="D189" s="2"/>
      <c r="E189" s="341"/>
      <c r="F189" s="342"/>
      <c r="G189" s="343"/>
      <c r="H189" s="337" t="s">
        <v>285</v>
      </c>
      <c r="I189" s="349" t="s">
        <v>282</v>
      </c>
      <c r="J189" s="336"/>
      <c r="K189" s="349">
        <f t="shared" ref="K189:M189" si="34">PARAMS(K188)</f>
        <v>4096</v>
      </c>
      <c r="L189" s="349">
        <f t="shared" si="34"/>
        <v>1</v>
      </c>
      <c r="M189" s="349">
        <f t="shared" si="34"/>
        <v>576</v>
      </c>
      <c r="N189" s="349" t="s">
        <v>283</v>
      </c>
      <c r="O189" s="350"/>
      <c r="P189" s="351">
        <f>SIZEOF_IN_MIB(K189:M189, $O188)</f>
        <v>4.5</v>
      </c>
      <c r="Q189" s="350"/>
    </row>
    <row r="190">
      <c r="A190" s="2"/>
      <c r="B190" s="2"/>
      <c r="C190" s="2"/>
      <c r="D190" s="2"/>
      <c r="E190" s="341"/>
      <c r="F190" s="342"/>
      <c r="G190" s="343"/>
      <c r="H190" s="346" t="s">
        <v>287</v>
      </c>
      <c r="I190" s="346" t="s">
        <v>282</v>
      </c>
      <c r="J190" s="345"/>
      <c r="K190" s="344" t="s">
        <v>196</v>
      </c>
      <c r="L190" s="344"/>
      <c r="M190" s="346"/>
      <c r="N190" s="346" t="s">
        <v>283</v>
      </c>
      <c r="O190" s="347"/>
      <c r="P190" s="348"/>
      <c r="Q190" s="347"/>
    </row>
    <row r="191">
      <c r="A191" s="161"/>
      <c r="B191" s="161"/>
      <c r="C191" s="161"/>
      <c r="D191" s="161"/>
      <c r="E191" s="341"/>
      <c r="F191" s="353"/>
      <c r="G191" s="354"/>
      <c r="H191" s="349" t="s">
        <v>289</v>
      </c>
      <c r="I191" s="349" t="s">
        <v>282</v>
      </c>
      <c r="J191" s="349"/>
      <c r="K191" s="349">
        <f t="shared" ref="K191:M191" si="35">K189/SHARDING(K190)</f>
        <v>256</v>
      </c>
      <c r="L191" s="349">
        <f t="shared" si="35"/>
        <v>1</v>
      </c>
      <c r="M191" s="349">
        <f t="shared" si="35"/>
        <v>576</v>
      </c>
      <c r="N191" s="349" t="s">
        <v>283</v>
      </c>
      <c r="O191" s="316"/>
      <c r="P191" s="351">
        <f>SIZEOF_IN_MIB(K191:M191, $O188)</f>
        <v>0.28125</v>
      </c>
      <c r="Q191" s="316"/>
    </row>
    <row r="192">
      <c r="A192" s="161"/>
      <c r="B192" s="161"/>
      <c r="C192" s="161"/>
      <c r="D192" s="161"/>
      <c r="E192" s="341"/>
      <c r="F192" s="474" t="s">
        <v>335</v>
      </c>
      <c r="G192" s="459" t="s">
        <v>109</v>
      </c>
      <c r="H192" s="497"/>
      <c r="I192" s="498"/>
      <c r="J192" s="345"/>
      <c r="K192" s="345"/>
      <c r="L192" s="346"/>
      <c r="M192" s="346"/>
      <c r="N192" s="346"/>
      <c r="O192" s="345"/>
      <c r="P192" s="348"/>
      <c r="Q192" s="379"/>
    </row>
    <row r="193">
      <c r="A193" s="161"/>
      <c r="B193" s="161"/>
      <c r="C193" s="161"/>
      <c r="D193" s="161"/>
      <c r="E193" s="341"/>
      <c r="F193" s="352"/>
      <c r="G193" s="459"/>
      <c r="H193" s="349"/>
      <c r="I193" s="492"/>
      <c r="J193" s="336"/>
      <c r="K193" s="336"/>
      <c r="L193" s="349"/>
      <c r="M193" s="349"/>
      <c r="N193" s="349"/>
      <c r="O193" s="336"/>
      <c r="P193" s="351"/>
      <c r="Q193" s="298"/>
    </row>
    <row r="194">
      <c r="A194" s="161"/>
      <c r="B194" s="161"/>
      <c r="C194" s="161"/>
      <c r="D194" s="161"/>
      <c r="E194" s="341"/>
      <c r="F194" s="458" t="s">
        <v>327</v>
      </c>
      <c r="G194" s="459" t="s">
        <v>328</v>
      </c>
      <c r="H194" s="346" t="str">
        <f>VLOOKUP(O180&amp;","&amp;O184,$T$3:$W$12,4, FALSE)</f>
        <v>bf16</v>
      </c>
      <c r="I194" s="493"/>
      <c r="J194" s="345"/>
      <c r="K194" s="345"/>
      <c r="L194" s="346"/>
      <c r="M194" s="346"/>
      <c r="N194" s="346"/>
      <c r="O194" s="345"/>
      <c r="P194" s="348"/>
      <c r="Q194" s="379"/>
    </row>
    <row r="195">
      <c r="A195" s="161"/>
      <c r="B195" s="161"/>
      <c r="C195" s="161"/>
      <c r="D195" s="161"/>
      <c r="E195" s="341"/>
      <c r="F195" s="341"/>
      <c r="G195" s="455" t="s">
        <v>341</v>
      </c>
      <c r="H195" s="494" t="str">
        <f>CALCULATE_FLOPS(J164:M164,J168:M168,L168,K168,H175)</f>
        <v>#N/A</v>
      </c>
      <c r="I195" s="492"/>
      <c r="J195" s="336"/>
      <c r="K195" s="336"/>
      <c r="L195" s="349"/>
      <c r="M195" s="349"/>
      <c r="N195" s="349"/>
      <c r="O195" s="336"/>
      <c r="P195" s="351"/>
      <c r="Q195" s="298"/>
    </row>
    <row r="196">
      <c r="A196" s="161"/>
      <c r="B196" s="161"/>
      <c r="C196" s="161"/>
      <c r="D196" s="161"/>
      <c r="E196" s="341"/>
      <c r="F196" s="352"/>
      <c r="G196" s="462" t="s">
        <v>330</v>
      </c>
      <c r="H196" s="495" t="str">
        <f>COMPUTE_TIME_MS(H195, H194)</f>
        <v>#N/A</v>
      </c>
      <c r="I196" s="464"/>
      <c r="J196" s="465"/>
      <c r="K196" s="465"/>
      <c r="L196" s="466"/>
      <c r="M196" s="466"/>
      <c r="N196" s="466"/>
      <c r="O196" s="465"/>
      <c r="P196" s="467"/>
      <c r="Q196" s="379"/>
    </row>
    <row r="197">
      <c r="A197" s="161"/>
      <c r="B197" s="161"/>
      <c r="C197" s="161"/>
      <c r="D197" s="161"/>
      <c r="E197" s="341"/>
      <c r="F197" s="458" t="s">
        <v>331</v>
      </c>
      <c r="G197" s="455" t="s">
        <v>332</v>
      </c>
      <c r="H197" s="377">
        <f>IF(Q180,0,P183)+IF(Q184,0,P187)+IF(Q188,0,P191)</f>
        <v>11.65625</v>
      </c>
      <c r="I197" s="336"/>
      <c r="J197" s="336"/>
      <c r="K197" s="336"/>
      <c r="L197" s="349"/>
      <c r="M197" s="349"/>
      <c r="N197" s="349"/>
      <c r="O197" s="336"/>
      <c r="P197" s="351"/>
      <c r="Q197" s="298"/>
    </row>
    <row r="198">
      <c r="A198" s="161"/>
      <c r="B198" s="161"/>
      <c r="C198" s="161"/>
      <c r="D198" s="161"/>
      <c r="E198" s="352"/>
      <c r="F198" s="352"/>
      <c r="G198" s="469" t="s">
        <v>333</v>
      </c>
      <c r="H198" s="500" t="str">
        <f>HBM_TIME_MS(H197)</f>
        <v>#N/A</v>
      </c>
      <c r="I198" s="465"/>
      <c r="J198" s="465"/>
      <c r="K198" s="465"/>
      <c r="L198" s="466"/>
      <c r="M198" s="466"/>
      <c r="N198" s="466"/>
      <c r="O198" s="465"/>
      <c r="P198" s="467"/>
      <c r="Q198" s="379"/>
    </row>
    <row r="199">
      <c r="A199" s="161"/>
      <c r="B199" s="161"/>
      <c r="C199" s="161"/>
      <c r="D199" s="161"/>
      <c r="E199" s="501" t="s">
        <v>344</v>
      </c>
      <c r="F199" s="474" t="s">
        <v>345</v>
      </c>
      <c r="G199" s="502" t="s">
        <v>301</v>
      </c>
      <c r="H199" s="503" t="s">
        <v>281</v>
      </c>
      <c r="I199" s="336" t="s">
        <v>282</v>
      </c>
      <c r="J199" s="504" t="str">
        <f t="array" ref="J199:M202">J188:M191</f>
        <v/>
      </c>
      <c r="K199" s="337" t="s">
        <v>104</v>
      </c>
      <c r="L199" s="337" t="s">
        <v>102</v>
      </c>
      <c r="M199" s="337" t="s">
        <v>210</v>
      </c>
      <c r="N199" s="349" t="s">
        <v>283</v>
      </c>
      <c r="O199" s="338" t="s">
        <v>125</v>
      </c>
      <c r="P199" s="505"/>
      <c r="Q199" s="506"/>
    </row>
    <row r="200">
      <c r="A200" s="161"/>
      <c r="B200" s="161"/>
      <c r="C200" s="161"/>
      <c r="D200" s="161"/>
      <c r="E200" s="341"/>
      <c r="F200" s="341"/>
      <c r="G200" s="341"/>
      <c r="H200" s="507" t="s">
        <v>285</v>
      </c>
      <c r="I200" s="345" t="s">
        <v>282</v>
      </c>
      <c r="J200" s="508"/>
      <c r="K200" s="345">
        <v>4096.0</v>
      </c>
      <c r="L200" s="346">
        <v>1.0</v>
      </c>
      <c r="M200" s="346">
        <v>576.0</v>
      </c>
      <c r="N200" s="346" t="s">
        <v>283</v>
      </c>
      <c r="O200" s="347"/>
      <c r="P200" s="509">
        <f>SIZEOF_IN_MIB(J200:M200, O199)</f>
        <v>2.25</v>
      </c>
      <c r="Q200" s="347"/>
    </row>
    <row r="201">
      <c r="A201" s="161"/>
      <c r="B201" s="161"/>
      <c r="C201" s="161"/>
      <c r="D201" s="161"/>
      <c r="E201" s="341"/>
      <c r="F201" s="341"/>
      <c r="G201" s="341"/>
      <c r="H201" s="503" t="s">
        <v>302</v>
      </c>
      <c r="I201" s="336" t="s">
        <v>282</v>
      </c>
      <c r="J201" s="504"/>
      <c r="K201" s="504" t="s">
        <v>196</v>
      </c>
      <c r="L201" s="349"/>
      <c r="M201" s="510"/>
      <c r="N201" s="349" t="s">
        <v>283</v>
      </c>
      <c r="O201" s="350"/>
      <c r="P201" s="511"/>
      <c r="Q201" s="350"/>
    </row>
    <row r="202">
      <c r="A202" s="161"/>
      <c r="B202" s="161"/>
      <c r="C202" s="161"/>
      <c r="D202" s="161"/>
      <c r="E202" s="341"/>
      <c r="F202" s="341"/>
      <c r="G202" s="341"/>
      <c r="H202" s="507" t="s">
        <v>303</v>
      </c>
      <c r="I202" s="345" t="s">
        <v>282</v>
      </c>
      <c r="J202" s="508"/>
      <c r="K202" s="346">
        <v>256.0</v>
      </c>
      <c r="L202" s="346">
        <v>1.0</v>
      </c>
      <c r="M202" s="346">
        <v>576.0</v>
      </c>
      <c r="N202" s="346" t="s">
        <v>283</v>
      </c>
      <c r="O202" s="347"/>
      <c r="P202" s="509">
        <f>SIZEOF_IN_MIB(J202:M202, O199)</f>
        <v>0.140625</v>
      </c>
      <c r="Q202" s="347"/>
    </row>
    <row r="203">
      <c r="A203" s="161"/>
      <c r="B203" s="161"/>
      <c r="C203" s="161"/>
      <c r="D203" s="161"/>
      <c r="E203" s="341"/>
      <c r="F203" s="341"/>
      <c r="G203" s="341"/>
      <c r="H203" s="503" t="s">
        <v>304</v>
      </c>
      <c r="I203" s="336" t="s">
        <v>282</v>
      </c>
      <c r="J203" s="504"/>
      <c r="K203" s="504"/>
      <c r="L203" s="510"/>
      <c r="M203" s="510"/>
      <c r="N203" s="349" t="s">
        <v>283</v>
      </c>
      <c r="O203" s="350"/>
      <c r="P203" s="505"/>
      <c r="Q203" s="350"/>
    </row>
    <row r="204">
      <c r="A204" s="161"/>
      <c r="B204" s="161"/>
      <c r="C204" s="161"/>
      <c r="D204" s="161"/>
      <c r="E204" s="341"/>
      <c r="F204" s="341"/>
      <c r="G204" s="352"/>
      <c r="H204" s="507" t="s">
        <v>303</v>
      </c>
      <c r="I204" s="345" t="s">
        <v>282</v>
      </c>
      <c r="J204" s="508"/>
      <c r="K204" s="346">
        <f t="shared" ref="K204:M204" si="36">K200/SHARDING(K203)</f>
        <v>4096</v>
      </c>
      <c r="L204" s="346">
        <f t="shared" si="36"/>
        <v>1</v>
      </c>
      <c r="M204" s="346">
        <f t="shared" si="36"/>
        <v>576</v>
      </c>
      <c r="N204" s="346" t="s">
        <v>283</v>
      </c>
      <c r="O204" s="355"/>
      <c r="P204" s="509">
        <f>SIZEOF_IN_MIB(J204:M204, O199)</f>
        <v>2.25</v>
      </c>
      <c r="Q204" s="355"/>
    </row>
    <row r="205">
      <c r="A205" s="161"/>
      <c r="B205" s="161"/>
      <c r="C205" s="161"/>
      <c r="D205" s="161"/>
      <c r="E205" s="341"/>
      <c r="F205" s="341"/>
      <c r="G205" s="512" t="s">
        <v>305</v>
      </c>
      <c r="H205" s="513"/>
      <c r="I205" s="445"/>
      <c r="J205" s="445"/>
      <c r="K205" s="445"/>
      <c r="L205" s="514"/>
      <c r="M205" s="514"/>
      <c r="N205" s="514"/>
      <c r="O205" s="445"/>
      <c r="P205" s="515"/>
      <c r="Q205" s="445"/>
    </row>
    <row r="206">
      <c r="A206" s="161"/>
      <c r="B206" s="161"/>
      <c r="C206" s="161"/>
      <c r="D206" s="161"/>
      <c r="E206" s="341"/>
      <c r="F206" s="341"/>
      <c r="G206" s="516" t="s">
        <v>306</v>
      </c>
      <c r="H206" s="517">
        <f>SHARDING(K201)*SHARDING(L201)*SHARDING(M201)</f>
        <v>16</v>
      </c>
      <c r="I206" s="508"/>
      <c r="J206" s="508"/>
      <c r="K206" s="508"/>
      <c r="L206" s="518"/>
      <c r="M206" s="518"/>
      <c r="N206" s="518"/>
      <c r="O206" s="508"/>
      <c r="P206" s="519"/>
      <c r="Q206" s="508"/>
    </row>
    <row r="207">
      <c r="A207" s="161"/>
      <c r="B207" s="161"/>
      <c r="C207" s="161"/>
      <c r="D207" s="161"/>
      <c r="E207" s="341"/>
      <c r="F207" s="341"/>
      <c r="G207" s="516" t="s">
        <v>307</v>
      </c>
      <c r="H207" s="520">
        <f>P202 * (H206-1)</f>
        <v>2.109375</v>
      </c>
      <c r="I207" s="504"/>
      <c r="J207" s="504"/>
      <c r="K207" s="504"/>
      <c r="L207" s="510"/>
      <c r="M207" s="510"/>
      <c r="N207" s="510"/>
      <c r="O207" s="504"/>
      <c r="P207" s="511"/>
      <c r="Q207" s="504"/>
    </row>
    <row r="208">
      <c r="A208" s="161"/>
      <c r="B208" s="161"/>
      <c r="C208" s="161"/>
      <c r="D208" s="161"/>
      <c r="E208" s="341"/>
      <c r="F208" s="341"/>
      <c r="G208" s="516" t="s">
        <v>308</v>
      </c>
      <c r="H208" s="521">
        <f>H207*H206</f>
        <v>33.75</v>
      </c>
      <c r="I208" s="508"/>
      <c r="J208" s="508"/>
      <c r="K208" s="508"/>
      <c r="L208" s="518"/>
      <c r="M208" s="518"/>
      <c r="N208" s="518"/>
      <c r="O208" s="508"/>
      <c r="P208" s="519"/>
      <c r="Q208" s="508"/>
    </row>
    <row r="209">
      <c r="A209" s="161"/>
      <c r="B209" s="161"/>
      <c r="C209" s="161"/>
      <c r="D209" s="161"/>
      <c r="E209" s="341"/>
      <c r="F209" s="341"/>
      <c r="G209" s="516" t="s">
        <v>309</v>
      </c>
      <c r="H209" s="503" t="str">
        <f>IFS(H206=8,12,
H206=4,4,
H206=2,1,
H206=1,0,
TRUE,NA())</f>
        <v>#N/A</v>
      </c>
      <c r="I209" s="504"/>
      <c r="J209" s="504"/>
      <c r="K209" s="504"/>
      <c r="L209" s="510"/>
      <c r="M209" s="510"/>
      <c r="N209" s="510"/>
      <c r="O209" s="504"/>
      <c r="P209" s="511"/>
      <c r="Q209" s="504"/>
    </row>
    <row r="210">
      <c r="A210" s="161"/>
      <c r="B210" s="161"/>
      <c r="C210" s="161"/>
      <c r="D210" s="161"/>
      <c r="E210" s="341"/>
      <c r="F210" s="341"/>
      <c r="G210" s="522" t="s">
        <v>310</v>
      </c>
      <c r="H210" s="523">
        <v>1.0</v>
      </c>
      <c r="I210" s="508"/>
      <c r="J210" s="508"/>
      <c r="K210" s="508"/>
      <c r="L210" s="518"/>
      <c r="M210" s="518"/>
      <c r="N210" s="518"/>
      <c r="O210" s="508"/>
      <c r="P210" s="519"/>
      <c r="Q210" s="508"/>
    </row>
    <row r="211">
      <c r="A211" s="161"/>
      <c r="B211" s="161"/>
      <c r="C211" s="161"/>
      <c r="D211" s="161"/>
      <c r="E211" s="341"/>
      <c r="F211" s="341"/>
      <c r="G211" s="524" t="s">
        <v>311</v>
      </c>
      <c r="H211" s="525" t="str">
        <f>ALL_GATHER_CHIP2CHIP_TIME_MS2(H208 * H210, H209)</f>
        <v>#N/A</v>
      </c>
      <c r="I211" s="504"/>
      <c r="J211" s="504"/>
      <c r="K211" s="504"/>
      <c r="L211" s="510"/>
      <c r="M211" s="510"/>
      <c r="N211" s="510"/>
      <c r="O211" s="504"/>
      <c r="P211" s="511"/>
      <c r="Q211" s="504"/>
    </row>
    <row r="212">
      <c r="A212" s="161"/>
      <c r="B212" s="161"/>
      <c r="C212" s="161"/>
      <c r="D212" s="161"/>
      <c r="E212" s="341"/>
      <c r="F212" s="341"/>
      <c r="G212" s="522"/>
      <c r="H212" s="526"/>
      <c r="I212" s="508"/>
      <c r="J212" s="508"/>
      <c r="K212" s="508"/>
      <c r="L212" s="518"/>
      <c r="M212" s="518"/>
      <c r="N212" s="518"/>
      <c r="O212" s="508"/>
      <c r="P212" s="519"/>
      <c r="Q212" s="508"/>
    </row>
    <row r="213">
      <c r="A213" s="161"/>
      <c r="B213" s="161"/>
      <c r="C213" s="161"/>
      <c r="D213" s="161"/>
      <c r="E213" s="341"/>
      <c r="F213" s="341"/>
      <c r="G213" s="512" t="s">
        <v>312</v>
      </c>
      <c r="H213" s="513"/>
      <c r="I213" s="445"/>
      <c r="J213" s="445"/>
      <c r="K213" s="445"/>
      <c r="L213" s="514"/>
      <c r="M213" s="514"/>
      <c r="N213" s="514"/>
      <c r="O213" s="445"/>
      <c r="P213" s="515"/>
      <c r="Q213" s="445"/>
    </row>
    <row r="214">
      <c r="A214" s="161"/>
      <c r="B214" s="161"/>
      <c r="C214" s="161"/>
      <c r="D214" s="161"/>
      <c r="E214" s="341"/>
      <c r="F214" s="341"/>
      <c r="G214" s="527" t="s">
        <v>313</v>
      </c>
      <c r="H214" s="528" t="s">
        <v>306</v>
      </c>
      <c r="I214" s="508"/>
      <c r="J214" s="529" t="str">
        <f>SHARDING(K201)*SHARDING(L201)*SHARDING(M201)/HW_SPEC("# of TensorCore per Chip")</f>
        <v>#N/A</v>
      </c>
      <c r="K214" s="508"/>
      <c r="L214" s="518"/>
      <c r="M214" s="518"/>
      <c r="N214" s="518"/>
      <c r="O214" s="508"/>
      <c r="P214" s="519"/>
      <c r="Q214" s="508"/>
    </row>
    <row r="215">
      <c r="A215" s="161"/>
      <c r="B215" s="161"/>
      <c r="C215" s="161"/>
      <c r="D215" s="161"/>
      <c r="E215" s="341"/>
      <c r="F215" s="341"/>
      <c r="G215" s="341"/>
      <c r="H215" s="530" t="s">
        <v>307</v>
      </c>
      <c r="I215" s="504"/>
      <c r="J215" s="520" t="str">
        <f>P202 * HW_SPEC("# of TensorCore per Chip") * (J214-1)</f>
        <v>#N/A</v>
      </c>
      <c r="K215" s="504"/>
      <c r="L215" s="510"/>
      <c r="M215" s="510"/>
      <c r="N215" s="510"/>
      <c r="O215" s="504"/>
      <c r="P215" s="511"/>
      <c r="Q215" s="504"/>
    </row>
    <row r="216">
      <c r="A216" s="161"/>
      <c r="B216" s="161"/>
      <c r="C216" s="161"/>
      <c r="D216" s="161"/>
      <c r="E216" s="341"/>
      <c r="F216" s="341"/>
      <c r="G216" s="341"/>
      <c r="H216" s="528" t="s">
        <v>308</v>
      </c>
      <c r="I216" s="508"/>
      <c r="J216" s="521" t="str">
        <f>J215*J214</f>
        <v>#N/A</v>
      </c>
      <c r="K216" s="508"/>
      <c r="L216" s="518"/>
      <c r="M216" s="518"/>
      <c r="N216" s="518"/>
      <c r="O216" s="508"/>
      <c r="P216" s="519"/>
      <c r="Q216" s="508"/>
    </row>
    <row r="217">
      <c r="A217" s="161"/>
      <c r="B217" s="161"/>
      <c r="C217" s="161"/>
      <c r="D217" s="161"/>
      <c r="E217" s="341"/>
      <c r="F217" s="341"/>
      <c r="G217" s="341"/>
      <c r="H217" s="530" t="s">
        <v>309</v>
      </c>
      <c r="I217" s="504"/>
      <c r="J217" s="531" t="str">
        <f>IFS(J214=8,12,
J214=4,4,
J214=2,1,
J214=1,0,
TRUE,NA())</f>
        <v>#N/A</v>
      </c>
      <c r="K217" s="504"/>
      <c r="L217" s="510"/>
      <c r="M217" s="510"/>
      <c r="N217" s="510"/>
      <c r="O217" s="504"/>
      <c r="P217" s="511"/>
      <c r="Q217" s="504"/>
    </row>
    <row r="218">
      <c r="A218" s="161"/>
      <c r="B218" s="161"/>
      <c r="C218" s="161"/>
      <c r="D218" s="161"/>
      <c r="E218" s="341"/>
      <c r="F218" s="341"/>
      <c r="G218" s="341"/>
      <c r="H218" s="526" t="s">
        <v>310</v>
      </c>
      <c r="I218" s="508"/>
      <c r="J218" s="345">
        <v>2.0</v>
      </c>
      <c r="K218" s="508"/>
      <c r="L218" s="518"/>
      <c r="M218" s="518"/>
      <c r="N218" s="518"/>
      <c r="O218" s="508"/>
      <c r="P218" s="519"/>
      <c r="Q218" s="508"/>
    </row>
    <row r="219">
      <c r="A219" s="161"/>
      <c r="B219" s="161"/>
      <c r="C219" s="161"/>
      <c r="D219" s="161"/>
      <c r="E219" s="341"/>
      <c r="F219" s="341"/>
      <c r="G219" s="352"/>
      <c r="H219" s="530" t="s">
        <v>311</v>
      </c>
      <c r="I219" s="504"/>
      <c r="J219" s="532" t="str">
        <f>ALL_GATHER_CHIP2CHIP_TIME_MS2(J216 * J218, J217)</f>
        <v>#N/A</v>
      </c>
      <c r="K219" s="504"/>
      <c r="L219" s="510"/>
      <c r="M219" s="510"/>
      <c r="N219" s="510"/>
      <c r="O219" s="504"/>
      <c r="P219" s="511"/>
      <c r="Q219" s="504"/>
    </row>
    <row r="220">
      <c r="A220" s="161"/>
      <c r="B220" s="161"/>
      <c r="C220" s="161"/>
      <c r="D220" s="161"/>
      <c r="E220" s="341"/>
      <c r="F220" s="341"/>
      <c r="G220" s="527" t="s">
        <v>314</v>
      </c>
      <c r="H220" s="528" t="s">
        <v>306</v>
      </c>
      <c r="I220" s="508"/>
      <c r="J220" s="533" t="str">
        <f>HW_SPEC("# of TensorCore per Chip")</f>
        <v>#N/A</v>
      </c>
      <c r="K220" s="508"/>
      <c r="L220" s="518"/>
      <c r="M220" s="518"/>
      <c r="N220" s="518"/>
      <c r="O220" s="508"/>
      <c r="P220" s="519"/>
      <c r="Q220" s="508"/>
    </row>
    <row r="221">
      <c r="A221" s="161"/>
      <c r="B221" s="161"/>
      <c r="C221" s="161"/>
      <c r="D221" s="161"/>
      <c r="E221" s="341"/>
      <c r="F221" s="341"/>
      <c r="G221" s="341"/>
      <c r="H221" s="530" t="s">
        <v>307</v>
      </c>
      <c r="I221" s="504"/>
      <c r="J221" s="520" t="str">
        <f>P202*J214 * (J220-1)</f>
        <v>#N/A</v>
      </c>
      <c r="K221" s="504"/>
      <c r="L221" s="510"/>
      <c r="M221" s="510"/>
      <c r="N221" s="510"/>
      <c r="O221" s="504"/>
      <c r="P221" s="511"/>
      <c r="Q221" s="504"/>
    </row>
    <row r="222">
      <c r="A222" s="161"/>
      <c r="B222" s="161"/>
      <c r="C222" s="161"/>
      <c r="D222" s="161"/>
      <c r="E222" s="341"/>
      <c r="F222" s="341"/>
      <c r="G222" s="341"/>
      <c r="H222" s="528" t="s">
        <v>308</v>
      </c>
      <c r="I222" s="508"/>
      <c r="J222" s="521" t="str">
        <f>J221*J220</f>
        <v>#N/A</v>
      </c>
      <c r="K222" s="508"/>
      <c r="L222" s="518"/>
      <c r="M222" s="518"/>
      <c r="N222" s="518"/>
      <c r="O222" s="508"/>
      <c r="P222" s="519"/>
      <c r="Q222" s="508"/>
    </row>
    <row r="223">
      <c r="A223" s="161"/>
      <c r="B223" s="161"/>
      <c r="C223" s="161"/>
      <c r="D223" s="161"/>
      <c r="E223" s="341"/>
      <c r="F223" s="341"/>
      <c r="G223" s="341"/>
      <c r="H223" s="530" t="s">
        <v>311</v>
      </c>
      <c r="I223" s="504"/>
      <c r="J223" s="534" t="str">
        <f>ALL_GATHER_CORE2CORE_TIME_MS(J222)</f>
        <v>#N/A</v>
      </c>
      <c r="K223" s="504"/>
      <c r="L223" s="510"/>
      <c r="M223" s="510"/>
      <c r="N223" s="510"/>
      <c r="O223" s="504"/>
      <c r="P223" s="511"/>
      <c r="Q223" s="504"/>
    </row>
    <row r="224">
      <c r="A224" s="161"/>
      <c r="B224" s="161"/>
      <c r="C224" s="161"/>
      <c r="D224" s="161"/>
      <c r="E224" s="341"/>
      <c r="F224" s="341"/>
      <c r="G224" s="352"/>
      <c r="H224" s="535" t="s">
        <v>346</v>
      </c>
      <c r="I224" s="508"/>
      <c r="J224" s="536" t="str">
        <f>J223/J214</f>
        <v>#N/A</v>
      </c>
      <c r="K224" s="508"/>
      <c r="L224" s="518"/>
      <c r="M224" s="518"/>
      <c r="N224" s="518"/>
      <c r="O224" s="508"/>
      <c r="P224" s="519"/>
      <c r="Q224" s="508"/>
    </row>
    <row r="225">
      <c r="A225" s="161"/>
      <c r="B225" s="161"/>
      <c r="C225" s="161"/>
      <c r="D225" s="161"/>
      <c r="E225" s="341"/>
      <c r="F225" s="341"/>
      <c r="G225" s="524" t="s">
        <v>316</v>
      </c>
      <c r="H225" s="537" t="str">
        <f>J219+J224</f>
        <v>#N/A</v>
      </c>
      <c r="I225" s="504"/>
      <c r="J225" s="538"/>
      <c r="K225" s="504"/>
      <c r="L225" s="510"/>
      <c r="M225" s="510"/>
      <c r="N225" s="510"/>
      <c r="O225" s="504"/>
      <c r="P225" s="511"/>
      <c r="Q225" s="504"/>
    </row>
    <row r="226">
      <c r="A226" s="161"/>
      <c r="B226" s="161"/>
      <c r="C226" s="161"/>
      <c r="D226" s="161"/>
      <c r="E226" s="341"/>
      <c r="F226" s="341"/>
      <c r="G226" s="522"/>
      <c r="H226" s="539"/>
      <c r="I226" s="508"/>
      <c r="J226" s="540"/>
      <c r="K226" s="508"/>
      <c r="L226" s="518"/>
      <c r="M226" s="518"/>
      <c r="N226" s="518"/>
      <c r="O226" s="508"/>
      <c r="P226" s="519"/>
      <c r="Q226" s="508"/>
    </row>
    <row r="227">
      <c r="A227" s="161"/>
      <c r="B227" s="161"/>
      <c r="C227" s="161"/>
      <c r="D227" s="161"/>
      <c r="E227" s="341"/>
      <c r="F227" s="341"/>
      <c r="G227" s="541" t="s">
        <v>322</v>
      </c>
      <c r="H227" s="444" t="s">
        <v>323</v>
      </c>
      <c r="I227" s="445"/>
      <c r="J227" s="445"/>
      <c r="K227" s="445"/>
      <c r="L227" s="514"/>
      <c r="M227" s="514"/>
      <c r="N227" s="514"/>
      <c r="O227" s="445"/>
      <c r="P227" s="515"/>
      <c r="Q227" s="445"/>
    </row>
    <row r="228">
      <c r="A228" s="161"/>
      <c r="B228" s="161"/>
      <c r="C228" s="161"/>
      <c r="D228" s="161"/>
      <c r="E228" s="341"/>
      <c r="F228" s="341"/>
      <c r="G228" s="541" t="s">
        <v>340</v>
      </c>
      <c r="H228" s="542">
        <f>IFS(H227=G205,H211,
H227=G213,H225 ,
TRUE,0)</f>
        <v>0</v>
      </c>
      <c r="I228" s="445"/>
      <c r="J228" s="445"/>
      <c r="K228" s="445"/>
      <c r="L228" s="514"/>
      <c r="M228" s="514"/>
      <c r="N228" s="514"/>
      <c r="O228" s="445"/>
      <c r="P228" s="543"/>
      <c r="Q228" s="445"/>
    </row>
    <row r="229">
      <c r="A229" s="161"/>
      <c r="B229" s="161"/>
      <c r="C229" s="161"/>
      <c r="D229" s="161"/>
      <c r="E229" s="333" t="s">
        <v>347</v>
      </c>
      <c r="F229" s="357" t="s">
        <v>292</v>
      </c>
      <c r="G229" s="335"/>
      <c r="H229" s="364" t="s">
        <v>281</v>
      </c>
      <c r="I229" s="364" t="s">
        <v>282</v>
      </c>
      <c r="J229" s="273" t="s">
        <v>104</v>
      </c>
      <c r="K229" s="273" t="s">
        <v>102</v>
      </c>
      <c r="L229" s="273" t="s">
        <v>207</v>
      </c>
      <c r="M229" s="472" t="s">
        <v>198</v>
      </c>
      <c r="N229" s="364" t="s">
        <v>283</v>
      </c>
      <c r="O229" s="365" t="str">
        <f>PARAMS("attn_kv_k_dtype")</f>
        <v>bf16</v>
      </c>
      <c r="P229" s="366"/>
      <c r="Q229" s="365" t="b">
        <v>0</v>
      </c>
    </row>
    <row r="230">
      <c r="A230" s="161"/>
      <c r="B230" s="161"/>
      <c r="C230" s="161"/>
      <c r="D230" s="161"/>
      <c r="E230" s="341"/>
      <c r="F230" s="342"/>
      <c r="G230" s="343"/>
      <c r="H230" s="273" t="s">
        <v>285</v>
      </c>
      <c r="I230" s="364" t="s">
        <v>282</v>
      </c>
      <c r="J230" s="363">
        <f t="shared" ref="J230:M230" si="37">PARAMS(J229)</f>
        <v>4096</v>
      </c>
      <c r="K230" s="364">
        <f t="shared" si="37"/>
        <v>1</v>
      </c>
      <c r="L230" s="364">
        <f t="shared" si="37"/>
        <v>128</v>
      </c>
      <c r="M230" s="364">
        <f t="shared" si="37"/>
        <v>512</v>
      </c>
      <c r="N230" s="364" t="s">
        <v>283</v>
      </c>
      <c r="O230" s="341"/>
      <c r="P230" s="366">
        <f>SIZEOF_IN_MIB(J230:M230, $O229)</f>
        <v>512</v>
      </c>
      <c r="Q230" s="341"/>
    </row>
    <row r="231">
      <c r="A231" s="161"/>
      <c r="B231" s="161"/>
      <c r="C231" s="161"/>
      <c r="D231" s="161"/>
      <c r="E231" s="341"/>
      <c r="F231" s="342"/>
      <c r="G231" s="343"/>
      <c r="H231" s="363" t="s">
        <v>287</v>
      </c>
      <c r="I231" s="363" t="s">
        <v>282</v>
      </c>
      <c r="J231" s="273" t="s">
        <v>196</v>
      </c>
      <c r="K231" s="273"/>
      <c r="L231" s="273"/>
      <c r="M231" s="363"/>
      <c r="N231" s="363" t="s">
        <v>283</v>
      </c>
      <c r="O231" s="341"/>
      <c r="P231" s="366"/>
      <c r="Q231" s="341"/>
    </row>
    <row r="232">
      <c r="A232" s="161"/>
      <c r="B232" s="161"/>
      <c r="C232" s="161"/>
      <c r="D232" s="161"/>
      <c r="E232" s="341"/>
      <c r="F232" s="353"/>
      <c r="G232" s="354"/>
      <c r="H232" s="273" t="s">
        <v>289</v>
      </c>
      <c r="I232" s="363" t="s">
        <v>282</v>
      </c>
      <c r="J232" s="363">
        <f t="shared" ref="J232:M232" si="38">J230/SHARDING(J231)</f>
        <v>256</v>
      </c>
      <c r="K232" s="363">
        <f t="shared" si="38"/>
        <v>1</v>
      </c>
      <c r="L232" s="363">
        <f t="shared" si="38"/>
        <v>128</v>
      </c>
      <c r="M232" s="363">
        <f t="shared" si="38"/>
        <v>512</v>
      </c>
      <c r="N232" s="363" t="s">
        <v>283</v>
      </c>
      <c r="O232" s="352"/>
      <c r="P232" s="366">
        <f>SIZEOF_IN_MIB(J232:M232, $O229)</f>
        <v>32</v>
      </c>
      <c r="Q232" s="352"/>
    </row>
    <row r="233">
      <c r="A233" s="161"/>
      <c r="B233" s="161"/>
      <c r="C233" s="161"/>
      <c r="D233" s="161"/>
      <c r="E233" s="341"/>
      <c r="F233" s="334" t="s">
        <v>296</v>
      </c>
      <c r="G233" s="335"/>
      <c r="H233" s="363" t="s">
        <v>281</v>
      </c>
      <c r="I233" s="363" t="s">
        <v>282</v>
      </c>
      <c r="J233" s="364"/>
      <c r="K233" s="273" t="s">
        <v>104</v>
      </c>
      <c r="L233" s="273" t="s">
        <v>106</v>
      </c>
      <c r="M233" s="472" t="s">
        <v>198</v>
      </c>
      <c r="N233" s="363" t="s">
        <v>283</v>
      </c>
      <c r="O233" s="365" t="str">
        <f>PARAMS("kv_dtype")</f>
        <v>fp8</v>
      </c>
      <c r="P233" s="366"/>
      <c r="Q233" s="365" t="b">
        <v>0</v>
      </c>
    </row>
    <row r="234">
      <c r="E234" s="341"/>
      <c r="F234" s="342"/>
      <c r="G234" s="343"/>
      <c r="H234" s="273" t="s">
        <v>285</v>
      </c>
      <c r="I234" s="363" t="s">
        <v>282</v>
      </c>
      <c r="J234" s="364"/>
      <c r="K234" s="363">
        <f t="shared" ref="K234:M234" si="39">PARAMS(K233)</f>
        <v>4096</v>
      </c>
      <c r="L234" s="363">
        <f t="shared" si="39"/>
        <v>5120</v>
      </c>
      <c r="M234" s="363">
        <f t="shared" si="39"/>
        <v>512</v>
      </c>
      <c r="N234" s="363" t="s">
        <v>283</v>
      </c>
      <c r="O234" s="341"/>
      <c r="P234" s="366">
        <f>SIZEOF_IN_MIB(J234:M234, $O233)</f>
        <v>10240</v>
      </c>
      <c r="Q234" s="341"/>
    </row>
    <row r="235">
      <c r="E235" s="341"/>
      <c r="F235" s="342"/>
      <c r="G235" s="343"/>
      <c r="H235" s="363" t="s">
        <v>287</v>
      </c>
      <c r="I235" s="363" t="s">
        <v>282</v>
      </c>
      <c r="J235" s="364"/>
      <c r="K235" s="273" t="s">
        <v>196</v>
      </c>
      <c r="L235" s="363"/>
      <c r="M235" s="363"/>
      <c r="N235" s="363" t="s">
        <v>283</v>
      </c>
      <c r="O235" s="341"/>
      <c r="P235" s="366"/>
      <c r="Q235" s="341"/>
    </row>
    <row r="236">
      <c r="E236" s="341"/>
      <c r="F236" s="353"/>
      <c r="G236" s="354"/>
      <c r="H236" s="349" t="s">
        <v>289</v>
      </c>
      <c r="I236" s="349" t="s">
        <v>282</v>
      </c>
      <c r="J236" s="336"/>
      <c r="K236" s="349">
        <f t="shared" ref="K236:M236" si="40">K234/SHARDING(K235)</f>
        <v>256</v>
      </c>
      <c r="L236" s="349">
        <f t="shared" si="40"/>
        <v>5120</v>
      </c>
      <c r="M236" s="349">
        <f t="shared" si="40"/>
        <v>512</v>
      </c>
      <c r="N236" s="349" t="s">
        <v>283</v>
      </c>
      <c r="O236" s="316"/>
      <c r="P236" s="351">
        <f>SIZEOF_IN_MIB(J236:M236, $O233)</f>
        <v>640</v>
      </c>
      <c r="Q236" s="316"/>
    </row>
    <row r="237">
      <c r="E237" s="341"/>
      <c r="F237" s="334" t="s">
        <v>56</v>
      </c>
      <c r="G237" s="335"/>
      <c r="H237" s="346" t="s">
        <v>281</v>
      </c>
      <c r="I237" s="346" t="s">
        <v>282</v>
      </c>
      <c r="J237" s="344" t="s">
        <v>104</v>
      </c>
      <c r="K237" s="344" t="s">
        <v>102</v>
      </c>
      <c r="L237" s="344" t="s">
        <v>106</v>
      </c>
      <c r="M237" s="344" t="s">
        <v>207</v>
      </c>
      <c r="N237" s="346" t="s">
        <v>283</v>
      </c>
      <c r="O237" s="473" t="s">
        <v>133</v>
      </c>
      <c r="P237" s="348"/>
      <c r="Q237" s="473" t="b">
        <v>1</v>
      </c>
    </row>
    <row r="238">
      <c r="E238" s="341"/>
      <c r="F238" s="342"/>
      <c r="G238" s="343"/>
      <c r="H238" s="337" t="s">
        <v>285</v>
      </c>
      <c r="I238" s="349" t="s">
        <v>282</v>
      </c>
      <c r="J238" s="349">
        <f t="shared" ref="J238:M238" si="41">PARAMS(J237)</f>
        <v>4096</v>
      </c>
      <c r="K238" s="349">
        <f t="shared" si="41"/>
        <v>1</v>
      </c>
      <c r="L238" s="349">
        <f t="shared" si="41"/>
        <v>5120</v>
      </c>
      <c r="M238" s="349">
        <f t="shared" si="41"/>
        <v>128</v>
      </c>
      <c r="N238" s="349" t="s">
        <v>283</v>
      </c>
      <c r="O238" s="350"/>
      <c r="P238" s="351">
        <f>SIZEOF_IN_MIB(J238:M238, $O237)</f>
        <v>5120</v>
      </c>
      <c r="Q238" s="350"/>
    </row>
    <row r="239">
      <c r="E239" s="341"/>
      <c r="F239" s="342"/>
      <c r="G239" s="343"/>
      <c r="H239" s="346" t="s">
        <v>287</v>
      </c>
      <c r="I239" s="346" t="s">
        <v>282</v>
      </c>
      <c r="J239" s="344" t="s">
        <v>196</v>
      </c>
      <c r="K239" s="344"/>
      <c r="L239" s="344"/>
      <c r="M239" s="346"/>
      <c r="N239" s="346" t="s">
        <v>283</v>
      </c>
      <c r="O239" s="347"/>
      <c r="P239" s="348"/>
      <c r="Q239" s="347"/>
    </row>
    <row r="240">
      <c r="E240" s="341"/>
      <c r="F240" s="353"/>
      <c r="G240" s="354"/>
      <c r="H240" s="349" t="s">
        <v>289</v>
      </c>
      <c r="I240" s="349" t="s">
        <v>282</v>
      </c>
      <c r="J240" s="349">
        <f t="shared" ref="J240:M240" si="42">J238/SHARDING(J239)</f>
        <v>256</v>
      </c>
      <c r="K240" s="349">
        <f t="shared" si="42"/>
        <v>1</v>
      </c>
      <c r="L240" s="349">
        <f t="shared" si="42"/>
        <v>5120</v>
      </c>
      <c r="M240" s="349">
        <f t="shared" si="42"/>
        <v>128</v>
      </c>
      <c r="N240" s="349" t="s">
        <v>283</v>
      </c>
      <c r="O240" s="316"/>
      <c r="P240" s="351">
        <f>SIZEOF_IN_MIB(J240:M240, $O237)</f>
        <v>320</v>
      </c>
      <c r="Q240" s="316"/>
    </row>
    <row r="241">
      <c r="E241" s="341"/>
      <c r="F241" s="474" t="s">
        <v>335</v>
      </c>
      <c r="G241" s="459" t="s">
        <v>109</v>
      </c>
      <c r="H241" s="544" t="s">
        <v>348</v>
      </c>
      <c r="I241" s="345"/>
      <c r="J241" s="345"/>
      <c r="K241" s="345"/>
      <c r="L241" s="346"/>
      <c r="M241" s="346"/>
      <c r="N241" s="346"/>
      <c r="O241" s="545"/>
      <c r="P241" s="348"/>
      <c r="Q241" s="545"/>
    </row>
    <row r="242">
      <c r="E242" s="341"/>
      <c r="F242" s="352"/>
      <c r="G242" s="459"/>
      <c r="H242" s="349"/>
      <c r="I242" s="492"/>
      <c r="J242" s="336"/>
      <c r="K242" s="336"/>
      <c r="L242" s="349"/>
      <c r="M242" s="349"/>
      <c r="N242" s="349"/>
      <c r="O242" s="336"/>
      <c r="P242" s="351"/>
      <c r="Q242" s="298"/>
    </row>
    <row r="243">
      <c r="E243" s="341"/>
      <c r="F243" s="458" t="s">
        <v>327</v>
      </c>
      <c r="G243" s="459" t="s">
        <v>328</v>
      </c>
      <c r="H243" s="346" t="str">
        <f>VLOOKUP(O229&amp;","&amp;O233,$T$3:$W$12,4, FALSE)</f>
        <v>bf16</v>
      </c>
      <c r="I243" s="493"/>
      <c r="J243" s="345"/>
      <c r="K243" s="345"/>
      <c r="L243" s="346"/>
      <c r="M243" s="346"/>
      <c r="N243" s="346"/>
      <c r="O243" s="345"/>
      <c r="P243" s="348"/>
      <c r="Q243" s="379"/>
    </row>
    <row r="244">
      <c r="E244" s="341"/>
      <c r="F244" s="341"/>
      <c r="G244" s="455" t="s">
        <v>341</v>
      </c>
      <c r="H244" s="494" t="str">
        <f>CALCULATE_FLOPS(J232:M232,J236:M236,M236,K236,H243)</f>
        <v>#N/A</v>
      </c>
      <c r="I244" s="492"/>
      <c r="J244" s="336"/>
      <c r="K244" s="336"/>
      <c r="L244" s="349"/>
      <c r="M244" s="349"/>
      <c r="N244" s="349"/>
      <c r="O244" s="336"/>
      <c r="P244" s="351"/>
      <c r="Q244" s="298"/>
    </row>
    <row r="245">
      <c r="E245" s="341"/>
      <c r="F245" s="352"/>
      <c r="G245" s="462" t="s">
        <v>330</v>
      </c>
      <c r="H245" s="463" t="str">
        <f>COMPUTE_TIME_MS(H244, H243)</f>
        <v>#N/A</v>
      </c>
      <c r="I245" s="464"/>
      <c r="J245" s="465"/>
      <c r="K245" s="465"/>
      <c r="L245" s="466"/>
      <c r="M245" s="466"/>
      <c r="N245" s="466"/>
      <c r="O245" s="465"/>
      <c r="P245" s="467"/>
      <c r="Q245" s="379"/>
    </row>
    <row r="246">
      <c r="E246" s="341"/>
      <c r="F246" s="458" t="s">
        <v>331</v>
      </c>
      <c r="G246" s="455" t="s">
        <v>332</v>
      </c>
      <c r="H246" s="377">
        <f>IF(Q229,0,P232)+IF(Q233,0,P236)+IF(Q237,0,P240)</f>
        <v>672</v>
      </c>
      <c r="I246" s="336"/>
      <c r="J246" s="336"/>
      <c r="K246" s="336"/>
      <c r="L246" s="349"/>
      <c r="M246" s="349"/>
      <c r="N246" s="349"/>
      <c r="O246" s="336"/>
      <c r="P246" s="351"/>
      <c r="Q246" s="298"/>
    </row>
    <row r="247">
      <c r="E247" s="352"/>
      <c r="F247" s="352"/>
      <c r="G247" s="469" t="s">
        <v>333</v>
      </c>
      <c r="H247" s="500" t="str">
        <f>HBM_TIME_MS(H246)</f>
        <v>#N/A</v>
      </c>
      <c r="I247" s="465"/>
      <c r="J247" s="465"/>
      <c r="K247" s="465"/>
      <c r="L247" s="466"/>
      <c r="M247" s="466"/>
      <c r="N247" s="466"/>
      <c r="O247" s="465"/>
      <c r="P247" s="467"/>
      <c r="Q247" s="379"/>
    </row>
    <row r="248">
      <c r="E248" s="333" t="s">
        <v>349</v>
      </c>
      <c r="F248" s="357" t="s">
        <v>292</v>
      </c>
      <c r="G248" s="335"/>
      <c r="H248" s="364" t="s">
        <v>281</v>
      </c>
      <c r="I248" s="364" t="s">
        <v>282</v>
      </c>
      <c r="J248" s="273" t="s">
        <v>104</v>
      </c>
      <c r="K248" s="273" t="s">
        <v>102</v>
      </c>
      <c r="L248" s="273" t="s">
        <v>207</v>
      </c>
      <c r="M248" s="472" t="s">
        <v>204</v>
      </c>
      <c r="N248" s="364" t="s">
        <v>283</v>
      </c>
      <c r="O248" s="365" t="str">
        <f>PARAMS("attn_kv_k_dtype")</f>
        <v>bf16</v>
      </c>
      <c r="P248" s="366"/>
      <c r="Q248" s="365" t="b">
        <v>0</v>
      </c>
    </row>
    <row r="249">
      <c r="E249" s="341"/>
      <c r="F249" s="342"/>
      <c r="G249" s="343"/>
      <c r="H249" s="273" t="s">
        <v>285</v>
      </c>
      <c r="I249" s="364" t="s">
        <v>282</v>
      </c>
      <c r="J249" s="363">
        <f t="shared" ref="J249:M249" si="43">PARAMS(J248)</f>
        <v>4096</v>
      </c>
      <c r="K249" s="364">
        <f t="shared" si="43"/>
        <v>1</v>
      </c>
      <c r="L249" s="364">
        <f t="shared" si="43"/>
        <v>128</v>
      </c>
      <c r="M249" s="364">
        <f t="shared" si="43"/>
        <v>64</v>
      </c>
      <c r="N249" s="364" t="s">
        <v>283</v>
      </c>
      <c r="O249" s="341"/>
      <c r="P249" s="366">
        <f>SIZEOF_IN_MIB(J249:M249, $O248)</f>
        <v>64</v>
      </c>
      <c r="Q249" s="341"/>
    </row>
    <row r="250">
      <c r="E250" s="341"/>
      <c r="F250" s="342"/>
      <c r="G250" s="343"/>
      <c r="H250" s="363" t="s">
        <v>287</v>
      </c>
      <c r="I250" s="363" t="s">
        <v>282</v>
      </c>
      <c r="J250" s="273" t="s">
        <v>196</v>
      </c>
      <c r="K250" s="273"/>
      <c r="L250" s="273"/>
      <c r="M250" s="363"/>
      <c r="N250" s="363" t="s">
        <v>283</v>
      </c>
      <c r="O250" s="341"/>
      <c r="P250" s="366"/>
      <c r="Q250" s="341"/>
    </row>
    <row r="251">
      <c r="E251" s="341"/>
      <c r="F251" s="353"/>
      <c r="G251" s="354"/>
      <c r="H251" s="273" t="s">
        <v>289</v>
      </c>
      <c r="I251" s="363" t="s">
        <v>282</v>
      </c>
      <c r="J251" s="363">
        <f t="shared" ref="J251:M251" si="44">J249/SHARDING(J250)</f>
        <v>256</v>
      </c>
      <c r="K251" s="363">
        <f t="shared" si="44"/>
        <v>1</v>
      </c>
      <c r="L251" s="363">
        <f t="shared" si="44"/>
        <v>128</v>
      </c>
      <c r="M251" s="363">
        <f t="shared" si="44"/>
        <v>64</v>
      </c>
      <c r="N251" s="363" t="s">
        <v>283</v>
      </c>
      <c r="O251" s="352"/>
      <c r="P251" s="366">
        <f>SIZEOF_IN_MIB(J251:M251, $O248)</f>
        <v>4</v>
      </c>
      <c r="Q251" s="352"/>
    </row>
    <row r="252">
      <c r="E252" s="341"/>
      <c r="F252" s="334" t="s">
        <v>296</v>
      </c>
      <c r="G252" s="335"/>
      <c r="H252" s="363" t="s">
        <v>281</v>
      </c>
      <c r="I252" s="363" t="s">
        <v>282</v>
      </c>
      <c r="J252" s="364"/>
      <c r="K252" s="273" t="s">
        <v>104</v>
      </c>
      <c r="L252" s="273" t="s">
        <v>106</v>
      </c>
      <c r="M252" s="472" t="s">
        <v>204</v>
      </c>
      <c r="N252" s="363" t="s">
        <v>283</v>
      </c>
      <c r="O252" s="365" t="str">
        <f>PARAMS("kv_dtype")</f>
        <v>fp8</v>
      </c>
      <c r="P252" s="366"/>
      <c r="Q252" s="365" t="b">
        <v>0</v>
      </c>
    </row>
    <row r="253">
      <c r="E253" s="341"/>
      <c r="F253" s="342"/>
      <c r="G253" s="343"/>
      <c r="H253" s="273" t="s">
        <v>285</v>
      </c>
      <c r="I253" s="363" t="s">
        <v>282</v>
      </c>
      <c r="J253" s="364"/>
      <c r="K253" s="363">
        <f t="shared" ref="K253:M253" si="45">PARAMS(K252)</f>
        <v>4096</v>
      </c>
      <c r="L253" s="363">
        <f t="shared" si="45"/>
        <v>5120</v>
      </c>
      <c r="M253" s="363">
        <f t="shared" si="45"/>
        <v>64</v>
      </c>
      <c r="N253" s="363" t="s">
        <v>283</v>
      </c>
      <c r="O253" s="341"/>
      <c r="P253" s="366">
        <f>SIZEOF_IN_MIB(J253:M253, $O252)</f>
        <v>1280</v>
      </c>
      <c r="Q253" s="341"/>
    </row>
    <row r="254">
      <c r="E254" s="341"/>
      <c r="F254" s="342"/>
      <c r="G254" s="343"/>
      <c r="H254" s="363" t="s">
        <v>287</v>
      </c>
      <c r="I254" s="363" t="s">
        <v>282</v>
      </c>
      <c r="J254" s="364"/>
      <c r="K254" s="273" t="s">
        <v>196</v>
      </c>
      <c r="L254" s="363"/>
      <c r="M254" s="363"/>
      <c r="N254" s="363" t="s">
        <v>283</v>
      </c>
      <c r="O254" s="341"/>
      <c r="P254" s="366"/>
      <c r="Q254" s="341"/>
    </row>
    <row r="255">
      <c r="E255" s="341"/>
      <c r="F255" s="353"/>
      <c r="G255" s="354"/>
      <c r="H255" s="349" t="s">
        <v>289</v>
      </c>
      <c r="I255" s="349" t="s">
        <v>282</v>
      </c>
      <c r="J255" s="336"/>
      <c r="K255" s="349">
        <f t="shared" ref="K255:M255" si="46">K253/SHARDING(K254)</f>
        <v>256</v>
      </c>
      <c r="L255" s="349">
        <f t="shared" si="46"/>
        <v>5120</v>
      </c>
      <c r="M255" s="349">
        <f t="shared" si="46"/>
        <v>64</v>
      </c>
      <c r="N255" s="349" t="s">
        <v>283</v>
      </c>
      <c r="O255" s="316"/>
      <c r="P255" s="351">
        <f>SIZEOF_IN_MIB(J255:M255, $O252)</f>
        <v>80</v>
      </c>
      <c r="Q255" s="316"/>
    </row>
    <row r="256">
      <c r="E256" s="341"/>
      <c r="F256" s="334" t="s">
        <v>56</v>
      </c>
      <c r="G256" s="335"/>
      <c r="H256" s="346" t="s">
        <v>281</v>
      </c>
      <c r="I256" s="346" t="s">
        <v>282</v>
      </c>
      <c r="J256" s="344" t="s">
        <v>104</v>
      </c>
      <c r="K256" s="344" t="s">
        <v>102</v>
      </c>
      <c r="L256" s="344" t="s">
        <v>106</v>
      </c>
      <c r="M256" s="344" t="s">
        <v>207</v>
      </c>
      <c r="N256" s="346" t="s">
        <v>283</v>
      </c>
      <c r="O256" s="546" t="s">
        <v>133</v>
      </c>
      <c r="P256" s="348"/>
      <c r="Q256" s="473" t="b">
        <v>1</v>
      </c>
    </row>
    <row r="257">
      <c r="E257" s="341"/>
      <c r="F257" s="342"/>
      <c r="G257" s="343"/>
      <c r="H257" s="337" t="s">
        <v>285</v>
      </c>
      <c r="I257" s="349" t="s">
        <v>282</v>
      </c>
      <c r="J257" s="349">
        <f t="shared" ref="J257:M257" si="47">PARAMS(J256)</f>
        <v>4096</v>
      </c>
      <c r="K257" s="349">
        <f t="shared" si="47"/>
        <v>1</v>
      </c>
      <c r="L257" s="349">
        <f t="shared" si="47"/>
        <v>5120</v>
      </c>
      <c r="M257" s="349">
        <f t="shared" si="47"/>
        <v>128</v>
      </c>
      <c r="N257" s="349" t="s">
        <v>283</v>
      </c>
      <c r="O257" s="350"/>
      <c r="P257" s="351">
        <f>SIZEOF_IN_MIB(J257:M257, $O256)</f>
        <v>5120</v>
      </c>
      <c r="Q257" s="350"/>
    </row>
    <row r="258">
      <c r="E258" s="341"/>
      <c r="F258" s="342"/>
      <c r="G258" s="343"/>
      <c r="H258" s="346" t="s">
        <v>287</v>
      </c>
      <c r="I258" s="346" t="s">
        <v>282</v>
      </c>
      <c r="J258" s="344" t="s">
        <v>196</v>
      </c>
      <c r="K258" s="344"/>
      <c r="L258" s="344"/>
      <c r="M258" s="346"/>
      <c r="N258" s="346" t="s">
        <v>283</v>
      </c>
      <c r="O258" s="347"/>
      <c r="P258" s="348"/>
      <c r="Q258" s="347"/>
    </row>
    <row r="259">
      <c r="E259" s="341"/>
      <c r="F259" s="353"/>
      <c r="G259" s="354"/>
      <c r="H259" s="349" t="s">
        <v>289</v>
      </c>
      <c r="I259" s="349" t="s">
        <v>282</v>
      </c>
      <c r="J259" s="349">
        <f t="shared" ref="J259:M259" si="48">J257/SHARDING(J258)</f>
        <v>256</v>
      </c>
      <c r="K259" s="349">
        <f t="shared" si="48"/>
        <v>1</v>
      </c>
      <c r="L259" s="349">
        <f t="shared" si="48"/>
        <v>5120</v>
      </c>
      <c r="M259" s="349">
        <f t="shared" si="48"/>
        <v>128</v>
      </c>
      <c r="N259" s="349" t="s">
        <v>283</v>
      </c>
      <c r="O259" s="316"/>
      <c r="P259" s="351">
        <f>SIZEOF_IN_MIB(J259:M259, $O256)</f>
        <v>320</v>
      </c>
      <c r="Q259" s="316"/>
    </row>
    <row r="260">
      <c r="E260" s="341"/>
      <c r="F260" s="474" t="s">
        <v>335</v>
      </c>
      <c r="G260" s="459" t="s">
        <v>109</v>
      </c>
      <c r="H260" s="497"/>
      <c r="I260" s="498"/>
      <c r="J260" s="345"/>
      <c r="K260" s="345"/>
      <c r="L260" s="346"/>
      <c r="M260" s="346"/>
      <c r="N260" s="346"/>
      <c r="O260" s="345"/>
      <c r="P260" s="348"/>
      <c r="Q260" s="379"/>
    </row>
    <row r="261">
      <c r="E261" s="341"/>
      <c r="F261" s="352"/>
      <c r="G261" s="459"/>
      <c r="H261" s="349"/>
      <c r="I261" s="492"/>
      <c r="J261" s="336"/>
      <c r="K261" s="336"/>
      <c r="L261" s="349"/>
      <c r="M261" s="349"/>
      <c r="N261" s="349"/>
      <c r="O261" s="336"/>
      <c r="P261" s="351"/>
      <c r="Q261" s="298"/>
    </row>
    <row r="262">
      <c r="E262" s="341"/>
      <c r="F262" s="458" t="s">
        <v>327</v>
      </c>
      <c r="G262" s="459" t="s">
        <v>328</v>
      </c>
      <c r="H262" s="346" t="str">
        <f>VLOOKUP(O248&amp;","&amp;O252,$T$3:$W$12,4, FALSE)</f>
        <v>bf16</v>
      </c>
      <c r="I262" s="493"/>
      <c r="J262" s="345"/>
      <c r="K262" s="345"/>
      <c r="L262" s="346"/>
      <c r="M262" s="346"/>
      <c r="N262" s="346"/>
      <c r="O262" s="345"/>
      <c r="P262" s="348"/>
      <c r="Q262" s="379"/>
    </row>
    <row r="263">
      <c r="E263" s="341"/>
      <c r="F263" s="341"/>
      <c r="G263" s="455" t="s">
        <v>341</v>
      </c>
      <c r="H263" s="494" t="str">
        <f>CALCULATE_FLOPS(J251:M251,J255:M255,M255,K255,H262)</f>
        <v>#N/A</v>
      </c>
      <c r="I263" s="492"/>
      <c r="J263" s="336"/>
      <c r="K263" s="336"/>
      <c r="L263" s="349"/>
      <c r="M263" s="349"/>
      <c r="N263" s="349"/>
      <c r="O263" s="336"/>
      <c r="P263" s="351"/>
      <c r="Q263" s="298"/>
    </row>
    <row r="264">
      <c r="E264" s="341"/>
      <c r="F264" s="352"/>
      <c r="G264" s="462" t="s">
        <v>330</v>
      </c>
      <c r="H264" s="495" t="str">
        <f>COMPUTE_TIME_MS(H263, H262)</f>
        <v>#N/A</v>
      </c>
      <c r="I264" s="464"/>
      <c r="J264" s="465"/>
      <c r="K264" s="465"/>
      <c r="L264" s="466"/>
      <c r="M264" s="466"/>
      <c r="N264" s="466"/>
      <c r="O264" s="465"/>
      <c r="P264" s="467"/>
      <c r="Q264" s="379"/>
    </row>
    <row r="265">
      <c r="E265" s="341"/>
      <c r="F265" s="458" t="s">
        <v>331</v>
      </c>
      <c r="G265" s="455" t="s">
        <v>332</v>
      </c>
      <c r="H265" s="377">
        <f>IF(Q248,0,P251)+IF(Q252,0,P255)+IF(Q256,0,P259)</f>
        <v>84</v>
      </c>
      <c r="I265" s="336"/>
      <c r="J265" s="336"/>
      <c r="K265" s="336"/>
      <c r="L265" s="349"/>
      <c r="M265" s="349"/>
      <c r="N265" s="349"/>
      <c r="O265" s="336"/>
      <c r="P265" s="351"/>
      <c r="Q265" s="298"/>
    </row>
    <row r="266">
      <c r="E266" s="352"/>
      <c r="F266" s="352"/>
      <c r="G266" s="469" t="s">
        <v>333</v>
      </c>
      <c r="H266" s="500" t="str">
        <f>HBM_TIME_MS(H265)</f>
        <v>#N/A</v>
      </c>
      <c r="I266" s="465"/>
      <c r="J266" s="465"/>
      <c r="K266" s="465"/>
      <c r="L266" s="466"/>
      <c r="M266" s="466"/>
      <c r="N266" s="466"/>
      <c r="O266" s="465"/>
      <c r="P266" s="467"/>
      <c r="Q266" s="379"/>
    </row>
    <row r="267">
      <c r="E267" s="333" t="s">
        <v>350</v>
      </c>
      <c r="F267" s="357" t="s">
        <v>292</v>
      </c>
      <c r="G267" s="335"/>
      <c r="H267" s="364" t="s">
        <v>281</v>
      </c>
      <c r="I267" s="364" t="s">
        <v>282</v>
      </c>
      <c r="J267" s="273" t="s">
        <v>104</v>
      </c>
      <c r="K267" s="273" t="s">
        <v>102</v>
      </c>
      <c r="L267" s="472" t="s">
        <v>106</v>
      </c>
      <c r="M267" s="273" t="s">
        <v>207</v>
      </c>
      <c r="N267" s="364" t="s">
        <v>283</v>
      </c>
      <c r="O267" s="365" t="str">
        <f>PARAMS("attn_av_a_dtype")</f>
        <v>bf16</v>
      </c>
      <c r="P267" s="366"/>
      <c r="Q267" s="365" t="b">
        <v>1</v>
      </c>
    </row>
    <row r="268">
      <c r="E268" s="341"/>
      <c r="F268" s="342"/>
      <c r="G268" s="343"/>
      <c r="H268" s="273" t="s">
        <v>285</v>
      </c>
      <c r="I268" s="364" t="s">
        <v>282</v>
      </c>
      <c r="J268" s="363">
        <f t="shared" ref="J268:M268" si="49">PARAMS(J267)</f>
        <v>4096</v>
      </c>
      <c r="K268" s="364">
        <f t="shared" si="49"/>
        <v>1</v>
      </c>
      <c r="L268" s="364">
        <f t="shared" si="49"/>
        <v>5120</v>
      </c>
      <c r="M268" s="364">
        <f t="shared" si="49"/>
        <v>128</v>
      </c>
      <c r="N268" s="364" t="s">
        <v>283</v>
      </c>
      <c r="O268" s="341"/>
      <c r="P268" s="366">
        <f>SIZEOF_IN_MIB(J268:M268, $O267)</f>
        <v>5120</v>
      </c>
      <c r="Q268" s="341"/>
    </row>
    <row r="269">
      <c r="E269" s="341"/>
      <c r="F269" s="342"/>
      <c r="G269" s="343"/>
      <c r="H269" s="363" t="s">
        <v>287</v>
      </c>
      <c r="I269" s="363" t="s">
        <v>282</v>
      </c>
      <c r="J269" s="273" t="s">
        <v>196</v>
      </c>
      <c r="K269" s="273"/>
      <c r="L269" s="273"/>
      <c r="M269" s="363"/>
      <c r="N269" s="363" t="s">
        <v>283</v>
      </c>
      <c r="O269" s="341"/>
      <c r="P269" s="366"/>
      <c r="Q269" s="341"/>
    </row>
    <row r="270">
      <c r="E270" s="341"/>
      <c r="F270" s="353"/>
      <c r="G270" s="354"/>
      <c r="H270" s="273" t="s">
        <v>289</v>
      </c>
      <c r="I270" s="363" t="s">
        <v>282</v>
      </c>
      <c r="J270" s="363">
        <f t="shared" ref="J270:M270" si="50">J268/SHARDING(J269)</f>
        <v>256</v>
      </c>
      <c r="K270" s="363">
        <f t="shared" si="50"/>
        <v>1</v>
      </c>
      <c r="L270" s="363">
        <f t="shared" si="50"/>
        <v>5120</v>
      </c>
      <c r="M270" s="363">
        <f t="shared" si="50"/>
        <v>128</v>
      </c>
      <c r="N270" s="363" t="s">
        <v>283</v>
      </c>
      <c r="O270" s="352"/>
      <c r="P270" s="366">
        <f>SIZEOF_IN_MIB(J270:M270, $O267)</f>
        <v>320</v>
      </c>
      <c r="Q270" s="352"/>
    </row>
    <row r="271">
      <c r="E271" s="341"/>
      <c r="F271" s="334" t="s">
        <v>296</v>
      </c>
      <c r="G271" s="335"/>
      <c r="H271" s="363" t="s">
        <v>281</v>
      </c>
      <c r="I271" s="363" t="s">
        <v>282</v>
      </c>
      <c r="J271" s="273" t="s">
        <v>104</v>
      </c>
      <c r="K271" s="273"/>
      <c r="L271" s="472" t="s">
        <v>106</v>
      </c>
      <c r="M271" s="273" t="s">
        <v>198</v>
      </c>
      <c r="N271" s="363" t="s">
        <v>283</v>
      </c>
      <c r="O271" s="365" t="str">
        <f>PARAMS("kv_dtype")</f>
        <v>fp8</v>
      </c>
      <c r="P271" s="366"/>
      <c r="Q271" s="365" t="b">
        <v>1</v>
      </c>
    </row>
    <row r="272">
      <c r="E272" s="341"/>
      <c r="F272" s="342"/>
      <c r="G272" s="343"/>
      <c r="H272" s="273" t="s">
        <v>285</v>
      </c>
      <c r="I272" s="363" t="s">
        <v>282</v>
      </c>
      <c r="J272" s="363">
        <f>PARAMS(J271)</f>
        <v>4096</v>
      </c>
      <c r="K272" s="363"/>
      <c r="L272" s="363">
        <f t="shared" ref="L272:M272" si="51">PARAMS(L271)</f>
        <v>5120</v>
      </c>
      <c r="M272" s="363">
        <f t="shared" si="51"/>
        <v>512</v>
      </c>
      <c r="N272" s="363" t="s">
        <v>283</v>
      </c>
      <c r="O272" s="341"/>
      <c r="P272" s="366">
        <f>SIZEOF_IN_MIB(J272:M272, $O271)</f>
        <v>10240</v>
      </c>
      <c r="Q272" s="341"/>
    </row>
    <row r="273">
      <c r="E273" s="341"/>
      <c r="F273" s="342"/>
      <c r="G273" s="343"/>
      <c r="H273" s="363" t="s">
        <v>287</v>
      </c>
      <c r="I273" s="363" t="s">
        <v>282</v>
      </c>
      <c r="J273" s="273" t="s">
        <v>196</v>
      </c>
      <c r="K273" s="364"/>
      <c r="L273" s="363"/>
      <c r="M273" s="273"/>
      <c r="N273" s="363" t="s">
        <v>283</v>
      </c>
      <c r="O273" s="341"/>
      <c r="P273" s="366"/>
      <c r="Q273" s="341"/>
    </row>
    <row r="274">
      <c r="E274" s="341"/>
      <c r="F274" s="353"/>
      <c r="G274" s="354"/>
      <c r="H274" s="349" t="s">
        <v>289</v>
      </c>
      <c r="I274" s="349" t="s">
        <v>282</v>
      </c>
      <c r="J274" s="349">
        <f>J272/SHARDING(J273)</f>
        <v>256</v>
      </c>
      <c r="K274" s="349"/>
      <c r="L274" s="349">
        <f t="shared" ref="L274:M274" si="52">L272/SHARDING(L273)</f>
        <v>5120</v>
      </c>
      <c r="M274" s="349">
        <f t="shared" si="52"/>
        <v>512</v>
      </c>
      <c r="N274" s="349" t="s">
        <v>283</v>
      </c>
      <c r="O274" s="316"/>
      <c r="P274" s="351">
        <f>SIZEOF_IN_MIB(J274:M274, $O271)</f>
        <v>640</v>
      </c>
      <c r="Q274" s="316"/>
    </row>
    <row r="275">
      <c r="E275" s="341"/>
      <c r="F275" s="334" t="s">
        <v>56</v>
      </c>
      <c r="G275" s="335"/>
      <c r="H275" s="346" t="s">
        <v>281</v>
      </c>
      <c r="I275" s="346" t="s">
        <v>282</v>
      </c>
      <c r="J275" s="344" t="s">
        <v>104</v>
      </c>
      <c r="K275" s="344" t="s">
        <v>102</v>
      </c>
      <c r="L275" s="344" t="s">
        <v>207</v>
      </c>
      <c r="M275" s="344" t="s">
        <v>198</v>
      </c>
      <c r="N275" s="346" t="s">
        <v>283</v>
      </c>
      <c r="O275" s="546" t="s">
        <v>133</v>
      </c>
      <c r="P275" s="348"/>
      <c r="Q275" s="473" t="b">
        <v>0</v>
      </c>
    </row>
    <row r="276">
      <c r="E276" s="341"/>
      <c r="F276" s="342"/>
      <c r="G276" s="343"/>
      <c r="H276" s="337" t="s">
        <v>285</v>
      </c>
      <c r="I276" s="349" t="s">
        <v>282</v>
      </c>
      <c r="J276" s="349">
        <f t="shared" ref="J276:M276" si="53">PARAMS(J275)</f>
        <v>4096</v>
      </c>
      <c r="K276" s="349">
        <f t="shared" si="53"/>
        <v>1</v>
      </c>
      <c r="L276" s="349">
        <f t="shared" si="53"/>
        <v>128</v>
      </c>
      <c r="M276" s="349">
        <f t="shared" si="53"/>
        <v>512</v>
      </c>
      <c r="N276" s="349" t="s">
        <v>283</v>
      </c>
      <c r="O276" s="350"/>
      <c r="P276" s="351">
        <f>SIZEOF_IN_MIB(J276:M276, $O275)</f>
        <v>512</v>
      </c>
      <c r="Q276" s="350"/>
    </row>
    <row r="277">
      <c r="E277" s="341"/>
      <c r="F277" s="342"/>
      <c r="G277" s="343"/>
      <c r="H277" s="346" t="s">
        <v>287</v>
      </c>
      <c r="I277" s="346" t="s">
        <v>282</v>
      </c>
      <c r="J277" s="344" t="s">
        <v>196</v>
      </c>
      <c r="K277" s="344"/>
      <c r="L277" s="344"/>
      <c r="M277" s="344"/>
      <c r="N277" s="346" t="s">
        <v>283</v>
      </c>
      <c r="O277" s="347"/>
      <c r="P277" s="348"/>
      <c r="Q277" s="347"/>
    </row>
    <row r="278">
      <c r="E278" s="341"/>
      <c r="F278" s="353"/>
      <c r="G278" s="354"/>
      <c r="H278" s="349" t="s">
        <v>289</v>
      </c>
      <c r="I278" s="349" t="s">
        <v>282</v>
      </c>
      <c r="J278" s="349">
        <f t="shared" ref="J278:M278" si="54">J276/SHARDING(J277)</f>
        <v>256</v>
      </c>
      <c r="K278" s="349">
        <f t="shared" si="54"/>
        <v>1</v>
      </c>
      <c r="L278" s="349">
        <f t="shared" si="54"/>
        <v>128</v>
      </c>
      <c r="M278" s="349">
        <f t="shared" si="54"/>
        <v>512</v>
      </c>
      <c r="N278" s="349" t="s">
        <v>283</v>
      </c>
      <c r="O278" s="316"/>
      <c r="P278" s="351">
        <f>SIZEOF_IN_MIB(J278:M278, $O275)</f>
        <v>32</v>
      </c>
      <c r="Q278" s="316"/>
    </row>
    <row r="279">
      <c r="E279" s="341"/>
      <c r="F279" s="474" t="s">
        <v>335</v>
      </c>
      <c r="G279" s="459" t="s">
        <v>109</v>
      </c>
      <c r="H279" s="497"/>
      <c r="I279" s="498"/>
      <c r="J279" s="345"/>
      <c r="K279" s="345"/>
      <c r="L279" s="346"/>
      <c r="M279" s="346"/>
      <c r="N279" s="346"/>
      <c r="O279" s="345"/>
      <c r="P279" s="348"/>
      <c r="Q279" s="379"/>
    </row>
    <row r="280">
      <c r="E280" s="341"/>
      <c r="F280" s="352"/>
      <c r="G280" s="459"/>
      <c r="H280" s="349"/>
      <c r="I280" s="492"/>
      <c r="J280" s="336"/>
      <c r="K280" s="336"/>
      <c r="L280" s="349"/>
      <c r="M280" s="349"/>
      <c r="N280" s="349"/>
      <c r="O280" s="336"/>
      <c r="P280" s="351"/>
      <c r="Q280" s="298"/>
    </row>
    <row r="281">
      <c r="E281" s="341"/>
      <c r="F281" s="458" t="s">
        <v>327</v>
      </c>
      <c r="G281" s="459" t="s">
        <v>328</v>
      </c>
      <c r="H281" s="346" t="str">
        <f>VLOOKUP(O267&amp;","&amp;O271,$T$3:$W$12,4, FALSE)</f>
        <v>bf16</v>
      </c>
      <c r="I281" s="493"/>
      <c r="J281" s="345"/>
      <c r="K281" s="345"/>
      <c r="L281" s="346"/>
      <c r="M281" s="346"/>
      <c r="N281" s="346"/>
      <c r="O281" s="345"/>
      <c r="P281" s="348"/>
      <c r="Q281" s="379"/>
    </row>
    <row r="282">
      <c r="E282" s="341"/>
      <c r="F282" s="341"/>
      <c r="G282" s="455" t="s">
        <v>341</v>
      </c>
      <c r="H282" s="494" t="str">
        <f>CALCULATE_FLOPS(J270:M270,J274:M274,L274,J274,H281)</f>
        <v>#N/A</v>
      </c>
      <c r="I282" s="492"/>
      <c r="J282" s="336"/>
      <c r="K282" s="336"/>
      <c r="L282" s="349"/>
      <c r="M282" s="349"/>
      <c r="N282" s="349"/>
      <c r="O282" s="336"/>
      <c r="P282" s="351"/>
      <c r="Q282" s="298"/>
    </row>
    <row r="283">
      <c r="E283" s="341"/>
      <c r="F283" s="352"/>
      <c r="G283" s="462" t="s">
        <v>330</v>
      </c>
      <c r="H283" s="495" t="str">
        <f>COMPUTE_TIME_MS(H282, H281)</f>
        <v>#N/A</v>
      </c>
      <c r="I283" s="464"/>
      <c r="J283" s="465"/>
      <c r="K283" s="465"/>
      <c r="L283" s="466"/>
      <c r="M283" s="466"/>
      <c r="N283" s="466"/>
      <c r="O283" s="465"/>
      <c r="P283" s="467"/>
      <c r="Q283" s="379"/>
    </row>
    <row r="284">
      <c r="E284" s="341"/>
      <c r="F284" s="458" t="s">
        <v>331</v>
      </c>
      <c r="G284" s="455" t="s">
        <v>332</v>
      </c>
      <c r="H284" s="377">
        <f>IF(Q267,0,P270)+IF(Q271,0,P274)+IF(Q275,0,P278)</f>
        <v>32</v>
      </c>
      <c r="I284" s="336"/>
      <c r="J284" s="336"/>
      <c r="K284" s="336"/>
      <c r="L284" s="349"/>
      <c r="M284" s="349"/>
      <c r="N284" s="349"/>
      <c r="O284" s="336"/>
      <c r="P284" s="351"/>
      <c r="Q284" s="298"/>
    </row>
    <row r="285">
      <c r="E285" s="352"/>
      <c r="F285" s="352"/>
      <c r="G285" s="469" t="s">
        <v>333</v>
      </c>
      <c r="H285" s="547" t="str">
        <f>HBM_TIME_MS(H284)</f>
        <v>#N/A</v>
      </c>
      <c r="I285" s="465"/>
      <c r="J285" s="465"/>
      <c r="K285" s="465"/>
      <c r="L285" s="466"/>
      <c r="M285" s="466"/>
      <c r="N285" s="466"/>
      <c r="O285" s="465"/>
      <c r="P285" s="467"/>
      <c r="Q285" s="379"/>
    </row>
    <row r="286">
      <c r="E286" s="333" t="s">
        <v>351</v>
      </c>
      <c r="F286" s="357" t="s">
        <v>292</v>
      </c>
      <c r="G286" s="335"/>
      <c r="H286" s="336" t="s">
        <v>281</v>
      </c>
      <c r="I286" s="336" t="s">
        <v>282</v>
      </c>
      <c r="J286" s="337" t="s">
        <v>104</v>
      </c>
      <c r="K286" s="337" t="s">
        <v>102</v>
      </c>
      <c r="L286" s="337" t="s">
        <v>207</v>
      </c>
      <c r="M286" s="499" t="s">
        <v>198</v>
      </c>
      <c r="N286" s="336" t="s">
        <v>283</v>
      </c>
      <c r="O286" s="338" t="str">
        <f>EXTRACT_ACTIVATION_DTYPE(PARAMS("attn_proj_dtype"))</f>
        <v>bf16</v>
      </c>
      <c r="P286" s="351"/>
      <c r="Q286" s="338" t="b">
        <v>0</v>
      </c>
    </row>
    <row r="287">
      <c r="E287" s="341"/>
      <c r="F287" s="342"/>
      <c r="G287" s="343"/>
      <c r="H287" s="344" t="s">
        <v>285</v>
      </c>
      <c r="I287" s="345" t="s">
        <v>282</v>
      </c>
      <c r="J287" s="346">
        <f t="shared" ref="J287:M287" si="55">PARAMS(J286)</f>
        <v>4096</v>
      </c>
      <c r="K287" s="345">
        <f t="shared" si="55"/>
        <v>1</v>
      </c>
      <c r="L287" s="345">
        <f t="shared" si="55"/>
        <v>128</v>
      </c>
      <c r="M287" s="345">
        <f t="shared" si="55"/>
        <v>512</v>
      </c>
      <c r="N287" s="345" t="s">
        <v>283</v>
      </c>
      <c r="O287" s="347"/>
      <c r="P287" s="348">
        <f>SIZEOF_IN_MIB(J287:M287, $O286)</f>
        <v>512</v>
      </c>
      <c r="Q287" s="347"/>
    </row>
    <row r="288">
      <c r="E288" s="341"/>
      <c r="F288" s="342"/>
      <c r="G288" s="343"/>
      <c r="H288" s="349" t="s">
        <v>287</v>
      </c>
      <c r="I288" s="349" t="s">
        <v>282</v>
      </c>
      <c r="J288" s="337" t="s">
        <v>196</v>
      </c>
      <c r="K288" s="337"/>
      <c r="L288" s="337"/>
      <c r="M288" s="337"/>
      <c r="N288" s="349" t="s">
        <v>283</v>
      </c>
      <c r="O288" s="350"/>
      <c r="P288" s="351"/>
      <c r="Q288" s="350"/>
    </row>
    <row r="289">
      <c r="E289" s="341"/>
      <c r="F289" s="353"/>
      <c r="G289" s="354"/>
      <c r="H289" s="344" t="s">
        <v>289</v>
      </c>
      <c r="I289" s="346" t="s">
        <v>282</v>
      </c>
      <c r="J289" s="346">
        <f t="shared" ref="J289:M289" si="56">J287/SHARDING(J288)</f>
        <v>256</v>
      </c>
      <c r="K289" s="346">
        <f t="shared" si="56"/>
        <v>1</v>
      </c>
      <c r="L289" s="346">
        <f t="shared" si="56"/>
        <v>128</v>
      </c>
      <c r="M289" s="346">
        <f t="shared" si="56"/>
        <v>512</v>
      </c>
      <c r="N289" s="346" t="s">
        <v>283</v>
      </c>
      <c r="O289" s="355"/>
      <c r="P289" s="348">
        <f>SIZEOF_IN_MIB(J289:M289, $O286)</f>
        <v>32</v>
      </c>
      <c r="Q289" s="355"/>
    </row>
    <row r="290">
      <c r="E290" s="341"/>
      <c r="F290" s="334" t="s">
        <v>296</v>
      </c>
      <c r="G290" s="335"/>
      <c r="H290" s="349" t="s">
        <v>281</v>
      </c>
      <c r="I290" s="349" t="s">
        <v>282</v>
      </c>
      <c r="J290" s="336"/>
      <c r="K290" s="337" t="s">
        <v>207</v>
      </c>
      <c r="L290" s="337" t="s">
        <v>201</v>
      </c>
      <c r="M290" s="499" t="s">
        <v>198</v>
      </c>
      <c r="N290" s="349" t="s">
        <v>283</v>
      </c>
      <c r="O290" s="338" t="str">
        <f>EXTRACT_WEIGHT_DTYPE(PARAMS("attn_proj_dtype"))</f>
        <v>bf16</v>
      </c>
      <c r="P290" s="351"/>
      <c r="Q290" s="338" t="b">
        <v>0</v>
      </c>
    </row>
    <row r="291">
      <c r="E291" s="341"/>
      <c r="F291" s="342"/>
      <c r="G291" s="343"/>
      <c r="H291" s="344" t="s">
        <v>285</v>
      </c>
      <c r="I291" s="346" t="s">
        <v>282</v>
      </c>
      <c r="J291" s="345"/>
      <c r="K291" s="346">
        <f t="shared" ref="K291:M291" si="57">PARAMS(K290)</f>
        <v>128</v>
      </c>
      <c r="L291" s="346">
        <f t="shared" si="57"/>
        <v>128</v>
      </c>
      <c r="M291" s="346">
        <f t="shared" si="57"/>
        <v>512</v>
      </c>
      <c r="N291" s="346" t="s">
        <v>283</v>
      </c>
      <c r="O291" s="347"/>
      <c r="P291" s="348">
        <f>SIZEOF_IN_MIB(J291:M291, $O290)</f>
        <v>16</v>
      </c>
      <c r="Q291" s="347"/>
    </row>
    <row r="292">
      <c r="E292" s="341"/>
      <c r="F292" s="342"/>
      <c r="G292" s="343"/>
      <c r="H292" s="349" t="s">
        <v>287</v>
      </c>
      <c r="I292" s="349" t="s">
        <v>282</v>
      </c>
      <c r="J292" s="336"/>
      <c r="K292" s="336"/>
      <c r="L292" s="337"/>
      <c r="M292" s="337"/>
      <c r="N292" s="349" t="s">
        <v>283</v>
      </c>
      <c r="O292" s="350"/>
      <c r="P292" s="351"/>
      <c r="Q292" s="350"/>
    </row>
    <row r="293">
      <c r="E293" s="341"/>
      <c r="F293" s="353"/>
      <c r="G293" s="354"/>
      <c r="H293" s="346" t="s">
        <v>289</v>
      </c>
      <c r="I293" s="346" t="s">
        <v>282</v>
      </c>
      <c r="J293" s="345"/>
      <c r="K293" s="346">
        <f t="shared" ref="K293:M293" si="58">K291/SHARDING(K292)</f>
        <v>128</v>
      </c>
      <c r="L293" s="346">
        <f t="shared" si="58"/>
        <v>128</v>
      </c>
      <c r="M293" s="346">
        <f t="shared" si="58"/>
        <v>512</v>
      </c>
      <c r="N293" s="346" t="s">
        <v>283</v>
      </c>
      <c r="O293" s="355"/>
      <c r="P293" s="348">
        <f>SIZEOF_IN_MIB(J293:M293, $O290)</f>
        <v>16</v>
      </c>
      <c r="Q293" s="355"/>
    </row>
    <row r="294">
      <c r="E294" s="341"/>
      <c r="F294" s="334" t="s">
        <v>56</v>
      </c>
      <c r="G294" s="335"/>
      <c r="H294" s="349" t="s">
        <v>281</v>
      </c>
      <c r="I294" s="349" t="s">
        <v>282</v>
      </c>
      <c r="J294" s="337" t="s">
        <v>104</v>
      </c>
      <c r="K294" s="337" t="s">
        <v>102</v>
      </c>
      <c r="L294" s="337" t="s">
        <v>207</v>
      </c>
      <c r="M294" s="337" t="s">
        <v>201</v>
      </c>
      <c r="N294" s="349" t="s">
        <v>283</v>
      </c>
      <c r="O294" s="338" t="s">
        <v>133</v>
      </c>
      <c r="P294" s="351"/>
      <c r="Q294" s="338" t="b">
        <v>0</v>
      </c>
    </row>
    <row r="295">
      <c r="E295" s="341"/>
      <c r="F295" s="342"/>
      <c r="G295" s="343"/>
      <c r="H295" s="344" t="s">
        <v>285</v>
      </c>
      <c r="I295" s="346" t="s">
        <v>282</v>
      </c>
      <c r="J295" s="346">
        <f t="shared" ref="J295:M295" si="59">PARAMS(J294)</f>
        <v>4096</v>
      </c>
      <c r="K295" s="346">
        <f t="shared" si="59"/>
        <v>1</v>
      </c>
      <c r="L295" s="346">
        <f t="shared" si="59"/>
        <v>128</v>
      </c>
      <c r="M295" s="346">
        <f t="shared" si="59"/>
        <v>128</v>
      </c>
      <c r="N295" s="346" t="s">
        <v>283</v>
      </c>
      <c r="O295" s="347"/>
      <c r="P295" s="348">
        <f>SIZEOF_IN_MIB(J295:M295, $O294)</f>
        <v>128</v>
      </c>
      <c r="Q295" s="347"/>
    </row>
    <row r="296">
      <c r="E296" s="341"/>
      <c r="F296" s="342"/>
      <c r="G296" s="343"/>
      <c r="H296" s="349" t="s">
        <v>287</v>
      </c>
      <c r="I296" s="349" t="s">
        <v>282</v>
      </c>
      <c r="J296" s="337" t="s">
        <v>196</v>
      </c>
      <c r="K296" s="337"/>
      <c r="L296" s="337"/>
      <c r="M296" s="337"/>
      <c r="N296" s="349" t="s">
        <v>283</v>
      </c>
      <c r="O296" s="350"/>
      <c r="P296" s="918"/>
      <c r="Q296" s="350"/>
    </row>
    <row r="297">
      <c r="E297" s="341"/>
      <c r="F297" s="353"/>
      <c r="G297" s="354"/>
      <c r="H297" s="346" t="s">
        <v>289</v>
      </c>
      <c r="I297" s="346" t="s">
        <v>282</v>
      </c>
      <c r="J297" s="346">
        <f t="shared" ref="J297:M297" si="60">J295/SHARDING(J296)</f>
        <v>256</v>
      </c>
      <c r="K297" s="346">
        <f t="shared" si="60"/>
        <v>1</v>
      </c>
      <c r="L297" s="346">
        <f t="shared" si="60"/>
        <v>128</v>
      </c>
      <c r="M297" s="346">
        <f t="shared" si="60"/>
        <v>128</v>
      </c>
      <c r="N297" s="346" t="s">
        <v>283</v>
      </c>
      <c r="O297" s="355"/>
      <c r="P297" s="348">
        <f>SIZEOF_IN_MIB(J297:M297, $O294)</f>
        <v>8</v>
      </c>
      <c r="Q297" s="355"/>
      <c r="S297" s="66" t="str">
        <f>HBM_TIME_MS(P297)</f>
        <v>#N/A</v>
      </c>
    </row>
    <row r="298">
      <c r="E298" s="341"/>
      <c r="F298" s="474" t="s">
        <v>717</v>
      </c>
      <c r="G298" s="551" t="s">
        <v>718</v>
      </c>
      <c r="H298" s="906"/>
      <c r="I298" s="572"/>
      <c r="J298" s="381"/>
      <c r="K298" s="787"/>
      <c r="L298" s="907"/>
      <c r="M298" s="907"/>
      <c r="N298" s="907"/>
      <c r="O298" s="787"/>
      <c r="P298" s="908"/>
      <c r="Q298" s="787"/>
    </row>
    <row r="299">
      <c r="E299" s="341"/>
      <c r="F299" s="341"/>
      <c r="G299" s="272" t="s">
        <v>319</v>
      </c>
      <c r="H299" s="913" t="s">
        <v>97</v>
      </c>
      <c r="I299" s="379"/>
      <c r="J299" s="914"/>
      <c r="K299" s="399"/>
      <c r="L299" s="400"/>
      <c r="M299" s="400"/>
      <c r="N299" s="400"/>
      <c r="O299" s="399"/>
      <c r="P299" s="401"/>
      <c r="Q299" s="399"/>
    </row>
    <row r="300">
      <c r="E300" s="341"/>
      <c r="F300" s="341"/>
      <c r="G300" s="458" t="s">
        <v>320</v>
      </c>
      <c r="H300" s="485" t="s">
        <v>306</v>
      </c>
      <c r="I300" s="391"/>
      <c r="J300" s="919" t="str">
        <f>HW_SPEC("# of TensorCore per Chip")</f>
        <v>#N/A</v>
      </c>
      <c r="K300" s="404"/>
      <c r="L300" s="405"/>
      <c r="M300" s="405"/>
      <c r="N300" s="405"/>
      <c r="O300" s="404"/>
      <c r="P300" s="406"/>
      <c r="Q300" s="404"/>
      <c r="S300" s="181" t="s">
        <v>685</v>
      </c>
    </row>
    <row r="301">
      <c r="E301" s="341"/>
      <c r="F301" s="341"/>
      <c r="G301" s="341"/>
      <c r="H301" s="481" t="s">
        <v>307</v>
      </c>
      <c r="I301" s="387"/>
      <c r="J301" s="395" t="str">
        <f>P297*(J300-1)</f>
        <v>#N/A</v>
      </c>
      <c r="K301" s="399"/>
      <c r="L301" s="400"/>
      <c r="M301" s="400"/>
      <c r="N301" s="400"/>
      <c r="O301" s="399"/>
      <c r="P301" s="401"/>
      <c r="Q301" s="399"/>
    </row>
    <row r="302">
      <c r="E302" s="341"/>
      <c r="F302" s="341"/>
      <c r="G302" s="341"/>
      <c r="H302" s="485" t="s">
        <v>308</v>
      </c>
      <c r="I302" s="391"/>
      <c r="J302" s="390" t="str">
        <f>J301*J300</f>
        <v>#N/A</v>
      </c>
      <c r="K302" s="404"/>
      <c r="L302" s="405"/>
      <c r="M302" s="405"/>
      <c r="N302" s="405"/>
      <c r="O302" s="404"/>
      <c r="P302" s="406"/>
      <c r="Q302" s="404"/>
    </row>
    <row r="303">
      <c r="E303" s="341"/>
      <c r="F303" s="341"/>
      <c r="G303" s="352"/>
      <c r="H303" s="481" t="s">
        <v>311</v>
      </c>
      <c r="I303" s="387"/>
      <c r="J303" s="560" t="str">
        <f>ALL_GATHER_CORE2CORE_TIME_MS(J302)</f>
        <v>#N/A</v>
      </c>
      <c r="K303" s="399"/>
      <c r="L303" s="400"/>
      <c r="M303" s="400"/>
      <c r="N303" s="400"/>
      <c r="O303" s="399"/>
      <c r="P303" s="401"/>
      <c r="Q303" s="399"/>
    </row>
    <row r="304">
      <c r="E304" s="341"/>
      <c r="F304" s="352"/>
      <c r="G304" s="462" t="s">
        <v>340</v>
      </c>
      <c r="H304" s="495" t="str">
        <f>J303</f>
        <v>#N/A</v>
      </c>
      <c r="I304" s="492"/>
      <c r="J304" s="336"/>
      <c r="K304" s="336"/>
      <c r="L304" s="349"/>
      <c r="M304" s="349"/>
      <c r="N304" s="349"/>
      <c r="O304" s="336"/>
      <c r="P304" s="351"/>
      <c r="Q304" s="298"/>
    </row>
    <row r="305">
      <c r="E305" s="341"/>
      <c r="F305" s="458" t="s">
        <v>327</v>
      </c>
      <c r="G305" s="459" t="s">
        <v>328</v>
      </c>
      <c r="H305" s="346" t="str">
        <f>VLOOKUP(O286&amp;","&amp;O290,$T$3:$W$12,4, FALSE)</f>
        <v>bf16</v>
      </c>
      <c r="I305" s="493"/>
      <c r="J305" s="345"/>
      <c r="K305" s="345"/>
      <c r="L305" s="346"/>
      <c r="M305" s="346"/>
      <c r="N305" s="346"/>
      <c r="O305" s="345"/>
      <c r="P305" s="348"/>
      <c r="Q305" s="379"/>
    </row>
    <row r="306">
      <c r="E306" s="341"/>
      <c r="F306" s="341"/>
      <c r="G306" s="455" t="s">
        <v>341</v>
      </c>
      <c r="H306" s="494" t="str">
        <f>CALCULATE_FLOPS(J289:M289,J293:M293,M293,K293,H305)</f>
        <v>#N/A</v>
      </c>
      <c r="I306" s="492"/>
      <c r="J306" s="336"/>
      <c r="K306" s="336"/>
      <c r="L306" s="349"/>
      <c r="M306" s="349"/>
      <c r="N306" s="349"/>
      <c r="O306" s="336"/>
      <c r="P306" s="351"/>
      <c r="Q306" s="298"/>
    </row>
    <row r="307">
      <c r="E307" s="341"/>
      <c r="F307" s="352"/>
      <c r="G307" s="462" t="s">
        <v>330</v>
      </c>
      <c r="H307" s="495" t="str">
        <f>COMPUTE_TIME_MS(H306, H305)</f>
        <v>#N/A</v>
      </c>
      <c r="I307" s="464"/>
      <c r="J307" s="465"/>
      <c r="K307" s="465"/>
      <c r="L307" s="466"/>
      <c r="M307" s="466"/>
      <c r="N307" s="466"/>
      <c r="O307" s="465"/>
      <c r="P307" s="467"/>
      <c r="Q307" s="379"/>
    </row>
    <row r="308">
      <c r="E308" s="341"/>
      <c r="F308" s="458" t="s">
        <v>331</v>
      </c>
      <c r="G308" s="455" t="s">
        <v>332</v>
      </c>
      <c r="H308" s="377">
        <f>IF(Q286,0,P289)+IF(Q290,0,P293)+IF(Q294,0,P297)</f>
        <v>56</v>
      </c>
      <c r="I308" s="336"/>
      <c r="J308" s="336"/>
      <c r="K308" s="336"/>
      <c r="L308" s="349"/>
      <c r="M308" s="349"/>
      <c r="N308" s="349"/>
      <c r="O308" s="336"/>
      <c r="P308" s="351"/>
      <c r="Q308" s="298"/>
    </row>
    <row r="309">
      <c r="E309" s="352"/>
      <c r="F309" s="352"/>
      <c r="G309" s="469" t="s">
        <v>333</v>
      </c>
      <c r="H309" s="500" t="str">
        <f>HBM_TIME_MS(H308)</f>
        <v>#N/A</v>
      </c>
      <c r="I309" s="465"/>
      <c r="J309" s="465"/>
      <c r="K309" s="465"/>
      <c r="L309" s="466"/>
      <c r="M309" s="466"/>
      <c r="N309" s="466"/>
      <c r="O309" s="465"/>
      <c r="P309" s="467"/>
      <c r="Q309" s="379"/>
    </row>
    <row r="310">
      <c r="E310" s="333" t="s">
        <v>355</v>
      </c>
      <c r="F310" s="357" t="s">
        <v>292</v>
      </c>
      <c r="G310" s="335"/>
      <c r="H310" s="336" t="s">
        <v>281</v>
      </c>
      <c r="I310" s="336" t="s">
        <v>282</v>
      </c>
      <c r="J310" s="337" t="s">
        <v>104</v>
      </c>
      <c r="K310" s="337" t="s">
        <v>102</v>
      </c>
      <c r="L310" s="499" t="s">
        <v>207</v>
      </c>
      <c r="M310" s="499" t="s">
        <v>201</v>
      </c>
      <c r="N310" s="336" t="s">
        <v>283</v>
      </c>
      <c r="O310" s="338" t="str">
        <f>EXTRACT_ACTIVATION_DTYPE(PARAMS("attn_proj_dtype"))</f>
        <v>bf16</v>
      </c>
      <c r="P310" s="351"/>
      <c r="Q310" s="338" t="b">
        <v>0</v>
      </c>
    </row>
    <row r="311">
      <c r="E311" s="341"/>
      <c r="F311" s="342"/>
      <c r="G311" s="343"/>
      <c r="H311" s="344" t="s">
        <v>285</v>
      </c>
      <c r="I311" s="345" t="s">
        <v>282</v>
      </c>
      <c r="J311" s="346">
        <f t="shared" ref="J311:M311" si="61">PARAMS(J310)</f>
        <v>4096</v>
      </c>
      <c r="K311" s="345">
        <f t="shared" si="61"/>
        <v>1</v>
      </c>
      <c r="L311" s="345">
        <f t="shared" si="61"/>
        <v>128</v>
      </c>
      <c r="M311" s="345">
        <f t="shared" si="61"/>
        <v>128</v>
      </c>
      <c r="N311" s="345" t="s">
        <v>283</v>
      </c>
      <c r="O311" s="347"/>
      <c r="P311" s="348">
        <f>SIZEOF_IN_MIB(J311:M311, $O310)</f>
        <v>128</v>
      </c>
      <c r="Q311" s="347"/>
    </row>
    <row r="312">
      <c r="E312" s="341"/>
      <c r="F312" s="342"/>
      <c r="G312" s="343"/>
      <c r="H312" s="349" t="s">
        <v>287</v>
      </c>
      <c r="I312" s="349" t="s">
        <v>282</v>
      </c>
      <c r="J312" s="337" t="s">
        <v>96</v>
      </c>
      <c r="K312" s="337"/>
      <c r="L312" s="337"/>
      <c r="M312" s="337" t="s">
        <v>97</v>
      </c>
      <c r="N312" s="349" t="s">
        <v>283</v>
      </c>
      <c r="O312" s="350"/>
      <c r="P312" s="351"/>
      <c r="Q312" s="350"/>
    </row>
    <row r="313">
      <c r="E313" s="341"/>
      <c r="F313" s="353"/>
      <c r="G313" s="354"/>
      <c r="H313" s="344" t="s">
        <v>289</v>
      </c>
      <c r="I313" s="346" t="s">
        <v>282</v>
      </c>
      <c r="J313" s="346">
        <f t="shared" ref="J313:M313" si="62">J311/SHARDING(J312)</f>
        <v>512</v>
      </c>
      <c r="K313" s="346">
        <f t="shared" si="62"/>
        <v>1</v>
      </c>
      <c r="L313" s="346">
        <f t="shared" si="62"/>
        <v>128</v>
      </c>
      <c r="M313" s="346">
        <f t="shared" si="62"/>
        <v>64</v>
      </c>
      <c r="N313" s="346" t="s">
        <v>283</v>
      </c>
      <c r="O313" s="355"/>
      <c r="P313" s="348">
        <f>SIZEOF_IN_MIB(J313:M313, $O310)</f>
        <v>8</v>
      </c>
      <c r="Q313" s="355"/>
    </row>
    <row r="314">
      <c r="E314" s="341"/>
      <c r="F314" s="334" t="s">
        <v>296</v>
      </c>
      <c r="G314" s="335"/>
      <c r="H314" s="349" t="s">
        <v>281</v>
      </c>
      <c r="I314" s="349" t="s">
        <v>282</v>
      </c>
      <c r="J314" s="336"/>
      <c r="K314" s="499" t="s">
        <v>207</v>
      </c>
      <c r="L314" s="499" t="s">
        <v>201</v>
      </c>
      <c r="M314" s="337" t="s">
        <v>178</v>
      </c>
      <c r="N314" s="349" t="s">
        <v>283</v>
      </c>
      <c r="O314" s="338" t="str">
        <f>EXTRACT_WEIGHT_DTYPE(PARAMS("attn_proj_dtype"))</f>
        <v>bf16</v>
      </c>
      <c r="P314" s="351"/>
      <c r="Q314" s="338" t="b">
        <v>0</v>
      </c>
    </row>
    <row r="315">
      <c r="E315" s="341"/>
      <c r="F315" s="342"/>
      <c r="G315" s="343"/>
      <c r="H315" s="344" t="s">
        <v>285</v>
      </c>
      <c r="I315" s="346" t="s">
        <v>282</v>
      </c>
      <c r="J315" s="345"/>
      <c r="K315" s="346">
        <f t="shared" ref="K315:M315" si="63">PARAMS(K314)</f>
        <v>128</v>
      </c>
      <c r="L315" s="346">
        <f t="shared" si="63"/>
        <v>128</v>
      </c>
      <c r="M315" s="346">
        <f t="shared" si="63"/>
        <v>7168</v>
      </c>
      <c r="N315" s="346" t="s">
        <v>283</v>
      </c>
      <c r="O315" s="347"/>
      <c r="P315" s="348">
        <f>SIZEOF_IN_MIB(J315:M315, $O314)</f>
        <v>224</v>
      </c>
      <c r="Q315" s="347"/>
    </row>
    <row r="316">
      <c r="E316" s="341"/>
      <c r="F316" s="342"/>
      <c r="G316" s="343"/>
      <c r="H316" s="349" t="s">
        <v>287</v>
      </c>
      <c r="I316" s="349" t="s">
        <v>282</v>
      </c>
      <c r="J316" s="336"/>
      <c r="K316" s="336"/>
      <c r="L316" s="337"/>
      <c r="M316" s="337" t="s">
        <v>97</v>
      </c>
      <c r="N316" s="349" t="s">
        <v>283</v>
      </c>
      <c r="O316" s="350"/>
      <c r="P316" s="351"/>
      <c r="Q316" s="350"/>
    </row>
    <row r="317">
      <c r="E317" s="341"/>
      <c r="F317" s="353"/>
      <c r="G317" s="354"/>
      <c r="H317" s="346" t="s">
        <v>289</v>
      </c>
      <c r="I317" s="346" t="s">
        <v>282</v>
      </c>
      <c r="J317" s="345"/>
      <c r="K317" s="346">
        <f t="shared" ref="K317:M317" si="64">K315/SHARDING(K316)</f>
        <v>128</v>
      </c>
      <c r="L317" s="346">
        <f t="shared" si="64"/>
        <v>128</v>
      </c>
      <c r="M317" s="346">
        <f t="shared" si="64"/>
        <v>3584</v>
      </c>
      <c r="N317" s="346" t="s">
        <v>283</v>
      </c>
      <c r="O317" s="355"/>
      <c r="P317" s="348">
        <f>SIZEOF_IN_MIB(J317:M317, $O314)</f>
        <v>112</v>
      </c>
      <c r="Q317" s="355"/>
    </row>
    <row r="318">
      <c r="E318" s="341"/>
      <c r="F318" s="334" t="s">
        <v>56</v>
      </c>
      <c r="G318" s="335"/>
      <c r="H318" s="349" t="s">
        <v>281</v>
      </c>
      <c r="I318" s="349" t="s">
        <v>282</v>
      </c>
      <c r="J318" s="336"/>
      <c r="K318" s="337" t="s">
        <v>104</v>
      </c>
      <c r="L318" s="337" t="s">
        <v>102</v>
      </c>
      <c r="M318" s="337" t="s">
        <v>178</v>
      </c>
      <c r="N318" s="349" t="s">
        <v>283</v>
      </c>
      <c r="O318" s="338" t="s">
        <v>133</v>
      </c>
      <c r="P318" s="351"/>
      <c r="Q318" s="338" t="b">
        <v>0</v>
      </c>
    </row>
    <row r="319">
      <c r="E319" s="341"/>
      <c r="F319" s="342"/>
      <c r="G319" s="343"/>
      <c r="H319" s="344" t="s">
        <v>285</v>
      </c>
      <c r="I319" s="346" t="s">
        <v>282</v>
      </c>
      <c r="J319" s="345"/>
      <c r="K319" s="346">
        <f t="shared" ref="K319:M319" si="65">PARAMS(K318)</f>
        <v>4096</v>
      </c>
      <c r="L319" s="346">
        <f t="shared" si="65"/>
        <v>1</v>
      </c>
      <c r="M319" s="346">
        <f t="shared" si="65"/>
        <v>7168</v>
      </c>
      <c r="N319" s="346" t="s">
        <v>283</v>
      </c>
      <c r="O319" s="347"/>
      <c r="P319" s="348">
        <f>SIZEOF_IN_MIB(K319:M319, $O318)</f>
        <v>56</v>
      </c>
      <c r="Q319" s="347"/>
    </row>
    <row r="320">
      <c r="E320" s="341"/>
      <c r="F320" s="342"/>
      <c r="G320" s="343"/>
      <c r="H320" s="349" t="s">
        <v>287</v>
      </c>
      <c r="I320" s="349" t="s">
        <v>282</v>
      </c>
      <c r="J320" s="336"/>
      <c r="K320" s="337" t="s">
        <v>96</v>
      </c>
      <c r="L320" s="337"/>
      <c r="M320" s="337" t="s">
        <v>97</v>
      </c>
      <c r="N320" s="349" t="s">
        <v>283</v>
      </c>
      <c r="O320" s="350"/>
      <c r="P320" s="351"/>
      <c r="Q320" s="350"/>
    </row>
    <row r="321">
      <c r="E321" s="341"/>
      <c r="F321" s="353"/>
      <c r="G321" s="354"/>
      <c r="H321" s="346" t="s">
        <v>289</v>
      </c>
      <c r="I321" s="346" t="s">
        <v>282</v>
      </c>
      <c r="J321" s="346"/>
      <c r="K321" s="346">
        <f t="shared" ref="K321:M321" si="66">K319/SHARDING(K320)</f>
        <v>512</v>
      </c>
      <c r="L321" s="346">
        <f t="shared" si="66"/>
        <v>1</v>
      </c>
      <c r="M321" s="346">
        <f t="shared" si="66"/>
        <v>3584</v>
      </c>
      <c r="N321" s="346" t="s">
        <v>283</v>
      </c>
      <c r="O321" s="355"/>
      <c r="P321" s="348">
        <f>SIZEOF_IN_MIB(K321:M321, $O318)</f>
        <v>3.5</v>
      </c>
      <c r="Q321" s="355"/>
    </row>
    <row r="322">
      <c r="E322" s="341"/>
      <c r="F322" s="474" t="s">
        <v>335</v>
      </c>
      <c r="G322" s="551" t="s">
        <v>686</v>
      </c>
      <c r="H322" s="906" t="s">
        <v>687</v>
      </c>
      <c r="I322" s="572"/>
      <c r="J322" s="381"/>
      <c r="K322" s="787"/>
      <c r="L322" s="907"/>
      <c r="M322" s="907"/>
      <c r="N322" s="907"/>
      <c r="O322" s="787"/>
      <c r="P322" s="908"/>
      <c r="Q322" s="787"/>
    </row>
    <row r="323">
      <c r="E323" s="341"/>
      <c r="F323" s="341"/>
      <c r="G323" s="272" t="s">
        <v>319</v>
      </c>
      <c r="H323" s="913" t="str">
        <f>M312</f>
        <v>data</v>
      </c>
      <c r="I323" s="379"/>
      <c r="J323" s="914"/>
      <c r="K323" s="399"/>
      <c r="L323" s="400"/>
      <c r="M323" s="400"/>
      <c r="N323" s="400"/>
      <c r="O323" s="399"/>
      <c r="P323" s="401"/>
      <c r="Q323" s="399"/>
    </row>
    <row r="324">
      <c r="E324" s="341"/>
      <c r="F324" s="341"/>
      <c r="G324" s="458" t="s">
        <v>320</v>
      </c>
      <c r="H324" s="485" t="s">
        <v>306</v>
      </c>
      <c r="I324" s="391"/>
      <c r="J324" s="558" t="str">
        <f>HW_SPEC("# of TensorCore per Chip")</f>
        <v>#N/A</v>
      </c>
      <c r="K324" s="404"/>
      <c r="L324" s="405"/>
      <c r="M324" s="405"/>
      <c r="N324" s="405"/>
      <c r="O324" s="404"/>
      <c r="P324" s="406"/>
      <c r="Q324" s="404"/>
    </row>
    <row r="325">
      <c r="E325" s="341"/>
      <c r="F325" s="341"/>
      <c r="G325" s="341"/>
      <c r="H325" s="481" t="s">
        <v>307</v>
      </c>
      <c r="I325" s="387"/>
      <c r="J325" s="395" t="str">
        <f>P313 * (J324-1)</f>
        <v>#N/A</v>
      </c>
      <c r="K325" s="399"/>
      <c r="L325" s="400"/>
      <c r="M325" s="400"/>
      <c r="N325" s="400"/>
      <c r="O325" s="399"/>
      <c r="P325" s="401"/>
      <c r="Q325" s="399"/>
    </row>
    <row r="326">
      <c r="E326" s="341"/>
      <c r="F326" s="341"/>
      <c r="G326" s="341"/>
      <c r="H326" s="485" t="s">
        <v>308</v>
      </c>
      <c r="I326" s="391"/>
      <c r="J326" s="390" t="str">
        <f>J325*J324</f>
        <v>#N/A</v>
      </c>
      <c r="K326" s="404"/>
      <c r="L326" s="405"/>
      <c r="M326" s="405"/>
      <c r="N326" s="405"/>
      <c r="O326" s="404"/>
      <c r="P326" s="406"/>
      <c r="Q326" s="404"/>
    </row>
    <row r="327">
      <c r="E327" s="341"/>
      <c r="F327" s="341"/>
      <c r="G327" s="352"/>
      <c r="H327" s="481" t="s">
        <v>311</v>
      </c>
      <c r="I327" s="387"/>
      <c r="J327" s="560" t="str">
        <f>ALL_GATHER_CORE2CORE_TIME_MS(J326)</f>
        <v>#N/A</v>
      </c>
      <c r="K327" s="399"/>
      <c r="L327" s="400"/>
      <c r="M327" s="400"/>
      <c r="N327" s="400"/>
      <c r="O327" s="399"/>
      <c r="P327" s="401"/>
      <c r="Q327" s="399"/>
    </row>
    <row r="328">
      <c r="E328" s="341"/>
      <c r="F328" s="352"/>
      <c r="G328" s="462" t="s">
        <v>340</v>
      </c>
      <c r="H328" s="495" t="str">
        <f>J327</f>
        <v>#N/A</v>
      </c>
      <c r="I328" s="492"/>
      <c r="J328" s="336"/>
      <c r="K328" s="336"/>
      <c r="L328" s="349"/>
      <c r="M328" s="349"/>
      <c r="N328" s="349"/>
      <c r="O328" s="336"/>
      <c r="P328" s="351"/>
      <c r="Q328" s="298"/>
    </row>
    <row r="329">
      <c r="E329" s="341"/>
      <c r="F329" s="458" t="s">
        <v>327</v>
      </c>
      <c r="G329" s="459" t="s">
        <v>328</v>
      </c>
      <c r="H329" s="346" t="str">
        <f>VLOOKUP(O310&amp;","&amp;O314,$T$3:$W$12,4, FALSE)</f>
        <v>bf16</v>
      </c>
      <c r="I329" s="493"/>
      <c r="J329" s="345"/>
      <c r="K329" s="345"/>
      <c r="L329" s="346"/>
      <c r="M329" s="346"/>
      <c r="N329" s="346"/>
      <c r="O329" s="345"/>
      <c r="P329" s="578"/>
      <c r="Q329" s="379"/>
    </row>
    <row r="330">
      <c r="E330" s="341"/>
      <c r="F330" s="341"/>
      <c r="G330" s="455" t="s">
        <v>341</v>
      </c>
      <c r="H330" s="494" t="str">
        <f>CALCULATE_FLOPS(J313:M313,J317:M317,K317:L317,1,H329)</f>
        <v>#N/A</v>
      </c>
      <c r="I330" s="883" t="s">
        <v>359</v>
      </c>
      <c r="J330" s="336"/>
      <c r="K330" s="336"/>
      <c r="L330" s="349"/>
      <c r="M330" s="349"/>
      <c r="N330" s="349"/>
      <c r="O330" s="336"/>
      <c r="P330" s="339"/>
      <c r="Q330" s="298"/>
    </row>
    <row r="331">
      <c r="E331" s="341"/>
      <c r="F331" s="352"/>
      <c r="G331" s="462" t="s">
        <v>330</v>
      </c>
      <c r="H331" s="585" t="str">
        <f>COMPUTE_TIME_MS(H330, H329)</f>
        <v>#N/A</v>
      </c>
      <c r="I331" s="464"/>
      <c r="J331" s="465"/>
      <c r="K331" s="465"/>
      <c r="L331" s="466"/>
      <c r="M331" s="466"/>
      <c r="N331" s="466"/>
      <c r="O331" s="465"/>
      <c r="P331" s="586"/>
      <c r="Q331" s="379"/>
    </row>
    <row r="332">
      <c r="E332" s="341"/>
      <c r="F332" s="458" t="s">
        <v>331</v>
      </c>
      <c r="G332" s="455" t="s">
        <v>332</v>
      </c>
      <c r="H332" s="377">
        <f>IF(Q310,0,P313)+IF(Q314,0,P317)+IF(Q318,0,P321)</f>
        <v>123.5</v>
      </c>
      <c r="I332" s="336"/>
      <c r="J332" s="336"/>
      <c r="K332" s="336"/>
      <c r="L332" s="349"/>
      <c r="M332" s="349"/>
      <c r="N332" s="349"/>
      <c r="O332" s="336"/>
      <c r="P332" s="339"/>
      <c r="Q332" s="298"/>
    </row>
    <row r="333">
      <c r="E333" s="352"/>
      <c r="F333" s="352"/>
      <c r="G333" s="469" t="s">
        <v>333</v>
      </c>
      <c r="H333" s="547" t="str">
        <f>HBM_TIME_MS(H332)</f>
        <v>#N/A</v>
      </c>
      <c r="I333" s="465"/>
      <c r="J333" s="465"/>
      <c r="K333" s="465"/>
      <c r="L333" s="466"/>
      <c r="M333" s="466"/>
      <c r="N333" s="466"/>
      <c r="O333" s="465"/>
      <c r="P333" s="586"/>
      <c r="Q333" s="11"/>
    </row>
    <row r="337">
      <c r="E337" s="281" t="s">
        <v>360</v>
      </c>
    </row>
    <row r="338">
      <c r="E338" s="324" t="s">
        <v>272</v>
      </c>
      <c r="F338" s="587" t="s">
        <v>273</v>
      </c>
      <c r="G338" s="326"/>
      <c r="H338" s="588"/>
      <c r="I338" s="325" t="s">
        <v>274</v>
      </c>
      <c r="J338" s="589"/>
      <c r="K338" s="589"/>
      <c r="L338" s="589"/>
      <c r="M338" s="589"/>
      <c r="N338" s="588"/>
      <c r="O338" s="328" t="s">
        <v>275</v>
      </c>
      <c r="P338" s="328" t="s">
        <v>361</v>
      </c>
      <c r="Q338" s="330" t="s">
        <v>277</v>
      </c>
    </row>
    <row r="339">
      <c r="E339" s="333" t="s">
        <v>362</v>
      </c>
      <c r="F339" s="590" t="s">
        <v>335</v>
      </c>
      <c r="G339" s="591" t="s">
        <v>363</v>
      </c>
      <c r="H339" s="592" t="s">
        <v>364</v>
      </c>
      <c r="I339" s="448"/>
      <c r="J339" s="448"/>
      <c r="K339" s="553"/>
      <c r="L339" s="553"/>
      <c r="M339" s="593"/>
      <c r="N339" s="448"/>
      <c r="O339" s="553"/>
      <c r="P339" s="448"/>
      <c r="Q339" s="553"/>
    </row>
    <row r="340">
      <c r="E340" s="341"/>
      <c r="F340" s="341"/>
      <c r="G340" s="371" t="s">
        <v>301</v>
      </c>
      <c r="H340" s="531" t="s">
        <v>281</v>
      </c>
      <c r="I340" s="336" t="s">
        <v>282</v>
      </c>
      <c r="J340" s="336"/>
      <c r="K340" s="337" t="s">
        <v>104</v>
      </c>
      <c r="L340" s="337" t="s">
        <v>212</v>
      </c>
      <c r="M340" s="358" t="s">
        <v>178</v>
      </c>
      <c r="N340" s="336" t="s">
        <v>283</v>
      </c>
      <c r="O340" s="338" t="str">
        <f>PARAMS("expert_dispatch_dtype")</f>
        <v>fp8</v>
      </c>
      <c r="P340" s="336"/>
      <c r="Q340" s="338"/>
    </row>
    <row r="341">
      <c r="E341" s="341"/>
      <c r="F341" s="341"/>
      <c r="G341" s="341"/>
      <c r="H341" s="378" t="s">
        <v>285</v>
      </c>
      <c r="I341" s="345" t="s">
        <v>282</v>
      </c>
      <c r="J341" s="346"/>
      <c r="K341" s="345">
        <f t="shared" ref="K341:M341" si="67">PARAMS(K340)</f>
        <v>4096</v>
      </c>
      <c r="L341" s="345">
        <f t="shared" si="67"/>
        <v>8</v>
      </c>
      <c r="M341" s="345">
        <f t="shared" si="67"/>
        <v>7168</v>
      </c>
      <c r="N341" s="345" t="s">
        <v>283</v>
      </c>
      <c r="O341" s="347"/>
      <c r="P341" s="509">
        <f>SIZEOF_IN_MIB(J341:M341, O340)</f>
        <v>224</v>
      </c>
      <c r="Q341" s="347"/>
    </row>
    <row r="342">
      <c r="E342" s="341"/>
      <c r="F342" s="341"/>
      <c r="G342" s="341"/>
      <c r="H342" s="376" t="s">
        <v>302</v>
      </c>
      <c r="I342" s="349" t="s">
        <v>282</v>
      </c>
      <c r="J342" s="336"/>
      <c r="K342" s="337" t="s">
        <v>196</v>
      </c>
      <c r="L342" s="337"/>
      <c r="M342" s="337"/>
      <c r="N342" s="349" t="s">
        <v>283</v>
      </c>
      <c r="O342" s="350"/>
      <c r="P342" s="377"/>
      <c r="Q342" s="350"/>
    </row>
    <row r="343">
      <c r="E343" s="341"/>
      <c r="F343" s="341"/>
      <c r="G343" s="341"/>
      <c r="H343" s="378" t="s">
        <v>303</v>
      </c>
      <c r="I343" s="346" t="s">
        <v>282</v>
      </c>
      <c r="J343" s="345"/>
      <c r="K343" s="346">
        <f t="shared" ref="K343:M343" si="68">K341/SHARDING(K342)</f>
        <v>256</v>
      </c>
      <c r="L343" s="346">
        <f t="shared" si="68"/>
        <v>8</v>
      </c>
      <c r="M343" s="346">
        <f t="shared" si="68"/>
        <v>7168</v>
      </c>
      <c r="N343" s="344" t="s">
        <v>283</v>
      </c>
      <c r="O343" s="347"/>
      <c r="P343" s="509"/>
      <c r="Q343" s="347"/>
    </row>
    <row r="344">
      <c r="E344" s="341"/>
      <c r="F344" s="341"/>
      <c r="G344" s="352"/>
      <c r="H344" s="376" t="s">
        <v>304</v>
      </c>
      <c r="I344" s="349" t="s">
        <v>282</v>
      </c>
      <c r="J344" s="336"/>
      <c r="K344" s="337" t="s">
        <v>196</v>
      </c>
      <c r="L344" s="337"/>
      <c r="M344" s="337"/>
      <c r="N344" s="349" t="s">
        <v>283</v>
      </c>
      <c r="O344" s="316"/>
      <c r="P344" s="377">
        <f>SIZEOF_IN_MIB(J343:M343, O340)</f>
        <v>14</v>
      </c>
      <c r="Q344" s="316"/>
    </row>
    <row r="345">
      <c r="E345" s="341"/>
      <c r="F345" s="341"/>
      <c r="G345" s="594" t="s">
        <v>608</v>
      </c>
      <c r="H345" s="715">
        <f>P341</f>
        <v>224</v>
      </c>
      <c r="I345" s="379"/>
      <c r="J345" s="379"/>
      <c r="K345" s="379"/>
      <c r="L345" s="379"/>
      <c r="M345" s="379"/>
      <c r="N345" s="379"/>
      <c r="O345" s="379"/>
      <c r="P345" s="596"/>
      <c r="Q345" s="379"/>
    </row>
    <row r="346">
      <c r="E346" s="341"/>
      <c r="F346" s="341"/>
      <c r="G346" s="599" t="s">
        <v>609</v>
      </c>
      <c r="H346" s="885" t="str">
        <f>ALL2ALL_CHIP2CHIP_TIME_MS(H345)</f>
        <v>#N/A</v>
      </c>
      <c r="I346" s="298"/>
      <c r="J346" s="298"/>
      <c r="K346" s="298"/>
      <c r="L346" s="298"/>
      <c r="M346" s="298"/>
      <c r="N346" s="298"/>
      <c r="O346" s="298"/>
      <c r="P346" s="598"/>
      <c r="Q346" s="298"/>
    </row>
    <row r="347">
      <c r="E347" s="341"/>
      <c r="F347" s="341"/>
      <c r="G347" s="601"/>
      <c r="H347" s="517"/>
      <c r="I347" s="346"/>
      <c r="J347" s="345"/>
      <c r="K347" s="344"/>
      <c r="L347" s="556"/>
      <c r="M347" s="344"/>
      <c r="N347" s="346"/>
      <c r="O347" s="344"/>
      <c r="P347" s="509"/>
      <c r="Q347" s="344"/>
    </row>
    <row r="348">
      <c r="E348" s="341"/>
      <c r="F348" s="341"/>
      <c r="G348" s="591" t="s">
        <v>368</v>
      </c>
      <c r="H348" s="603" t="s">
        <v>719</v>
      </c>
      <c r="I348" s="449"/>
      <c r="J348" s="448"/>
      <c r="K348" s="553"/>
      <c r="L348" s="446"/>
      <c r="M348" s="553"/>
      <c r="N348" s="449"/>
      <c r="O348" s="553"/>
      <c r="P348" s="604"/>
      <c r="Q348" s="553"/>
    </row>
    <row r="349">
      <c r="E349" s="341"/>
      <c r="F349" s="341"/>
      <c r="G349" s="371" t="s">
        <v>301</v>
      </c>
      <c r="H349" s="517" t="s">
        <v>281</v>
      </c>
      <c r="I349" s="346" t="s">
        <v>282</v>
      </c>
      <c r="J349" s="345"/>
      <c r="K349" s="344" t="s">
        <v>104</v>
      </c>
      <c r="L349" s="556" t="s">
        <v>102</v>
      </c>
      <c r="M349" s="344" t="s">
        <v>178</v>
      </c>
      <c r="N349" s="346" t="s">
        <v>283</v>
      </c>
      <c r="O349" s="473" t="str">
        <f>PARAMS("expert_dispatch_dtype")</f>
        <v>fp8</v>
      </c>
      <c r="P349" s="509"/>
      <c r="Q349" s="473"/>
    </row>
    <row r="350">
      <c r="E350" s="341"/>
      <c r="F350" s="341"/>
      <c r="G350" s="341"/>
      <c r="H350" s="376" t="s">
        <v>285</v>
      </c>
      <c r="I350" s="349" t="s">
        <v>282</v>
      </c>
      <c r="J350" s="336"/>
      <c r="K350" s="349">
        <f t="shared" ref="K350:M350" si="69">PARAMS(K349)</f>
        <v>4096</v>
      </c>
      <c r="L350" s="349">
        <f t="shared" si="69"/>
        <v>1</v>
      </c>
      <c r="M350" s="349">
        <f t="shared" si="69"/>
        <v>7168</v>
      </c>
      <c r="N350" s="349" t="s">
        <v>283</v>
      </c>
      <c r="O350" s="350"/>
      <c r="P350" s="377">
        <f>SIZEOF_IN_MIB(J350:M350, O349)</f>
        <v>28</v>
      </c>
      <c r="Q350" s="350"/>
    </row>
    <row r="351">
      <c r="E351" s="341"/>
      <c r="F351" s="341"/>
      <c r="G351" s="341"/>
      <c r="H351" s="378" t="s">
        <v>302</v>
      </c>
      <c r="I351" s="346" t="s">
        <v>282</v>
      </c>
      <c r="J351" s="345"/>
      <c r="K351" s="344" t="s">
        <v>96</v>
      </c>
      <c r="L351" s="344"/>
      <c r="M351" s="344" t="s">
        <v>97</v>
      </c>
      <c r="N351" s="346" t="s">
        <v>283</v>
      </c>
      <c r="O351" s="347"/>
      <c r="P351" s="509"/>
      <c r="Q351" s="347"/>
    </row>
    <row r="352">
      <c r="E352" s="341"/>
      <c r="F352" s="341"/>
      <c r="G352" s="341"/>
      <c r="H352" s="602" t="s">
        <v>289</v>
      </c>
      <c r="I352" s="349" t="s">
        <v>282</v>
      </c>
      <c r="J352" s="336"/>
      <c r="K352" s="349">
        <f t="shared" ref="K352:M352" si="70">K350/SHARDING(K351)</f>
        <v>512</v>
      </c>
      <c r="L352" s="349">
        <f t="shared" si="70"/>
        <v>1</v>
      </c>
      <c r="M352" s="349">
        <f t="shared" si="70"/>
        <v>3584</v>
      </c>
      <c r="N352" s="349" t="s">
        <v>283</v>
      </c>
      <c r="O352" s="350"/>
      <c r="P352" s="377">
        <f>SIZEOF_IN_MIB(J352:M352, O349)</f>
        <v>1.75</v>
      </c>
      <c r="Q352" s="316"/>
    </row>
    <row r="353">
      <c r="E353" s="341"/>
      <c r="F353" s="341"/>
      <c r="G353" s="352"/>
      <c r="H353" s="610" t="s">
        <v>304</v>
      </c>
      <c r="I353" s="346" t="s">
        <v>282</v>
      </c>
      <c r="J353" s="379"/>
      <c r="K353" s="379"/>
      <c r="L353" s="379"/>
      <c r="M353" s="344" t="s">
        <v>97</v>
      </c>
      <c r="N353" s="346" t="s">
        <v>283</v>
      </c>
      <c r="O353" s="355"/>
      <c r="P353" s="596"/>
      <c r="Q353" s="379"/>
    </row>
    <row r="354">
      <c r="E354" s="341"/>
      <c r="F354" s="341"/>
      <c r="G354" s="385" t="s">
        <v>306</v>
      </c>
      <c r="H354" s="886">
        <f>SHARDING(K351)*SHARDING(L351)</f>
        <v>8</v>
      </c>
      <c r="I354" s="298"/>
      <c r="J354" s="298"/>
      <c r="K354" s="298"/>
      <c r="L354" s="298"/>
      <c r="M354" s="298"/>
      <c r="N354" s="298"/>
      <c r="O354" s="298"/>
      <c r="P354" s="598"/>
      <c r="Q354" s="298"/>
    </row>
    <row r="355">
      <c r="E355" s="341"/>
      <c r="F355" s="341"/>
      <c r="G355" s="385" t="s">
        <v>307</v>
      </c>
      <c r="H355" s="395">
        <f>P352 * (H354-1)</f>
        <v>12.25</v>
      </c>
      <c r="I355" s="379"/>
      <c r="J355" s="379"/>
      <c r="K355" s="379"/>
      <c r="L355" s="379"/>
      <c r="M355" s="379"/>
      <c r="N355" s="379"/>
      <c r="O355" s="379"/>
      <c r="P355" s="596"/>
      <c r="Q355" s="379"/>
    </row>
    <row r="356">
      <c r="E356" s="341"/>
      <c r="F356" s="341"/>
      <c r="G356" s="394" t="s">
        <v>308</v>
      </c>
      <c r="H356" s="390">
        <f>H355*H354</f>
        <v>98</v>
      </c>
      <c r="I356" s="349"/>
      <c r="J356" s="336"/>
      <c r="K356" s="336"/>
      <c r="L356" s="337"/>
      <c r="M356" s="349"/>
      <c r="N356" s="349"/>
      <c r="O356" s="337"/>
      <c r="P356" s="377"/>
      <c r="Q356" s="337"/>
    </row>
    <row r="357">
      <c r="E357" s="341"/>
      <c r="F357" s="341"/>
      <c r="G357" s="396" t="s">
        <v>309</v>
      </c>
      <c r="H357" s="887">
        <f>IFS(H354=8,12,
H354=4,4,
H354=2,1,
H354=1,0,
TRUE,NA())</f>
        <v>12</v>
      </c>
      <c r="I357" s="346"/>
      <c r="J357" s="345"/>
      <c r="K357" s="345"/>
      <c r="L357" s="344"/>
      <c r="M357" s="346"/>
      <c r="N357" s="346"/>
      <c r="O357" s="344"/>
      <c r="P357" s="509"/>
      <c r="Q357" s="344"/>
    </row>
    <row r="358">
      <c r="E358" s="341"/>
      <c r="F358" s="341"/>
      <c r="G358" s="9" t="s">
        <v>310</v>
      </c>
      <c r="H358" s="293">
        <v>2.0</v>
      </c>
      <c r="I358" s="349"/>
      <c r="J358" s="336"/>
      <c r="K358" s="336"/>
      <c r="L358" s="337"/>
      <c r="M358" s="349"/>
      <c r="N358" s="349"/>
      <c r="O358" s="337"/>
      <c r="P358" s="377"/>
      <c r="Q358" s="337"/>
    </row>
    <row r="359">
      <c r="E359" s="341"/>
      <c r="F359" s="341"/>
      <c r="G359" s="402" t="s">
        <v>311</v>
      </c>
      <c r="H359" s="608" t="str">
        <f>ALL_GATHER_CHIP2CHIP_TIME_MS2(H356 * H358, H357)</f>
        <v>#N/A</v>
      </c>
      <c r="I359" s="346"/>
      <c r="J359" s="345"/>
      <c r="K359" s="345"/>
      <c r="L359" s="344"/>
      <c r="M359" s="346"/>
      <c r="N359" s="346"/>
      <c r="O359" s="344"/>
      <c r="P359" s="509"/>
      <c r="Q359" s="344"/>
    </row>
    <row r="360">
      <c r="E360" s="341"/>
      <c r="F360" s="341"/>
      <c r="G360" s="601"/>
      <c r="H360" s="602"/>
      <c r="I360" s="349"/>
      <c r="J360" s="336"/>
      <c r="K360" s="337"/>
      <c r="L360" s="499"/>
      <c r="M360" s="337"/>
      <c r="N360" s="349"/>
      <c r="O360" s="337"/>
      <c r="P360" s="377"/>
      <c r="Q360" s="337"/>
    </row>
    <row r="361">
      <c r="E361" s="341"/>
      <c r="F361" s="341"/>
      <c r="G361" s="591" t="s">
        <v>117</v>
      </c>
      <c r="H361" s="592" t="s">
        <v>371</v>
      </c>
      <c r="I361" s="449"/>
      <c r="J361" s="448"/>
      <c r="K361" s="553"/>
      <c r="L361" s="446"/>
      <c r="M361" s="553"/>
      <c r="N361" s="449"/>
      <c r="O361" s="553"/>
      <c r="P361" s="604"/>
      <c r="Q361" s="553"/>
    </row>
    <row r="362">
      <c r="E362" s="341"/>
      <c r="F362" s="341"/>
      <c r="G362" s="609" t="s">
        <v>301</v>
      </c>
      <c r="H362" s="602" t="s">
        <v>281</v>
      </c>
      <c r="I362" s="349" t="s">
        <v>282</v>
      </c>
      <c r="J362" s="336"/>
      <c r="K362" s="337" t="s">
        <v>104</v>
      </c>
      <c r="L362" s="499" t="s">
        <v>102</v>
      </c>
      <c r="M362" s="337" t="s">
        <v>178</v>
      </c>
      <c r="N362" s="349" t="s">
        <v>283</v>
      </c>
      <c r="O362" s="338" t="str">
        <f>PARAMS("expert_dispatch_dtype")</f>
        <v>fp8</v>
      </c>
      <c r="P362" s="377"/>
      <c r="Q362" s="337"/>
    </row>
    <row r="363">
      <c r="E363" s="341"/>
      <c r="F363" s="341"/>
      <c r="G363" s="341"/>
      <c r="H363" s="378" t="s">
        <v>285</v>
      </c>
      <c r="I363" s="346" t="s">
        <v>282</v>
      </c>
      <c r="J363" s="345"/>
      <c r="K363" s="346">
        <f t="shared" ref="K363:M363" si="71">PARAMS(K362)</f>
        <v>4096</v>
      </c>
      <c r="L363" s="346">
        <f t="shared" si="71"/>
        <v>1</v>
      </c>
      <c r="M363" s="346">
        <f t="shared" si="71"/>
        <v>7168</v>
      </c>
      <c r="N363" s="346" t="s">
        <v>283</v>
      </c>
      <c r="O363" s="347"/>
      <c r="P363" s="509">
        <f>SIZEOF_IN_MIB(J363:M363, O362)</f>
        <v>28</v>
      </c>
      <c r="Q363" s="344"/>
    </row>
    <row r="364">
      <c r="E364" s="341"/>
      <c r="F364" s="341"/>
      <c r="G364" s="341"/>
      <c r="H364" s="376" t="s">
        <v>302</v>
      </c>
      <c r="I364" s="349" t="s">
        <v>282</v>
      </c>
      <c r="J364" s="336"/>
      <c r="K364" s="337" t="s">
        <v>96</v>
      </c>
      <c r="L364" s="337"/>
      <c r="M364" s="337" t="s">
        <v>97</v>
      </c>
      <c r="N364" s="349" t="s">
        <v>283</v>
      </c>
      <c r="O364" s="350"/>
      <c r="P364" s="377"/>
      <c r="Q364" s="337"/>
    </row>
    <row r="365">
      <c r="E365" s="341"/>
      <c r="F365" s="341"/>
      <c r="G365" s="341"/>
      <c r="H365" s="378" t="s">
        <v>303</v>
      </c>
      <c r="I365" s="346" t="s">
        <v>282</v>
      </c>
      <c r="J365" s="345"/>
      <c r="K365" s="346">
        <f t="shared" ref="K365:M365" si="72">K363/SHARDING(K364)</f>
        <v>512</v>
      </c>
      <c r="L365" s="346">
        <f t="shared" si="72"/>
        <v>1</v>
      </c>
      <c r="M365" s="346">
        <f t="shared" si="72"/>
        <v>3584</v>
      </c>
      <c r="N365" s="346" t="s">
        <v>283</v>
      </c>
      <c r="O365" s="347"/>
      <c r="P365" s="509">
        <f>SIZEOF_IN_MIB(J365:M365, O362)</f>
        <v>1.75</v>
      </c>
      <c r="Q365" s="344"/>
    </row>
    <row r="366">
      <c r="E366" s="341"/>
      <c r="F366" s="341"/>
      <c r="G366" s="352"/>
      <c r="H366" s="605" t="s">
        <v>304</v>
      </c>
      <c r="I366" s="349" t="s">
        <v>282</v>
      </c>
      <c r="J366" s="298"/>
      <c r="K366" s="298"/>
      <c r="L366" s="298"/>
      <c r="M366" s="337"/>
      <c r="N366" s="349" t="s">
        <v>283</v>
      </c>
      <c r="O366" s="316"/>
      <c r="P366" s="298"/>
      <c r="Q366" s="337"/>
    </row>
    <row r="367">
      <c r="E367" s="341"/>
      <c r="F367" s="341"/>
      <c r="G367" s="458" t="s">
        <v>372</v>
      </c>
      <c r="H367" s="610" t="s">
        <v>306</v>
      </c>
      <c r="I367" s="379"/>
      <c r="J367" s="410" t="str">
        <f>SHARDING(K364) * SHARDING(L364)*SHARDING(M364) / HW_SPEC("# of TensorCore per Chip")</f>
        <v>#N/A</v>
      </c>
      <c r="K367" s="345"/>
      <c r="L367" s="344"/>
      <c r="M367" s="346"/>
      <c r="N367" s="346"/>
      <c r="O367" s="344"/>
      <c r="P367" s="509"/>
      <c r="Q367" s="344"/>
    </row>
    <row r="368">
      <c r="E368" s="341"/>
      <c r="F368" s="341"/>
      <c r="G368" s="341"/>
      <c r="H368" s="605" t="s">
        <v>307</v>
      </c>
      <c r="I368" s="298"/>
      <c r="J368" s="390" t="str">
        <f>P365 * HW_SPEC("# of TensorCore per Chip") * (J367-1)</f>
        <v>#N/A</v>
      </c>
      <c r="K368" s="336"/>
      <c r="L368" s="337"/>
      <c r="M368" s="349"/>
      <c r="N368" s="349"/>
      <c r="O368" s="337"/>
      <c r="P368" s="377"/>
      <c r="Q368" s="337"/>
    </row>
    <row r="369">
      <c r="E369" s="341"/>
      <c r="F369" s="341"/>
      <c r="G369" s="341"/>
      <c r="H369" s="410" t="s">
        <v>308</v>
      </c>
      <c r="I369" s="379"/>
      <c r="J369" s="395" t="str">
        <f>J368*J367</f>
        <v>#N/A</v>
      </c>
      <c r="K369" s="345"/>
      <c r="L369" s="344"/>
      <c r="M369" s="346"/>
      <c r="N369" s="346"/>
      <c r="O369" s="344"/>
      <c r="P369" s="509"/>
      <c r="Q369" s="344"/>
    </row>
    <row r="370">
      <c r="E370" s="341"/>
      <c r="F370" s="341"/>
      <c r="G370" s="341"/>
      <c r="H370" s="478" t="s">
        <v>309</v>
      </c>
      <c r="I370" s="298"/>
      <c r="J370" s="397" t="str">
        <f>IFS(J367=8,12,
J367=4,4,
J367=2,1,
J367=1,0,
TRUE,NA())</f>
        <v>#N/A</v>
      </c>
      <c r="K370" s="336"/>
      <c r="L370" s="337"/>
      <c r="M370" s="349"/>
      <c r="N370" s="349"/>
      <c r="O370" s="337"/>
      <c r="P370" s="377"/>
      <c r="Q370" s="337"/>
    </row>
    <row r="371">
      <c r="E371" s="341"/>
      <c r="F371" s="341"/>
      <c r="G371" s="341"/>
      <c r="H371" s="606" t="s">
        <v>310</v>
      </c>
      <c r="I371" s="379"/>
      <c r="J371" s="611" t="s">
        <v>611</v>
      </c>
      <c r="K371" s="345"/>
      <c r="L371" s="344"/>
      <c r="M371" s="346"/>
      <c r="N371" s="346"/>
      <c r="O371" s="344"/>
      <c r="P371" s="509"/>
      <c r="Q371" s="344"/>
    </row>
    <row r="372">
      <c r="E372" s="341"/>
      <c r="F372" s="341"/>
      <c r="G372" s="352"/>
      <c r="H372" s="612" t="s">
        <v>311</v>
      </c>
      <c r="I372" s="613"/>
      <c r="J372" s="403" t="str">
        <f>ALL_GATHER_CHIP2CHIP_TIME_MS2(J369 * J371, J370)</f>
        <v>#N/A</v>
      </c>
      <c r="K372" s="336"/>
      <c r="L372" s="337"/>
      <c r="M372" s="349"/>
      <c r="N372" s="349"/>
      <c r="O372" s="337"/>
      <c r="P372" s="377"/>
      <c r="Q372" s="337"/>
    </row>
    <row r="373">
      <c r="E373" s="341"/>
      <c r="F373" s="341"/>
      <c r="G373" s="458" t="s">
        <v>373</v>
      </c>
      <c r="H373" s="410" t="s">
        <v>306</v>
      </c>
      <c r="I373" s="387"/>
      <c r="J373" s="483" t="str">
        <f>HW_SPEC("# of TensorCore per Chip")</f>
        <v>#N/A</v>
      </c>
      <c r="K373" s="345"/>
      <c r="L373" s="344"/>
      <c r="M373" s="346"/>
      <c r="N373" s="346"/>
      <c r="O373" s="344"/>
      <c r="P373" s="509"/>
      <c r="Q373" s="344"/>
    </row>
    <row r="374">
      <c r="E374" s="341"/>
      <c r="F374" s="341"/>
      <c r="G374" s="341"/>
      <c r="H374" s="478" t="s">
        <v>307</v>
      </c>
      <c r="I374" s="391"/>
      <c r="J374" s="390" t="str">
        <f> P363 / J373 * (J373-1)</f>
        <v>#N/A</v>
      </c>
      <c r="K374" s="336"/>
      <c r="L374" s="337"/>
      <c r="M374" s="349"/>
      <c r="N374" s="349"/>
      <c r="O374" s="337"/>
      <c r="P374" s="377"/>
      <c r="Q374" s="337"/>
    </row>
    <row r="375">
      <c r="E375" s="341"/>
      <c r="F375" s="341"/>
      <c r="G375" s="341"/>
      <c r="H375" s="410" t="s">
        <v>308</v>
      </c>
      <c r="I375" s="387"/>
      <c r="J375" s="395" t="str">
        <f>J374*J373</f>
        <v>#N/A</v>
      </c>
      <c r="K375" s="345"/>
      <c r="L375" s="344"/>
      <c r="M375" s="346"/>
      <c r="N375" s="346"/>
      <c r="O375" s="344"/>
      <c r="P375" s="509"/>
      <c r="Q375" s="344"/>
    </row>
    <row r="376">
      <c r="E376" s="341"/>
      <c r="F376" s="341"/>
      <c r="G376" s="341"/>
      <c r="H376" s="614" t="s">
        <v>311</v>
      </c>
      <c r="I376" s="615"/>
      <c r="J376" s="616" t="str">
        <f>ALL_GATHER_CORE2CORE_TIME_MS(J375)</f>
        <v>#N/A</v>
      </c>
      <c r="K376" s="336"/>
      <c r="L376" s="337"/>
      <c r="M376" s="349"/>
      <c r="N376" s="349"/>
      <c r="O376" s="337"/>
      <c r="P376" s="377"/>
      <c r="Q376" s="337"/>
    </row>
    <row r="377">
      <c r="E377" s="341"/>
      <c r="F377" s="341"/>
      <c r="G377" s="352"/>
      <c r="H377" s="617" t="s">
        <v>374</v>
      </c>
      <c r="I377" s="618"/>
      <c r="J377" s="619" t="str">
        <f>J376/J367</f>
        <v>#N/A</v>
      </c>
      <c r="K377" s="345"/>
      <c r="L377" s="344"/>
      <c r="M377" s="346"/>
      <c r="N377" s="346"/>
      <c r="O377" s="344"/>
      <c r="P377" s="509"/>
      <c r="Q377" s="344"/>
    </row>
    <row r="378">
      <c r="E378" s="341"/>
      <c r="F378" s="341"/>
      <c r="G378" s="402" t="s">
        <v>316</v>
      </c>
      <c r="H378" s="620" t="str">
        <f>J372+J377</f>
        <v>#N/A</v>
      </c>
      <c r="I378" s="298"/>
      <c r="J378" s="621"/>
      <c r="K378" s="336"/>
      <c r="L378" s="337"/>
      <c r="M378" s="349"/>
      <c r="N378" s="349"/>
      <c r="O378" s="337"/>
      <c r="P378" s="377"/>
      <c r="Q378" s="337"/>
    </row>
    <row r="379">
      <c r="E379" s="341"/>
      <c r="F379" s="341"/>
      <c r="G379" s="601"/>
      <c r="H379" s="622"/>
      <c r="I379" s="493"/>
      <c r="J379" s="345"/>
      <c r="K379" s="345"/>
      <c r="L379" s="346"/>
      <c r="M379" s="346"/>
      <c r="N379" s="346"/>
      <c r="O379" s="345"/>
      <c r="P379" s="509"/>
      <c r="Q379" s="379"/>
    </row>
    <row r="380">
      <c r="E380" s="341"/>
      <c r="F380" s="341"/>
      <c r="G380" s="623" t="s">
        <v>375</v>
      </c>
      <c r="H380" s="624" t="s">
        <v>117</v>
      </c>
      <c r="I380" s="581"/>
      <c r="J380" s="448"/>
      <c r="K380" s="448"/>
      <c r="L380" s="449"/>
      <c r="M380" s="449"/>
      <c r="N380" s="449"/>
      <c r="O380" s="448"/>
      <c r="P380" s="604"/>
      <c r="Q380" s="572"/>
    </row>
    <row r="381">
      <c r="E381" s="341"/>
      <c r="F381" s="341"/>
      <c r="G381" s="591" t="s">
        <v>340</v>
      </c>
      <c r="H381" s="625" t="str">
        <f>IFS(H380=G339,H346,H380=G348,H359,H380=G361,H378, TRUE,0)</f>
        <v>#N/A</v>
      </c>
      <c r="I381" s="581"/>
      <c r="J381" s="448"/>
      <c r="K381" s="448"/>
      <c r="L381" s="449"/>
      <c r="M381" s="449"/>
      <c r="N381" s="449"/>
      <c r="O381" s="448"/>
      <c r="P381" s="604"/>
      <c r="Q381" s="572"/>
    </row>
    <row r="382">
      <c r="E382" s="341"/>
      <c r="F382" s="341"/>
      <c r="G382" s="452" t="s">
        <v>325</v>
      </c>
      <c r="H382" s="626" t="str">
        <f>IFS(PARAMS("topo")="2x2x2", (2+2+2)/2,
PARAMS("topo")="2x2", (2+2)/2,
TRUE, NA())</f>
        <v>#N/A</v>
      </c>
      <c r="I382" s="460"/>
      <c r="J382" s="454"/>
      <c r="K382" s="454"/>
      <c r="L382" s="455"/>
      <c r="M382" s="455"/>
      <c r="N382" s="455"/>
      <c r="O382" s="454"/>
      <c r="P382" s="468"/>
      <c r="Q382" s="11"/>
    </row>
    <row r="383">
      <c r="E383" s="352"/>
      <c r="F383" s="352"/>
      <c r="G383" s="446" t="s">
        <v>326</v>
      </c>
      <c r="H383" s="447" t="str">
        <f>IF(H380="No Collectives", 0, H382 * HW_SPEC("Chip-to-Chip ICI Latency (ms)"))</f>
        <v>#N/A</v>
      </c>
      <c r="I383" s="581"/>
      <c r="J383" s="448"/>
      <c r="K383" s="448"/>
      <c r="L383" s="449"/>
      <c r="M383" s="449"/>
      <c r="N383" s="449"/>
      <c r="O383" s="448"/>
      <c r="P383" s="604"/>
      <c r="Q383" s="572"/>
    </row>
    <row r="384">
      <c r="E384" s="333" t="s">
        <v>377</v>
      </c>
      <c r="F384" s="627" t="s">
        <v>292</v>
      </c>
      <c r="G384" s="335"/>
      <c r="H384" s="372" t="s">
        <v>281</v>
      </c>
      <c r="I384" s="364" t="s">
        <v>282</v>
      </c>
      <c r="J384" s="364"/>
      <c r="K384" s="273" t="s">
        <v>104</v>
      </c>
      <c r="L384" s="273" t="s">
        <v>212</v>
      </c>
      <c r="M384" s="472" t="s">
        <v>178</v>
      </c>
      <c r="N384" s="364" t="s">
        <v>283</v>
      </c>
      <c r="O384" s="628" t="str">
        <f>EXTRACT_ACTIVATION_DTYPE(PARAMS("moe_dtype"))</f>
        <v>fp8</v>
      </c>
      <c r="P384" s="375"/>
      <c r="Q384" s="365" t="b">
        <v>0</v>
      </c>
    </row>
    <row r="385">
      <c r="E385" s="341"/>
      <c r="F385" s="342"/>
      <c r="G385" s="343"/>
      <c r="H385" s="374" t="s">
        <v>285</v>
      </c>
      <c r="I385" s="364" t="s">
        <v>282</v>
      </c>
      <c r="J385" s="363"/>
      <c r="K385" s="364">
        <f t="shared" ref="K385:M385" si="73">PARAMS(K384)</f>
        <v>4096</v>
      </c>
      <c r="L385" s="364">
        <f t="shared" si="73"/>
        <v>8</v>
      </c>
      <c r="M385" s="364">
        <f t="shared" si="73"/>
        <v>7168</v>
      </c>
      <c r="N385" s="364" t="s">
        <v>283</v>
      </c>
      <c r="O385" s="341"/>
      <c r="P385" s="375">
        <f>SIZEOF_IN_MIB(J385:M385, O384)</f>
        <v>224</v>
      </c>
      <c r="Q385" s="341"/>
    </row>
    <row r="386">
      <c r="E386" s="341"/>
      <c r="F386" s="342"/>
      <c r="G386" s="343"/>
      <c r="H386" s="629" t="s">
        <v>287</v>
      </c>
      <c r="I386" s="363" t="s">
        <v>282</v>
      </c>
      <c r="J386" s="364"/>
      <c r="K386" s="273" t="s">
        <v>196</v>
      </c>
      <c r="L386" s="273"/>
      <c r="M386" s="273"/>
      <c r="N386" s="363" t="s">
        <v>283</v>
      </c>
      <c r="O386" s="341"/>
      <c r="P386" s="375"/>
      <c r="Q386" s="341"/>
    </row>
    <row r="387">
      <c r="E387" s="341"/>
      <c r="F387" s="353"/>
      <c r="G387" s="354"/>
      <c r="H387" s="376" t="s">
        <v>289</v>
      </c>
      <c r="I387" s="349" t="s">
        <v>282</v>
      </c>
      <c r="J387" s="336"/>
      <c r="K387" s="349">
        <f t="shared" ref="K387:M387" si="74">K385/SHARDING(K386)</f>
        <v>256</v>
      </c>
      <c r="L387" s="349">
        <f t="shared" si="74"/>
        <v>8</v>
      </c>
      <c r="M387" s="349">
        <f t="shared" si="74"/>
        <v>7168</v>
      </c>
      <c r="N387" s="349" t="s">
        <v>283</v>
      </c>
      <c r="O387" s="316"/>
      <c r="P387" s="377">
        <f>SIZEOF_IN_MIB(J387:M387, O384)</f>
        <v>14</v>
      </c>
      <c r="Q387" s="316"/>
    </row>
    <row r="388">
      <c r="E388" s="341"/>
      <c r="F388" s="630" t="s">
        <v>296</v>
      </c>
      <c r="G388" s="335"/>
      <c r="H388" s="517" t="s">
        <v>281</v>
      </c>
      <c r="I388" s="346" t="s">
        <v>282</v>
      </c>
      <c r="J388" s="344">
        <v>2.0</v>
      </c>
      <c r="K388" s="344" t="s">
        <v>184</v>
      </c>
      <c r="L388" s="556" t="s">
        <v>178</v>
      </c>
      <c r="M388" s="344" t="s">
        <v>182</v>
      </c>
      <c r="N388" s="346" t="s">
        <v>283</v>
      </c>
      <c r="O388" s="631" t="str">
        <f>EXTRACT_WEIGHT_DTYPE(PARAMS("moe_dtype"))</f>
        <v>fp4</v>
      </c>
      <c r="P388" s="509"/>
      <c r="Q388" s="473" t="b">
        <v>0</v>
      </c>
    </row>
    <row r="389">
      <c r="E389" s="341"/>
      <c r="F389" s="342"/>
      <c r="G389" s="343"/>
      <c r="H389" s="376" t="s">
        <v>285</v>
      </c>
      <c r="I389" s="349" t="s">
        <v>282</v>
      </c>
      <c r="J389" s="349">
        <f t="shared" ref="J389:M389" si="75">PARAMS(J388)</f>
        <v>2</v>
      </c>
      <c r="K389" s="349">
        <f t="shared" si="75"/>
        <v>256</v>
      </c>
      <c r="L389" s="349">
        <f t="shared" si="75"/>
        <v>7168</v>
      </c>
      <c r="M389" s="349">
        <f t="shared" si="75"/>
        <v>2048</v>
      </c>
      <c r="N389" s="349" t="s">
        <v>283</v>
      </c>
      <c r="O389" s="350"/>
      <c r="P389" s="377">
        <f>SIZEOF_IN_MIB(J389:M389, O388)</f>
        <v>3584</v>
      </c>
      <c r="Q389" s="350"/>
    </row>
    <row r="390">
      <c r="E390" s="341"/>
      <c r="F390" s="342"/>
      <c r="G390" s="343"/>
      <c r="H390" s="517" t="s">
        <v>287</v>
      </c>
      <c r="I390" s="346"/>
      <c r="J390" s="345"/>
      <c r="K390" s="344" t="s">
        <v>196</v>
      </c>
      <c r="L390" s="344"/>
      <c r="M390" s="344"/>
      <c r="N390" s="346" t="s">
        <v>283</v>
      </c>
      <c r="O390" s="347"/>
      <c r="P390" s="509"/>
      <c r="Q390" s="347"/>
    </row>
    <row r="391">
      <c r="E391" s="341"/>
      <c r="F391" s="353"/>
      <c r="G391" s="354"/>
      <c r="H391" s="602" t="s">
        <v>289</v>
      </c>
      <c r="I391" s="349" t="s">
        <v>282</v>
      </c>
      <c r="J391" s="349">
        <f t="shared" ref="J391:M391" si="76">J389/SHARDING(J390)</f>
        <v>2</v>
      </c>
      <c r="K391" s="349">
        <f t="shared" si="76"/>
        <v>16</v>
      </c>
      <c r="L391" s="349">
        <f t="shared" si="76"/>
        <v>7168</v>
      </c>
      <c r="M391" s="349">
        <f t="shared" si="76"/>
        <v>2048</v>
      </c>
      <c r="N391" s="349" t="s">
        <v>283</v>
      </c>
      <c r="O391" s="316"/>
      <c r="P391" s="377">
        <f>SIZEOF_IN_MIB(J391:M391, O388)</f>
        <v>224</v>
      </c>
      <c r="Q391" s="316"/>
    </row>
    <row r="392">
      <c r="E392" s="341"/>
      <c r="F392" s="630" t="s">
        <v>56</v>
      </c>
      <c r="G392" s="335"/>
      <c r="H392" s="517" t="s">
        <v>281</v>
      </c>
      <c r="I392" s="346" t="s">
        <v>282</v>
      </c>
      <c r="J392" s="344">
        <v>2.0</v>
      </c>
      <c r="K392" s="344" t="s">
        <v>104</v>
      </c>
      <c r="L392" s="344" t="s">
        <v>212</v>
      </c>
      <c r="M392" s="344" t="s">
        <v>182</v>
      </c>
      <c r="N392" s="346" t="s">
        <v>283</v>
      </c>
      <c r="O392" s="546" t="s">
        <v>133</v>
      </c>
      <c r="P392" s="509"/>
      <c r="Q392" s="473" t="b">
        <v>0</v>
      </c>
    </row>
    <row r="393">
      <c r="E393" s="341"/>
      <c r="F393" s="342"/>
      <c r="G393" s="343"/>
      <c r="H393" s="376" t="s">
        <v>285</v>
      </c>
      <c r="I393" s="349" t="s">
        <v>282</v>
      </c>
      <c r="J393" s="349">
        <f t="shared" ref="J393:M393" si="77">PARAMS(J392)</f>
        <v>2</v>
      </c>
      <c r="K393" s="349">
        <f t="shared" si="77"/>
        <v>4096</v>
      </c>
      <c r="L393" s="349">
        <f t="shared" si="77"/>
        <v>8</v>
      </c>
      <c r="M393" s="349">
        <f t="shared" si="77"/>
        <v>2048</v>
      </c>
      <c r="N393" s="349" t="s">
        <v>283</v>
      </c>
      <c r="O393" s="350"/>
      <c r="P393" s="377">
        <f>SIZEOF_IN_MIB(J393:M393, O392)</f>
        <v>256</v>
      </c>
      <c r="Q393" s="350"/>
    </row>
    <row r="394">
      <c r="E394" s="341"/>
      <c r="F394" s="342"/>
      <c r="G394" s="343"/>
      <c r="H394" s="517" t="s">
        <v>287</v>
      </c>
      <c r="I394" s="346" t="s">
        <v>282</v>
      </c>
      <c r="J394" s="345"/>
      <c r="K394" s="344" t="s">
        <v>196</v>
      </c>
      <c r="L394" s="344"/>
      <c r="M394" s="344"/>
      <c r="N394" s="346" t="s">
        <v>283</v>
      </c>
      <c r="O394" s="347"/>
      <c r="P394" s="509"/>
      <c r="Q394" s="347"/>
    </row>
    <row r="395">
      <c r="E395" s="341"/>
      <c r="F395" s="353"/>
      <c r="G395" s="354"/>
      <c r="H395" s="602" t="s">
        <v>289</v>
      </c>
      <c r="I395" s="349" t="s">
        <v>282</v>
      </c>
      <c r="J395" s="349">
        <f t="shared" ref="J395:M395" si="78">J393/SHARDING(J394)</f>
        <v>2</v>
      </c>
      <c r="K395" s="349">
        <f t="shared" si="78"/>
        <v>256</v>
      </c>
      <c r="L395" s="349">
        <f t="shared" si="78"/>
        <v>8</v>
      </c>
      <c r="M395" s="349">
        <f t="shared" si="78"/>
        <v>2048</v>
      </c>
      <c r="N395" s="349" t="s">
        <v>283</v>
      </c>
      <c r="O395" s="316"/>
      <c r="P395" s="377">
        <f>SIZEOF_IN_MIB(J395:M395, O392)</f>
        <v>16</v>
      </c>
      <c r="Q395" s="316"/>
    </row>
    <row r="396">
      <c r="E396" s="341"/>
      <c r="F396" s="370" t="s">
        <v>378</v>
      </c>
      <c r="G396" s="601" t="s">
        <v>720</v>
      </c>
      <c r="H396" s="498" t="str">
        <f>L390</f>
        <v/>
      </c>
      <c r="I396" s="632" t="s">
        <v>721</v>
      </c>
      <c r="J396" s="345"/>
      <c r="K396" s="345"/>
      <c r="L396" s="346"/>
      <c r="M396" s="346"/>
      <c r="N396" s="346"/>
      <c r="O396" s="345"/>
      <c r="P396" s="509"/>
      <c r="Q396" s="379"/>
    </row>
    <row r="397">
      <c r="E397" s="341"/>
      <c r="F397" s="341"/>
      <c r="G397" s="591" t="s">
        <v>381</v>
      </c>
      <c r="H397" s="633" t="s">
        <v>707</v>
      </c>
      <c r="I397" s="633"/>
      <c r="J397" s="448"/>
      <c r="K397" s="448"/>
      <c r="L397" s="449"/>
      <c r="M397" s="449"/>
      <c r="N397" s="449"/>
      <c r="O397" s="448"/>
      <c r="P397" s="604"/>
      <c r="Q397" s="572"/>
    </row>
    <row r="398">
      <c r="E398" s="341"/>
      <c r="F398" s="341"/>
      <c r="G398" s="594" t="s">
        <v>306</v>
      </c>
      <c r="H398" s="634">
        <f>SHARDING(H396)</f>
        <v>1</v>
      </c>
      <c r="I398" s="498"/>
      <c r="J398" s="345"/>
      <c r="K398" s="345"/>
      <c r="L398" s="346"/>
      <c r="M398" s="346"/>
      <c r="N398" s="346"/>
      <c r="O398" s="345"/>
      <c r="P398" s="509"/>
      <c r="Q398" s="379"/>
    </row>
    <row r="399">
      <c r="E399" s="341"/>
      <c r="F399" s="341"/>
      <c r="G399" s="594" t="s">
        <v>383</v>
      </c>
      <c r="H399" s="635">
        <f>P395/H398*(H398-1)</f>
        <v>0</v>
      </c>
      <c r="I399" s="549"/>
      <c r="J399" s="336"/>
      <c r="K399" s="336"/>
      <c r="L399" s="349"/>
      <c r="M399" s="349"/>
      <c r="N399" s="349"/>
      <c r="O399" s="336"/>
      <c r="P399" s="377"/>
      <c r="Q399" s="298"/>
    </row>
    <row r="400">
      <c r="E400" s="341"/>
      <c r="F400" s="341"/>
      <c r="G400" s="594" t="s">
        <v>384</v>
      </c>
      <c r="H400" s="636">
        <f>H399*H398</f>
        <v>0</v>
      </c>
      <c r="I400" s="498"/>
      <c r="J400" s="345"/>
      <c r="K400" s="345"/>
      <c r="L400" s="346"/>
      <c r="M400" s="346"/>
      <c r="N400" s="346"/>
      <c r="O400" s="345"/>
      <c r="P400" s="509"/>
      <c r="Q400" s="379"/>
    </row>
    <row r="401">
      <c r="E401" s="341"/>
      <c r="F401" s="341"/>
      <c r="G401" s="637" t="s">
        <v>385</v>
      </c>
      <c r="H401" s="638" t="s">
        <v>309</v>
      </c>
      <c r="I401" s="549"/>
      <c r="J401" s="639">
        <f>IFS(H398=8,12,
H398=4,4,
H398=2,1,
H398=1,0,
TRUE,NA())</f>
        <v>0</v>
      </c>
      <c r="K401" s="336"/>
      <c r="L401" s="349"/>
      <c r="M401" s="349"/>
      <c r="N401" s="349"/>
      <c r="O401" s="336"/>
      <c r="P401" s="377"/>
      <c r="Q401" s="298"/>
    </row>
    <row r="402">
      <c r="E402" s="341"/>
      <c r="F402" s="341"/>
      <c r="G402" s="341"/>
      <c r="H402" s="640" t="s">
        <v>386</v>
      </c>
      <c r="I402" s="379"/>
      <c r="J402" s="641" t="str">
        <f>HW_SPEC("# of TensorCore per Chip")</f>
        <v>#N/A</v>
      </c>
      <c r="K402" s="345"/>
      <c r="L402" s="346"/>
      <c r="M402" s="346"/>
      <c r="N402" s="346"/>
      <c r="O402" s="345"/>
      <c r="P402" s="509"/>
      <c r="Q402" s="379"/>
    </row>
    <row r="403">
      <c r="E403" s="341"/>
      <c r="F403" s="341"/>
      <c r="G403" s="352"/>
      <c r="H403" s="642" t="s">
        <v>311</v>
      </c>
      <c r="I403" s="549"/>
      <c r="J403" s="643" t="str">
        <f>REDUCE_SCATTER_CHIP2CHIP_TIME_MS2(H400*J402,J401)</f>
        <v>#N/A</v>
      </c>
      <c r="K403" s="336"/>
      <c r="L403" s="349"/>
      <c r="M403" s="349"/>
      <c r="N403" s="349"/>
      <c r="O403" s="336"/>
      <c r="P403" s="377"/>
      <c r="Q403" s="298"/>
    </row>
    <row r="404">
      <c r="E404" s="341"/>
      <c r="F404" s="341"/>
      <c r="G404" s="644" t="s">
        <v>387</v>
      </c>
      <c r="H404" s="645" t="s">
        <v>311</v>
      </c>
      <c r="I404" s="379"/>
      <c r="J404" s="646">
        <f>REDUCE_SCATTER_CORE2CORE_TIME_MS(H400)</f>
        <v>0</v>
      </c>
      <c r="K404" s="345"/>
      <c r="L404" s="346"/>
      <c r="M404" s="346"/>
      <c r="N404" s="346"/>
      <c r="O404" s="345"/>
      <c r="P404" s="509"/>
      <c r="Q404" s="379"/>
    </row>
    <row r="405">
      <c r="E405" s="341"/>
      <c r="F405" s="341"/>
      <c r="G405" s="11"/>
      <c r="H405" s="298"/>
      <c r="I405" s="549"/>
      <c r="J405" s="336"/>
      <c r="K405" s="336"/>
      <c r="L405" s="349"/>
      <c r="M405" s="349"/>
      <c r="N405" s="349"/>
      <c r="O405" s="336"/>
      <c r="P405" s="377"/>
      <c r="Q405" s="298"/>
    </row>
    <row r="406">
      <c r="E406" s="341"/>
      <c r="F406" s="341"/>
      <c r="G406" s="591" t="s">
        <v>388</v>
      </c>
      <c r="H406" s="647" t="s">
        <v>708</v>
      </c>
      <c r="I406" s="648"/>
      <c r="J406" s="448"/>
      <c r="K406" s="448"/>
      <c r="L406" s="449"/>
      <c r="M406" s="449"/>
      <c r="N406" s="449"/>
      <c r="O406" s="448"/>
      <c r="P406" s="604"/>
      <c r="Q406" s="572"/>
    </row>
    <row r="407">
      <c r="E407" s="341"/>
      <c r="F407" s="341"/>
      <c r="G407" s="601" t="s">
        <v>390</v>
      </c>
      <c r="H407" s="649">
        <f>P395/2</f>
        <v>8</v>
      </c>
      <c r="I407" s="650"/>
      <c r="J407" s="454"/>
      <c r="K407" s="454"/>
      <c r="L407" s="455"/>
      <c r="M407" s="455"/>
      <c r="N407" s="455"/>
      <c r="O407" s="454"/>
      <c r="P407" s="468"/>
      <c r="Q407" s="11"/>
    </row>
    <row r="408">
      <c r="E408" s="341"/>
      <c r="F408" s="341"/>
      <c r="G408" s="11"/>
      <c r="H408" s="11"/>
      <c r="I408" s="650"/>
      <c r="J408" s="454"/>
      <c r="K408" s="454"/>
      <c r="L408" s="455"/>
      <c r="M408" s="455"/>
      <c r="N408" s="455"/>
      <c r="O408" s="454"/>
      <c r="P408" s="468"/>
      <c r="Q408" s="11"/>
    </row>
    <row r="409">
      <c r="E409" s="341"/>
      <c r="F409" s="341"/>
      <c r="G409" s="591" t="s">
        <v>263</v>
      </c>
      <c r="H409" s="647" t="s">
        <v>709</v>
      </c>
      <c r="I409" s="648"/>
      <c r="J409" s="448"/>
      <c r="K409" s="448"/>
      <c r="L409" s="449"/>
      <c r="M409" s="449"/>
      <c r="N409" s="449"/>
      <c r="O409" s="448"/>
      <c r="P409" s="604"/>
      <c r="Q409" s="572"/>
    </row>
    <row r="410">
      <c r="E410" s="341"/>
      <c r="F410" s="341"/>
      <c r="G410" s="594" t="s">
        <v>306</v>
      </c>
      <c r="H410" s="651">
        <f>H398</f>
        <v>1</v>
      </c>
      <c r="I410" s="650"/>
      <c r="J410" s="454"/>
      <c r="K410" s="454"/>
      <c r="L410" s="455"/>
      <c r="M410" s="455"/>
      <c r="N410" s="455"/>
      <c r="O410" s="454"/>
      <c r="P410" s="468"/>
      <c r="Q410" s="11"/>
    </row>
    <row r="411">
      <c r="E411" s="341"/>
      <c r="F411" s="341"/>
      <c r="G411" s="594" t="s">
        <v>392</v>
      </c>
      <c r="H411" s="652">
        <f>H407/H410 * (H410-1)</f>
        <v>0</v>
      </c>
      <c r="I411" s="650"/>
      <c r="J411" s="454"/>
      <c r="K411" s="454"/>
      <c r="L411" s="455"/>
      <c r="M411" s="455"/>
      <c r="N411" s="455"/>
      <c r="O411" s="454"/>
      <c r="P411" s="468"/>
      <c r="Q411" s="11"/>
    </row>
    <row r="412">
      <c r="E412" s="341"/>
      <c r="F412" s="341"/>
      <c r="G412" s="594" t="s">
        <v>308</v>
      </c>
      <c r="H412" s="652">
        <f>H411*H410</f>
        <v>0</v>
      </c>
      <c r="I412" s="650"/>
      <c r="J412" s="454"/>
      <c r="K412" s="454"/>
      <c r="L412" s="455"/>
      <c r="M412" s="455"/>
      <c r="N412" s="455"/>
      <c r="O412" s="454"/>
      <c r="P412" s="468"/>
      <c r="Q412" s="11"/>
    </row>
    <row r="413">
      <c r="E413" s="341"/>
      <c r="F413" s="341"/>
      <c r="G413" s="653" t="s">
        <v>385</v>
      </c>
      <c r="H413" s="385" t="s">
        <v>309</v>
      </c>
      <c r="I413" s="11"/>
      <c r="J413" s="654" t="str">
        <f>IFS(H410=8,12,
H410=4,4,
H410=2,1,
TRUE,NA())</f>
        <v>#N/A</v>
      </c>
      <c r="K413" s="454"/>
      <c r="L413" s="455"/>
      <c r="M413" s="455"/>
      <c r="N413" s="455"/>
      <c r="O413" s="454"/>
      <c r="P413" s="468"/>
      <c r="Q413" s="11"/>
      <c r="S413" s="655"/>
    </row>
    <row r="414">
      <c r="E414" s="341"/>
      <c r="F414" s="341"/>
      <c r="G414" s="341"/>
      <c r="H414" s="385" t="s">
        <v>386</v>
      </c>
      <c r="I414" s="11"/>
      <c r="J414" s="656" t="str">
        <f>HW_SPEC("# of TensorCore per Chip")</f>
        <v>#N/A</v>
      </c>
      <c r="K414" s="454"/>
      <c r="L414" s="455"/>
      <c r="M414" s="455"/>
      <c r="N414" s="455"/>
      <c r="O414" s="454"/>
      <c r="P414" s="468"/>
      <c r="Q414" s="11"/>
    </row>
    <row r="415">
      <c r="E415" s="341"/>
      <c r="F415" s="341"/>
      <c r="G415" s="352"/>
      <c r="H415" s="402" t="s">
        <v>311</v>
      </c>
      <c r="I415" s="650"/>
      <c r="J415" s="657" t="str">
        <f>REDUCE_SCATTER_CHIP2CHIP_TIME_MS2(H412*J414,J413)</f>
        <v>#N/A</v>
      </c>
      <c r="K415" s="454"/>
      <c r="L415" s="455"/>
      <c r="M415" s="455"/>
      <c r="N415" s="455"/>
      <c r="O415" s="454"/>
      <c r="P415" s="468"/>
      <c r="Q415" s="11"/>
    </row>
    <row r="416">
      <c r="E416" s="341"/>
      <c r="F416" s="341"/>
      <c r="G416" s="658" t="s">
        <v>387</v>
      </c>
      <c r="H416" s="402" t="s">
        <v>311</v>
      </c>
      <c r="I416" s="650"/>
      <c r="J416" s="657">
        <f>REDUCE_SCATTER_CORE2CORE_TIME_MS(H412)</f>
        <v>0</v>
      </c>
      <c r="K416" s="454"/>
      <c r="L416" s="455"/>
      <c r="M416" s="455"/>
      <c r="N416" s="455"/>
      <c r="O416" s="454"/>
      <c r="P416" s="468"/>
      <c r="Q416" s="11"/>
    </row>
    <row r="417">
      <c r="E417" s="341"/>
      <c r="F417" s="341"/>
      <c r="G417" s="594"/>
      <c r="H417" s="659"/>
      <c r="I417" s="650"/>
      <c r="J417" s="454"/>
      <c r="K417" s="454"/>
      <c r="L417" s="455"/>
      <c r="M417" s="455"/>
      <c r="N417" s="455"/>
      <c r="O417" s="454"/>
      <c r="P417" s="468"/>
      <c r="Q417" s="11"/>
    </row>
    <row r="418">
      <c r="E418" s="341"/>
      <c r="F418" s="341"/>
      <c r="G418" s="591" t="s">
        <v>393</v>
      </c>
      <c r="H418" s="660" t="s">
        <v>387</v>
      </c>
      <c r="I418" s="648"/>
      <c r="J418" s="448"/>
      <c r="K418" s="448"/>
      <c r="L418" s="449"/>
      <c r="M418" s="449"/>
      <c r="N418" s="449"/>
      <c r="O418" s="448"/>
      <c r="P418" s="604"/>
      <c r="Q418" s="572"/>
    </row>
    <row r="419">
      <c r="E419" s="341"/>
      <c r="F419" s="341"/>
      <c r="G419" s="661" t="s">
        <v>395</v>
      </c>
      <c r="H419" s="662">
        <f>IFS(H418=G401,J403,
H418=G404,J404 ,
TRUE,0)</f>
        <v>0</v>
      </c>
      <c r="I419" s="650"/>
      <c r="J419" s="454"/>
      <c r="K419" s="454"/>
      <c r="L419" s="455"/>
      <c r="M419" s="455"/>
      <c r="N419" s="455"/>
      <c r="O419" s="454"/>
      <c r="P419" s="468"/>
      <c r="Q419" s="11"/>
    </row>
    <row r="420">
      <c r="E420" s="341"/>
      <c r="F420" s="341"/>
      <c r="G420" s="661" t="s">
        <v>396</v>
      </c>
      <c r="H420" s="662">
        <f>IFS(H418=G413,J415,
H418=G416,J416 ,
TRUE,0)</f>
        <v>0</v>
      </c>
      <c r="I420" s="650"/>
      <c r="J420" s="454"/>
      <c r="K420" s="454"/>
      <c r="L420" s="455"/>
      <c r="M420" s="455"/>
      <c r="N420" s="455"/>
      <c r="O420" s="454"/>
      <c r="P420" s="468"/>
      <c r="Q420" s="11"/>
    </row>
    <row r="421">
      <c r="E421" s="341"/>
      <c r="F421" s="352"/>
      <c r="G421" s="591" t="s">
        <v>340</v>
      </c>
      <c r="H421" s="625">
        <f>SUM(H419:H420)</f>
        <v>0</v>
      </c>
      <c r="I421" s="581"/>
      <c r="J421" s="448"/>
      <c r="K421" s="448"/>
      <c r="L421" s="449"/>
      <c r="M421" s="449"/>
      <c r="N421" s="449"/>
      <c r="O421" s="448"/>
      <c r="P421" s="604"/>
      <c r="Q421" s="572"/>
    </row>
    <row r="422">
      <c r="E422" s="341"/>
      <c r="F422" s="609" t="s">
        <v>327</v>
      </c>
      <c r="G422" s="601" t="s">
        <v>328</v>
      </c>
      <c r="H422" s="663" t="str">
        <f>VLOOKUP(O384&amp;","&amp;O388,$T$3:$W$12,4, FALSE)</f>
        <v>fp8</v>
      </c>
      <c r="I422" s="460"/>
      <c r="J422" s="454"/>
      <c r="K422" s="454"/>
      <c r="L422" s="455"/>
      <c r="M422" s="455"/>
      <c r="N422" s="455"/>
      <c r="O422" s="454"/>
      <c r="P422" s="468"/>
      <c r="Q422" s="11"/>
    </row>
    <row r="423">
      <c r="E423" s="341"/>
      <c r="F423" s="341"/>
      <c r="G423" s="601" t="s">
        <v>403</v>
      </c>
      <c r="H423" s="667" t="str">
        <f>CALCULATE_FLOPS(J387:M387,J391:M391,L391,K391,H422)</f>
        <v>#N/A</v>
      </c>
      <c r="I423" s="460"/>
      <c r="J423" s="454"/>
      <c r="K423" s="454"/>
      <c r="L423" s="455"/>
      <c r="M423" s="455"/>
      <c r="N423" s="455"/>
      <c r="O423" s="454"/>
      <c r="P423" s="468"/>
      <c r="Q423" s="11"/>
    </row>
    <row r="424">
      <c r="E424" s="341"/>
      <c r="F424" s="352"/>
      <c r="G424" s="669" t="s">
        <v>330</v>
      </c>
      <c r="H424" s="670" t="str">
        <f>COMPUTE_TIME_MS(H423, H422)</f>
        <v>#N/A</v>
      </c>
      <c r="I424" s="464"/>
      <c r="J424" s="465"/>
      <c r="K424" s="465"/>
      <c r="L424" s="466"/>
      <c r="M424" s="466"/>
      <c r="N424" s="466"/>
      <c r="O424" s="465"/>
      <c r="P424" s="671"/>
      <c r="Q424" s="11"/>
    </row>
    <row r="425">
      <c r="E425" s="341"/>
      <c r="F425" s="609" t="s">
        <v>331</v>
      </c>
      <c r="G425" s="663" t="s">
        <v>332</v>
      </c>
      <c r="H425" s="672">
        <f>IF(Q384,0,P387)+IF(Q388,0,P391)+IF(Q392,0,P395 / 2)</f>
        <v>246</v>
      </c>
      <c r="I425" s="454"/>
      <c r="J425" s="454"/>
      <c r="K425" s="454"/>
      <c r="L425" s="455"/>
      <c r="M425" s="455"/>
      <c r="N425" s="455"/>
      <c r="O425" s="454"/>
      <c r="P425" s="468"/>
      <c r="Q425" s="11"/>
    </row>
    <row r="426">
      <c r="E426" s="352"/>
      <c r="F426" s="352"/>
      <c r="G426" s="673" t="s">
        <v>333</v>
      </c>
      <c r="H426" s="670" t="str">
        <f>HBM_TIME_MS(H425)</f>
        <v>#N/A</v>
      </c>
      <c r="I426" s="465"/>
      <c r="J426" s="465"/>
      <c r="K426" s="465"/>
      <c r="L426" s="466"/>
      <c r="M426" s="466"/>
      <c r="N426" s="466"/>
      <c r="O426" s="465"/>
      <c r="P426" s="671"/>
      <c r="Q426" s="11"/>
    </row>
    <row r="427">
      <c r="E427" s="333" t="s">
        <v>404</v>
      </c>
      <c r="F427" s="627" t="s">
        <v>292</v>
      </c>
      <c r="G427" s="335"/>
      <c r="H427" s="372" t="s">
        <v>281</v>
      </c>
      <c r="I427" s="364" t="s">
        <v>282</v>
      </c>
      <c r="J427" s="273"/>
      <c r="K427" s="273" t="s">
        <v>104</v>
      </c>
      <c r="L427" s="273" t="s">
        <v>212</v>
      </c>
      <c r="M427" s="472" t="s">
        <v>182</v>
      </c>
      <c r="N427" s="364" t="s">
        <v>283</v>
      </c>
      <c r="O427" s="628" t="str">
        <f>EXTRACT_ACTIVATION_DTYPE(PARAMS("moe_dtype"))</f>
        <v>fp8</v>
      </c>
      <c r="P427" s="375"/>
      <c r="Q427" s="365" t="b">
        <v>0</v>
      </c>
    </row>
    <row r="428">
      <c r="E428" s="341"/>
      <c r="F428" s="342"/>
      <c r="G428" s="343"/>
      <c r="H428" s="374" t="s">
        <v>285</v>
      </c>
      <c r="I428" s="364" t="s">
        <v>282</v>
      </c>
      <c r="J428" s="363"/>
      <c r="K428" s="364">
        <f t="shared" ref="K428:M428" si="79">PARAMS(K427)</f>
        <v>4096</v>
      </c>
      <c r="L428" s="364">
        <f t="shared" si="79"/>
        <v>8</v>
      </c>
      <c r="M428" s="364">
        <f t="shared" si="79"/>
        <v>2048</v>
      </c>
      <c r="N428" s="364" t="s">
        <v>283</v>
      </c>
      <c r="O428" s="341"/>
      <c r="P428" s="375">
        <f>SIZEOF_IN_MIB(J428:M428, O427)</f>
        <v>64</v>
      </c>
      <c r="Q428" s="341"/>
    </row>
    <row r="429">
      <c r="E429" s="341"/>
      <c r="F429" s="342"/>
      <c r="G429" s="343"/>
      <c r="H429" s="629" t="s">
        <v>287</v>
      </c>
      <c r="I429" s="363" t="s">
        <v>282</v>
      </c>
      <c r="J429" s="364"/>
      <c r="K429" s="273" t="s">
        <v>196</v>
      </c>
      <c r="L429" s="273"/>
      <c r="M429" s="273"/>
      <c r="N429" s="363" t="s">
        <v>283</v>
      </c>
      <c r="O429" s="341"/>
      <c r="P429" s="375"/>
      <c r="Q429" s="341"/>
    </row>
    <row r="430">
      <c r="E430" s="341"/>
      <c r="F430" s="353"/>
      <c r="G430" s="354"/>
      <c r="H430" s="374" t="s">
        <v>289</v>
      </c>
      <c r="I430" s="363" t="s">
        <v>282</v>
      </c>
      <c r="J430" s="364"/>
      <c r="K430" s="363">
        <f t="shared" ref="K430:M430" si="80">K428/SHARDING(K429)</f>
        <v>256</v>
      </c>
      <c r="L430" s="363">
        <f t="shared" si="80"/>
        <v>8</v>
      </c>
      <c r="M430" s="363">
        <f t="shared" si="80"/>
        <v>2048</v>
      </c>
      <c r="N430" s="363" t="s">
        <v>283</v>
      </c>
      <c r="O430" s="316"/>
      <c r="P430" s="375">
        <f>SIZEOF_IN_MIB(J430:M430, O427)</f>
        <v>4</v>
      </c>
      <c r="Q430" s="352"/>
    </row>
    <row r="431">
      <c r="E431" s="341"/>
      <c r="F431" s="630" t="s">
        <v>296</v>
      </c>
      <c r="G431" s="335"/>
      <c r="H431" s="629" t="s">
        <v>281</v>
      </c>
      <c r="I431" s="363" t="s">
        <v>282</v>
      </c>
      <c r="J431" s="364"/>
      <c r="K431" s="273" t="s">
        <v>184</v>
      </c>
      <c r="L431" s="472" t="s">
        <v>182</v>
      </c>
      <c r="M431" s="273" t="s">
        <v>178</v>
      </c>
      <c r="N431" s="363" t="s">
        <v>283</v>
      </c>
      <c r="O431" s="631" t="str">
        <f>EXTRACT_WEIGHT_DTYPE(PARAMS("moe_dtype"))</f>
        <v>fp4</v>
      </c>
      <c r="P431" s="375"/>
      <c r="Q431" s="365" t="b">
        <v>0</v>
      </c>
    </row>
    <row r="432">
      <c r="E432" s="341"/>
      <c r="F432" s="342"/>
      <c r="G432" s="343"/>
      <c r="H432" s="374" t="s">
        <v>285</v>
      </c>
      <c r="I432" s="363" t="s">
        <v>282</v>
      </c>
      <c r="J432" s="364"/>
      <c r="K432" s="363">
        <f t="shared" ref="K432:M432" si="81">PARAMS(K431)</f>
        <v>256</v>
      </c>
      <c r="L432" s="363">
        <f t="shared" si="81"/>
        <v>2048</v>
      </c>
      <c r="M432" s="363">
        <f t="shared" si="81"/>
        <v>7168</v>
      </c>
      <c r="N432" s="363" t="s">
        <v>283</v>
      </c>
      <c r="O432" s="350"/>
      <c r="P432" s="375">
        <f>SIZEOF_IN_MIB(J432:M432, O431)</f>
        <v>1792</v>
      </c>
      <c r="Q432" s="341"/>
    </row>
    <row r="433">
      <c r="E433" s="341"/>
      <c r="F433" s="342"/>
      <c r="G433" s="343"/>
      <c r="H433" s="629" t="s">
        <v>287</v>
      </c>
      <c r="I433" s="363" t="s">
        <v>282</v>
      </c>
      <c r="J433" s="364"/>
      <c r="K433" s="273" t="s">
        <v>196</v>
      </c>
      <c r="L433" s="273"/>
      <c r="M433" s="273"/>
      <c r="N433" s="363" t="s">
        <v>283</v>
      </c>
      <c r="O433" s="347"/>
      <c r="P433" s="375"/>
      <c r="Q433" s="341"/>
    </row>
    <row r="434">
      <c r="E434" s="341"/>
      <c r="F434" s="353"/>
      <c r="G434" s="354"/>
      <c r="H434" s="629" t="s">
        <v>289</v>
      </c>
      <c r="I434" s="363" t="s">
        <v>282</v>
      </c>
      <c r="J434" s="364"/>
      <c r="K434" s="363">
        <f t="shared" ref="K434:M434" si="82">K432/SHARDING(K433)</f>
        <v>16</v>
      </c>
      <c r="L434" s="363">
        <f t="shared" si="82"/>
        <v>2048</v>
      </c>
      <c r="M434" s="363">
        <f t="shared" si="82"/>
        <v>7168</v>
      </c>
      <c r="N434" s="363" t="s">
        <v>283</v>
      </c>
      <c r="O434" s="316"/>
      <c r="P434" s="375">
        <f>SIZEOF_IN_MIB(J434:M434, O431)</f>
        <v>112</v>
      </c>
      <c r="Q434" s="352"/>
    </row>
    <row r="435">
      <c r="E435" s="341"/>
      <c r="F435" s="630" t="s">
        <v>56</v>
      </c>
      <c r="G435" s="335"/>
      <c r="H435" s="629" t="s">
        <v>281</v>
      </c>
      <c r="I435" s="363" t="s">
        <v>282</v>
      </c>
      <c r="J435" s="364"/>
      <c r="K435" s="273" t="s">
        <v>104</v>
      </c>
      <c r="L435" s="273" t="s">
        <v>212</v>
      </c>
      <c r="M435" s="273" t="s">
        <v>178</v>
      </c>
      <c r="N435" s="363" t="s">
        <v>283</v>
      </c>
      <c r="O435" s="674" t="s">
        <v>133</v>
      </c>
      <c r="P435" s="375"/>
      <c r="Q435" s="365" t="b">
        <v>0</v>
      </c>
    </row>
    <row r="436">
      <c r="E436" s="341"/>
      <c r="F436" s="342"/>
      <c r="G436" s="343"/>
      <c r="H436" s="374" t="s">
        <v>285</v>
      </c>
      <c r="I436" s="363" t="s">
        <v>282</v>
      </c>
      <c r="J436" s="364"/>
      <c r="K436" s="363">
        <f t="shared" ref="K436:M436" si="83">PARAMS(K435)</f>
        <v>4096</v>
      </c>
      <c r="L436" s="363">
        <f t="shared" si="83"/>
        <v>8</v>
      </c>
      <c r="M436" s="363">
        <f t="shared" si="83"/>
        <v>7168</v>
      </c>
      <c r="N436" s="363" t="s">
        <v>283</v>
      </c>
      <c r="O436" s="341"/>
      <c r="P436" s="375">
        <f>SIZEOF_IN_MIB(J436:M436, O435)</f>
        <v>448</v>
      </c>
      <c r="Q436" s="341"/>
    </row>
    <row r="437">
      <c r="E437" s="341"/>
      <c r="F437" s="342"/>
      <c r="G437" s="343"/>
      <c r="H437" s="629" t="s">
        <v>287</v>
      </c>
      <c r="I437" s="363" t="s">
        <v>282</v>
      </c>
      <c r="J437" s="364"/>
      <c r="K437" s="273" t="s">
        <v>196</v>
      </c>
      <c r="L437" s="273"/>
      <c r="M437" s="273"/>
      <c r="N437" s="363" t="s">
        <v>283</v>
      </c>
      <c r="O437" s="341"/>
      <c r="P437" s="375"/>
      <c r="Q437" s="341"/>
      <c r="R437" s="181" t="s">
        <v>696</v>
      </c>
    </row>
    <row r="438">
      <c r="E438" s="341"/>
      <c r="F438" s="353"/>
      <c r="G438" s="354"/>
      <c r="H438" s="629" t="s">
        <v>289</v>
      </c>
      <c r="I438" s="363" t="s">
        <v>282</v>
      </c>
      <c r="J438" s="363"/>
      <c r="K438" s="363">
        <f t="shared" ref="K438:M438" si="84">K436/SHARDING(K437)</f>
        <v>256</v>
      </c>
      <c r="L438" s="363">
        <f t="shared" si="84"/>
        <v>8</v>
      </c>
      <c r="M438" s="363">
        <f t="shared" si="84"/>
        <v>7168</v>
      </c>
      <c r="N438" s="363" t="s">
        <v>283</v>
      </c>
      <c r="O438" s="352"/>
      <c r="P438" s="375">
        <f>SIZEOF_IN_MIB(J438:M438, O435)</f>
        <v>28</v>
      </c>
      <c r="Q438" s="352"/>
    </row>
    <row r="439">
      <c r="E439" s="341"/>
      <c r="F439" s="370" t="s">
        <v>378</v>
      </c>
      <c r="G439" s="675" t="s">
        <v>722</v>
      </c>
      <c r="H439" s="676" t="str">
        <f>L433</f>
        <v/>
      </c>
      <c r="I439" s="364"/>
      <c r="J439" s="11"/>
      <c r="K439" s="364"/>
      <c r="L439" s="363"/>
      <c r="M439" s="363"/>
      <c r="N439" s="363"/>
      <c r="O439" s="364"/>
      <c r="P439" s="375"/>
      <c r="Q439" s="677"/>
    </row>
    <row r="440">
      <c r="E440" s="341"/>
      <c r="F440" s="341"/>
      <c r="G440" s="678" t="s">
        <v>406</v>
      </c>
      <c r="H440" s="679" t="s">
        <v>723</v>
      </c>
      <c r="I440" s="448"/>
      <c r="J440" s="448"/>
      <c r="K440" s="448"/>
      <c r="L440" s="449"/>
      <c r="M440" s="449"/>
      <c r="N440" s="449"/>
      <c r="O440" s="448"/>
      <c r="P440" s="604"/>
      <c r="Q440" s="450"/>
    </row>
    <row r="441">
      <c r="E441" s="341"/>
      <c r="F441" s="341"/>
      <c r="G441" s="680" t="s">
        <v>306</v>
      </c>
      <c r="H441" s="374">
        <f>SHARDING(H439)</f>
        <v>1</v>
      </c>
      <c r="I441" s="364"/>
      <c r="J441" s="364"/>
      <c r="K441" s="364"/>
      <c r="L441" s="363"/>
      <c r="M441" s="363"/>
      <c r="N441" s="363"/>
      <c r="O441" s="364"/>
      <c r="P441" s="375"/>
      <c r="Q441" s="677"/>
    </row>
    <row r="442">
      <c r="E442" s="341"/>
      <c r="F442" s="341"/>
      <c r="G442" s="680" t="s">
        <v>392</v>
      </c>
      <c r="H442" s="681">
        <f>P438 / H441 * (H441-1)</f>
        <v>0</v>
      </c>
      <c r="I442" s="364"/>
      <c r="J442" s="364"/>
      <c r="K442" s="364"/>
      <c r="L442" s="363"/>
      <c r="M442" s="363"/>
      <c r="N442" s="363"/>
      <c r="O442" s="364"/>
      <c r="P442" s="375"/>
      <c r="Q442" s="677"/>
    </row>
    <row r="443">
      <c r="E443" s="341"/>
      <c r="F443" s="341"/>
      <c r="G443" s="680" t="s">
        <v>308</v>
      </c>
      <c r="H443" s="681">
        <f>H442*H441</f>
        <v>0</v>
      </c>
      <c r="I443" s="364"/>
      <c r="J443" s="364"/>
      <c r="K443" s="364"/>
      <c r="L443" s="363"/>
      <c r="M443" s="363"/>
      <c r="N443" s="363"/>
      <c r="O443" s="364"/>
      <c r="P443" s="375"/>
      <c r="Q443" s="677"/>
    </row>
    <row r="444">
      <c r="E444" s="341"/>
      <c r="F444" s="341"/>
      <c r="G444" s="385" t="s">
        <v>309</v>
      </c>
      <c r="H444" s="654" t="str">
        <f>IFS(H441=8,12,
H441=4,4,
H441=2,1,
TRUE,NA())</f>
        <v>#N/A</v>
      </c>
      <c r="I444" s="11"/>
      <c r="J444" s="364"/>
      <c r="K444" s="364"/>
      <c r="L444" s="363"/>
      <c r="M444" s="363"/>
      <c r="N444" s="363"/>
      <c r="O444" s="364"/>
      <c r="P444" s="375"/>
      <c r="Q444" s="677"/>
    </row>
    <row r="445">
      <c r="E445" s="341"/>
      <c r="F445" s="341"/>
      <c r="G445" s="682" t="s">
        <v>340</v>
      </c>
      <c r="H445" s="683">
        <f>REDUCE_SCATTER_CHIP2CHIP_TIME_MS2(H443,H444)</f>
        <v>0</v>
      </c>
      <c r="I445" s="364"/>
      <c r="J445" s="364"/>
      <c r="K445" s="364"/>
      <c r="L445" s="363"/>
      <c r="M445" s="363"/>
      <c r="N445" s="363"/>
      <c r="O445" s="364"/>
      <c r="P445" s="375"/>
      <c r="Q445" s="677"/>
    </row>
    <row r="446">
      <c r="E446" s="341"/>
      <c r="F446" s="341"/>
      <c r="G446" s="682"/>
      <c r="H446" s="683"/>
      <c r="I446" s="364"/>
      <c r="J446" s="364"/>
      <c r="K446" s="364"/>
      <c r="L446" s="363"/>
      <c r="M446" s="363"/>
      <c r="N446" s="363"/>
      <c r="O446" s="364"/>
      <c r="P446" s="375"/>
      <c r="Q446" s="677"/>
    </row>
    <row r="447">
      <c r="E447" s="341"/>
      <c r="F447" s="341"/>
      <c r="G447" s="678" t="s">
        <v>408</v>
      </c>
      <c r="H447" s="684" t="s">
        <v>409</v>
      </c>
      <c r="I447" s="448"/>
      <c r="J447" s="448"/>
      <c r="K447" s="448"/>
      <c r="L447" s="449"/>
      <c r="M447" s="449"/>
      <c r="N447" s="449"/>
      <c r="O447" s="448"/>
      <c r="P447" s="604"/>
      <c r="Q447" s="450"/>
    </row>
    <row r="448">
      <c r="E448" s="341"/>
      <c r="F448" s="341"/>
      <c r="G448" s="8" t="s">
        <v>340</v>
      </c>
      <c r="H448" s="670">
        <f>0</f>
        <v>0</v>
      </c>
      <c r="I448" s="364"/>
      <c r="J448" s="364"/>
      <c r="K448" s="364"/>
      <c r="L448" s="363"/>
      <c r="M448" s="363"/>
      <c r="N448" s="363"/>
      <c r="O448" s="364"/>
      <c r="P448" s="375"/>
      <c r="Q448" s="677"/>
    </row>
    <row r="449">
      <c r="E449" s="341"/>
      <c r="F449" s="341"/>
      <c r="G449" s="8"/>
      <c r="H449" s="670"/>
      <c r="I449" s="364"/>
      <c r="J449" s="364"/>
      <c r="K449" s="364"/>
      <c r="L449" s="363"/>
      <c r="M449" s="363"/>
      <c r="N449" s="363"/>
      <c r="O449" s="364"/>
      <c r="P449" s="375"/>
      <c r="Q449" s="677"/>
    </row>
    <row r="450">
      <c r="E450" s="341"/>
      <c r="F450" s="341"/>
      <c r="G450" s="591" t="s">
        <v>393</v>
      </c>
      <c r="H450" s="685" t="s">
        <v>627</v>
      </c>
      <c r="I450" s="448"/>
      <c r="J450" s="448"/>
      <c r="K450" s="448"/>
      <c r="L450" s="449"/>
      <c r="M450" s="449"/>
      <c r="N450" s="449"/>
      <c r="O450" s="448"/>
      <c r="P450" s="604"/>
      <c r="Q450" s="450"/>
    </row>
    <row r="451">
      <c r="E451" s="341"/>
      <c r="F451" s="352"/>
      <c r="G451" s="669" t="s">
        <v>340</v>
      </c>
      <c r="H451" s="670">
        <f>IFS(H450=G440,H445,H450=G447,H448,TRUE,0)</f>
        <v>0</v>
      </c>
      <c r="I451" s="686"/>
      <c r="J451" s="364"/>
      <c r="K451" s="364"/>
      <c r="L451" s="363"/>
      <c r="M451" s="363"/>
      <c r="N451" s="363"/>
      <c r="O451" s="364"/>
      <c r="P451" s="375"/>
      <c r="Q451" s="677"/>
    </row>
    <row r="452">
      <c r="E452" s="341"/>
      <c r="F452" s="609" t="s">
        <v>327</v>
      </c>
      <c r="G452" s="601" t="s">
        <v>328</v>
      </c>
      <c r="H452" s="663" t="str">
        <f>VLOOKUP(O427&amp;","&amp;O431,$T$3:$W$12,4, FALSE)</f>
        <v>fp8</v>
      </c>
      <c r="I452" s="460"/>
      <c r="J452" s="454"/>
      <c r="K452" s="454"/>
      <c r="L452" s="455"/>
      <c r="M452" s="455"/>
      <c r="N452" s="455"/>
      <c r="O452" s="454"/>
      <c r="P452" s="468"/>
      <c r="Q452" s="11"/>
    </row>
    <row r="453">
      <c r="E453" s="341"/>
      <c r="F453" s="341"/>
      <c r="G453" s="663" t="s">
        <v>341</v>
      </c>
      <c r="H453" s="687" t="str">
        <f>CALCULATE_FLOPS(J430:M430,J434:M434,L434,K434,H452)</f>
        <v>#N/A</v>
      </c>
      <c r="I453" s="492"/>
      <c r="J453" s="336"/>
      <c r="K453" s="336"/>
      <c r="L453" s="349"/>
      <c r="M453" s="349"/>
      <c r="N453" s="349"/>
      <c r="O453" s="336"/>
      <c r="P453" s="377"/>
      <c r="Q453" s="298"/>
    </row>
    <row r="454">
      <c r="E454" s="341"/>
      <c r="F454" s="352"/>
      <c r="G454" s="669" t="s">
        <v>330</v>
      </c>
      <c r="H454" s="688" t="str">
        <f>COMPUTE_TIME_MS(H453, H452)</f>
        <v>#N/A</v>
      </c>
      <c r="I454" s="464"/>
      <c r="J454" s="465"/>
      <c r="K454" s="465"/>
      <c r="L454" s="466"/>
      <c r="M454" s="466"/>
      <c r="N454" s="466"/>
      <c r="O454" s="465"/>
      <c r="P454" s="671"/>
      <c r="Q454" s="379"/>
    </row>
    <row r="455">
      <c r="E455" s="341"/>
      <c r="F455" s="609" t="s">
        <v>331</v>
      </c>
      <c r="G455" s="663" t="s">
        <v>332</v>
      </c>
      <c r="H455" s="689">
        <f>IF(Q427,0,P430)+IF(Q431,0,P434)+IF(Q435,0,P438)</f>
        <v>144</v>
      </c>
      <c r="I455" s="336"/>
      <c r="J455" s="336"/>
      <c r="K455" s="336"/>
      <c r="L455" s="349"/>
      <c r="M455" s="349"/>
      <c r="N455" s="349"/>
      <c r="O455" s="336"/>
      <c r="P455" s="377"/>
      <c r="Q455" s="298"/>
    </row>
    <row r="456">
      <c r="E456" s="352"/>
      <c r="F456" s="352"/>
      <c r="G456" s="673" t="s">
        <v>333</v>
      </c>
      <c r="H456" s="690" t="str">
        <f>HBM_TIME_MS(H455)</f>
        <v>#N/A</v>
      </c>
      <c r="I456" s="465"/>
      <c r="J456" s="465"/>
      <c r="K456" s="465"/>
      <c r="L456" s="466"/>
      <c r="M456" s="466"/>
      <c r="N456" s="466"/>
      <c r="O456" s="465"/>
      <c r="P456" s="671"/>
      <c r="Q456" s="379"/>
    </row>
    <row r="457">
      <c r="E457" s="333" t="s">
        <v>411</v>
      </c>
      <c r="F457" s="691" t="s">
        <v>412</v>
      </c>
      <c r="G457" s="371" t="s">
        <v>301</v>
      </c>
      <c r="H457" s="531" t="s">
        <v>281</v>
      </c>
      <c r="I457" s="336" t="s">
        <v>282</v>
      </c>
      <c r="J457" s="337"/>
      <c r="K457" s="337" t="s">
        <v>104</v>
      </c>
      <c r="L457" s="337" t="s">
        <v>212</v>
      </c>
      <c r="M457" s="499" t="s">
        <v>178</v>
      </c>
      <c r="N457" s="336" t="s">
        <v>283</v>
      </c>
      <c r="O457" s="338" t="str">
        <f>PARAMS("expert_collect_dtype")</f>
        <v>bf16</v>
      </c>
      <c r="P457" s="377"/>
      <c r="Q457" s="337"/>
    </row>
    <row r="458">
      <c r="E458" s="341"/>
      <c r="F458" s="341"/>
      <c r="G458" s="341"/>
      <c r="H458" s="378" t="s">
        <v>285</v>
      </c>
      <c r="I458" s="345" t="s">
        <v>282</v>
      </c>
      <c r="J458" s="346"/>
      <c r="K458" s="345">
        <f t="shared" ref="K458:M458" si="85">PARAMS(K457)</f>
        <v>4096</v>
      </c>
      <c r="L458" s="345">
        <f t="shared" si="85"/>
        <v>8</v>
      </c>
      <c r="M458" s="345">
        <f t="shared" si="85"/>
        <v>7168</v>
      </c>
      <c r="N458" s="345" t="s">
        <v>283</v>
      </c>
      <c r="O458" s="347"/>
      <c r="P458" s="509">
        <f>SIZEOF_IN_MIB(J458:M458, O457)</f>
        <v>448</v>
      </c>
      <c r="Q458" s="344"/>
    </row>
    <row r="459">
      <c r="E459" s="341"/>
      <c r="F459" s="341"/>
      <c r="G459" s="341"/>
      <c r="H459" s="376" t="s">
        <v>287</v>
      </c>
      <c r="I459" s="349" t="s">
        <v>282</v>
      </c>
      <c r="J459" s="336"/>
      <c r="K459" s="337" t="s">
        <v>196</v>
      </c>
      <c r="L459" s="337"/>
      <c r="M459" s="337"/>
      <c r="N459" s="349" t="s">
        <v>283</v>
      </c>
      <c r="O459" s="350"/>
      <c r="P459" s="377"/>
      <c r="Q459" s="337"/>
    </row>
    <row r="460">
      <c r="E460" s="341"/>
      <c r="F460" s="341"/>
      <c r="G460" s="341"/>
      <c r="H460" s="378" t="s">
        <v>289</v>
      </c>
      <c r="I460" s="346" t="s">
        <v>282</v>
      </c>
      <c r="J460" s="345"/>
      <c r="K460" s="346">
        <f t="shared" ref="K460:M460" si="86">K458/SHARDING(K459)</f>
        <v>256</v>
      </c>
      <c r="L460" s="346">
        <f t="shared" si="86"/>
        <v>8</v>
      </c>
      <c r="M460" s="346">
        <f t="shared" si="86"/>
        <v>7168</v>
      </c>
      <c r="N460" s="346" t="s">
        <v>283</v>
      </c>
      <c r="O460" s="355"/>
      <c r="P460" s="509">
        <f>SIZEOF_IN_MIB(J460:M460, O457)</f>
        <v>28</v>
      </c>
      <c r="Q460" s="344"/>
    </row>
    <row r="461">
      <c r="E461" s="341"/>
      <c r="F461" s="341"/>
      <c r="G461" s="352"/>
      <c r="H461" s="376" t="s">
        <v>304</v>
      </c>
      <c r="I461" s="349"/>
      <c r="J461" s="336"/>
      <c r="K461" s="337" t="s">
        <v>196</v>
      </c>
      <c r="L461" s="349"/>
      <c r="M461" s="349"/>
      <c r="N461" s="349"/>
      <c r="O461" s="337"/>
      <c r="P461" s="377"/>
      <c r="Q461" s="337"/>
    </row>
    <row r="462">
      <c r="E462" s="341"/>
      <c r="F462" s="341"/>
      <c r="G462" s="594" t="s">
        <v>306</v>
      </c>
      <c r="H462" s="901" t="str">
        <f>SHARDING(K459)*SHARDING(L459)/HW_SPEC("# of TensorCore per Chip")</f>
        <v>#N/A</v>
      </c>
      <c r="I462" s="346"/>
      <c r="J462" s="345"/>
      <c r="K462" s="346"/>
      <c r="L462" s="346"/>
      <c r="M462" s="346"/>
      <c r="N462" s="346"/>
      <c r="O462" s="344"/>
      <c r="P462" s="509"/>
      <c r="Q462" s="344"/>
    </row>
    <row r="463">
      <c r="E463" s="341"/>
      <c r="F463" s="341"/>
      <c r="G463" s="594" t="s">
        <v>383</v>
      </c>
      <c r="H463" s="888" t="str">
        <f>P458 / H462 / H462  * (H462-1)</f>
        <v>#N/A</v>
      </c>
      <c r="I463" s="349"/>
      <c r="J463" s="336"/>
      <c r="K463" s="349"/>
      <c r="L463" s="349"/>
      <c r="M463" s="349"/>
      <c r="N463" s="349"/>
      <c r="O463" s="337"/>
      <c r="P463" s="377"/>
      <c r="Q463" s="337"/>
    </row>
    <row r="464">
      <c r="E464" s="341"/>
      <c r="F464" s="341"/>
      <c r="G464" s="594" t="s">
        <v>661</v>
      </c>
      <c r="H464" s="901" t="str">
        <f>IFS(H462=1,0,
H462=2, 1,
H462=4, 2,
H462=8, 3)</f>
        <v>#N/A</v>
      </c>
      <c r="I464" s="346"/>
      <c r="J464" s="345"/>
      <c r="K464" s="346"/>
      <c r="L464" s="346"/>
      <c r="M464" s="346"/>
      <c r="N464" s="346"/>
      <c r="O464" s="344"/>
      <c r="P464" s="509"/>
      <c r="Q464" s="344"/>
    </row>
    <row r="465">
      <c r="E465" s="341"/>
      <c r="F465" s="341"/>
      <c r="G465" s="594" t="s">
        <v>662</v>
      </c>
      <c r="H465" s="695" t="str">
        <f>IFS(H462=1,0,
H462=2, 0,
H462=4, 1,
H462=8, 3)</f>
        <v>#N/A</v>
      </c>
      <c r="I465" s="349"/>
      <c r="J465" s="336"/>
      <c r="K465" s="349"/>
      <c r="L465" s="349"/>
      <c r="M465" s="349"/>
      <c r="N465" s="349"/>
      <c r="O465" s="337"/>
      <c r="P465" s="377"/>
      <c r="Q465" s="337"/>
    </row>
    <row r="466">
      <c r="E466" s="341"/>
      <c r="F466" s="341"/>
      <c r="G466" s="594" t="s">
        <v>663</v>
      </c>
      <c r="H466" s="901" t="str">
        <f>IFS(H462=1,0,
H462=2, 0,
H462=4, 0,
H462=8, 1)</f>
        <v>#N/A</v>
      </c>
      <c r="I466" s="346"/>
      <c r="J466" s="345"/>
      <c r="K466" s="346"/>
      <c r="L466" s="346"/>
      <c r="M466" s="346"/>
      <c r="N466" s="346"/>
      <c r="O466" s="344"/>
      <c r="P466" s="509"/>
      <c r="Q466" s="344"/>
    </row>
    <row r="467">
      <c r="E467" s="341"/>
      <c r="F467" s="341"/>
      <c r="G467" s="594" t="s">
        <v>664</v>
      </c>
      <c r="H467" s="695" t="str">
        <f>IFS(H462=1,0,
H462=2, 1,
H462=4, 4,
H462=8, 12)</f>
        <v>#N/A</v>
      </c>
      <c r="I467" s="349"/>
      <c r="J467" s="336"/>
      <c r="K467" s="349"/>
      <c r="L467" s="349"/>
      <c r="M467" s="349"/>
      <c r="N467" s="349"/>
      <c r="O467" s="337"/>
      <c r="P467" s="377"/>
      <c r="Q467" s="337"/>
    </row>
    <row r="468">
      <c r="E468" s="341"/>
      <c r="F468" s="341"/>
      <c r="G468" s="594" t="s">
        <v>616</v>
      </c>
      <c r="H468" s="902" t="str">
        <f>H463*H462*(1*H464+2*H465+3*H466)/H467</f>
        <v>#N/A</v>
      </c>
      <c r="I468" s="346"/>
      <c r="J468" s="345"/>
      <c r="K468" s="346"/>
      <c r="L468" s="346"/>
      <c r="M468" s="346"/>
      <c r="N468" s="346"/>
      <c r="O468" s="344"/>
      <c r="P468" s="509"/>
      <c r="Q468" s="344"/>
    </row>
    <row r="469">
      <c r="E469" s="341"/>
      <c r="F469" s="352"/>
      <c r="G469" s="594" t="s">
        <v>665</v>
      </c>
      <c r="H469" s="643" t="str">
        <f>ALL2ALL_CHIP2CHIP_TIME_MS(H468)</f>
        <v>#N/A</v>
      </c>
      <c r="I469" s="349"/>
      <c r="J469" s="336"/>
      <c r="K469" s="349"/>
      <c r="L469" s="349"/>
      <c r="M469" s="349"/>
      <c r="N469" s="349"/>
      <c r="O469" s="337"/>
      <c r="P469" s="377"/>
      <c r="Q469" s="337"/>
    </row>
    <row r="470">
      <c r="E470" s="341"/>
      <c r="F470" s="702" t="s">
        <v>417</v>
      </c>
      <c r="G470" s="661" t="s">
        <v>169</v>
      </c>
      <c r="H470" s="711" t="s">
        <v>724</v>
      </c>
      <c r="I470" s="345"/>
      <c r="J470" s="344"/>
      <c r="K470" s="344"/>
      <c r="L470" s="344"/>
      <c r="M470" s="344"/>
      <c r="N470" s="346"/>
      <c r="O470" s="344"/>
      <c r="P470" s="509"/>
      <c r="Q470" s="344"/>
    </row>
    <row r="471">
      <c r="E471" s="341"/>
      <c r="F471" s="341"/>
      <c r="G471" s="371" t="s">
        <v>301</v>
      </c>
      <c r="H471" s="531" t="s">
        <v>281</v>
      </c>
      <c r="I471" s="336" t="s">
        <v>282</v>
      </c>
      <c r="J471" s="337"/>
      <c r="K471" s="337" t="s">
        <v>104</v>
      </c>
      <c r="L471" s="337" t="s">
        <v>102</v>
      </c>
      <c r="M471" s="337" t="s">
        <v>178</v>
      </c>
      <c r="N471" s="349"/>
      <c r="O471" s="338" t="str">
        <f>PARAMS("expert_collect_dtype")</f>
        <v>bf16</v>
      </c>
      <c r="P471" s="377"/>
      <c r="Q471" s="337"/>
    </row>
    <row r="472">
      <c r="E472" s="341"/>
      <c r="F472" s="341"/>
      <c r="G472" s="341"/>
      <c r="H472" s="378" t="s">
        <v>285</v>
      </c>
      <c r="I472" s="345" t="s">
        <v>282</v>
      </c>
      <c r="J472" s="346"/>
      <c r="K472" s="345">
        <f t="shared" ref="K472:M472" si="87">PARAMS(K471)</f>
        <v>4096</v>
      </c>
      <c r="L472" s="345">
        <f t="shared" si="87"/>
        <v>1</v>
      </c>
      <c r="M472" s="345">
        <f t="shared" si="87"/>
        <v>7168</v>
      </c>
      <c r="N472" s="346"/>
      <c r="O472" s="347"/>
      <c r="P472" s="509">
        <f>SIZEOF_IN_MIB(J472:M472, O471)</f>
        <v>56</v>
      </c>
      <c r="Q472" s="344"/>
    </row>
    <row r="473">
      <c r="E473" s="341"/>
      <c r="F473" s="341"/>
      <c r="G473" s="341"/>
      <c r="H473" s="602" t="s">
        <v>287</v>
      </c>
      <c r="I473" s="349" t="s">
        <v>282</v>
      </c>
      <c r="J473" s="336"/>
      <c r="K473" s="337"/>
      <c r="L473" s="337"/>
      <c r="M473" s="337"/>
      <c r="N473" s="349"/>
      <c r="O473" s="350"/>
      <c r="P473" s="377"/>
      <c r="Q473" s="337"/>
    </row>
    <row r="474">
      <c r="E474" s="341"/>
      <c r="F474" s="341"/>
      <c r="G474" s="341"/>
      <c r="H474" s="374" t="s">
        <v>289</v>
      </c>
      <c r="I474" s="363" t="s">
        <v>282</v>
      </c>
      <c r="J474" s="364"/>
      <c r="K474" s="363">
        <f t="shared" ref="K474:M474" si="88">K472/SHARDING(K473)</f>
        <v>4096</v>
      </c>
      <c r="L474" s="363">
        <f t="shared" si="88"/>
        <v>1</v>
      </c>
      <c r="M474" s="363">
        <f t="shared" si="88"/>
        <v>7168</v>
      </c>
      <c r="N474" s="363"/>
      <c r="O474" s="352"/>
      <c r="P474" s="375">
        <f>SIZEOF_IN_MIB(J474:M474, O471)</f>
        <v>56</v>
      </c>
      <c r="Q474" s="273"/>
    </row>
    <row r="475">
      <c r="E475" s="341"/>
      <c r="F475" s="341"/>
      <c r="G475" s="352"/>
      <c r="H475" s="704" t="s">
        <v>419</v>
      </c>
      <c r="I475" s="705"/>
      <c r="J475" s="273" t="s">
        <v>196</v>
      </c>
      <c r="K475" s="363"/>
      <c r="L475" s="363"/>
      <c r="M475" s="363"/>
      <c r="N475" s="363"/>
      <c r="O475" s="273"/>
      <c r="P475" s="706"/>
      <c r="Q475" s="273"/>
    </row>
    <row r="476">
      <c r="E476" s="341"/>
      <c r="F476" s="341"/>
      <c r="G476" s="385" t="s">
        <v>306</v>
      </c>
      <c r="H476" s="707">
        <f>SHARDING(J475) * SHARDING(H439)</f>
        <v>16</v>
      </c>
      <c r="I476" s="363"/>
      <c r="J476" s="364"/>
      <c r="K476" s="363"/>
      <c r="L476" s="363"/>
      <c r="M476" s="363"/>
      <c r="N476" s="363"/>
      <c r="O476" s="273"/>
      <c r="P476" s="706"/>
      <c r="Q476" s="273"/>
    </row>
    <row r="477">
      <c r="E477" s="341"/>
      <c r="F477" s="341"/>
      <c r="G477" s="594" t="s">
        <v>383</v>
      </c>
      <c r="H477" s="652">
        <f>P474 / H476 * (H476-1)</f>
        <v>52.5</v>
      </c>
      <c r="I477" s="363"/>
      <c r="J477" s="364"/>
      <c r="K477" s="363"/>
      <c r="L477" s="363"/>
      <c r="M477" s="363"/>
      <c r="N477" s="363"/>
      <c r="O477" s="273"/>
      <c r="P477" s="706"/>
      <c r="Q477" s="273"/>
    </row>
    <row r="478">
      <c r="E478" s="341"/>
      <c r="F478" s="341"/>
      <c r="G478" s="594" t="s">
        <v>384</v>
      </c>
      <c r="H478" s="708">
        <f>H477*H476</f>
        <v>840</v>
      </c>
      <c r="I478" s="601"/>
      <c r="J478" s="364"/>
      <c r="K478" s="363"/>
      <c r="L478" s="363"/>
      <c r="M478" s="363"/>
      <c r="N478" s="363"/>
      <c r="O478" s="273"/>
      <c r="P478" s="706"/>
      <c r="Q478" s="273"/>
    </row>
    <row r="479">
      <c r="E479" s="341"/>
      <c r="F479" s="341"/>
      <c r="G479" s="594" t="s">
        <v>420</v>
      </c>
      <c r="H479" s="709" t="str">
        <f>HW_SPEC("# of TensorCore per Chip")</f>
        <v>#N/A</v>
      </c>
      <c r="I479" s="703" t="s">
        <v>421</v>
      </c>
      <c r="J479" s="336"/>
      <c r="K479" s="349"/>
      <c r="L479" s="349"/>
      <c r="M479" s="349"/>
      <c r="N479" s="349"/>
      <c r="O479" s="337"/>
      <c r="P479" s="710"/>
      <c r="Q479" s="337"/>
    </row>
    <row r="480">
      <c r="E480" s="341"/>
      <c r="F480" s="341"/>
      <c r="G480" s="385" t="s">
        <v>309</v>
      </c>
      <c r="H480" s="410" t="str">
        <f>IFS(H476=8,12,
H476=4,4,
H476=2,1,
TRUE,NA())</f>
        <v>#N/A</v>
      </c>
      <c r="I480" s="711"/>
      <c r="J480" s="345"/>
      <c r="K480" s="346"/>
      <c r="L480" s="346"/>
      <c r="M480" s="346"/>
      <c r="N480" s="346"/>
      <c r="O480" s="344"/>
      <c r="P480" s="712"/>
      <c r="Q480" s="344"/>
    </row>
    <row r="481">
      <c r="E481" s="341"/>
      <c r="F481" s="352"/>
      <c r="G481" s="594" t="s">
        <v>423</v>
      </c>
      <c r="H481" s="643" t="str">
        <f>REDUCE_SCATTER_CHIP2CHIP_TIME_MS2(H478*H479,H480)</f>
        <v>#N/A</v>
      </c>
      <c r="I481" s="602"/>
      <c r="J481" s="336"/>
      <c r="K481" s="349"/>
      <c r="L481" s="349"/>
      <c r="M481" s="349"/>
      <c r="N481" s="349"/>
      <c r="O481" s="337"/>
      <c r="P481" s="710"/>
      <c r="Q481" s="337"/>
    </row>
    <row r="482">
      <c r="E482" s="341"/>
      <c r="F482" s="702" t="s">
        <v>119</v>
      </c>
      <c r="G482" s="713" t="s">
        <v>169</v>
      </c>
      <c r="H482" s="398" t="s">
        <v>725</v>
      </c>
      <c r="I482" s="344"/>
      <c r="J482" s="345"/>
      <c r="K482" s="344"/>
      <c r="L482" s="556"/>
      <c r="M482" s="344"/>
      <c r="N482" s="346"/>
      <c r="O482" s="344"/>
      <c r="P482" s="509"/>
      <c r="Q482" s="344"/>
    </row>
    <row r="483">
      <c r="E483" s="341"/>
      <c r="F483" s="341"/>
      <c r="G483" s="609" t="s">
        <v>301</v>
      </c>
      <c r="H483" s="602" t="s">
        <v>281</v>
      </c>
      <c r="I483" s="602"/>
      <c r="J483" s="336"/>
      <c r="K483" s="337" t="s">
        <v>104</v>
      </c>
      <c r="L483" s="499" t="s">
        <v>102</v>
      </c>
      <c r="M483" s="337" t="s">
        <v>178</v>
      </c>
      <c r="N483" s="349"/>
      <c r="O483" s="338" t="str">
        <f>PARAMS("expert_collect_dtype")</f>
        <v>bf16</v>
      </c>
      <c r="P483" s="377"/>
      <c r="Q483" s="337"/>
    </row>
    <row r="484">
      <c r="E484" s="341"/>
      <c r="F484" s="341"/>
      <c r="G484" s="341"/>
      <c r="H484" s="378" t="s">
        <v>285</v>
      </c>
      <c r="I484" s="378"/>
      <c r="J484" s="345"/>
      <c r="K484" s="346">
        <f t="shared" ref="K484:M484" si="89">PARAMS(K483)</f>
        <v>4096</v>
      </c>
      <c r="L484" s="346">
        <f t="shared" si="89"/>
        <v>1</v>
      </c>
      <c r="M484" s="346">
        <f t="shared" si="89"/>
        <v>7168</v>
      </c>
      <c r="N484" s="346"/>
      <c r="O484" s="347"/>
      <c r="P484" s="509">
        <f>SIZEOF_IN_MIB(J484:M484, O483)</f>
        <v>56</v>
      </c>
      <c r="Q484" s="344"/>
    </row>
    <row r="485">
      <c r="E485" s="341"/>
      <c r="F485" s="341"/>
      <c r="G485" s="341"/>
      <c r="H485" s="602" t="s">
        <v>287</v>
      </c>
      <c r="I485" s="602"/>
      <c r="J485" s="336"/>
      <c r="K485" s="337"/>
      <c r="L485" s="337"/>
      <c r="M485" s="337"/>
      <c r="N485" s="349"/>
      <c r="O485" s="350"/>
      <c r="P485" s="377"/>
      <c r="Q485" s="337"/>
    </row>
    <row r="486">
      <c r="E486" s="341"/>
      <c r="F486" s="341"/>
      <c r="G486" s="341"/>
      <c r="H486" s="517" t="s">
        <v>289</v>
      </c>
      <c r="I486" s="517"/>
      <c r="J486" s="345"/>
      <c r="K486" s="346">
        <f t="shared" ref="K486:M486" si="90">K484/SHARDING(K485)</f>
        <v>4096</v>
      </c>
      <c r="L486" s="346">
        <f t="shared" si="90"/>
        <v>1</v>
      </c>
      <c r="M486" s="346">
        <f t="shared" si="90"/>
        <v>7168</v>
      </c>
      <c r="N486" s="346"/>
      <c r="O486" s="355"/>
      <c r="P486" s="509">
        <f>SIZEOF_IN_MIB(J486:M486, O483)</f>
        <v>56</v>
      </c>
      <c r="Q486" s="344"/>
    </row>
    <row r="487">
      <c r="E487" s="341"/>
      <c r="F487" s="341"/>
      <c r="G487" s="341"/>
      <c r="H487" s="639" t="s">
        <v>304</v>
      </c>
      <c r="I487" s="376"/>
      <c r="J487" s="639"/>
      <c r="K487" s="337" t="s">
        <v>96</v>
      </c>
      <c r="L487" s="337"/>
      <c r="M487" s="337" t="s">
        <v>97</v>
      </c>
      <c r="N487" s="349"/>
      <c r="O487" s="337"/>
      <c r="P487" s="377"/>
      <c r="Q487" s="337"/>
    </row>
    <row r="488">
      <c r="E488" s="341"/>
      <c r="F488" s="341"/>
      <c r="G488" s="352"/>
      <c r="H488" s="634" t="s">
        <v>419</v>
      </c>
      <c r="I488" s="378"/>
      <c r="J488" s="634" t="s">
        <v>196</v>
      </c>
      <c r="K488" s="345"/>
      <c r="L488" s="344"/>
      <c r="M488" s="346"/>
      <c r="N488" s="346"/>
      <c r="O488" s="344"/>
      <c r="P488" s="509"/>
      <c r="Q488" s="344"/>
    </row>
    <row r="489">
      <c r="E489" s="341"/>
      <c r="F489" s="341"/>
      <c r="G489" s="458" t="s">
        <v>425</v>
      </c>
      <c r="H489" s="293" t="s">
        <v>306</v>
      </c>
      <c r="I489" s="298"/>
      <c r="J489" s="714" t="str">
        <f>SHARDING(J488)*SHARDING(H439)/HW_SPEC("# of TensorCore per Chip")</f>
        <v>#N/A</v>
      </c>
      <c r="K489" s="336"/>
      <c r="L489" s="337"/>
      <c r="M489" s="349"/>
      <c r="N489" s="349"/>
      <c r="O489" s="337"/>
      <c r="P489" s="377"/>
      <c r="Q489" s="337"/>
    </row>
    <row r="490">
      <c r="E490" s="341"/>
      <c r="F490" s="341"/>
      <c r="G490" s="341"/>
      <c r="H490" s="634" t="s">
        <v>426</v>
      </c>
      <c r="I490" s="379"/>
      <c r="J490" s="715" t="str">
        <f>P486 / J489 * (J489-1)</f>
        <v>#N/A</v>
      </c>
      <c r="K490" s="345"/>
      <c r="L490" s="344"/>
      <c r="M490" s="346"/>
      <c r="N490" s="346"/>
      <c r="O490" s="344"/>
      <c r="P490" s="509"/>
      <c r="Q490" s="344"/>
    </row>
    <row r="491">
      <c r="E491" s="341"/>
      <c r="F491" s="341"/>
      <c r="G491" s="341"/>
      <c r="H491" s="639" t="s">
        <v>384</v>
      </c>
      <c r="I491" s="298"/>
      <c r="J491" s="716" t="str">
        <f>J490*J489</f>
        <v>#N/A</v>
      </c>
      <c r="K491" s="336"/>
      <c r="L491" s="337"/>
      <c r="M491" s="349"/>
      <c r="N491" s="349"/>
      <c r="O491" s="337"/>
      <c r="P491" s="377"/>
      <c r="Q491" s="337"/>
    </row>
    <row r="492">
      <c r="E492" s="341"/>
      <c r="F492" s="341"/>
      <c r="G492" s="341"/>
      <c r="H492" s="634" t="s">
        <v>309</v>
      </c>
      <c r="I492" s="379"/>
      <c r="J492" s="595" t="str">
        <f>IFS(J489=8,12,
J489=4,4,
J489=2,1,
TRUE,NA())</f>
        <v>#N/A</v>
      </c>
      <c r="K492" s="345"/>
      <c r="L492" s="344"/>
      <c r="M492" s="346"/>
      <c r="N492" s="346"/>
      <c r="O492" s="344"/>
      <c r="P492" s="509"/>
      <c r="Q492" s="344"/>
    </row>
    <row r="493">
      <c r="E493" s="341"/>
      <c r="F493" s="341"/>
      <c r="G493" s="352"/>
      <c r="H493" s="639" t="s">
        <v>311</v>
      </c>
      <c r="I493" s="298"/>
      <c r="J493" s="597" t="str">
        <f>IF(J491=0,0, REDUCE_SCATTER_CHIP2CHIP_TIME_MS2(J491,J492))</f>
        <v>#N/A</v>
      </c>
      <c r="K493" s="336"/>
      <c r="L493" s="337"/>
      <c r="M493" s="349"/>
      <c r="N493" s="349"/>
      <c r="O493" s="337"/>
      <c r="P493" s="377"/>
      <c r="Q493" s="337"/>
    </row>
    <row r="494">
      <c r="E494" s="341"/>
      <c r="F494" s="341"/>
      <c r="G494" s="609" t="s">
        <v>427</v>
      </c>
      <c r="H494" s="416" t="s">
        <v>306</v>
      </c>
      <c r="I494" s="601"/>
      <c r="J494" s="717" t="str">
        <f>HW_SPEC("# of TensorCore per Chip")</f>
        <v>#N/A</v>
      </c>
      <c r="K494" s="364"/>
      <c r="L494" s="273"/>
      <c r="M494" s="363"/>
      <c r="N494" s="363"/>
      <c r="O494" s="273"/>
      <c r="P494" s="375"/>
      <c r="Q494" s="273"/>
    </row>
    <row r="495">
      <c r="E495" s="341"/>
      <c r="F495" s="341"/>
      <c r="G495" s="341"/>
      <c r="H495" s="704" t="s">
        <v>416</v>
      </c>
      <c r="I495" s="11"/>
      <c r="J495" s="718" t="str">
        <f>P486 * (J494-1)/J494</f>
        <v>#N/A</v>
      </c>
      <c r="K495" s="364"/>
      <c r="L495" s="273"/>
      <c r="M495" s="363"/>
      <c r="N495" s="363"/>
      <c r="O495" s="273"/>
      <c r="P495" s="375"/>
      <c r="Q495" s="273"/>
    </row>
    <row r="496">
      <c r="E496" s="341"/>
      <c r="F496" s="341"/>
      <c r="G496" s="341"/>
      <c r="H496" s="704" t="s">
        <v>384</v>
      </c>
      <c r="I496" s="11"/>
      <c r="J496" s="718" t="str">
        <f>J495*J494</f>
        <v>#N/A</v>
      </c>
      <c r="K496" s="364"/>
      <c r="L496" s="273"/>
      <c r="M496" s="363"/>
      <c r="N496" s="363"/>
      <c r="O496" s="273"/>
      <c r="P496" s="375"/>
      <c r="Q496" s="273"/>
    </row>
    <row r="497">
      <c r="E497" s="341"/>
      <c r="F497" s="341"/>
      <c r="G497" s="341"/>
      <c r="H497" s="704" t="s">
        <v>311</v>
      </c>
      <c r="I497" s="11"/>
      <c r="J497" s="719" t="str">
        <f>REDUCE_SCATTER_CORE2CORE_TIME_MS(J496)</f>
        <v>#N/A</v>
      </c>
      <c r="K497" s="364"/>
      <c r="L497" s="273"/>
      <c r="M497" s="363"/>
      <c r="N497" s="363"/>
      <c r="O497" s="273"/>
      <c r="P497" s="375"/>
      <c r="Q497" s="273"/>
    </row>
    <row r="498">
      <c r="E498" s="341"/>
      <c r="F498" s="341"/>
      <c r="G498" s="352"/>
      <c r="H498" s="704" t="s">
        <v>428</v>
      </c>
      <c r="I498" s="11"/>
      <c r="J498" s="719" t="str">
        <f>J497/J489</f>
        <v>#N/A</v>
      </c>
      <c r="K498" s="364"/>
      <c r="L498" s="273"/>
      <c r="M498" s="363"/>
      <c r="N498" s="363"/>
      <c r="O498" s="273"/>
      <c r="P498" s="375"/>
      <c r="Q498" s="273"/>
    </row>
    <row r="499">
      <c r="E499" s="341"/>
      <c r="F499" s="352"/>
      <c r="G499" s="599" t="s">
        <v>429</v>
      </c>
      <c r="H499" s="11" t="str">
        <f>SUM(J493+J498)</f>
        <v>#N/A</v>
      </c>
      <c r="I499" s="719"/>
      <c r="J499" s="364"/>
      <c r="K499" s="364"/>
      <c r="L499" s="273"/>
      <c r="M499" s="363"/>
      <c r="N499" s="363"/>
      <c r="O499" s="273"/>
      <c r="P499" s="375"/>
      <c r="Q499" s="273"/>
    </row>
    <row r="500">
      <c r="E500" s="341"/>
      <c r="F500" s="370" t="s">
        <v>335</v>
      </c>
      <c r="G500" s="720" t="s">
        <v>322</v>
      </c>
      <c r="H500" s="721" t="s">
        <v>119</v>
      </c>
      <c r="I500" s="650"/>
      <c r="J500" s="454"/>
      <c r="K500" s="454"/>
      <c r="L500" s="455"/>
      <c r="M500" s="455"/>
      <c r="N500" s="455"/>
      <c r="O500" s="454"/>
      <c r="P500" s="722"/>
      <c r="Q500" s="11"/>
    </row>
    <row r="501">
      <c r="E501" s="341"/>
      <c r="F501" s="352"/>
      <c r="G501" s="591" t="s">
        <v>340</v>
      </c>
      <c r="H501" s="723" t="str">
        <f>IFS(H500=F457,H469,H500=F470,H481,F482=H500,H499, TRUE,0)</f>
        <v>#N/A</v>
      </c>
      <c r="I501" s="581"/>
      <c r="J501" s="448"/>
      <c r="K501" s="448"/>
      <c r="L501" s="449"/>
      <c r="M501" s="449"/>
      <c r="N501" s="449"/>
      <c r="O501" s="448"/>
      <c r="P501" s="724"/>
      <c r="Q501" s="450"/>
    </row>
    <row r="502">
      <c r="E502" s="341"/>
      <c r="F502" s="713"/>
      <c r="G502" s="452" t="s">
        <v>325</v>
      </c>
      <c r="H502" s="626" t="str">
        <f>IFS(PARAMS("topo")="2x2x2", (2+2+2)/2,
PARAMS("topo")="2x2", (2+2)/2,
TRUE, NA())</f>
        <v>#N/A</v>
      </c>
      <c r="I502" s="650"/>
      <c r="J502" s="454"/>
      <c r="K502" s="454"/>
      <c r="L502" s="455"/>
      <c r="M502" s="455"/>
      <c r="N502" s="455"/>
      <c r="O502" s="454"/>
      <c r="P502" s="722"/>
      <c r="Q502" s="11"/>
    </row>
    <row r="503">
      <c r="E503" s="341"/>
      <c r="F503" s="713"/>
      <c r="G503" s="446" t="s">
        <v>326</v>
      </c>
      <c r="H503" s="447" t="str">
        <f>IF(H500="No Collectives", 0, H502 * HW_SPEC("Chip-to-Chip ICI Latency (ms)"))</f>
        <v>#N/A</v>
      </c>
      <c r="I503" s="648"/>
      <c r="J503" s="448"/>
      <c r="K503" s="448"/>
      <c r="L503" s="449"/>
      <c r="M503" s="449"/>
      <c r="N503" s="449"/>
      <c r="O503" s="448"/>
      <c r="P503" s="724"/>
      <c r="Q503" s="572"/>
    </row>
    <row r="504">
      <c r="E504" s="341"/>
      <c r="F504" s="609" t="s">
        <v>327</v>
      </c>
      <c r="G504" s="601" t="s">
        <v>109</v>
      </c>
      <c r="H504" s="891"/>
      <c r="I504" s="650"/>
      <c r="J504" s="454"/>
      <c r="K504" s="454"/>
      <c r="L504" s="455"/>
      <c r="M504" s="455"/>
      <c r="N504" s="455"/>
      <c r="O504" s="454"/>
      <c r="P504" s="722"/>
      <c r="Q504" s="11"/>
    </row>
    <row r="505">
      <c r="E505" s="341"/>
      <c r="F505" s="341"/>
      <c r="G505" s="601"/>
      <c r="H505" s="663"/>
      <c r="I505" s="460"/>
      <c r="J505" s="454"/>
      <c r="K505" s="454"/>
      <c r="L505" s="455"/>
      <c r="M505" s="455"/>
      <c r="N505" s="455"/>
      <c r="O505" s="454"/>
      <c r="P505" s="722"/>
      <c r="Q505" s="11"/>
    </row>
    <row r="506">
      <c r="E506" s="341"/>
      <c r="F506" s="352"/>
      <c r="G506" s="601"/>
      <c r="H506" s="663"/>
      <c r="I506" s="460"/>
      <c r="J506" s="454"/>
      <c r="K506" s="454"/>
      <c r="L506" s="455"/>
      <c r="M506" s="455"/>
      <c r="N506" s="455"/>
      <c r="O506" s="454"/>
      <c r="P506" s="722"/>
      <c r="Q506" s="11"/>
    </row>
    <row r="507">
      <c r="E507" s="341"/>
      <c r="F507" s="609" t="s">
        <v>331</v>
      </c>
      <c r="G507" s="601" t="s">
        <v>109</v>
      </c>
      <c r="H507" s="663"/>
      <c r="I507" s="460"/>
      <c r="J507" s="454"/>
      <c r="K507" s="454"/>
      <c r="L507" s="455"/>
      <c r="M507" s="455"/>
      <c r="N507" s="455"/>
      <c r="O507" s="454"/>
      <c r="P507" s="722"/>
      <c r="Q507" s="11"/>
    </row>
    <row r="508">
      <c r="E508" s="352"/>
      <c r="F508" s="352"/>
      <c r="G508" s="601"/>
      <c r="H508" s="663"/>
      <c r="I508" s="460"/>
      <c r="J508" s="454"/>
      <c r="K508" s="454"/>
      <c r="L508" s="455"/>
      <c r="M508" s="455"/>
      <c r="N508" s="455"/>
      <c r="O508" s="454"/>
      <c r="P508" s="722"/>
      <c r="Q508" s="11"/>
    </row>
    <row r="509">
      <c r="E509" s="333" t="s">
        <v>430</v>
      </c>
      <c r="F509" s="725" t="s">
        <v>292</v>
      </c>
      <c r="G509" s="335"/>
      <c r="H509" s="531" t="s">
        <v>281</v>
      </c>
      <c r="I509" s="336" t="s">
        <v>282</v>
      </c>
      <c r="J509" s="337"/>
      <c r="K509" s="337" t="s">
        <v>104</v>
      </c>
      <c r="L509" s="337" t="s">
        <v>102</v>
      </c>
      <c r="M509" s="499" t="s">
        <v>178</v>
      </c>
      <c r="N509" s="336" t="s">
        <v>283</v>
      </c>
      <c r="O509" s="338" t="s">
        <v>125</v>
      </c>
      <c r="P509" s="377"/>
      <c r="Q509" s="338" t="b">
        <v>0</v>
      </c>
    </row>
    <row r="510">
      <c r="E510" s="341"/>
      <c r="F510" s="342"/>
      <c r="G510" s="343"/>
      <c r="H510" s="378" t="s">
        <v>285</v>
      </c>
      <c r="I510" s="345" t="s">
        <v>282</v>
      </c>
      <c r="J510" s="346"/>
      <c r="K510" s="345">
        <f t="shared" ref="K510:M510" si="91">PARAMS(K509)</f>
        <v>4096</v>
      </c>
      <c r="L510" s="345">
        <f t="shared" si="91"/>
        <v>1</v>
      </c>
      <c r="M510" s="345">
        <f t="shared" si="91"/>
        <v>7168</v>
      </c>
      <c r="N510" s="345" t="s">
        <v>283</v>
      </c>
      <c r="O510" s="347"/>
      <c r="P510" s="509">
        <f>SIZEOF_IN_MIB(J510:M510, O509)</f>
        <v>28</v>
      </c>
      <c r="Q510" s="347"/>
    </row>
    <row r="511">
      <c r="E511" s="341"/>
      <c r="F511" s="342"/>
      <c r="G511" s="343"/>
      <c r="H511" s="602" t="s">
        <v>287</v>
      </c>
      <c r="I511" s="349" t="s">
        <v>282</v>
      </c>
      <c r="J511" s="336"/>
      <c r="K511" s="337" t="s">
        <v>97</v>
      </c>
      <c r="L511" s="337"/>
      <c r="M511" s="337"/>
      <c r="N511" s="349" t="s">
        <v>283</v>
      </c>
      <c r="O511" s="350"/>
      <c r="P511" s="377"/>
      <c r="Q511" s="350"/>
    </row>
    <row r="512">
      <c r="E512" s="341"/>
      <c r="F512" s="353"/>
      <c r="G512" s="354"/>
      <c r="H512" s="378" t="s">
        <v>289</v>
      </c>
      <c r="I512" s="346" t="s">
        <v>282</v>
      </c>
      <c r="J512" s="345"/>
      <c r="K512" s="346">
        <f t="shared" ref="K512:M512" si="92">K510/SHARDING(K511)</f>
        <v>2048</v>
      </c>
      <c r="L512" s="346">
        <f t="shared" si="92"/>
        <v>1</v>
      </c>
      <c r="M512" s="346">
        <f t="shared" si="92"/>
        <v>7168</v>
      </c>
      <c r="N512" s="346" t="s">
        <v>283</v>
      </c>
      <c r="O512" s="355"/>
      <c r="P512" s="509">
        <f>SIZEOF_IN_MIB(J512:M512, O509)</f>
        <v>14</v>
      </c>
      <c r="Q512" s="355"/>
    </row>
    <row r="513">
      <c r="E513" s="341"/>
      <c r="F513" s="726" t="s">
        <v>296</v>
      </c>
      <c r="G513" s="335"/>
      <c r="H513" s="602" t="s">
        <v>281</v>
      </c>
      <c r="I513" s="349" t="s">
        <v>282</v>
      </c>
      <c r="J513" s="336"/>
      <c r="K513" s="298"/>
      <c r="L513" s="337" t="s">
        <v>178</v>
      </c>
      <c r="M513" s="499" t="s">
        <v>182</v>
      </c>
      <c r="N513" s="349" t="s">
        <v>283</v>
      </c>
      <c r="O513" s="338" t="s">
        <v>180</v>
      </c>
      <c r="P513" s="377"/>
      <c r="Q513" s="338" t="b">
        <v>0</v>
      </c>
    </row>
    <row r="514">
      <c r="E514" s="341"/>
      <c r="F514" s="342"/>
      <c r="G514" s="343"/>
      <c r="H514" s="378" t="s">
        <v>285</v>
      </c>
      <c r="I514" s="346" t="s">
        <v>282</v>
      </c>
      <c r="J514" s="345"/>
      <c r="K514" s="398">
        <v>2.0</v>
      </c>
      <c r="L514" s="346">
        <f t="shared" ref="L514:M514" si="93">PARAMS(L513)</f>
        <v>7168</v>
      </c>
      <c r="M514" s="346">
        <f t="shared" si="93"/>
        <v>2048</v>
      </c>
      <c r="N514" s="346" t="s">
        <v>283</v>
      </c>
      <c r="O514" s="347"/>
      <c r="P514" s="509">
        <f>SIZEOF_IN_MIB(J514:M514, O513)</f>
        <v>14</v>
      </c>
      <c r="Q514" s="347"/>
    </row>
    <row r="515">
      <c r="E515" s="341"/>
      <c r="F515" s="342"/>
      <c r="G515" s="343"/>
      <c r="H515" s="602" t="s">
        <v>287</v>
      </c>
      <c r="I515" s="349" t="s">
        <v>282</v>
      </c>
      <c r="J515" s="336"/>
      <c r="K515" s="298"/>
      <c r="L515" s="337"/>
      <c r="M515" s="337"/>
      <c r="N515" s="349" t="s">
        <v>283</v>
      </c>
      <c r="O515" s="350"/>
      <c r="P515" s="377"/>
      <c r="Q515" s="350"/>
    </row>
    <row r="516">
      <c r="E516" s="341"/>
      <c r="F516" s="353"/>
      <c r="G516" s="354"/>
      <c r="H516" s="517" t="s">
        <v>289</v>
      </c>
      <c r="I516" s="346" t="s">
        <v>282</v>
      </c>
      <c r="J516" s="345"/>
      <c r="K516" s="398">
        <v>2.0</v>
      </c>
      <c r="L516" s="346">
        <f t="shared" ref="L516:M516" si="94">L514/SHARDING(L515)</f>
        <v>7168</v>
      </c>
      <c r="M516" s="346">
        <f t="shared" si="94"/>
        <v>2048</v>
      </c>
      <c r="N516" s="346" t="s">
        <v>283</v>
      </c>
      <c r="O516" s="355"/>
      <c r="P516" s="509">
        <f>SIZEOF_IN_MIB(J516:M516, O513)</f>
        <v>14</v>
      </c>
      <c r="Q516" s="355"/>
    </row>
    <row r="517">
      <c r="E517" s="341"/>
      <c r="F517" s="726" t="s">
        <v>56</v>
      </c>
      <c r="G517" s="335"/>
      <c r="H517" s="602" t="s">
        <v>281</v>
      </c>
      <c r="I517" s="349" t="s">
        <v>282</v>
      </c>
      <c r="J517" s="336"/>
      <c r="K517" s="337" t="s">
        <v>104</v>
      </c>
      <c r="L517" s="337" t="s">
        <v>102</v>
      </c>
      <c r="M517" s="337" t="s">
        <v>182</v>
      </c>
      <c r="N517" s="349" t="s">
        <v>283</v>
      </c>
      <c r="O517" s="727" t="s">
        <v>133</v>
      </c>
      <c r="P517" s="377"/>
      <c r="Q517" s="338" t="b">
        <v>0</v>
      </c>
    </row>
    <row r="518">
      <c r="E518" s="341"/>
      <c r="F518" s="342"/>
      <c r="G518" s="343"/>
      <c r="H518" s="378" t="s">
        <v>285</v>
      </c>
      <c r="I518" s="346" t="s">
        <v>282</v>
      </c>
      <c r="J518" s="344">
        <v>2.0</v>
      </c>
      <c r="K518" s="346">
        <f t="shared" ref="K518:M518" si="95">PARAMS(K517)</f>
        <v>4096</v>
      </c>
      <c r="L518" s="346">
        <f t="shared" si="95"/>
        <v>1</v>
      </c>
      <c r="M518" s="346">
        <f t="shared" si="95"/>
        <v>2048</v>
      </c>
      <c r="N518" s="346" t="s">
        <v>283</v>
      </c>
      <c r="O518" s="347"/>
      <c r="P518" s="509">
        <f>SIZEOF_IN_MIB(J518:M518, O517)</f>
        <v>32</v>
      </c>
      <c r="Q518" s="347"/>
    </row>
    <row r="519">
      <c r="E519" s="341"/>
      <c r="F519" s="342"/>
      <c r="G519" s="343"/>
      <c r="H519" s="602" t="s">
        <v>287</v>
      </c>
      <c r="I519" s="349" t="s">
        <v>282</v>
      </c>
      <c r="J519" s="336"/>
      <c r="K519" s="337" t="s">
        <v>97</v>
      </c>
      <c r="L519" s="337"/>
      <c r="M519" s="349"/>
      <c r="N519" s="349" t="s">
        <v>283</v>
      </c>
      <c r="O519" s="350"/>
      <c r="P519" s="377"/>
      <c r="Q519" s="350"/>
    </row>
    <row r="520">
      <c r="E520" s="341"/>
      <c r="F520" s="353"/>
      <c r="G520" s="354"/>
      <c r="H520" s="517" t="s">
        <v>289</v>
      </c>
      <c r="I520" s="346" t="s">
        <v>282</v>
      </c>
      <c r="J520" s="344">
        <v>2.0</v>
      </c>
      <c r="K520" s="346">
        <f t="shared" ref="K520:M520" si="96">K518/SHARDING(K519)</f>
        <v>2048</v>
      </c>
      <c r="L520" s="346">
        <f t="shared" si="96"/>
        <v>1</v>
      </c>
      <c r="M520" s="346">
        <f t="shared" si="96"/>
        <v>2048</v>
      </c>
      <c r="N520" s="346" t="s">
        <v>283</v>
      </c>
      <c r="O520" s="355"/>
      <c r="P520" s="509">
        <f>SIZEOF_IN_MIB(J520:M520, O517)</f>
        <v>16</v>
      </c>
      <c r="Q520" s="355"/>
    </row>
    <row r="521">
      <c r="E521" s="341"/>
      <c r="F521" s="371" t="s">
        <v>335</v>
      </c>
      <c r="G521" s="601"/>
      <c r="H521" s="728"/>
      <c r="I521" s="336"/>
      <c r="J521" s="336"/>
      <c r="K521" s="336"/>
      <c r="L521" s="349"/>
      <c r="M521" s="349"/>
      <c r="N521" s="349"/>
      <c r="O521" s="336"/>
      <c r="P521" s="377"/>
      <c r="Q521" s="729"/>
    </row>
    <row r="522">
      <c r="E522" s="341"/>
      <c r="F522" s="352"/>
      <c r="G522" s="669" t="s">
        <v>340</v>
      </c>
      <c r="H522" s="730"/>
      <c r="I522" s="493"/>
      <c r="J522" s="345"/>
      <c r="K522" s="345"/>
      <c r="L522" s="346"/>
      <c r="M522" s="346"/>
      <c r="N522" s="346"/>
      <c r="O522" s="345"/>
      <c r="P522" s="509"/>
      <c r="Q522" s="545"/>
    </row>
    <row r="523">
      <c r="E523" s="341"/>
      <c r="F523" s="731" t="s">
        <v>327</v>
      </c>
      <c r="G523" s="601" t="s">
        <v>328</v>
      </c>
      <c r="H523" s="663" t="str">
        <f>VLOOKUP(O509&amp;","&amp;O513,$T$3:$W$12,4, FALSE)</f>
        <v>fp8</v>
      </c>
      <c r="I523" s="460"/>
      <c r="J523" s="454"/>
      <c r="K523" s="454"/>
      <c r="L523" s="455"/>
      <c r="M523" s="455"/>
      <c r="N523" s="455"/>
      <c r="O523" s="454"/>
      <c r="P523" s="468"/>
      <c r="Q523" s="11"/>
    </row>
    <row r="524">
      <c r="E524" s="341"/>
      <c r="F524" s="341"/>
      <c r="G524" s="663" t="s">
        <v>341</v>
      </c>
      <c r="H524" s="667" t="str">
        <f>CALCULATE_FLOPS(J512:M512,J516:M516,M516,L516,H523)</f>
        <v>#N/A</v>
      </c>
      <c r="I524" s="460"/>
      <c r="J524" s="454"/>
      <c r="K524" s="454"/>
      <c r="L524" s="455"/>
      <c r="M524" s="455"/>
      <c r="N524" s="455"/>
      <c r="O524" s="454"/>
      <c r="P524" s="468"/>
      <c r="Q524" s="11"/>
    </row>
    <row r="525">
      <c r="E525" s="341"/>
      <c r="F525" s="352"/>
      <c r="G525" s="669" t="s">
        <v>330</v>
      </c>
      <c r="H525" s="732" t="str">
        <f>COMPUTE_TIME_MS(H524, H523)</f>
        <v>#N/A</v>
      </c>
      <c r="I525" s="464"/>
      <c r="J525" s="465"/>
      <c r="K525" s="465"/>
      <c r="L525" s="466"/>
      <c r="M525" s="466"/>
      <c r="N525" s="466"/>
      <c r="O525" s="465"/>
      <c r="P525" s="671"/>
      <c r="Q525" s="11"/>
    </row>
    <row r="526">
      <c r="E526" s="341"/>
      <c r="F526" s="731" t="s">
        <v>331</v>
      </c>
      <c r="G526" s="663" t="s">
        <v>332</v>
      </c>
      <c r="H526" s="672">
        <f>IF(Q509,0,P512)+IF(Q513,0,P516)+IF(Q517,0,P520)</f>
        <v>44</v>
      </c>
      <c r="I526" s="454"/>
      <c r="J526" s="454"/>
      <c r="K526" s="454"/>
      <c r="L526" s="455"/>
      <c r="M526" s="455"/>
      <c r="N526" s="455"/>
      <c r="O526" s="454"/>
      <c r="P526" s="468"/>
      <c r="Q526" s="11"/>
    </row>
    <row r="527">
      <c r="E527" s="352"/>
      <c r="F527" s="352"/>
      <c r="G527" s="673" t="s">
        <v>333</v>
      </c>
      <c r="H527" s="733" t="str">
        <f>HBM_TIME_MS(H526)</f>
        <v>#N/A</v>
      </c>
      <c r="I527" s="465"/>
      <c r="J527" s="465"/>
      <c r="K527" s="465"/>
      <c r="L527" s="466"/>
      <c r="M527" s="466"/>
      <c r="N527" s="466"/>
      <c r="O527" s="465"/>
      <c r="P527" s="671"/>
      <c r="Q527" s="11"/>
    </row>
    <row r="528">
      <c r="E528" s="333" t="s">
        <v>431</v>
      </c>
      <c r="F528" s="725" t="s">
        <v>292</v>
      </c>
      <c r="G528" s="335"/>
      <c r="H528" s="531" t="s">
        <v>281</v>
      </c>
      <c r="I528" s="336" t="s">
        <v>282</v>
      </c>
      <c r="J528" s="405"/>
      <c r="K528" s="734" t="s">
        <v>104</v>
      </c>
      <c r="L528" s="734" t="s">
        <v>102</v>
      </c>
      <c r="M528" s="735" t="s">
        <v>182</v>
      </c>
      <c r="N528" s="336" t="s">
        <v>283</v>
      </c>
      <c r="O528" s="338" t="s">
        <v>125</v>
      </c>
      <c r="P528" s="377"/>
      <c r="Q528" s="338" t="b">
        <v>0</v>
      </c>
    </row>
    <row r="529">
      <c r="E529" s="341"/>
      <c r="F529" s="342"/>
      <c r="G529" s="343"/>
      <c r="H529" s="378" t="s">
        <v>285</v>
      </c>
      <c r="I529" s="345" t="s">
        <v>282</v>
      </c>
      <c r="J529" s="400"/>
      <c r="K529" s="739">
        <f t="shared" ref="K529:M529" si="97">PARAMS(K528)</f>
        <v>4096</v>
      </c>
      <c r="L529" s="737">
        <f t="shared" si="97"/>
        <v>1</v>
      </c>
      <c r="M529" s="737">
        <f t="shared" si="97"/>
        <v>2048</v>
      </c>
      <c r="N529" s="345" t="s">
        <v>283</v>
      </c>
      <c r="O529" s="347"/>
      <c r="P529" s="509">
        <f>SIZEOF_IN_MIB(J529:M529, O528)</f>
        <v>8</v>
      </c>
      <c r="Q529" s="347"/>
    </row>
    <row r="530">
      <c r="E530" s="341"/>
      <c r="F530" s="342"/>
      <c r="G530" s="343"/>
      <c r="H530" s="602" t="s">
        <v>287</v>
      </c>
      <c r="I530" s="349" t="s">
        <v>282</v>
      </c>
      <c r="J530" s="404"/>
      <c r="K530" s="734" t="s">
        <v>97</v>
      </c>
      <c r="L530" s="405"/>
      <c r="M530" s="405"/>
      <c r="N530" s="349" t="s">
        <v>283</v>
      </c>
      <c r="O530" s="350"/>
      <c r="P530" s="377"/>
      <c r="Q530" s="350"/>
    </row>
    <row r="531">
      <c r="E531" s="341"/>
      <c r="F531" s="353"/>
      <c r="G531" s="354"/>
      <c r="H531" s="378" t="s">
        <v>289</v>
      </c>
      <c r="I531" s="346" t="s">
        <v>282</v>
      </c>
      <c r="J531" s="399"/>
      <c r="K531" s="736">
        <f t="shared" ref="K531:M531" si="98">K529/SHARDING(K530)</f>
        <v>2048</v>
      </c>
      <c r="L531" s="736">
        <f t="shared" si="98"/>
        <v>1</v>
      </c>
      <c r="M531" s="736">
        <f t="shared" si="98"/>
        <v>2048</v>
      </c>
      <c r="N531" s="346" t="s">
        <v>283</v>
      </c>
      <c r="O531" s="355"/>
      <c r="P531" s="509">
        <f>SIZEOF_IN_MIB(J531:M531, O528)</f>
        <v>4</v>
      </c>
      <c r="Q531" s="355"/>
    </row>
    <row r="532">
      <c r="E532" s="341"/>
      <c r="F532" s="726" t="s">
        <v>296</v>
      </c>
      <c r="G532" s="335"/>
      <c r="H532" s="602" t="s">
        <v>281</v>
      </c>
      <c r="I532" s="349" t="s">
        <v>282</v>
      </c>
      <c r="J532" s="404"/>
      <c r="K532" s="391"/>
      <c r="L532" s="734" t="s">
        <v>182</v>
      </c>
      <c r="M532" s="735" t="s">
        <v>178</v>
      </c>
      <c r="N532" s="349" t="s">
        <v>283</v>
      </c>
      <c r="O532" s="338" t="s">
        <v>180</v>
      </c>
      <c r="P532" s="377"/>
      <c r="Q532" s="338" t="b">
        <v>0</v>
      </c>
    </row>
    <row r="533">
      <c r="E533" s="341"/>
      <c r="F533" s="342"/>
      <c r="G533" s="343"/>
      <c r="H533" s="378" t="s">
        <v>285</v>
      </c>
      <c r="I533" s="346" t="s">
        <v>282</v>
      </c>
      <c r="J533" s="399"/>
      <c r="K533" s="388"/>
      <c r="L533" s="736">
        <f t="shared" ref="L533:M533" si="99">PARAMS(L532)</f>
        <v>2048</v>
      </c>
      <c r="M533" s="736">
        <f t="shared" si="99"/>
        <v>7168</v>
      </c>
      <c r="N533" s="346" t="s">
        <v>283</v>
      </c>
      <c r="O533" s="347"/>
      <c r="P533" s="509">
        <f>SIZEOF_IN_MIB(J533:M533, O532)</f>
        <v>7</v>
      </c>
      <c r="Q533" s="347"/>
    </row>
    <row r="534">
      <c r="E534" s="341"/>
      <c r="F534" s="342"/>
      <c r="G534" s="343"/>
      <c r="H534" s="602" t="s">
        <v>287</v>
      </c>
      <c r="I534" s="349" t="s">
        <v>282</v>
      </c>
      <c r="J534" s="404"/>
      <c r="K534" s="391"/>
      <c r="L534" s="405"/>
      <c r="M534" s="405"/>
      <c r="N534" s="349" t="s">
        <v>283</v>
      </c>
      <c r="O534" s="350"/>
      <c r="P534" s="377"/>
      <c r="Q534" s="350"/>
    </row>
    <row r="535">
      <c r="E535" s="341"/>
      <c r="F535" s="353"/>
      <c r="G535" s="354"/>
      <c r="H535" s="517" t="s">
        <v>289</v>
      </c>
      <c r="I535" s="346" t="s">
        <v>282</v>
      </c>
      <c r="J535" s="399"/>
      <c r="K535" s="388"/>
      <c r="L535" s="736">
        <f t="shared" ref="L535:M535" si="100">L533/SHARDING(L534)</f>
        <v>2048</v>
      </c>
      <c r="M535" s="736">
        <f t="shared" si="100"/>
        <v>7168</v>
      </c>
      <c r="N535" s="346" t="s">
        <v>283</v>
      </c>
      <c r="O535" s="355"/>
      <c r="P535" s="509">
        <f>SIZEOF_IN_MIB(J535:M535, O532)</f>
        <v>7</v>
      </c>
      <c r="Q535" s="355"/>
    </row>
    <row r="536">
      <c r="E536" s="341"/>
      <c r="F536" s="726" t="s">
        <v>56</v>
      </c>
      <c r="G536" s="335"/>
      <c r="H536" s="602" t="s">
        <v>281</v>
      </c>
      <c r="I536" s="349" t="s">
        <v>282</v>
      </c>
      <c r="J536" s="404"/>
      <c r="K536" s="734" t="s">
        <v>104</v>
      </c>
      <c r="L536" s="734" t="s">
        <v>102</v>
      </c>
      <c r="M536" s="734" t="s">
        <v>178</v>
      </c>
      <c r="N536" s="349" t="s">
        <v>283</v>
      </c>
      <c r="O536" s="727" t="s">
        <v>133</v>
      </c>
      <c r="P536" s="377"/>
      <c r="Q536" s="338" t="b">
        <v>0</v>
      </c>
    </row>
    <row r="537">
      <c r="E537" s="341"/>
      <c r="F537" s="342"/>
      <c r="G537" s="343"/>
      <c r="H537" s="378" t="s">
        <v>285</v>
      </c>
      <c r="I537" s="346" t="s">
        <v>282</v>
      </c>
      <c r="J537" s="400"/>
      <c r="K537" s="739">
        <f t="shared" ref="K537:M537" si="101">PARAMS(K536)</f>
        <v>4096</v>
      </c>
      <c r="L537" s="736">
        <f t="shared" si="101"/>
        <v>1</v>
      </c>
      <c r="M537" s="736">
        <f t="shared" si="101"/>
        <v>7168</v>
      </c>
      <c r="N537" s="346" t="s">
        <v>283</v>
      </c>
      <c r="O537" s="347"/>
      <c r="P537" s="509">
        <f>SIZEOF_IN_MIB(J537:M537, O536)</f>
        <v>56</v>
      </c>
      <c r="Q537" s="347"/>
    </row>
    <row r="538">
      <c r="E538" s="341"/>
      <c r="F538" s="342"/>
      <c r="G538" s="343"/>
      <c r="H538" s="602" t="s">
        <v>287</v>
      </c>
      <c r="I538" s="349" t="s">
        <v>282</v>
      </c>
      <c r="J538" s="404"/>
      <c r="K538" s="734" t="s">
        <v>97</v>
      </c>
      <c r="L538" s="405"/>
      <c r="M538" s="405"/>
      <c r="N538" s="349" t="s">
        <v>283</v>
      </c>
      <c r="O538" s="350"/>
      <c r="P538" s="377"/>
      <c r="Q538" s="350"/>
    </row>
    <row r="539">
      <c r="E539" s="341"/>
      <c r="F539" s="353"/>
      <c r="G539" s="354"/>
      <c r="H539" s="517" t="s">
        <v>289</v>
      </c>
      <c r="I539" s="346" t="s">
        <v>282</v>
      </c>
      <c r="J539" s="400"/>
      <c r="K539" s="736">
        <f t="shared" ref="K539:M539" si="102">K537/SHARDING(K538)</f>
        <v>2048</v>
      </c>
      <c r="L539" s="736">
        <f t="shared" si="102"/>
        <v>1</v>
      </c>
      <c r="M539" s="736">
        <f t="shared" si="102"/>
        <v>7168</v>
      </c>
      <c r="N539" s="346" t="s">
        <v>283</v>
      </c>
      <c r="O539" s="355"/>
      <c r="P539" s="509">
        <f>SIZEOF_IN_MIB(J539:M539, O536)</f>
        <v>28</v>
      </c>
      <c r="Q539" s="355"/>
    </row>
    <row r="540">
      <c r="E540" s="341"/>
      <c r="F540" s="371" t="s">
        <v>335</v>
      </c>
      <c r="G540" s="601"/>
      <c r="H540" s="728"/>
      <c r="I540" s="336"/>
      <c r="J540" s="336"/>
      <c r="K540" s="336"/>
      <c r="L540" s="349"/>
      <c r="M540" s="349"/>
      <c r="N540" s="349"/>
      <c r="O540" s="336"/>
      <c r="P540" s="377"/>
      <c r="Q540" s="729"/>
    </row>
    <row r="541">
      <c r="E541" s="341"/>
      <c r="F541" s="352"/>
      <c r="G541" s="669" t="s">
        <v>340</v>
      </c>
      <c r="H541" s="730"/>
      <c r="I541" s="493"/>
      <c r="J541" s="345"/>
      <c r="K541" s="345"/>
      <c r="L541" s="346"/>
      <c r="M541" s="346"/>
      <c r="N541" s="346"/>
      <c r="O541" s="345"/>
      <c r="P541" s="509"/>
      <c r="Q541" s="545"/>
    </row>
    <row r="542">
      <c r="E542" s="341"/>
      <c r="F542" s="731" t="s">
        <v>327</v>
      </c>
      <c r="G542" s="601" t="s">
        <v>328</v>
      </c>
      <c r="H542" s="663" t="str">
        <f>VLOOKUP(O528&amp;","&amp;O532,$T$3:$W$12,4, FALSE)</f>
        <v>fp8</v>
      </c>
      <c r="I542" s="460"/>
      <c r="J542" s="454"/>
      <c r="K542" s="454"/>
      <c r="L542" s="455"/>
      <c r="M542" s="455"/>
      <c r="N542" s="455"/>
      <c r="O542" s="454"/>
      <c r="P542" s="468"/>
      <c r="Q542" s="11"/>
    </row>
    <row r="543">
      <c r="E543" s="341"/>
      <c r="F543" s="341"/>
      <c r="G543" s="663" t="s">
        <v>341</v>
      </c>
      <c r="H543" s="667" t="str">
        <f>CALCULATE_FLOPS(J531:M531,J535:M535,M535,L535,H542)</f>
        <v>#N/A</v>
      </c>
      <c r="I543" s="460"/>
      <c r="J543" s="454"/>
      <c r="K543" s="454"/>
      <c r="L543" s="455"/>
      <c r="M543" s="455"/>
      <c r="N543" s="455"/>
      <c r="O543" s="454"/>
      <c r="P543" s="468"/>
      <c r="Q543" s="11"/>
    </row>
    <row r="544">
      <c r="E544" s="341"/>
      <c r="F544" s="352"/>
      <c r="G544" s="669" t="s">
        <v>330</v>
      </c>
      <c r="H544" s="732" t="str">
        <f>COMPUTE_TIME_MS(H543, H542)</f>
        <v>#N/A</v>
      </c>
      <c r="I544" s="464"/>
      <c r="J544" s="465"/>
      <c r="K544" s="465"/>
      <c r="L544" s="466"/>
      <c r="M544" s="466"/>
      <c r="N544" s="466"/>
      <c r="O544" s="465"/>
      <c r="P544" s="671"/>
      <c r="Q544" s="11"/>
    </row>
    <row r="545">
      <c r="E545" s="341"/>
      <c r="F545" s="731" t="s">
        <v>331</v>
      </c>
      <c r="G545" s="663" t="s">
        <v>332</v>
      </c>
      <c r="H545" s="672">
        <f>IF(Q528,0,P531)+IF(Q532,0,P535)+IF(Q536,0,P539)</f>
        <v>39</v>
      </c>
      <c r="I545" s="454"/>
      <c r="J545" s="454"/>
      <c r="K545" s="454"/>
      <c r="L545" s="455"/>
      <c r="M545" s="455"/>
      <c r="N545" s="455"/>
      <c r="O545" s="454"/>
      <c r="P545" s="468"/>
      <c r="Q545" s="11"/>
    </row>
    <row r="546">
      <c r="E546" s="352"/>
      <c r="F546" s="352"/>
      <c r="G546" s="673" t="s">
        <v>333</v>
      </c>
      <c r="H546" s="733" t="str">
        <f>HBM_TIME_MS(H545)</f>
        <v>#N/A</v>
      </c>
      <c r="I546" s="465"/>
      <c r="J546" s="465"/>
      <c r="K546" s="465"/>
      <c r="L546" s="466"/>
      <c r="M546" s="466"/>
      <c r="N546" s="466"/>
      <c r="O546" s="465"/>
      <c r="P546" s="671"/>
      <c r="Q546" s="11"/>
    </row>
    <row r="547">
      <c r="P547" s="227"/>
    </row>
    <row r="548">
      <c r="P548" s="227"/>
    </row>
    <row r="549">
      <c r="P549" s="227"/>
    </row>
    <row r="550">
      <c r="P550" s="227"/>
    </row>
    <row r="551">
      <c r="P551" s="227"/>
    </row>
    <row r="552">
      <c r="P552" s="227"/>
    </row>
    <row r="553">
      <c r="P553" s="227"/>
    </row>
    <row r="554">
      <c r="P554" s="227"/>
    </row>
    <row r="555">
      <c r="P555" s="227"/>
    </row>
    <row r="556">
      <c r="P556" s="227"/>
    </row>
    <row r="557">
      <c r="P557" s="227"/>
    </row>
    <row r="558">
      <c r="P558" s="227"/>
    </row>
    <row r="559">
      <c r="P559" s="227"/>
    </row>
    <row r="560">
      <c r="P560" s="227"/>
    </row>
    <row r="561">
      <c r="P561" s="227"/>
    </row>
    <row r="562">
      <c r="P562" s="227"/>
    </row>
    <row r="563">
      <c r="P563" s="227"/>
    </row>
    <row r="564">
      <c r="P564" s="227"/>
    </row>
    <row r="565">
      <c r="P565" s="227"/>
    </row>
    <row r="566">
      <c r="P566" s="227"/>
    </row>
    <row r="567">
      <c r="P567" s="227"/>
    </row>
    <row r="568">
      <c r="P568" s="227"/>
    </row>
    <row r="569">
      <c r="P569" s="227"/>
    </row>
    <row r="570">
      <c r="P570" s="227"/>
    </row>
    <row r="571">
      <c r="P571" s="227"/>
    </row>
    <row r="572">
      <c r="P572" s="227"/>
    </row>
    <row r="573">
      <c r="P573" s="227"/>
    </row>
    <row r="574">
      <c r="P574" s="227"/>
    </row>
    <row r="575">
      <c r="P575" s="227"/>
    </row>
    <row r="576">
      <c r="P576" s="227"/>
    </row>
    <row r="577">
      <c r="P577" s="227"/>
    </row>
    <row r="578">
      <c r="P578" s="227"/>
    </row>
    <row r="579">
      <c r="P579" s="227"/>
    </row>
    <row r="580">
      <c r="P580" s="227"/>
    </row>
    <row r="581">
      <c r="P581" s="227"/>
    </row>
    <row r="582">
      <c r="P582" s="227"/>
    </row>
    <row r="583">
      <c r="P583" s="227"/>
    </row>
    <row r="584">
      <c r="P584" s="227"/>
    </row>
    <row r="585">
      <c r="P585" s="227"/>
    </row>
    <row r="586">
      <c r="P586" s="227"/>
    </row>
    <row r="587">
      <c r="P587" s="227"/>
    </row>
    <row r="588">
      <c r="P588" s="227"/>
    </row>
    <row r="589">
      <c r="P589" s="227"/>
    </row>
    <row r="590">
      <c r="P590" s="227"/>
    </row>
    <row r="591">
      <c r="P591" s="227"/>
    </row>
    <row r="592">
      <c r="P592" s="227"/>
    </row>
    <row r="593">
      <c r="P593" s="227"/>
    </row>
    <row r="594">
      <c r="P594" s="227"/>
    </row>
    <row r="595">
      <c r="P595" s="227"/>
    </row>
    <row r="596">
      <c r="P596" s="227"/>
    </row>
    <row r="597">
      <c r="P597" s="227"/>
    </row>
    <row r="598">
      <c r="P598" s="227"/>
    </row>
    <row r="599">
      <c r="P599" s="227"/>
    </row>
    <row r="600">
      <c r="P600" s="227"/>
    </row>
    <row r="601">
      <c r="P601" s="227"/>
    </row>
    <row r="602">
      <c r="P602" s="227"/>
    </row>
    <row r="603">
      <c r="P603" s="227"/>
    </row>
    <row r="604">
      <c r="P604" s="227"/>
    </row>
    <row r="605">
      <c r="P605" s="227"/>
    </row>
    <row r="606">
      <c r="P606" s="227"/>
    </row>
    <row r="607">
      <c r="P607" s="227"/>
    </row>
    <row r="608">
      <c r="P608" s="227"/>
    </row>
    <row r="609">
      <c r="P609" s="227"/>
    </row>
    <row r="610">
      <c r="P610" s="227"/>
    </row>
    <row r="611">
      <c r="P611" s="227"/>
    </row>
    <row r="612">
      <c r="P612" s="227"/>
    </row>
    <row r="613">
      <c r="P613" s="227"/>
    </row>
    <row r="614">
      <c r="P614" s="227"/>
    </row>
    <row r="615">
      <c r="P615" s="227"/>
    </row>
    <row r="616">
      <c r="P616" s="227"/>
    </row>
    <row r="617">
      <c r="P617" s="227"/>
    </row>
    <row r="618">
      <c r="P618" s="227"/>
    </row>
    <row r="619">
      <c r="P619" s="227"/>
    </row>
    <row r="620">
      <c r="P620" s="227"/>
    </row>
    <row r="621">
      <c r="P621" s="227"/>
    </row>
    <row r="622">
      <c r="P622" s="227"/>
    </row>
    <row r="623">
      <c r="P623" s="227"/>
    </row>
    <row r="624">
      <c r="P624" s="227"/>
    </row>
    <row r="625">
      <c r="P625" s="227"/>
    </row>
    <row r="626">
      <c r="P626" s="227"/>
    </row>
    <row r="627">
      <c r="P627" s="227"/>
    </row>
    <row r="628">
      <c r="P628" s="227"/>
    </row>
    <row r="629">
      <c r="P629" s="227"/>
    </row>
    <row r="630">
      <c r="P630" s="227"/>
    </row>
    <row r="631">
      <c r="P631" s="227"/>
    </row>
    <row r="632">
      <c r="P632" s="227"/>
    </row>
    <row r="633">
      <c r="P633" s="227"/>
    </row>
    <row r="634">
      <c r="P634" s="227"/>
    </row>
    <row r="635">
      <c r="P635" s="227"/>
    </row>
    <row r="636">
      <c r="P636" s="227"/>
    </row>
    <row r="637">
      <c r="P637" s="227"/>
    </row>
    <row r="638">
      <c r="P638" s="227"/>
    </row>
    <row r="639">
      <c r="P639" s="227"/>
    </row>
    <row r="640">
      <c r="P640" s="227"/>
    </row>
    <row r="641">
      <c r="P641" s="227"/>
    </row>
    <row r="642">
      <c r="P642" s="227"/>
    </row>
    <row r="643">
      <c r="P643" s="227"/>
    </row>
    <row r="644">
      <c r="P644" s="227"/>
    </row>
    <row r="645">
      <c r="P645" s="227"/>
    </row>
    <row r="646">
      <c r="P646" s="227"/>
    </row>
    <row r="647">
      <c r="P647" s="227"/>
    </row>
    <row r="648">
      <c r="P648" s="227"/>
    </row>
    <row r="649">
      <c r="P649" s="227"/>
    </row>
    <row r="650">
      <c r="P650" s="227"/>
    </row>
    <row r="651">
      <c r="P651" s="227"/>
    </row>
    <row r="652">
      <c r="P652" s="227"/>
    </row>
    <row r="653">
      <c r="P653" s="227"/>
    </row>
    <row r="654">
      <c r="P654" s="227"/>
    </row>
    <row r="655">
      <c r="P655" s="227"/>
    </row>
    <row r="656">
      <c r="P656" s="227"/>
    </row>
    <row r="657">
      <c r="P657" s="227"/>
    </row>
    <row r="658">
      <c r="P658" s="227"/>
    </row>
    <row r="659">
      <c r="P659" s="227"/>
    </row>
    <row r="660">
      <c r="P660" s="227"/>
    </row>
    <row r="661">
      <c r="P661" s="227"/>
    </row>
    <row r="662">
      <c r="P662" s="227"/>
    </row>
    <row r="663">
      <c r="P663" s="227"/>
    </row>
    <row r="664">
      <c r="P664" s="227"/>
    </row>
    <row r="665">
      <c r="P665" s="227"/>
    </row>
    <row r="666">
      <c r="P666" s="227"/>
    </row>
    <row r="667">
      <c r="P667" s="227"/>
    </row>
    <row r="668">
      <c r="P668" s="227"/>
    </row>
    <row r="669">
      <c r="P669" s="227"/>
    </row>
    <row r="670">
      <c r="P670" s="227"/>
    </row>
    <row r="671">
      <c r="P671" s="227"/>
    </row>
    <row r="672">
      <c r="P672" s="227"/>
    </row>
    <row r="673">
      <c r="P673" s="227"/>
    </row>
    <row r="674">
      <c r="P674" s="227"/>
    </row>
    <row r="675">
      <c r="P675" s="227"/>
    </row>
    <row r="676">
      <c r="P676" s="227"/>
    </row>
    <row r="677">
      <c r="P677" s="227"/>
    </row>
    <row r="678">
      <c r="P678" s="227"/>
    </row>
    <row r="679">
      <c r="P679" s="227"/>
    </row>
    <row r="680">
      <c r="P680" s="227"/>
    </row>
    <row r="681">
      <c r="P681" s="227"/>
    </row>
    <row r="682">
      <c r="P682" s="227"/>
    </row>
    <row r="683">
      <c r="P683" s="227"/>
    </row>
    <row r="684">
      <c r="P684" s="227"/>
    </row>
    <row r="685">
      <c r="P685" s="227"/>
    </row>
    <row r="686">
      <c r="P686" s="227"/>
    </row>
    <row r="687">
      <c r="P687" s="227"/>
    </row>
    <row r="688">
      <c r="P688" s="227"/>
    </row>
    <row r="689">
      <c r="P689" s="227"/>
    </row>
    <row r="690">
      <c r="P690" s="227"/>
    </row>
    <row r="691">
      <c r="P691" s="227"/>
    </row>
    <row r="692">
      <c r="P692" s="227"/>
    </row>
    <row r="693">
      <c r="P693" s="227"/>
    </row>
    <row r="694">
      <c r="P694" s="227"/>
    </row>
    <row r="695">
      <c r="P695" s="227"/>
    </row>
    <row r="696">
      <c r="P696" s="227"/>
    </row>
    <row r="697">
      <c r="P697" s="227"/>
    </row>
    <row r="698">
      <c r="P698" s="227"/>
    </row>
    <row r="699">
      <c r="P699" s="227"/>
    </row>
    <row r="700">
      <c r="P700" s="227"/>
    </row>
    <row r="701">
      <c r="P701" s="227"/>
    </row>
    <row r="702">
      <c r="P702" s="227"/>
    </row>
    <row r="703">
      <c r="P703" s="227"/>
    </row>
    <row r="704">
      <c r="P704" s="227"/>
    </row>
    <row r="705">
      <c r="P705" s="227"/>
    </row>
    <row r="706">
      <c r="P706" s="227"/>
    </row>
    <row r="707">
      <c r="P707" s="227"/>
    </row>
    <row r="708">
      <c r="P708" s="227"/>
    </row>
    <row r="709">
      <c r="P709" s="227"/>
    </row>
    <row r="710">
      <c r="P710" s="227"/>
    </row>
    <row r="711">
      <c r="P711" s="227"/>
    </row>
    <row r="712">
      <c r="P712" s="227"/>
    </row>
    <row r="713">
      <c r="P713" s="227"/>
    </row>
    <row r="714">
      <c r="P714" s="227"/>
    </row>
    <row r="715">
      <c r="P715" s="227"/>
    </row>
    <row r="716">
      <c r="P716" s="227"/>
    </row>
    <row r="717">
      <c r="P717" s="227"/>
    </row>
    <row r="718">
      <c r="P718" s="227"/>
    </row>
    <row r="719">
      <c r="P719" s="227"/>
    </row>
    <row r="720">
      <c r="P720" s="227"/>
    </row>
    <row r="721">
      <c r="P721" s="227"/>
    </row>
    <row r="722">
      <c r="P722" s="227"/>
    </row>
    <row r="723">
      <c r="P723" s="227"/>
    </row>
    <row r="724">
      <c r="P724" s="227"/>
    </row>
    <row r="725">
      <c r="P725" s="227"/>
    </row>
    <row r="726">
      <c r="P726" s="227"/>
    </row>
    <row r="727">
      <c r="P727" s="227"/>
    </row>
    <row r="728">
      <c r="P728" s="227"/>
    </row>
    <row r="729">
      <c r="P729" s="227"/>
    </row>
    <row r="730">
      <c r="P730" s="227"/>
    </row>
    <row r="731">
      <c r="P731" s="227"/>
    </row>
    <row r="732">
      <c r="P732" s="227"/>
    </row>
    <row r="733">
      <c r="P733" s="227"/>
    </row>
    <row r="734">
      <c r="P734" s="227"/>
    </row>
    <row r="735">
      <c r="P735" s="227"/>
    </row>
    <row r="736">
      <c r="P736" s="227"/>
    </row>
    <row r="737">
      <c r="P737" s="227"/>
    </row>
    <row r="738">
      <c r="P738" s="227"/>
    </row>
    <row r="739">
      <c r="P739" s="227"/>
    </row>
    <row r="740">
      <c r="P740" s="227"/>
    </row>
    <row r="741">
      <c r="P741" s="227"/>
    </row>
    <row r="742">
      <c r="P742" s="227"/>
    </row>
    <row r="743">
      <c r="P743" s="227"/>
    </row>
    <row r="744">
      <c r="P744" s="227"/>
    </row>
    <row r="745">
      <c r="P745" s="227"/>
    </row>
    <row r="746">
      <c r="P746" s="227"/>
    </row>
    <row r="747">
      <c r="P747" s="227"/>
    </row>
    <row r="748">
      <c r="P748" s="227"/>
    </row>
    <row r="749">
      <c r="P749" s="227"/>
    </row>
    <row r="750">
      <c r="P750" s="227"/>
    </row>
    <row r="751">
      <c r="P751" s="227"/>
    </row>
    <row r="752">
      <c r="P752" s="227"/>
    </row>
    <row r="753">
      <c r="P753" s="227"/>
    </row>
    <row r="754">
      <c r="P754" s="227"/>
    </row>
    <row r="755">
      <c r="P755" s="227"/>
    </row>
    <row r="756">
      <c r="P756" s="227"/>
    </row>
    <row r="757">
      <c r="P757" s="227"/>
    </row>
    <row r="758">
      <c r="P758" s="227"/>
    </row>
    <row r="759">
      <c r="P759" s="227"/>
    </row>
    <row r="760">
      <c r="P760" s="227"/>
    </row>
    <row r="761">
      <c r="P761" s="227"/>
    </row>
    <row r="762">
      <c r="P762" s="227"/>
    </row>
    <row r="763">
      <c r="P763" s="227"/>
    </row>
    <row r="764">
      <c r="P764" s="227"/>
    </row>
    <row r="765">
      <c r="P765" s="227"/>
    </row>
    <row r="766">
      <c r="P766" s="227"/>
    </row>
    <row r="767">
      <c r="P767" s="227"/>
    </row>
    <row r="768">
      <c r="P768" s="227"/>
    </row>
    <row r="769">
      <c r="P769" s="227"/>
    </row>
    <row r="770">
      <c r="P770" s="227"/>
    </row>
    <row r="771">
      <c r="P771" s="227"/>
    </row>
    <row r="772">
      <c r="P772" s="227"/>
    </row>
    <row r="773">
      <c r="P773" s="227"/>
    </row>
    <row r="774">
      <c r="P774" s="227"/>
    </row>
    <row r="775">
      <c r="P775" s="227"/>
    </row>
    <row r="776">
      <c r="P776" s="227"/>
    </row>
    <row r="777">
      <c r="P777" s="227"/>
    </row>
    <row r="778">
      <c r="P778" s="227"/>
    </row>
    <row r="779">
      <c r="P779" s="227"/>
    </row>
    <row r="780">
      <c r="P780" s="227"/>
    </row>
    <row r="781">
      <c r="P781" s="227"/>
    </row>
    <row r="782">
      <c r="P782" s="227"/>
    </row>
    <row r="783">
      <c r="P783" s="227"/>
    </row>
    <row r="784">
      <c r="P784" s="227"/>
    </row>
    <row r="785">
      <c r="P785" s="227"/>
    </row>
    <row r="786">
      <c r="P786" s="227"/>
    </row>
    <row r="787">
      <c r="P787" s="227"/>
    </row>
    <row r="788">
      <c r="P788" s="227"/>
    </row>
    <row r="789">
      <c r="P789" s="227"/>
    </row>
    <row r="790">
      <c r="P790" s="227"/>
    </row>
    <row r="791">
      <c r="P791" s="227"/>
    </row>
    <row r="792">
      <c r="P792" s="227"/>
    </row>
    <row r="793">
      <c r="P793" s="227"/>
    </row>
    <row r="794">
      <c r="P794" s="227"/>
    </row>
    <row r="795">
      <c r="P795" s="227"/>
    </row>
    <row r="796">
      <c r="P796" s="227"/>
    </row>
    <row r="797">
      <c r="P797" s="227"/>
    </row>
    <row r="798">
      <c r="P798" s="227"/>
    </row>
    <row r="799">
      <c r="P799" s="227"/>
    </row>
    <row r="800">
      <c r="P800" s="227"/>
    </row>
    <row r="801">
      <c r="P801" s="227"/>
    </row>
    <row r="802">
      <c r="P802" s="227"/>
    </row>
    <row r="803">
      <c r="P803" s="227"/>
    </row>
    <row r="804">
      <c r="P804" s="227"/>
    </row>
    <row r="805">
      <c r="P805" s="227"/>
    </row>
    <row r="806">
      <c r="P806" s="227"/>
    </row>
    <row r="807">
      <c r="P807" s="227"/>
    </row>
    <row r="808">
      <c r="P808" s="227"/>
    </row>
    <row r="809">
      <c r="P809" s="227"/>
    </row>
    <row r="810">
      <c r="P810" s="227"/>
    </row>
    <row r="811">
      <c r="P811" s="227"/>
    </row>
    <row r="812">
      <c r="P812" s="227"/>
    </row>
    <row r="813">
      <c r="P813" s="227"/>
    </row>
    <row r="814">
      <c r="P814" s="227"/>
    </row>
    <row r="815">
      <c r="P815" s="227"/>
    </row>
    <row r="816">
      <c r="P816" s="227"/>
    </row>
    <row r="817">
      <c r="P817" s="227"/>
    </row>
    <row r="818">
      <c r="P818" s="227"/>
    </row>
    <row r="819">
      <c r="P819" s="227"/>
    </row>
    <row r="820">
      <c r="P820" s="227"/>
    </row>
    <row r="821">
      <c r="P821" s="227"/>
    </row>
    <row r="822">
      <c r="P822" s="227"/>
    </row>
    <row r="823">
      <c r="P823" s="227"/>
    </row>
    <row r="824">
      <c r="P824" s="227"/>
    </row>
    <row r="825">
      <c r="P825" s="227"/>
    </row>
    <row r="826">
      <c r="P826" s="227"/>
    </row>
    <row r="827">
      <c r="P827" s="227"/>
    </row>
    <row r="828">
      <c r="P828" s="227"/>
    </row>
    <row r="829">
      <c r="P829" s="227"/>
    </row>
    <row r="830">
      <c r="P830" s="227"/>
    </row>
    <row r="831">
      <c r="P831" s="227"/>
    </row>
    <row r="832">
      <c r="P832" s="227"/>
    </row>
    <row r="833">
      <c r="P833" s="227"/>
    </row>
    <row r="834">
      <c r="P834" s="227"/>
    </row>
    <row r="835">
      <c r="P835" s="227"/>
    </row>
    <row r="836">
      <c r="P836" s="227"/>
    </row>
    <row r="837">
      <c r="P837" s="227"/>
    </row>
    <row r="838">
      <c r="P838" s="227"/>
    </row>
    <row r="839">
      <c r="P839" s="227"/>
    </row>
    <row r="840">
      <c r="P840" s="227"/>
    </row>
    <row r="841">
      <c r="P841" s="227"/>
    </row>
    <row r="842">
      <c r="P842" s="227"/>
    </row>
    <row r="843">
      <c r="P843" s="227"/>
    </row>
    <row r="844">
      <c r="P844" s="227"/>
    </row>
    <row r="845">
      <c r="P845" s="227"/>
    </row>
    <row r="846">
      <c r="P846" s="227"/>
    </row>
    <row r="847">
      <c r="P847" s="227"/>
    </row>
    <row r="848">
      <c r="P848" s="227"/>
    </row>
    <row r="849">
      <c r="P849" s="227"/>
    </row>
    <row r="850">
      <c r="P850" s="227"/>
    </row>
    <row r="851">
      <c r="P851" s="227"/>
    </row>
    <row r="852">
      <c r="P852" s="227"/>
    </row>
    <row r="853">
      <c r="P853" s="227"/>
    </row>
    <row r="854">
      <c r="P854" s="227"/>
    </row>
    <row r="855">
      <c r="P855" s="227"/>
    </row>
    <row r="856">
      <c r="P856" s="227"/>
    </row>
    <row r="857">
      <c r="P857" s="227"/>
    </row>
    <row r="858">
      <c r="P858" s="227"/>
    </row>
    <row r="859">
      <c r="P859" s="227"/>
    </row>
    <row r="860">
      <c r="P860" s="227"/>
    </row>
    <row r="861">
      <c r="P861" s="227"/>
    </row>
    <row r="862">
      <c r="P862" s="227"/>
    </row>
    <row r="863">
      <c r="P863" s="227"/>
    </row>
    <row r="864">
      <c r="P864" s="227"/>
    </row>
    <row r="865">
      <c r="P865" s="227"/>
    </row>
    <row r="866">
      <c r="P866" s="227"/>
    </row>
    <row r="867">
      <c r="P867" s="227"/>
    </row>
    <row r="868">
      <c r="P868" s="227"/>
    </row>
    <row r="869">
      <c r="P869" s="227"/>
    </row>
    <row r="870">
      <c r="P870" s="227"/>
    </row>
    <row r="871">
      <c r="P871" s="227"/>
    </row>
    <row r="872">
      <c r="P872" s="227"/>
    </row>
    <row r="873">
      <c r="P873" s="227"/>
    </row>
    <row r="874">
      <c r="P874" s="227"/>
    </row>
    <row r="875">
      <c r="P875" s="227"/>
    </row>
    <row r="876">
      <c r="P876" s="227"/>
    </row>
    <row r="877">
      <c r="P877" s="227"/>
    </row>
    <row r="878">
      <c r="P878" s="227"/>
    </row>
    <row r="879">
      <c r="P879" s="227"/>
    </row>
    <row r="880">
      <c r="P880" s="227"/>
    </row>
    <row r="881">
      <c r="P881" s="227"/>
    </row>
    <row r="882">
      <c r="P882" s="227"/>
    </row>
    <row r="883">
      <c r="P883" s="227"/>
    </row>
    <row r="884">
      <c r="P884" s="227"/>
    </row>
    <row r="885">
      <c r="P885" s="227"/>
    </row>
    <row r="886">
      <c r="P886" s="227"/>
    </row>
    <row r="887">
      <c r="P887" s="227"/>
    </row>
    <row r="888">
      <c r="P888" s="227"/>
    </row>
    <row r="889">
      <c r="P889" s="227"/>
    </row>
    <row r="890">
      <c r="P890" s="227"/>
    </row>
    <row r="891">
      <c r="P891" s="227"/>
    </row>
    <row r="892">
      <c r="P892" s="227"/>
    </row>
    <row r="893">
      <c r="P893" s="227"/>
    </row>
    <row r="894">
      <c r="P894" s="227"/>
    </row>
    <row r="895">
      <c r="P895" s="227"/>
    </row>
    <row r="896">
      <c r="P896" s="227"/>
    </row>
    <row r="897">
      <c r="P897" s="227"/>
    </row>
    <row r="898">
      <c r="P898" s="227"/>
    </row>
    <row r="899">
      <c r="P899" s="227"/>
    </row>
    <row r="900">
      <c r="P900" s="227"/>
    </row>
    <row r="901">
      <c r="P901" s="227"/>
    </row>
    <row r="902">
      <c r="P902" s="227"/>
    </row>
    <row r="903">
      <c r="P903" s="227"/>
    </row>
    <row r="904">
      <c r="P904" s="227"/>
    </row>
    <row r="905">
      <c r="P905" s="227"/>
    </row>
    <row r="906">
      <c r="P906" s="227"/>
    </row>
    <row r="907">
      <c r="P907" s="227"/>
    </row>
    <row r="908">
      <c r="P908" s="227"/>
    </row>
    <row r="909">
      <c r="P909" s="227"/>
    </row>
    <row r="910">
      <c r="P910" s="227"/>
    </row>
    <row r="911">
      <c r="P911" s="227"/>
    </row>
    <row r="912">
      <c r="P912" s="227"/>
    </row>
    <row r="913">
      <c r="P913" s="227"/>
    </row>
    <row r="914">
      <c r="P914" s="227"/>
    </row>
    <row r="915">
      <c r="P915" s="227"/>
    </row>
    <row r="916">
      <c r="P916" s="227"/>
    </row>
    <row r="917">
      <c r="P917" s="227"/>
    </row>
    <row r="918">
      <c r="P918" s="227"/>
    </row>
    <row r="919">
      <c r="P919" s="227"/>
    </row>
    <row r="920">
      <c r="P920" s="227"/>
    </row>
    <row r="921">
      <c r="P921" s="227"/>
    </row>
    <row r="922">
      <c r="P922" s="227"/>
    </row>
    <row r="923">
      <c r="P923" s="227"/>
    </row>
    <row r="924">
      <c r="P924" s="227"/>
    </row>
    <row r="925">
      <c r="P925" s="227"/>
    </row>
    <row r="926">
      <c r="P926" s="227"/>
    </row>
    <row r="927">
      <c r="P927" s="227"/>
    </row>
    <row r="928">
      <c r="P928" s="227"/>
    </row>
    <row r="929">
      <c r="P929" s="227"/>
    </row>
    <row r="930">
      <c r="P930" s="227"/>
    </row>
    <row r="931">
      <c r="P931" s="227"/>
    </row>
    <row r="932">
      <c r="P932" s="227"/>
    </row>
    <row r="933">
      <c r="P933" s="227"/>
    </row>
    <row r="934">
      <c r="P934" s="227"/>
    </row>
    <row r="935">
      <c r="P935" s="227"/>
    </row>
    <row r="936">
      <c r="P936" s="227"/>
    </row>
    <row r="937">
      <c r="P937" s="227"/>
    </row>
    <row r="938">
      <c r="P938" s="227"/>
    </row>
    <row r="939">
      <c r="P939" s="227"/>
    </row>
    <row r="940">
      <c r="P940" s="227"/>
    </row>
    <row r="941">
      <c r="P941" s="227"/>
    </row>
    <row r="942">
      <c r="P942" s="227"/>
    </row>
    <row r="943">
      <c r="P943" s="227"/>
    </row>
    <row r="944">
      <c r="P944" s="227"/>
    </row>
    <row r="945">
      <c r="P945" s="227"/>
    </row>
    <row r="946">
      <c r="P946" s="227"/>
    </row>
    <row r="947">
      <c r="P947" s="227"/>
    </row>
    <row r="948">
      <c r="P948" s="227"/>
    </row>
    <row r="949">
      <c r="P949" s="227"/>
    </row>
    <row r="950">
      <c r="P950" s="227"/>
    </row>
    <row r="951">
      <c r="P951" s="227"/>
    </row>
    <row r="952">
      <c r="P952" s="227"/>
    </row>
    <row r="953">
      <c r="P953" s="227"/>
    </row>
    <row r="954">
      <c r="P954" s="227"/>
    </row>
    <row r="955">
      <c r="P955" s="227"/>
    </row>
    <row r="956">
      <c r="P956" s="227"/>
    </row>
    <row r="957">
      <c r="P957" s="227"/>
    </row>
    <row r="958">
      <c r="P958" s="227"/>
    </row>
    <row r="959">
      <c r="P959" s="227"/>
    </row>
    <row r="960">
      <c r="P960" s="227"/>
    </row>
    <row r="961">
      <c r="P961" s="227"/>
    </row>
    <row r="962">
      <c r="P962" s="227"/>
    </row>
    <row r="963">
      <c r="P963" s="227"/>
    </row>
    <row r="964">
      <c r="P964" s="227"/>
    </row>
    <row r="965">
      <c r="P965" s="227"/>
    </row>
    <row r="966">
      <c r="P966" s="227"/>
    </row>
    <row r="967">
      <c r="P967" s="227"/>
    </row>
    <row r="968">
      <c r="P968" s="227"/>
    </row>
    <row r="969">
      <c r="P969" s="227"/>
    </row>
    <row r="970">
      <c r="P970" s="227"/>
    </row>
    <row r="971">
      <c r="P971" s="227"/>
    </row>
    <row r="972">
      <c r="P972" s="227"/>
    </row>
    <row r="973">
      <c r="P973" s="227"/>
    </row>
    <row r="974">
      <c r="P974" s="227"/>
    </row>
    <row r="975">
      <c r="P975" s="227"/>
    </row>
    <row r="976">
      <c r="P976" s="227"/>
    </row>
    <row r="977">
      <c r="P977" s="227"/>
    </row>
    <row r="978">
      <c r="P978" s="227"/>
    </row>
    <row r="979">
      <c r="P979" s="227"/>
    </row>
    <row r="980">
      <c r="P980" s="227"/>
    </row>
    <row r="981">
      <c r="P981" s="227"/>
    </row>
    <row r="982">
      <c r="P982" s="227"/>
    </row>
    <row r="983">
      <c r="P983" s="227"/>
    </row>
    <row r="984">
      <c r="P984" s="227"/>
    </row>
    <row r="985">
      <c r="P985" s="227"/>
    </row>
    <row r="986">
      <c r="P986" s="227"/>
    </row>
    <row r="987">
      <c r="P987" s="227"/>
    </row>
    <row r="988">
      <c r="P988" s="227"/>
    </row>
    <row r="989">
      <c r="P989" s="227"/>
    </row>
    <row r="990">
      <c r="P990" s="227"/>
    </row>
    <row r="991">
      <c r="P991" s="227"/>
    </row>
    <row r="992">
      <c r="P992" s="227"/>
    </row>
    <row r="993">
      <c r="P993" s="227"/>
    </row>
    <row r="994">
      <c r="P994" s="227"/>
    </row>
    <row r="995">
      <c r="P995" s="227"/>
    </row>
    <row r="996">
      <c r="P996" s="227"/>
    </row>
    <row r="997">
      <c r="P997" s="227"/>
    </row>
    <row r="998">
      <c r="P998" s="227"/>
    </row>
    <row r="999">
      <c r="P999" s="227"/>
    </row>
    <row r="1000">
      <c r="P1000" s="227"/>
    </row>
    <row r="1001">
      <c r="P1001" s="227"/>
    </row>
    <row r="1002">
      <c r="P1002" s="227"/>
    </row>
    <row r="1003">
      <c r="P1003" s="227"/>
    </row>
    <row r="1004">
      <c r="P1004" s="227"/>
    </row>
    <row r="1005">
      <c r="P1005" s="227"/>
    </row>
    <row r="1006">
      <c r="P1006" s="227"/>
    </row>
    <row r="1007">
      <c r="P1007" s="227"/>
    </row>
    <row r="1008">
      <c r="P1008" s="227"/>
    </row>
    <row r="1009">
      <c r="P1009" s="227"/>
    </row>
    <row r="1010">
      <c r="P1010" s="227"/>
    </row>
    <row r="1011">
      <c r="P1011" s="227"/>
    </row>
    <row r="1012">
      <c r="P1012" s="227"/>
    </row>
    <row r="1013">
      <c r="P1013" s="227"/>
    </row>
    <row r="1014">
      <c r="P1014" s="227"/>
    </row>
    <row r="1015">
      <c r="P1015" s="227"/>
    </row>
    <row r="1016">
      <c r="P1016" s="227"/>
    </row>
    <row r="1017">
      <c r="P1017" s="227"/>
    </row>
    <row r="1018">
      <c r="P1018" s="227"/>
    </row>
    <row r="1019">
      <c r="P1019" s="227"/>
    </row>
    <row r="1020">
      <c r="P1020" s="227"/>
    </row>
    <row r="1021">
      <c r="P1021" s="227"/>
    </row>
    <row r="1022">
      <c r="P1022" s="227"/>
    </row>
    <row r="1023">
      <c r="P1023" s="227"/>
    </row>
    <row r="1024">
      <c r="P1024" s="227"/>
    </row>
    <row r="1025">
      <c r="P1025" s="227"/>
    </row>
    <row r="1026">
      <c r="P1026" s="227"/>
    </row>
    <row r="1027">
      <c r="P1027" s="227"/>
    </row>
    <row r="1028">
      <c r="P1028" s="227"/>
    </row>
    <row r="1029">
      <c r="P1029" s="227"/>
    </row>
    <row r="1030">
      <c r="P1030" s="227"/>
    </row>
    <row r="1031">
      <c r="P1031" s="227"/>
    </row>
    <row r="1032">
      <c r="P1032" s="227"/>
    </row>
    <row r="1033">
      <c r="P1033" s="227"/>
    </row>
    <row r="1034">
      <c r="P1034" s="227"/>
    </row>
    <row r="1035">
      <c r="P1035" s="227"/>
    </row>
    <row r="1036">
      <c r="P1036" s="227"/>
    </row>
    <row r="1037">
      <c r="P1037" s="227"/>
    </row>
    <row r="1038">
      <c r="P1038" s="227"/>
    </row>
    <row r="1039">
      <c r="P1039" s="227"/>
    </row>
    <row r="1040">
      <c r="P1040" s="227"/>
    </row>
    <row r="1041">
      <c r="P1041" s="227"/>
    </row>
    <row r="1042">
      <c r="P1042" s="227"/>
    </row>
    <row r="1043">
      <c r="P1043" s="227"/>
    </row>
    <row r="1044">
      <c r="P1044" s="227"/>
    </row>
    <row r="1045">
      <c r="P1045" s="227"/>
    </row>
    <row r="1046">
      <c r="P1046" s="227"/>
    </row>
    <row r="1047">
      <c r="P1047" s="227"/>
    </row>
    <row r="1048">
      <c r="P1048" s="227"/>
    </row>
    <row r="1049">
      <c r="P1049" s="227"/>
    </row>
    <row r="1050">
      <c r="P1050" s="227"/>
    </row>
    <row r="1051">
      <c r="P1051" s="227"/>
    </row>
    <row r="1052">
      <c r="P1052" s="227"/>
    </row>
    <row r="1053">
      <c r="P1053" s="227"/>
    </row>
    <row r="1054">
      <c r="P1054" s="227"/>
    </row>
    <row r="1055">
      <c r="P1055" s="227"/>
    </row>
    <row r="1056">
      <c r="P1056" s="227"/>
    </row>
    <row r="1057">
      <c r="P1057" s="227"/>
    </row>
    <row r="1058">
      <c r="P1058" s="227"/>
    </row>
    <row r="1059">
      <c r="P1059" s="227"/>
    </row>
    <row r="1060">
      <c r="P1060" s="227"/>
    </row>
    <row r="1061">
      <c r="P1061" s="227"/>
    </row>
    <row r="1062">
      <c r="P1062" s="227"/>
    </row>
    <row r="1063">
      <c r="P1063" s="227"/>
    </row>
    <row r="1064">
      <c r="P1064" s="227"/>
    </row>
    <row r="1065">
      <c r="P1065" s="227"/>
    </row>
    <row r="1066">
      <c r="P1066" s="227"/>
    </row>
    <row r="1067">
      <c r="P1067" s="227"/>
    </row>
    <row r="1068">
      <c r="P1068" s="227"/>
    </row>
    <row r="1069">
      <c r="P1069" s="227"/>
    </row>
    <row r="1070">
      <c r="P1070" s="227"/>
    </row>
    <row r="1071">
      <c r="P1071" s="227"/>
    </row>
    <row r="1072">
      <c r="P1072" s="227"/>
    </row>
    <row r="1073">
      <c r="P1073" s="227"/>
    </row>
    <row r="1074">
      <c r="P1074" s="227"/>
    </row>
    <row r="1075">
      <c r="P1075" s="227"/>
    </row>
    <row r="1076">
      <c r="P1076" s="227"/>
    </row>
    <row r="1077">
      <c r="P1077" s="227"/>
    </row>
    <row r="1078">
      <c r="P1078" s="227"/>
    </row>
    <row r="1079">
      <c r="P1079" s="227"/>
    </row>
    <row r="1080">
      <c r="P1080" s="227"/>
    </row>
    <row r="1081">
      <c r="P1081" s="227"/>
    </row>
    <row r="1082">
      <c r="P1082" s="227"/>
    </row>
    <row r="1083">
      <c r="P1083" s="227"/>
    </row>
    <row r="1084">
      <c r="P1084" s="227"/>
    </row>
    <row r="1085">
      <c r="P1085" s="227"/>
    </row>
    <row r="1086">
      <c r="P1086" s="227"/>
    </row>
    <row r="1087">
      <c r="P1087" s="227"/>
    </row>
    <row r="1088">
      <c r="P1088" s="227"/>
    </row>
    <row r="1089">
      <c r="P1089" s="227"/>
    </row>
    <row r="1090">
      <c r="P1090" s="227"/>
    </row>
    <row r="1091">
      <c r="P1091" s="227"/>
    </row>
    <row r="1092">
      <c r="P1092" s="227"/>
    </row>
    <row r="1093">
      <c r="P1093" s="227"/>
    </row>
    <row r="1094">
      <c r="P1094" s="227"/>
    </row>
    <row r="1095">
      <c r="P1095" s="227"/>
    </row>
    <row r="1096">
      <c r="P1096" s="227"/>
    </row>
    <row r="1097">
      <c r="P1097" s="227"/>
    </row>
    <row r="1098">
      <c r="P1098" s="227"/>
    </row>
    <row r="1099">
      <c r="P1099" s="227"/>
    </row>
    <row r="1100">
      <c r="P1100" s="227"/>
    </row>
    <row r="1101">
      <c r="P1101" s="227"/>
    </row>
    <row r="1102">
      <c r="P1102" s="227"/>
    </row>
    <row r="1103">
      <c r="P1103" s="227"/>
    </row>
    <row r="1104">
      <c r="P1104" s="227"/>
    </row>
    <row r="1105">
      <c r="P1105" s="227"/>
    </row>
    <row r="1106">
      <c r="P1106" s="227"/>
    </row>
    <row r="1107">
      <c r="P1107" s="227"/>
    </row>
    <row r="1108">
      <c r="P1108" s="227"/>
    </row>
    <row r="1109">
      <c r="P1109" s="227"/>
    </row>
    <row r="1110">
      <c r="P1110" s="227"/>
    </row>
    <row r="1111">
      <c r="P1111" s="227"/>
    </row>
    <row r="1112">
      <c r="P1112" s="227"/>
    </row>
    <row r="1113">
      <c r="P1113" s="227"/>
    </row>
    <row r="1114">
      <c r="P1114" s="227"/>
    </row>
    <row r="1115">
      <c r="P1115" s="227"/>
    </row>
    <row r="1116">
      <c r="P1116" s="227"/>
    </row>
    <row r="1117">
      <c r="P1117" s="227"/>
    </row>
    <row r="1118">
      <c r="P1118" s="227"/>
    </row>
    <row r="1119">
      <c r="P1119" s="227"/>
    </row>
    <row r="1120">
      <c r="P1120" s="227"/>
    </row>
    <row r="1121">
      <c r="P1121" s="227"/>
    </row>
    <row r="1122">
      <c r="P1122" s="227"/>
    </row>
    <row r="1123">
      <c r="P1123" s="227"/>
    </row>
    <row r="1124">
      <c r="P1124" s="227"/>
    </row>
    <row r="1125">
      <c r="P1125" s="227"/>
    </row>
    <row r="1126">
      <c r="P1126" s="227"/>
    </row>
    <row r="1127">
      <c r="P1127" s="227"/>
    </row>
    <row r="1128">
      <c r="P1128" s="227"/>
    </row>
    <row r="1129">
      <c r="P1129" s="227"/>
    </row>
    <row r="1130">
      <c r="P1130" s="227"/>
    </row>
    <row r="1131">
      <c r="P1131" s="227"/>
    </row>
    <row r="1132">
      <c r="P1132" s="227"/>
    </row>
    <row r="1133">
      <c r="P1133" s="227"/>
    </row>
    <row r="1134">
      <c r="P1134" s="227"/>
    </row>
    <row r="1135">
      <c r="P1135" s="227"/>
    </row>
    <row r="1136">
      <c r="P1136" s="227"/>
    </row>
    <row r="1137">
      <c r="P1137" s="227"/>
    </row>
    <row r="1138">
      <c r="P1138" s="227"/>
    </row>
    <row r="1139">
      <c r="P1139" s="227"/>
    </row>
    <row r="1140">
      <c r="P1140" s="227"/>
    </row>
    <row r="1141">
      <c r="P1141" s="227"/>
    </row>
    <row r="1142">
      <c r="P1142" s="227"/>
    </row>
    <row r="1143">
      <c r="P1143" s="227"/>
    </row>
    <row r="1144">
      <c r="P1144" s="227"/>
    </row>
    <row r="1145">
      <c r="P1145" s="227"/>
    </row>
    <row r="1146">
      <c r="P1146" s="227"/>
    </row>
    <row r="1147">
      <c r="P1147" s="227"/>
    </row>
    <row r="1148">
      <c r="P1148" s="227"/>
    </row>
    <row r="1149">
      <c r="P1149" s="227"/>
    </row>
    <row r="1150">
      <c r="P1150" s="227"/>
    </row>
    <row r="1151">
      <c r="P1151" s="227"/>
    </row>
    <row r="1152">
      <c r="P1152" s="227"/>
    </row>
    <row r="1153">
      <c r="P1153" s="227"/>
    </row>
    <row r="1154">
      <c r="P1154" s="227"/>
    </row>
    <row r="1155">
      <c r="P1155" s="227"/>
    </row>
    <row r="1156">
      <c r="P1156" s="227"/>
    </row>
    <row r="1157">
      <c r="P1157" s="227"/>
    </row>
    <row r="1158">
      <c r="P1158" s="227"/>
    </row>
    <row r="1159">
      <c r="P1159" s="227"/>
    </row>
    <row r="1160">
      <c r="P1160" s="227"/>
    </row>
    <row r="1161">
      <c r="P1161" s="227"/>
    </row>
    <row r="1162">
      <c r="P1162" s="227"/>
    </row>
    <row r="1163">
      <c r="P1163" s="227"/>
    </row>
    <row r="1164">
      <c r="P1164" s="227"/>
    </row>
    <row r="1165">
      <c r="P1165" s="227"/>
    </row>
    <row r="1166">
      <c r="P1166" s="227"/>
    </row>
    <row r="1167">
      <c r="P1167" s="227"/>
    </row>
    <row r="1168">
      <c r="P1168" s="227"/>
    </row>
    <row r="1169">
      <c r="P1169" s="227"/>
    </row>
    <row r="1170">
      <c r="P1170" s="227"/>
    </row>
    <row r="1171">
      <c r="P1171" s="227"/>
    </row>
    <row r="1172">
      <c r="P1172" s="227"/>
    </row>
    <row r="1173">
      <c r="P1173" s="227"/>
    </row>
    <row r="1174">
      <c r="P1174" s="227"/>
    </row>
    <row r="1175">
      <c r="P1175" s="227"/>
    </row>
    <row r="1176">
      <c r="P1176" s="227"/>
    </row>
    <row r="1177">
      <c r="P1177" s="227"/>
    </row>
    <row r="1178">
      <c r="P1178" s="227"/>
    </row>
    <row r="1179">
      <c r="P1179" s="227"/>
    </row>
    <row r="1180">
      <c r="P1180" s="227"/>
    </row>
    <row r="1181">
      <c r="P1181" s="227"/>
    </row>
    <row r="1182">
      <c r="P1182" s="227"/>
    </row>
    <row r="1183">
      <c r="P1183" s="227"/>
    </row>
    <row r="1184">
      <c r="P1184" s="227"/>
    </row>
    <row r="1185">
      <c r="P1185" s="227"/>
    </row>
    <row r="1186">
      <c r="P1186" s="227"/>
    </row>
    <row r="1187">
      <c r="P1187" s="227"/>
    </row>
    <row r="1188">
      <c r="P1188" s="227"/>
    </row>
    <row r="1189">
      <c r="P1189" s="227"/>
    </row>
    <row r="1190">
      <c r="P1190" s="227"/>
    </row>
    <row r="1191">
      <c r="P1191" s="227"/>
    </row>
    <row r="1192">
      <c r="P1192" s="227"/>
    </row>
    <row r="1193">
      <c r="P1193" s="227"/>
    </row>
    <row r="1194">
      <c r="P1194" s="227"/>
    </row>
    <row r="1195">
      <c r="P1195" s="227"/>
    </row>
    <row r="1196">
      <c r="P1196" s="227"/>
    </row>
    <row r="1197">
      <c r="P1197" s="227"/>
    </row>
    <row r="1198">
      <c r="P1198" s="227"/>
    </row>
    <row r="1199">
      <c r="P1199" s="227"/>
    </row>
    <row r="1200">
      <c r="P1200" s="227"/>
    </row>
    <row r="1201">
      <c r="P1201" s="227"/>
    </row>
    <row r="1202">
      <c r="P1202" s="227"/>
    </row>
    <row r="1203">
      <c r="P1203" s="227"/>
    </row>
    <row r="1204">
      <c r="P1204" s="227"/>
    </row>
    <row r="1205">
      <c r="P1205" s="227"/>
    </row>
    <row r="1206">
      <c r="P1206" s="227"/>
    </row>
    <row r="1207">
      <c r="P1207" s="227"/>
    </row>
    <row r="1208">
      <c r="P1208" s="227"/>
    </row>
    <row r="1209">
      <c r="P1209" s="227"/>
    </row>
    <row r="1210">
      <c r="P1210" s="227"/>
    </row>
    <row r="1211">
      <c r="P1211" s="227"/>
    </row>
    <row r="1212">
      <c r="P1212" s="227"/>
    </row>
    <row r="1213">
      <c r="P1213" s="227"/>
    </row>
    <row r="1214">
      <c r="P1214" s="227"/>
    </row>
    <row r="1215">
      <c r="P1215" s="227"/>
    </row>
    <row r="1216">
      <c r="P1216" s="227"/>
    </row>
    <row r="1217">
      <c r="P1217" s="227"/>
    </row>
    <row r="1218">
      <c r="P1218" s="227"/>
    </row>
    <row r="1219">
      <c r="P1219" s="227"/>
    </row>
    <row r="1220">
      <c r="P1220" s="227"/>
    </row>
    <row r="1221">
      <c r="P1221" s="227"/>
    </row>
    <row r="1222">
      <c r="P1222" s="227"/>
    </row>
    <row r="1223">
      <c r="P1223" s="227"/>
    </row>
    <row r="1224">
      <c r="P1224" s="227"/>
    </row>
    <row r="1225">
      <c r="P1225" s="227"/>
    </row>
    <row r="1226">
      <c r="P1226" s="227"/>
    </row>
    <row r="1227">
      <c r="P1227" s="227"/>
    </row>
    <row r="1228">
      <c r="P1228" s="227"/>
    </row>
    <row r="1229">
      <c r="P1229" s="227"/>
    </row>
    <row r="1230">
      <c r="P1230" s="227"/>
    </row>
    <row r="1231">
      <c r="P1231" s="227"/>
    </row>
    <row r="1232">
      <c r="P1232" s="227"/>
    </row>
    <row r="1233">
      <c r="P1233" s="227"/>
    </row>
    <row r="1234">
      <c r="P1234" s="227"/>
    </row>
    <row r="1235">
      <c r="P1235" s="227"/>
    </row>
    <row r="1236">
      <c r="P1236" s="227"/>
    </row>
    <row r="1237">
      <c r="P1237" s="227"/>
    </row>
    <row r="1238">
      <c r="P1238" s="227"/>
    </row>
    <row r="1239">
      <c r="P1239" s="227"/>
    </row>
    <row r="1240">
      <c r="P1240" s="227"/>
    </row>
    <row r="1241">
      <c r="P1241" s="227"/>
    </row>
    <row r="1242">
      <c r="P1242" s="227"/>
    </row>
    <row r="1243">
      <c r="P1243" s="227"/>
    </row>
    <row r="1244">
      <c r="P1244" s="227"/>
    </row>
    <row r="1245">
      <c r="P1245" s="227"/>
    </row>
    <row r="1246">
      <c r="P1246" s="227"/>
    </row>
    <row r="1247">
      <c r="P1247" s="227"/>
    </row>
    <row r="1248">
      <c r="P1248" s="227"/>
    </row>
    <row r="1249">
      <c r="P1249" s="227"/>
    </row>
    <row r="1250">
      <c r="P1250" s="227"/>
    </row>
    <row r="1251">
      <c r="P1251" s="227"/>
    </row>
    <row r="1252">
      <c r="P1252" s="227"/>
    </row>
    <row r="1253">
      <c r="P1253" s="227"/>
    </row>
    <row r="1254">
      <c r="P1254" s="227"/>
    </row>
    <row r="1255">
      <c r="P1255" s="227"/>
    </row>
    <row r="1256">
      <c r="P1256" s="227"/>
    </row>
    <row r="1257">
      <c r="P1257" s="227"/>
    </row>
    <row r="1258">
      <c r="P1258" s="227"/>
    </row>
    <row r="1259">
      <c r="P1259" s="227"/>
    </row>
    <row r="1260">
      <c r="P1260" s="227"/>
    </row>
    <row r="1261">
      <c r="P1261" s="227"/>
    </row>
    <row r="1262">
      <c r="P1262" s="227"/>
    </row>
    <row r="1263">
      <c r="P1263" s="227"/>
    </row>
    <row r="1264">
      <c r="P1264" s="227"/>
    </row>
    <row r="1265">
      <c r="P1265" s="227"/>
    </row>
    <row r="1266">
      <c r="P1266" s="227"/>
    </row>
    <row r="1267">
      <c r="P1267" s="227"/>
    </row>
    <row r="1268">
      <c r="P1268" s="227"/>
    </row>
    <row r="1269">
      <c r="P1269" s="227"/>
    </row>
    <row r="1270">
      <c r="P1270" s="227"/>
    </row>
    <row r="1271">
      <c r="P1271" s="227"/>
    </row>
    <row r="1272">
      <c r="P1272" s="227"/>
    </row>
    <row r="1273">
      <c r="P1273" s="227"/>
    </row>
    <row r="1274">
      <c r="P1274" s="227"/>
    </row>
    <row r="1275">
      <c r="P1275" s="227"/>
    </row>
    <row r="1276">
      <c r="P1276" s="227"/>
    </row>
    <row r="1277">
      <c r="P1277" s="227"/>
    </row>
    <row r="1278">
      <c r="P1278" s="227"/>
    </row>
    <row r="1279">
      <c r="P1279" s="227"/>
    </row>
    <row r="1280">
      <c r="P1280" s="227"/>
    </row>
    <row r="1281">
      <c r="P1281" s="227"/>
    </row>
    <row r="1282">
      <c r="P1282" s="227"/>
    </row>
    <row r="1283">
      <c r="P1283" s="227"/>
    </row>
    <row r="1284">
      <c r="P1284" s="227"/>
    </row>
    <row r="1285">
      <c r="P1285" s="227"/>
    </row>
    <row r="1286">
      <c r="P1286" s="227"/>
    </row>
    <row r="1287">
      <c r="P1287" s="227"/>
    </row>
    <row r="1288">
      <c r="P1288" s="227"/>
    </row>
    <row r="1289">
      <c r="P1289" s="227"/>
    </row>
    <row r="1290">
      <c r="P1290" s="227"/>
    </row>
    <row r="1291">
      <c r="P1291" s="227"/>
    </row>
    <row r="1292">
      <c r="P1292" s="227"/>
    </row>
    <row r="1293">
      <c r="P1293" s="227"/>
    </row>
    <row r="1294">
      <c r="P1294" s="227"/>
    </row>
    <row r="1295">
      <c r="P1295" s="227"/>
    </row>
    <row r="1296">
      <c r="P1296" s="227"/>
    </row>
    <row r="1297">
      <c r="P1297" s="227"/>
    </row>
    <row r="1298">
      <c r="P1298" s="227"/>
    </row>
    <row r="1299">
      <c r="P1299" s="227"/>
    </row>
    <row r="1300">
      <c r="P1300" s="227"/>
    </row>
    <row r="1301">
      <c r="P1301" s="227"/>
    </row>
    <row r="1302">
      <c r="P1302" s="227"/>
    </row>
  </sheetData>
  <mergeCells count="223">
    <mergeCell ref="F422:F424"/>
    <mergeCell ref="F425:F426"/>
    <mergeCell ref="F427:G430"/>
    <mergeCell ref="F431:G434"/>
    <mergeCell ref="F435:G438"/>
    <mergeCell ref="F439:F451"/>
    <mergeCell ref="G457:G461"/>
    <mergeCell ref="F452:F454"/>
    <mergeCell ref="F504:F506"/>
    <mergeCell ref="F507:F508"/>
    <mergeCell ref="F509:G512"/>
    <mergeCell ref="F513:G516"/>
    <mergeCell ref="F517:G520"/>
    <mergeCell ref="F521:F522"/>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523:F525"/>
    <mergeCell ref="F526:F527"/>
    <mergeCell ref="F528:G531"/>
    <mergeCell ref="F532:G535"/>
    <mergeCell ref="F536:G539"/>
    <mergeCell ref="F540:F541"/>
    <mergeCell ref="F542:F544"/>
    <mergeCell ref="F545:F546"/>
    <mergeCell ref="E509:E527"/>
    <mergeCell ref="E528:E546"/>
    <mergeCell ref="E267:E285"/>
    <mergeCell ref="E286:E309"/>
    <mergeCell ref="E310:E333"/>
    <mergeCell ref="E339:E383"/>
    <mergeCell ref="E384:E426"/>
    <mergeCell ref="E427:E456"/>
    <mergeCell ref="E457:E508"/>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6:F421"/>
    <mergeCell ref="G401:G403"/>
    <mergeCell ref="G413:G415"/>
    <mergeCell ref="O349:O353"/>
    <mergeCell ref="O362:O366"/>
    <mergeCell ref="O384:O387"/>
    <mergeCell ref="O388:O391"/>
    <mergeCell ref="O392:O395"/>
    <mergeCell ref="O427:O430"/>
    <mergeCell ref="O431:O434"/>
    <mergeCell ref="O528:O531"/>
    <mergeCell ref="O532:O535"/>
    <mergeCell ref="O536:O539"/>
    <mergeCell ref="O435:O438"/>
    <mergeCell ref="O457:O460"/>
    <mergeCell ref="O471:O474"/>
    <mergeCell ref="O483:O486"/>
    <mergeCell ref="O509:O512"/>
    <mergeCell ref="O513:O516"/>
    <mergeCell ref="O517:O520"/>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3:Q516"/>
    <mergeCell ref="Q517:Q520"/>
    <mergeCell ref="Q528:Q531"/>
    <mergeCell ref="Q532:Q535"/>
    <mergeCell ref="Q536:Q539"/>
    <mergeCell ref="Q384:Q387"/>
    <mergeCell ref="Q388:Q391"/>
    <mergeCell ref="Q392:Q395"/>
    <mergeCell ref="Q427:Q430"/>
    <mergeCell ref="Q431:Q434"/>
    <mergeCell ref="Q435:Q438"/>
    <mergeCell ref="Q509:Q512"/>
    <mergeCell ref="F482:F499"/>
    <mergeCell ref="F500:F501"/>
    <mergeCell ref="F455:F456"/>
    <mergeCell ref="F457:F469"/>
    <mergeCell ref="F470:F481"/>
    <mergeCell ref="G471:G475"/>
    <mergeCell ref="G483:G488"/>
    <mergeCell ref="G489:G493"/>
    <mergeCell ref="G494:G498"/>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1:Q403">
    <cfRule type="expression" dxfId="20" priority="3">
      <formula>NE($H$418,$G$401)</formula>
    </cfRule>
  </conditionalFormatting>
  <conditionalFormatting sqref="G404:Q404">
    <cfRule type="expression" dxfId="20" priority="4">
      <formula>NE($H$418,$G$404)</formula>
    </cfRule>
  </conditionalFormatting>
  <conditionalFormatting sqref="G413:Q415">
    <cfRule type="expression" dxfId="20" priority="5">
      <formula>NE($H$418,$G$413)</formula>
    </cfRule>
  </conditionalFormatting>
  <conditionalFormatting sqref="G416:Q416">
    <cfRule type="expression" dxfId="20" priority="6">
      <formula>NE($H$418,$G$416)</formula>
    </cfRule>
  </conditionalFormatting>
  <conditionalFormatting sqref="F482:Q499">
    <cfRule type="expression" dxfId="19" priority="7">
      <formula>NE($F$482,$H$500)</formula>
    </cfRule>
  </conditionalFormatting>
  <conditionalFormatting sqref="F457:Q469">
    <cfRule type="expression" dxfId="19" priority="8">
      <formula>NE($F$457,$H$500)</formula>
    </cfRule>
  </conditionalFormatting>
  <conditionalFormatting sqref="F470:Q481">
    <cfRule type="expression" dxfId="19" priority="9">
      <formula>NE($F$470,$H$500)</formula>
    </cfRule>
  </conditionalFormatting>
  <conditionalFormatting sqref="G440:Q445">
    <cfRule type="expression" dxfId="19" priority="10">
      <formula>NE($G$440,$H$450)</formula>
    </cfRule>
  </conditionalFormatting>
  <conditionalFormatting sqref="G447:Q448">
    <cfRule type="expression" dxfId="19" priority="11">
      <formula>NE($G$447,$H$450)</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2">
    <cfRule type="cellIs" dxfId="23" priority="33" operator="equal">
      <formula>"fp8"</formula>
    </cfRule>
  </conditionalFormatting>
  <conditionalFormatting sqref="O1:O336 O338:O1302">
    <cfRule type="cellIs" dxfId="24" priority="34" operator="equal">
      <formula>"bf16"</formula>
    </cfRule>
  </conditionalFormatting>
  <conditionalFormatting sqref="O1:O336 O338:O1302">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18">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5 O509 O513 O517 O528 O532 O536">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0">
      <formula1>"Option A: AllReduce,Option B: Do not resolve partial sum yet,Option C: No Collectives"</formula1>
    </dataValidation>
    <dataValidation type="list" allowBlank="1" showErrorMessage="1" sqref="F457 F482 H500">
      <formula1>"Option A: Transposed All-To-All,Option B: Reduce-Scatter,Option C: Hierachical RS"</formula1>
    </dataValidation>
    <dataValidation type="list" allowBlank="1" showErrorMessage="1" sqref="F470">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null!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